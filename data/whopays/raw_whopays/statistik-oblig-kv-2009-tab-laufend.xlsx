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backupFile="1" codeName="ThisWorkbook" defaultThemeVersion="124226"/>
  <mc:AlternateContent xmlns:mc="http://schemas.openxmlformats.org/markup-compatibility/2006">
    <mc:Choice Requires="x15">
      <x15ac:absPath xmlns:x15ac="http://schemas.microsoft.com/office/spreadsheetml/2010/11/ac" url="/Users/K.Smaili_ZHAW/Desktop/ZHAW/4. Semester/PoDSV_Project Orientated Digital Storytelling and Visualization/PODSV_Visualisierungsprojekt/data/whopays/raw_whopays/"/>
    </mc:Choice>
  </mc:AlternateContent>
  <xr:revisionPtr revIDLastSave="0" documentId="8_{D77E9F2C-1D09-AA4B-A67A-49C4FA7227AE}" xr6:coauthVersionLast="47" xr6:coauthVersionMax="47" xr10:uidLastSave="{00000000-0000-0000-0000-000000000000}"/>
  <bookViews>
    <workbookView xWindow="0" yWindow="500" windowWidth="38400" windowHeight="20000" tabRatio="601" xr2:uid="{F574A2EC-72D3-6547-9F8E-E64D6DE1414E}"/>
  </bookViews>
  <sheets>
    <sheet name="Info" sheetId="150" r:id="rId1"/>
    <sheet name="Ad" sheetId="1121" r:id="rId2"/>
    <sheet name="Bd" sheetId="1117" r:id="rId3"/>
    <sheet name="B1d" sheetId="1116" r:id="rId4"/>
    <sheet name="F1d" sheetId="1118" r:id="rId5"/>
    <sheet name="F2d" sheetId="1119" r:id="rId6"/>
    <sheet name="F3d" sheetId="1120" r:id="rId7"/>
    <sheet name="Jd" sheetId="1034" r:id="rId8"/>
    <sheet name="T1d" sheetId="1049" r:id="rId9"/>
    <sheet name="101d" sheetId="960" r:id="rId10"/>
    <sheet name="102d" sheetId="962" r:id="rId11"/>
    <sheet name="103d" sheetId="963" r:id="rId12"/>
    <sheet name="104d" sheetId="964" r:id="rId13"/>
    <sheet name="105d" sheetId="965" r:id="rId14"/>
    <sheet name="106d" sheetId="966" r:id="rId15"/>
    <sheet name="107d" sheetId="967" r:id="rId16"/>
    <sheet name="108d" sheetId="1048" r:id="rId17"/>
    <sheet name="109d" sheetId="1050" r:id="rId18"/>
    <sheet name="110d" sheetId="1051" r:id="rId19"/>
    <sheet name="111d" sheetId="1052" r:id="rId20"/>
    <sheet name="112d" sheetId="1053" r:id="rId21"/>
    <sheet name="113d" sheetId="1054" r:id="rId22"/>
    <sheet name="T2d" sheetId="1090" r:id="rId23"/>
    <sheet name="201d" sheetId="1062" r:id="rId24"/>
    <sheet name="202d" sheetId="1078" r:id="rId25"/>
    <sheet name="203d" sheetId="1019" r:id="rId26"/>
    <sheet name="204d" sheetId="1002" r:id="rId27"/>
    <sheet name="205d" sheetId="1003" r:id="rId28"/>
    <sheet name="206d" sheetId="1079" r:id="rId29"/>
    <sheet name="207d" sheetId="1004" r:id="rId30"/>
    <sheet name="208d" sheetId="1080" r:id="rId31"/>
    <sheet name="209d" sheetId="1081" r:id="rId32"/>
    <sheet name="210d" sheetId="1005" r:id="rId33"/>
    <sheet name="211d" sheetId="1082" r:id="rId34"/>
    <sheet name="212d" sheetId="1006" r:id="rId35"/>
    <sheet name="213d" sheetId="1007" r:id="rId36"/>
    <sheet name="214d" sheetId="1061" r:id="rId37"/>
    <sheet name="215d" sheetId="1083" r:id="rId38"/>
    <sheet name="216d" sheetId="1060" r:id="rId39"/>
    <sheet name="217d" sheetId="992" r:id="rId40"/>
    <sheet name="218d" sheetId="1059" r:id="rId41"/>
    <sheet name="219d" sheetId="993" r:id="rId42"/>
    <sheet name="220d" sheetId="1056" r:id="rId43"/>
    <sheet name="221d" sheetId="1055" r:id="rId44"/>
    <sheet name="222d" sheetId="1058" r:id="rId45"/>
    <sheet name="223d" sheetId="1084" r:id="rId46"/>
    <sheet name="224d" sheetId="1085" r:id="rId47"/>
    <sheet name="T3d" sheetId="1089" r:id="rId48"/>
    <sheet name="301d" sheetId="1040" r:id="rId49"/>
    <sheet name="302d" sheetId="1039" r:id="rId50"/>
    <sheet name="303d" sheetId="1038" r:id="rId51"/>
    <sheet name="304d" sheetId="1037" r:id="rId52"/>
    <sheet name="305d" sheetId="1047" r:id="rId53"/>
    <sheet name="306d" sheetId="1046" r:id="rId54"/>
    <sheet name="307d" sheetId="1045" r:id="rId55"/>
    <sheet name="308d" sheetId="1018" r:id="rId56"/>
    <sheet name="309d" sheetId="1044" r:id="rId57"/>
    <sheet name="310d" sheetId="1043" r:id="rId58"/>
    <sheet name="311d" sheetId="1086" r:id="rId59"/>
    <sheet name="312d" sheetId="1087" r:id="rId60"/>
    <sheet name="313d" sheetId="1016" r:id="rId61"/>
    <sheet name="314d" sheetId="1015" r:id="rId62"/>
    <sheet name="315d" sheetId="1088" r:id="rId63"/>
    <sheet name="T4d" sheetId="1020" r:id="rId64"/>
    <sheet name="401d" sheetId="1021" r:id="rId65"/>
    <sheet name="402d" sheetId="1022" r:id="rId66"/>
    <sheet name="403d" sheetId="1026" r:id="rId67"/>
    <sheet name="404d" sheetId="1024" r:id="rId68"/>
    <sheet name="405d" sheetId="1025" r:id="rId69"/>
    <sheet name="406d" sheetId="1027" r:id="rId70"/>
    <sheet name="407d" sheetId="1028" r:id="rId71"/>
    <sheet name="408d" sheetId="1029" r:id="rId72"/>
    <sheet name="409d" sheetId="1030" r:id="rId73"/>
    <sheet name="T5d" sheetId="1031" r:id="rId74"/>
    <sheet name="501d" sheetId="999" r:id="rId75"/>
    <sheet name="502d" sheetId="1000" r:id="rId76"/>
    <sheet name="503d" sheetId="1032" r:id="rId77"/>
    <sheet name="504d" sheetId="948" r:id="rId78"/>
    <sheet name="505d" sheetId="1069" r:id="rId79"/>
    <sheet name="T6d" sheetId="971" r:id="rId80"/>
    <sheet name="601d" sheetId="977" r:id="rId81"/>
    <sheet name="602d" sheetId="976" r:id="rId82"/>
    <sheet name="603d" sheetId="975" r:id="rId83"/>
    <sheet name="604d" sheetId="972" r:id="rId84"/>
    <sheet name="605d" sheetId="973" r:id="rId85"/>
    <sheet name="606d" sheetId="974" r:id="rId86"/>
    <sheet name="T7d" sheetId="970" r:id="rId87"/>
    <sheet name="701d" sheetId="982" r:id="rId88"/>
    <sheet name="702d" sheetId="981" r:id="rId89"/>
    <sheet name="703d" sheetId="978" r:id="rId90"/>
    <sheet name="704d" sheetId="979" r:id="rId91"/>
    <sheet name="705d" sheetId="980" r:id="rId92"/>
    <sheet name="T8d" sheetId="1099" r:id="rId93"/>
    <sheet name="801d" sheetId="1096" r:id="rId94"/>
    <sheet name="802d" sheetId="1097" r:id="rId95"/>
    <sheet name="803d" sheetId="1098" r:id="rId96"/>
    <sheet name="804d" sheetId="989" r:id="rId97"/>
    <sheet name="805d" sheetId="988" r:id="rId98"/>
    <sheet name="806d" sheetId="987" r:id="rId99"/>
    <sheet name="807d" sheetId="990" r:id="rId100"/>
    <sheet name="808d" sheetId="991" r:id="rId101"/>
    <sheet name="809d" sheetId="986" r:id="rId102"/>
    <sheet name="810d" sheetId="985" r:id="rId103"/>
    <sheet name="811d" sheetId="984" r:id="rId104"/>
    <sheet name="812d" sheetId="983" r:id="rId105"/>
    <sheet name="T9d" sheetId="1114" r:id="rId106"/>
    <sheet name="901d" sheetId="1070" r:id="rId107"/>
    <sheet name="902d" sheetId="1071" r:id="rId108"/>
    <sheet name="903d" sheetId="1072" r:id="rId109"/>
    <sheet name="904d" sheetId="1073" r:id="rId110"/>
    <sheet name="905d" sheetId="1074" r:id="rId111"/>
    <sheet name="906d" sheetId="1103" r:id="rId112"/>
    <sheet name="907d" sheetId="1104" r:id="rId113"/>
    <sheet name="908d" sheetId="1102" r:id="rId114"/>
    <sheet name="909d" sheetId="1076" r:id="rId115"/>
    <sheet name="910d" sheetId="1077" r:id="rId116"/>
    <sheet name="911d" sheetId="1105" r:id="rId117"/>
    <sheet name="912d" sheetId="1110" r:id="rId118"/>
    <sheet name="913d" sheetId="1111" r:id="rId119"/>
    <sheet name="914d" sheetId="1113" r:id="rId120"/>
    <sheet name="915d" sheetId="1112" r:id="rId121"/>
    <sheet name="916d" sheetId="1106" r:id="rId122"/>
    <sheet name="917d" sheetId="1107" r:id="rId123"/>
    <sheet name="918d" sheetId="1108" r:id="rId124"/>
    <sheet name="919d" sheetId="1115" r:id="rId125"/>
    <sheet name="920d" sheetId="1109" r:id="rId126"/>
    <sheet name="T10d" sheetId="1063" r:id="rId127"/>
    <sheet name="1001d" sheetId="1068" r:id="rId128"/>
    <sheet name="1002d" sheetId="1067" r:id="rId129"/>
    <sheet name="1003d" sheetId="1066" r:id="rId130"/>
    <sheet name="1004d" sheetId="1065" r:id="rId131"/>
    <sheet name="1005d" sheetId="1064" r:id="rId132"/>
    <sheet name="T11d" sheetId="1101" r:id="rId133"/>
    <sheet name="1101d" sheetId="994" r:id="rId134"/>
    <sheet name="1102d" sheetId="1035" r:id="rId135"/>
    <sheet name="1103d" sheetId="1036" r:id="rId136"/>
    <sheet name="1104d" sheetId="1095" r:id="rId137"/>
    <sheet name="1105d" sheetId="1010" r:id="rId138"/>
    <sheet name="1106d" sheetId="1009" r:id="rId139"/>
    <sheet name="1107d" sheetId="1011" r:id="rId140"/>
    <sheet name="1108d" sheetId="1091" r:id="rId141"/>
    <sheet name="1109d" sheetId="1092" r:id="rId142"/>
    <sheet name="1110d" sheetId="1094" r:id="rId143"/>
    <sheet name="1111d" sheetId="1100" r:id="rId144"/>
    <sheet name="1112d" sheetId="1014" r:id="rId145"/>
    <sheet name="1113d" sheetId="1013" r:id="rId146"/>
    <sheet name="1114d" sheetId="996" r:id="rId147"/>
    <sheet name="1115d" sheetId="997" r:id="rId148"/>
    <sheet name="1116d" sheetId="1093" r:id="rId149"/>
    <sheet name="1117d" sheetId="1012" r:id="rId150"/>
  </sheets>
  <definedNames>
    <definedName name="_xlnm.Print_Area" localSheetId="127">'1001d'!$A$1:$G$29</definedName>
    <definedName name="_xlnm.Print_Area" localSheetId="128">'1002d'!$A$1:$G$30</definedName>
    <definedName name="_xlnm.Print_Area" localSheetId="129">'1003d'!$A$1:$H$35</definedName>
    <definedName name="_xlnm.Print_Area" localSheetId="130">'1004d'!$A$1:$H$55</definedName>
    <definedName name="_xlnm.Print_Area" localSheetId="131">'1005d'!$A$1:$G$42</definedName>
    <definedName name="_xlnm.Print_Area" localSheetId="9">'101d'!$A$1:$T$56</definedName>
    <definedName name="_xlnm.Print_Area" localSheetId="10">'102d'!$A$1:$E$39</definedName>
    <definedName name="_xlnm.Print_Area" localSheetId="11">'103d'!$A$1:$E$39</definedName>
    <definedName name="_xlnm.Print_Area" localSheetId="12">'104d'!$A$1:$E$39</definedName>
    <definedName name="_xlnm.Print_Area" localSheetId="13">'105d'!$A$1:$E$39</definedName>
    <definedName name="_xlnm.Print_Area" localSheetId="14">'106d'!$A$1:$E$39</definedName>
    <definedName name="_xlnm.Print_Area" localSheetId="15">'107d'!$A$1:$E$48</definedName>
    <definedName name="_xlnm.Print_Area" localSheetId="16">'108d'!$A$1:$G$26</definedName>
    <definedName name="_xlnm.Print_Area" localSheetId="17">'109d'!$A$1:$G$26</definedName>
    <definedName name="_xlnm.Print_Area" localSheetId="133">'1101d'!$A$1:$G$29</definedName>
    <definedName name="_xlnm.Print_Area" localSheetId="134">'1102d'!$A$1:$G$30</definedName>
    <definedName name="_xlnm.Print_Area" localSheetId="135">'1103d'!$A$1:$F$46</definedName>
    <definedName name="_xlnm.Print_Area" localSheetId="136">'1104d'!$A$1:$F$47</definedName>
    <definedName name="_xlnm.Print_Area" localSheetId="137">'1105d'!$A$1:$G$28</definedName>
    <definedName name="_xlnm.Print_Area" localSheetId="138">'1106d'!$A$1:$G$22</definedName>
    <definedName name="_xlnm.Print_Area" localSheetId="139">'1107d'!$A$1:$G$26</definedName>
    <definedName name="_xlnm.Print_Area" localSheetId="140">'1108d'!$A$2:$P$45</definedName>
    <definedName name="_xlnm.Print_Area" localSheetId="141">'1109d'!$A$2:$P$45</definedName>
    <definedName name="_xlnm.Print_Area" localSheetId="18">'110d'!$A$1:$H$26</definedName>
    <definedName name="_xlnm.Print_Area" localSheetId="142">'1110d'!$A$1:$G$19</definedName>
    <definedName name="_xlnm.Print_Area" localSheetId="143">'1111d'!$A$1:$F$37</definedName>
    <definedName name="_xlnm.Print_Area" localSheetId="144">'1112d'!$A$1:$F$19</definedName>
    <definedName name="_xlnm.Print_Area" localSheetId="145">'1113d'!$A$1:$F$38</definedName>
    <definedName name="_xlnm.Print_Area" localSheetId="146">'1114d'!$A$1:$G$43</definedName>
    <definedName name="_xlnm.Print_Area" localSheetId="147">'1115d'!$A$1:$G$39</definedName>
    <definedName name="_xlnm.Print_Area" localSheetId="148">'1116d'!$A$1:$H$44</definedName>
    <definedName name="_xlnm.Print_Area" localSheetId="149">'1117d'!$A$1:$I$26</definedName>
    <definedName name="_xlnm.Print_Area" localSheetId="19">'111d'!$A$1:$H$26</definedName>
    <definedName name="_xlnm.Print_Area" localSheetId="20">'112d'!$A$1:$G$30</definedName>
    <definedName name="_xlnm.Print_Area" localSheetId="21">'113d'!$A$1:$G$29</definedName>
    <definedName name="_xlnm.Print_Area" localSheetId="23">'201d'!$A$1:$H$26</definedName>
    <definedName name="_xlnm.Print_Area" localSheetId="24">'202d'!$A$1:$H$56</definedName>
    <definedName name="_xlnm.Print_Area" localSheetId="25">'203d'!$A$1:$N$42</definedName>
    <definedName name="_xlnm.Print_Area" localSheetId="26">'204d'!$A$1:$E$44</definedName>
    <definedName name="_xlnm.Print_Area" localSheetId="27">'205d'!$A$1:$F$44</definedName>
    <definedName name="_xlnm.Print_Area" localSheetId="28">'206d'!$A$1:$G$41</definedName>
    <definedName name="_xlnm.Print_Area" localSheetId="29">'207d'!$A$1:$E$44</definedName>
    <definedName name="_xlnm.Print_Area" localSheetId="30">'208d'!$A$1:$G$45</definedName>
    <definedName name="_xlnm.Print_Area" localSheetId="31">'209d'!$A$1:$G$41</definedName>
    <definedName name="_xlnm.Print_Area" localSheetId="32">'210d'!$A$1:$F$44</definedName>
    <definedName name="_xlnm.Print_Area" localSheetId="33">'211d'!$A$1:$G$41</definedName>
    <definedName name="_xlnm.Print_Area" localSheetId="34">'212d'!$A$1:$G$44</definedName>
    <definedName name="_xlnm.Print_Area" localSheetId="35">'213d'!$A$1:$G$44</definedName>
    <definedName name="_xlnm.Print_Area" localSheetId="36">'214d'!$A$1:$G$29</definedName>
    <definedName name="_xlnm.Print_Area" localSheetId="37">'215d'!$A$1:$G$55</definedName>
    <definedName name="_xlnm.Print_Area" localSheetId="38">'216d'!$A$1:$N$56</definedName>
    <definedName name="_xlnm.Print_Area" localSheetId="39">'217d'!$A$1:$H$41</definedName>
    <definedName name="_xlnm.Print_Area" localSheetId="40">'218d'!$A$1:$N$55</definedName>
    <definedName name="_xlnm.Print_Area" localSheetId="41">'219d'!$A$1:$H$41</definedName>
    <definedName name="_xlnm.Print_Area" localSheetId="42">'220d'!$A$1:$G$28</definedName>
    <definedName name="_xlnm.Print_Area" localSheetId="43">'221d'!$A$1:$G$55</definedName>
    <definedName name="_xlnm.Print_Area" localSheetId="44">'222d'!$A$1:$G$19</definedName>
    <definedName name="_xlnm.Print_Area" localSheetId="45">'223d'!$A$1:$G$45</definedName>
    <definedName name="_xlnm.Print_Area" localSheetId="46">'224d'!$A$1:$G$45</definedName>
    <definedName name="_xlnm.Print_Area" localSheetId="48">'301d'!$A$1:$H$42</definedName>
    <definedName name="_xlnm.Print_Area" localSheetId="49">'302d'!$A$1:$H$45</definedName>
    <definedName name="_xlnm.Print_Area" localSheetId="50">'303d'!$A$1:$H$45</definedName>
    <definedName name="_xlnm.Print_Area" localSheetId="51">'304d'!$A$1:$H$45</definedName>
    <definedName name="_xlnm.Print_Area" localSheetId="52">'305d'!$A$1:$G$46</definedName>
    <definedName name="_xlnm.Print_Area" localSheetId="53">'306d'!$A$1:$G$46</definedName>
    <definedName name="_xlnm.Print_Area" localSheetId="54">'307d'!$A$1:$G$46</definedName>
    <definedName name="_xlnm.Print_Area" localSheetId="55">'308d'!$A$1:$N$40</definedName>
    <definedName name="_xlnm.Print_Area" localSheetId="56">'309d'!$A$2:$G$28</definedName>
    <definedName name="_xlnm.Print_Area" localSheetId="57">'310d'!$A$1:$G$17</definedName>
    <definedName name="_xlnm.Print_Area" localSheetId="58">'311d'!$A$1:$G$44</definedName>
    <definedName name="_xlnm.Print_Area" localSheetId="59">'312d'!$A$1:$G$54</definedName>
    <definedName name="_xlnm.Print_Area" localSheetId="60">'313d'!$A$1:$F$44</definedName>
    <definedName name="_xlnm.Print_Area" localSheetId="61">'314d'!$A$1:$E$44</definedName>
    <definedName name="_xlnm.Print_Area" localSheetId="62">'315d'!$A$1:$G$39</definedName>
    <definedName name="_xlnm.Print_Area" localSheetId="64" xml:space="preserve">  '401d'!$A$1:$H$30</definedName>
    <definedName name="_xlnm.Print_Area" localSheetId="65">'402d'!$A$1:$H$44</definedName>
    <definedName name="_xlnm.Print_Area" localSheetId="66">'403d'!$A$1:$F$33</definedName>
    <definedName name="_xlnm.Print_Area" localSheetId="67">'404d'!$A$1:$L$50</definedName>
    <definedName name="_xlnm.Print_Area" localSheetId="68">'405d'!$A$1:$K$42</definedName>
    <definedName name="_xlnm.Print_Area" localSheetId="69">'406d'!$A$1:$I$42</definedName>
    <definedName name="_xlnm.Print_Area" localSheetId="70">'407d'!$A$1:$H$46</definedName>
    <definedName name="_xlnm.Print_Area" localSheetId="71">'408d'!$A$1:$H$44</definedName>
    <definedName name="_xlnm.Print_Area" localSheetId="72">'409d'!$A$1:$H$46</definedName>
    <definedName name="_xlnm.Print_Area" localSheetId="74">'501d'!$A$1:$AD$109</definedName>
    <definedName name="_xlnm.Print_Area" localSheetId="75">'502d'!$A$1:$K$96</definedName>
    <definedName name="_xlnm.Print_Area" localSheetId="76">'503d'!$A$1:$I$120</definedName>
    <definedName name="_xlnm.Print_Area" localSheetId="77">'504d'!$A$1:$I$38</definedName>
    <definedName name="_xlnm.Print_Area" localSheetId="78">'505d'!$A$1:$AE$111</definedName>
    <definedName name="_xlnm.Print_Area" localSheetId="80">'601d'!$A$1:$G$29</definedName>
    <definedName name="_xlnm.Print_Area" localSheetId="81">'602d'!$A$1:$G$26</definedName>
    <definedName name="_xlnm.Print_Area" localSheetId="82">'603d'!$A$1:$E$39</definedName>
    <definedName name="_xlnm.Print_Area" localSheetId="83">'604d'!$A$1:$E$37</definedName>
    <definedName name="_xlnm.Print_Area" localSheetId="84">'605d'!$A$1:$E$40</definedName>
    <definedName name="_xlnm.Print_Area" localSheetId="85">'606d'!$A$1:$E$40</definedName>
    <definedName name="_xlnm.Print_Area" localSheetId="87">'701d'!$A$1:$G$32</definedName>
    <definedName name="_xlnm.Print_Area" localSheetId="88">'702d'!$A$2:$F$23</definedName>
    <definedName name="_xlnm.Print_Area" localSheetId="89">'703d'!$A$1:$E$43</definedName>
    <definedName name="_xlnm.Print_Area" localSheetId="90">'704d'!$A$1:$E$37</definedName>
    <definedName name="_xlnm.Print_Area" localSheetId="91">'705d'!$A$1:$E$39</definedName>
    <definedName name="_xlnm.Print_Area" localSheetId="93">'801d'!$A$1:$H$31</definedName>
    <definedName name="_xlnm.Print_Area" localSheetId="94">'802d'!$A$1:$I$26</definedName>
    <definedName name="_xlnm.Print_Area" localSheetId="95">'803d'!$A$1:$N$31</definedName>
    <definedName name="_xlnm.Print_Area" localSheetId="96">'804d'!$A$1:$H$31</definedName>
    <definedName name="_xlnm.Print_Area" localSheetId="97">'805d'!$A$1:$D$48</definedName>
    <definedName name="_xlnm.Print_Area" localSheetId="98">'806d'!$A$1:$D$41</definedName>
    <definedName name="_xlnm.Print_Area" localSheetId="99">'807d'!$A$1:$G$30</definedName>
    <definedName name="_xlnm.Print_Area" localSheetId="100">'808d'!$A$1:$H$28</definedName>
    <definedName name="_xlnm.Print_Area" localSheetId="101">'809d'!$A$1:$D$33</definedName>
    <definedName name="_xlnm.Print_Area" localSheetId="102">'810d'!$A$1:$D$44</definedName>
    <definedName name="_xlnm.Print_Area" localSheetId="103">'811d'!$A$1:$D$31</definedName>
    <definedName name="_xlnm.Print_Area" localSheetId="104" xml:space="preserve">  '812d'!$A$1:$D$27</definedName>
    <definedName name="_xlnm.Print_Area" localSheetId="106">'901d'!$A$1:$H$36</definedName>
    <definedName name="_xlnm.Print_Area" localSheetId="107">'902d'!$A$1:$H$35</definedName>
    <definedName name="_xlnm.Print_Area" localSheetId="108">'903d'!$A$1:$I$35</definedName>
    <definedName name="_xlnm.Print_Area" localSheetId="109">'904d'!$A$1:$I$33</definedName>
    <definedName name="_xlnm.Print_Area" localSheetId="110">'905d'!$A$1:$I$35</definedName>
    <definedName name="_xlnm.Print_Area" localSheetId="111">'906d'!$A$1:$T$44</definedName>
    <definedName name="_xlnm.Print_Area" localSheetId="112">'907d'!$A$1:$T$39</definedName>
    <definedName name="_xlnm.Print_Area" localSheetId="113">'908d'!$A$1:$U$110</definedName>
    <definedName name="_xlnm.Print_Area" localSheetId="114">'909d'!$A$1:$J$51</definedName>
    <definedName name="_xlnm.Print_Area" localSheetId="115">'910d'!$A$1:$I$30</definedName>
    <definedName name="_xlnm.Print_Area" localSheetId="116">'911d'!$A$1:$K$43</definedName>
    <definedName name="_xlnm.Print_Area" localSheetId="117">'912d'!$A$1:$I$56</definedName>
    <definedName name="_xlnm.Print_Area" localSheetId="118">'913d'!$A$1:$K$53</definedName>
    <definedName name="_xlnm.Print_Area" localSheetId="119">'914d'!$A$1:$M$31</definedName>
    <definedName name="_xlnm.Print_Area" localSheetId="120">'915d'!$A$1:$G$53</definedName>
    <definedName name="_xlnm.Print_Area" localSheetId="121">'916d'!$A$1:$G$33</definedName>
    <definedName name="_xlnm.Print_Area" localSheetId="122">'917d'!$A$1:$J$39</definedName>
    <definedName name="_xlnm.Print_Area" localSheetId="123">'918d'!$A$1:$J$39</definedName>
    <definedName name="_xlnm.Print_Area" localSheetId="124">'919d'!$A$1:$P$58</definedName>
    <definedName name="_xlnm.Print_Area" localSheetId="125">'920d'!$A$1:$G$35</definedName>
    <definedName name="_xlnm.Print_Area" localSheetId="1">Ad!$A$5:$L$44</definedName>
    <definedName name="_xlnm.Print_Area" localSheetId="3" xml:space="preserve"> B1d!$B$1:$N$204</definedName>
    <definedName name="_xlnm.Print_Area" localSheetId="4">F1d!$A$1:$E$84</definedName>
    <definedName name="_xlnm.Print_Area" localSheetId="5">F2d!$A$1:$E$82</definedName>
    <definedName name="_xlnm.Print_Area" localSheetId="6">F3d!$A$1:$I$54</definedName>
    <definedName name="_xlnm.Print_Area" localSheetId="0">Info!$A$1:$K$75</definedName>
    <definedName name="_xlnm.Print_Area" localSheetId="7">Jd!$A$1:$O$68</definedName>
    <definedName name="_xlnm.Print_Area" localSheetId="126">T10d!$A$1:$H$11</definedName>
    <definedName name="_xlnm.Print_Area" localSheetId="132">T11d!$A$1:$H$23</definedName>
    <definedName name="_xlnm.Print_Area" localSheetId="8">T1d!$A$1:$I$19</definedName>
    <definedName name="_xlnm.Print_Area" localSheetId="22">T2d!$A$1:$H$30</definedName>
    <definedName name="_xlnm.Print_Area" localSheetId="47">T3d!$A$1:$H$21</definedName>
    <definedName name="_xlnm.Print_Area" localSheetId="63">T4d!$A$1:$H$15</definedName>
    <definedName name="_xlnm.Print_Area" localSheetId="73">T5d!$A$1:$G$11</definedName>
    <definedName name="_xlnm.Print_Area" localSheetId="92">T8d!$A$1:$H$18</definedName>
    <definedName name="_xlnm.Print_Titles" localSheetId="74">'501d'!$A:$B,'501d'!$1:$10</definedName>
    <definedName name="_xlnm.Print_Titles" localSheetId="76">'503d'!$A:$A,'503d'!$1:$10</definedName>
    <definedName name="_xlnm.Print_Titles" localSheetId="77">'504d'!$A:$A,'504d'!$1:$7</definedName>
    <definedName name="_xlnm.Print_Titles" localSheetId="78">'505d'!$A:$B,'505d'!$1:$8</definedName>
    <definedName name="_xlnm.Print_Titles" localSheetId="112">'907d'!$1:$7</definedName>
    <definedName name="_xlnm.Print_Titles" localSheetId="3">B1d!$5:$5</definedName>
    <definedName name="Z_E58FEA52_E3A2_4787_9824_12DA55A527FE_.wvu.Cols" localSheetId="71" hidden="1">'408d'!$I:$I</definedName>
    <definedName name="Z_E58FEA52_E3A2_4787_9824_12DA55A527FE_.wvu.PrintArea" localSheetId="71" hidden="1">'408d'!$A$1:$E$43</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1" i="1118" l="1"/>
  <c r="C72" i="1118"/>
  <c r="C73" i="1118"/>
  <c r="C74" i="1118"/>
  <c r="C75" i="1118"/>
  <c r="D3" i="1117"/>
  <c r="I3" i="1117" s="1"/>
  <c r="M3" i="1117" s="1"/>
  <c r="E3" i="1117"/>
  <c r="G3" i="1117"/>
  <c r="K3" i="1117" s="1"/>
  <c r="A202" i="1116"/>
  <c r="B202" i="1116"/>
  <c r="C202" i="1116"/>
  <c r="D202" i="1116"/>
  <c r="E202" i="1116"/>
  <c r="G202" i="1116"/>
  <c r="H202" i="1116"/>
  <c r="I202" i="1116"/>
  <c r="J202" i="1116"/>
  <c r="K202" i="1116"/>
  <c r="L202" i="1116"/>
  <c r="M202" i="1116"/>
  <c r="N202" i="1116"/>
  <c r="A48" i="1112"/>
  <c r="B12" i="1034"/>
  <c r="B13" i="1034"/>
  <c r="B14" i="1034"/>
  <c r="B17" i="1034"/>
  <c r="B18" i="1034"/>
  <c r="B19" i="1034"/>
  <c r="B22" i="1034"/>
  <c r="B23" i="1034"/>
  <c r="B24" i="1034"/>
  <c r="B27" i="1034"/>
  <c r="B28" i="1034"/>
  <c r="B29" i="1034"/>
  <c r="B32" i="1034"/>
  <c r="B33" i="1034"/>
  <c r="B34" i="1034"/>
  <c r="B37" i="1034"/>
  <c r="B38" i="1034"/>
  <c r="B39" i="1034"/>
  <c r="B42" i="1034"/>
  <c r="B43" i="1034"/>
  <c r="B44" i="1034"/>
  <c r="K8" i="1025"/>
  <c r="K34" i="1025" s="1"/>
  <c r="K9" i="1025"/>
  <c r="K10" i="1025"/>
  <c r="K11" i="1025"/>
  <c r="K12" i="1025"/>
  <c r="K13" i="1025"/>
  <c r="K14" i="1025"/>
  <c r="K15" i="1025"/>
  <c r="K16" i="1025"/>
  <c r="K17" i="1025"/>
  <c r="K18" i="1025"/>
  <c r="K19" i="1025"/>
  <c r="K20" i="1025"/>
  <c r="K21" i="1025"/>
  <c r="K22" i="1025"/>
  <c r="K23" i="1025"/>
  <c r="K24" i="1025"/>
  <c r="K25" i="1025"/>
  <c r="K26" i="1025"/>
  <c r="K27" i="1025"/>
  <c r="K28" i="1025"/>
  <c r="K29" i="1025"/>
  <c r="K30" i="1025"/>
  <c r="K31" i="1025"/>
  <c r="K32" i="1025"/>
  <c r="K33" i="10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Informatik</author>
  </authors>
  <commentList>
    <comment ref="H6" authorId="0" shapeId="0" xr:uid="{DBB18EA6-8CC0-F24D-87CC-A480EF52F6AD}">
      <text>
        <r>
          <rPr>
            <b/>
            <sz val="8"/>
            <color indexed="81"/>
            <rFont val="Tahoma"/>
            <family val="2"/>
          </rPr>
          <t>Cap / 22.10.01</t>
        </r>
        <r>
          <rPr>
            <sz val="8"/>
            <color indexed="81"/>
            <rFont val="Tahoma"/>
            <family val="2"/>
          </rPr>
          <t xml:space="preserve">
gemäss Auswertung 1999 vom 22.10.01</t>
        </r>
      </text>
    </comment>
  </commentList>
</comments>
</file>

<file path=xl/sharedStrings.xml><?xml version="1.0" encoding="utf-8"?>
<sst xmlns="http://schemas.openxmlformats.org/spreadsheetml/2006/main" count="10212" uniqueCount="2583">
  <si>
    <t>– Durchschnittlicher Versichertenbestand in 1'000</t>
  </si>
  <si>
    <t>3A</t>
  </si>
  <si>
    <t>– Anzahl Erkrankte in 1'000</t>
  </si>
  <si>
    <t>3B</t>
  </si>
  <si>
    <t>– Anzahl Erkrankte je 100 Versicherte</t>
  </si>
  <si>
    <t>– Anzahl Spitaleinweisungen in 1'000</t>
  </si>
  <si>
    <t>– Anzahl Spitaltage in 1'000</t>
  </si>
  <si>
    <t>6B</t>
  </si>
  <si>
    <t>– Prämiensoll pro Versicherte(n) in Fr.</t>
  </si>
  <si>
    <t>7B</t>
  </si>
  <si>
    <t>7C</t>
  </si>
  <si>
    <t>–– davon ambulante Leistungen in Fr.</t>
  </si>
  <si>
    <t>7D</t>
  </si>
  <si>
    <t>–– davon stationäre Leistungen in Fr.</t>
  </si>
  <si>
    <t>8B</t>
  </si>
  <si>
    <t>– Kostenbeteiligung pro Versicherten in Fr.</t>
  </si>
  <si>
    <t>9B</t>
  </si>
  <si>
    <t>10B</t>
  </si>
  <si>
    <t>– Verwaltungsaufwand / Abschreibungen pro Versicherten in Fr.</t>
  </si>
  <si>
    <t>12B</t>
  </si>
  <si>
    <t>– Rückstellungen per 31.12. pro Versicherten in Fr.</t>
  </si>
  <si>
    <t>13B</t>
  </si>
  <si>
    <t>– Reserven per 31.12. pro Versicherten in Fr.</t>
  </si>
  <si>
    <t>6A</t>
  </si>
  <si>
    <t>– Prämiensoll in Mio. Fr.</t>
  </si>
  <si>
    <t>7A</t>
  </si>
  <si>
    <t>8A</t>
  </si>
  <si>
    <t>– Kostenbeteiligung in Mio. Fr.</t>
  </si>
  <si>
    <t>9A</t>
  </si>
  <si>
    <t>10A</t>
  </si>
  <si>
    <t>– Verwaltungsaufwand / Abschreibungen in Mio. Fr.</t>
  </si>
  <si>
    <t>– Gesamtbetriebsergebnis in Mio. Fr.</t>
  </si>
  <si>
    <t>12A</t>
  </si>
  <si>
    <t>– Rückstellungen: Stand per 31.12. in Mio. Fr.</t>
  </si>
  <si>
    <t>12C</t>
  </si>
  <si>
    <t>13A</t>
  </si>
  <si>
    <t>– Reserven: Stand per 31.12. in Mio. Fr.</t>
  </si>
  <si>
    <t>13C</t>
  </si>
  <si>
    <t>R1</t>
  </si>
  <si>
    <t>R2</t>
  </si>
  <si>
    <t>R3</t>
  </si>
  <si>
    <t>RU</t>
  </si>
  <si>
    <t>Jahresdurch-</t>
  </si>
  <si>
    <t>schnittliche</t>
  </si>
  <si>
    <t>Veränderung</t>
  </si>
  <si>
    <t>Quelle: Genehmigungsverfahren für Krankenversicherungsprämien, BAG.</t>
  </si>
  <si>
    <t>1) Vgl. Fussnote 1) von Tabelle 3.01.</t>
  </si>
  <si>
    <t>2) Die Krankenkassen dürfen innerhalb eines Kantons bis zu drei unterschiedliche Regionaltarife anwenden (R1, R2, R3).</t>
  </si>
  <si>
    <t>Einige Kantone haben nur eine Region: die Krankenkassen wenden eine Einheitsprämie an (RU).</t>
  </si>
  <si>
    <t>3) Prämien publiziert im OKP Prämienwegweiser 2011 vom BAG.</t>
  </si>
  <si>
    <r>
      <t xml:space="preserve">T 3.04 Kantonale monatliche Durchschnittsprämien </t>
    </r>
    <r>
      <rPr>
        <b/>
        <vertAlign val="superscript"/>
        <sz val="12"/>
        <rFont val="Arial"/>
        <family val="2"/>
      </rPr>
      <t>1</t>
    </r>
    <r>
      <rPr>
        <b/>
        <sz val="12"/>
        <rFont val="Arial"/>
        <family val="2"/>
      </rPr>
      <t xml:space="preserve"> pro Prämienregion </t>
    </r>
    <r>
      <rPr>
        <b/>
        <vertAlign val="superscript"/>
        <sz val="12"/>
        <rFont val="Arial"/>
        <family val="2"/>
      </rPr>
      <t>2</t>
    </r>
  </si>
  <si>
    <r>
      <t xml:space="preserve">Total </t>
    </r>
    <r>
      <rPr>
        <b/>
        <vertAlign val="superscript"/>
        <sz val="11"/>
        <rFont val="Arial"/>
        <family val="2"/>
      </rPr>
      <t>3</t>
    </r>
  </si>
  <si>
    <r>
      <t xml:space="preserve">T 3.03  Kantonale monatliche Durchschnittsprämien </t>
    </r>
    <r>
      <rPr>
        <b/>
        <vertAlign val="superscript"/>
        <sz val="12"/>
        <rFont val="Arial"/>
        <family val="2"/>
      </rPr>
      <t>1</t>
    </r>
    <r>
      <rPr>
        <b/>
        <sz val="12"/>
        <rFont val="Arial"/>
        <family val="2"/>
      </rPr>
      <t xml:space="preserve"> pro Prämienregion </t>
    </r>
    <r>
      <rPr>
        <b/>
        <vertAlign val="superscript"/>
        <sz val="12"/>
        <rFont val="Arial"/>
        <family val="2"/>
      </rPr>
      <t>2</t>
    </r>
  </si>
  <si>
    <r>
      <t xml:space="preserve">T 3.02  Kantonale monatliche Durchschnittsprämien </t>
    </r>
    <r>
      <rPr>
        <b/>
        <vertAlign val="superscript"/>
        <sz val="12"/>
        <rFont val="Arial"/>
        <family val="2"/>
      </rPr>
      <t>1</t>
    </r>
    <r>
      <rPr>
        <b/>
        <sz val="12"/>
        <rFont val="Arial"/>
        <family val="2"/>
      </rPr>
      <t xml:space="preserve">  pro Prämienregion </t>
    </r>
    <r>
      <rPr>
        <b/>
        <vertAlign val="superscript"/>
        <sz val="12"/>
        <rFont val="Arial"/>
        <family val="2"/>
      </rPr>
      <t>2</t>
    </r>
  </si>
  <si>
    <t>Quelle: T 3.02, 3.03, 3.04</t>
  </si>
  <si>
    <t>1) Prämien publiziert in den OKP Prämienwegweisern 1996-&gt;2011 vom BAG.</t>
  </si>
  <si>
    <t xml:space="preserve">und nach Prämienregionen, gegebenenfalls mit provisorisch genehmigten Prämien. </t>
  </si>
  <si>
    <t xml:space="preserve">Die Tarife der Versicherungsmodelle mit wählbarer Franchise, Bonus oder eingeschränkter Wahl </t>
  </si>
  <si>
    <t xml:space="preserve">des Leistungserbringers wurden hier nicht berücksichtigt. </t>
  </si>
  <si>
    <t>2)  Die Werte für 1996 wurden revidiert. Diese Werte beziehen sich auf das KVG-Einführungsjahr</t>
  </si>
  <si>
    <t>und sind infolge teilweise unvollständiger Daten mit Zurückhaltung zu interpretieren.</t>
  </si>
  <si>
    <t>3) Die Werte für 1996 wurden revidiert. Sie wurden mittels der Veränderungen 1996/97 der Durchschnittsprämien der Erwachsenen geschätzt.</t>
  </si>
  <si>
    <t>Bis zum Jahr 2000 gab es nur reduzierte Prämien für junge Erwachsene, welche noch in Ausbildung waren. Mit dem Weglassen</t>
  </si>
  <si>
    <t>der Bedingung "in Ausbildung" in 2001 kamen deutlich mehr Personen, welche vorher eine Erwachsenenprämie bezahlen mussten,</t>
  </si>
  <si>
    <t>in den Genuss einer reduzierten Prämie. Als Folge hiervon musste die reduzierte Prämie relativ stark auf 2001 hin erhöht werden.</t>
  </si>
  <si>
    <t>4) Die Werte für 1996 wurden revidiert. Sie wurden mittels der Veränderungen 1996/97 der Durchschnittsprämien der Erwachsenen geschätzt.</t>
  </si>
  <si>
    <r>
      <t xml:space="preserve">T 3.01 Monatliche Durchschnittsprämien </t>
    </r>
    <r>
      <rPr>
        <b/>
        <vertAlign val="superscript"/>
        <sz val="12"/>
        <rFont val="Arial"/>
        <family val="2"/>
      </rPr>
      <t>1</t>
    </r>
    <r>
      <rPr>
        <b/>
        <sz val="12"/>
        <rFont val="Arial"/>
        <family val="2"/>
      </rPr>
      <t xml:space="preserve">  OKP in Franken ab 1996 : CH</t>
    </r>
  </si>
  <si>
    <r>
      <t xml:space="preserve">(26 J. und älter) </t>
    </r>
    <r>
      <rPr>
        <vertAlign val="superscript"/>
        <sz val="11"/>
        <rFont val="Arial"/>
        <family val="2"/>
      </rPr>
      <t>2</t>
    </r>
  </si>
  <si>
    <t>- Empfänger einer schweizerischen Rente und ihre nicht erwerbstätigen Familienangehörigen;</t>
  </si>
  <si>
    <t>- Empfänger einer Leistung der schweizerischen Arbeitslosenversicherung und ihre nicht erwerbstätigen Familienangehörigen.</t>
  </si>
  <si>
    <t>- Nicht erwerbstätige Familienangehörige von in der Schweiz erwerbstätigen und wohnenden Personen.</t>
  </si>
  <si>
    <t>Seit 2007 werden Asylsuchende, vorläufig Aufgenommene und Schutzbedürftige ohne Aufenthaltsbewilligung, welche sich in der Schweiz</t>
  </si>
  <si>
    <t>aufhalten und Sozialhilfe beziehen, vom massgebenden Versichertenbestand des Risikoausgleichs (Art. 4 Abs. 1 VORA) ausgenommen.</t>
  </si>
  <si>
    <t>Sozial-</t>
  </si>
  <si>
    <t>Andere</t>
  </si>
  <si>
    <t>Private</t>
  </si>
  <si>
    <t>Total </t>
  </si>
  <si>
    <t>Regimes der</t>
  </si>
  <si>
    <t>Haus-</t>
  </si>
  <si>
    <t>private</t>
  </si>
  <si>
    <t>sozialen</t>
  </si>
  <si>
    <t>Finanzie-</t>
  </si>
  <si>
    <t>1) Subventionen an die Leistungserbringer (Krankenhäuser, usw.); Gesundheitswesen, Verwaltung und Prävention.</t>
  </si>
  <si>
    <t>2) Unfallversicherung UVG, AHV-IV und Militärversicherung.</t>
  </si>
  <si>
    <t>3) Verbilligung KVG-Prämien; Ergänzungsleistungen AHV und IV; Sozialhilfe; Hilflosenentschädigung:</t>
  </si>
  <si>
    <t xml:space="preserve">     Regimes der Sozialen Sicherheit, die nicht als Direktzahler in dieser Statistik betrachtet sind.</t>
  </si>
  <si>
    <t>4) Aufwand der Krankenversicherung (Betrag der Zahlungen der Krankenversicherung an das Gesundheitswesen, abzüglich Beiträge</t>
  </si>
  <si>
    <t>T 9.08 Details des Finanzierungssaldos in Millionen Franken ab 1998</t>
  </si>
  <si>
    <t xml:space="preserve">Durchschnittl. </t>
  </si>
  <si>
    <t>jährl.</t>
  </si>
  <si>
    <t>Krankenversicherer</t>
  </si>
  <si>
    <t>Obligatorische Krankenpflegeversicherung KVG</t>
  </si>
  <si>
    <t xml:space="preserve">Zusatzversicherungen VVG der KVG-Versicherer </t>
  </si>
  <si>
    <t>Zusatzversicherungen VVG der Privatversicherer</t>
  </si>
  <si>
    <t>Fussnoten T 9.06:</t>
  </si>
  <si>
    <t xml:space="preserve">1) Subventionen oder direkte Leistungen an das Gesundheitswesen (an die Leistungserbringer (Spitäler), an die   </t>
  </si>
  <si>
    <t xml:space="preserve">   sozialmedizinischen Institutionen, an die Spitex- und Rettungsdienste) und die Öffentliche Gesundheit, Verwaltung und Prävention.   </t>
  </si>
  <si>
    <t xml:space="preserve">   Quelle: Kosten des Gesundheitswesens [nach Direktzahlern], BFS. Schätzungen: KOF [Medienmitteilung 11/10].   </t>
  </si>
  <si>
    <t>2) Leistungen/Zahlungen nur an das Gesundheitswesen.</t>
  </si>
  <si>
    <t xml:space="preserve">   Quelle: Kosten des Gesundheitswesens [aus der Sicht der sozialen Sicherheit], BFS. Schätzungen: BAG: Entwicklung gemäss jährl. Veränderung 2007-2008.   </t>
  </si>
  <si>
    <t xml:space="preserve">3) Individuelle Sachleistungen und Subventionen an die IV-Institutionen; von der AHV bezahlte Hilfsmittel.   </t>
  </si>
  <si>
    <t>4) Quelle: T 9.08.</t>
  </si>
  <si>
    <t xml:space="preserve">5) Ohne Prämien für Taggelder KVG oder VVG. Quelle: T 9.08.  </t>
  </si>
  <si>
    <t>6) Ohne Prämien für Taggelder für Verdienstausfall nach VVG. Quelle: T 9.08.</t>
  </si>
  <si>
    <t xml:space="preserve">7) Quelle: Kosten des Gesundheitswesens [aus der Sicht der sozialen Sicherheit], BFS.   </t>
  </si>
  <si>
    <t xml:space="preserve">     Schätzungen: BAG: Entwicklung gemäss jährl. Veränderung 1998-2008.   </t>
  </si>
  <si>
    <t xml:space="preserve">8) Zahnpflege, Pensionskosten in Pflegeheimen, Spitexdienste und rezeptfreie Medikamente  </t>
  </si>
  <si>
    <t xml:space="preserve">    ("over the counter") bilden die Hauptkosten zur vollen oder teilweisen Last der Haushalte.   </t>
  </si>
  <si>
    <t xml:space="preserve">   Wert berechnet wie das Total der Kosten des Gesundheitswesens - Summe der anderen Positionen.   </t>
  </si>
  <si>
    <t xml:space="preserve">9) Spenden und Legate an Organisationen ohne Erwerbszweck wie Pflegeheime für Betagte, Institutionen für Behinderte, Spitexorganisationen, Gesundheitsligen.   </t>
  </si>
  <si>
    <t xml:space="preserve">     Quelle: Kosten des Gesundheitswesens [nach Direktzahlern], BFS. Schätzungen: KOF [Medienmitteilung 11/10].   </t>
  </si>
  <si>
    <t>11) Quelle: T 9.08.</t>
  </si>
  <si>
    <t xml:space="preserve">12) Quelle: Kosten des Gesundheitswesens [nach Direktzahlern], BFS. Schätzungen: KOF [Medienmitteilung 11/10].   </t>
  </si>
  <si>
    <t>13) Quelle: -&gt; 2007: T 4.07 (Subventionsbudget nach Kürzungen)   2008 -&gt; : T 4.01.</t>
  </si>
  <si>
    <t>Fussnoten T 9.07:</t>
  </si>
  <si>
    <t xml:space="preserve">1) - 13) Vgl. Fussnoten von Tabelle 9.06. </t>
  </si>
  <si>
    <t xml:space="preserve">14) Ohne Prämienverbilligung KVG (in den Bruttoprämien der obligatorischen Krankenpflegeversicherung enthalten).   </t>
  </si>
  <si>
    <t xml:space="preserve">15) Leistungen I der Krankenversicherer [T 9.08 a) ] + Kostenbeteiligung [T 9.08 f) ].   </t>
  </si>
  <si>
    <t xml:space="preserve">16) Siehe T 9.08 : b) Übriger Aufwand und d) Verwaltungskosten (inkl. Prävention).   </t>
  </si>
  <si>
    <t>Fussnoten T 9.08:</t>
  </si>
  <si>
    <t>2) Bezahlte Leistungen = Leistungen netto = Leistungen der Versicherer abzüglich Kostenbeteiligung der Versicherten.</t>
  </si>
  <si>
    <t>3) Rückstellungen in Prozent der bezahlten Leistungen.</t>
  </si>
  <si>
    <t>86 - 90</t>
  </si>
  <si>
    <t>&gt; 90</t>
  </si>
  <si>
    <t xml:space="preserve">1) Bei der Berechnung der Abgaben und Beiträge werden die effektiven Durchschnittskosten jeder Risikogruppe mit den </t>
  </si>
  <si>
    <t>effektiven Durchschnittskosten aller erwachsenen Versicherten im Alter von 19 und mehr Jahren (Referenzgruppe) verglichen.</t>
  </si>
  <si>
    <t xml:space="preserve">Sind die effektiven Durchschnittskosten der jeweiligen Risikogruppe höher als die Durchschnittskosten der Referenzgruppe, </t>
  </si>
  <si>
    <t>so erhält der Versicherer für jeden Versicherten in dieser Risikogruppe einen Beitrag (+). Umgekehrt hat er eine Abgabe (-) zu leisten.</t>
  </si>
  <si>
    <t>Kinder (0-18 Jahre) werden für die Berechnung des Risikoausgleichs nicht miteinbezogen.</t>
  </si>
  <si>
    <t>Die Berechnung des Risikoausgleiches erfolgt nach Kantonen; hier sind die schweizerischen Durchschnittswerte wiedergegeben.</t>
  </si>
  <si>
    <r>
      <t xml:space="preserve">T 10.03  Risikoausgleich </t>
    </r>
    <r>
      <rPr>
        <b/>
        <vertAlign val="superscript"/>
        <sz val="12"/>
        <rFont val="Arial"/>
        <family val="2"/>
      </rPr>
      <t>1</t>
    </r>
    <r>
      <rPr>
        <b/>
        <sz val="12"/>
        <rFont val="Arial"/>
        <family val="2"/>
      </rPr>
      <t xml:space="preserve">  in Fr. pro Versicherten und Versicherungsmonat nach Altersgruppen und Geschlecht</t>
    </r>
  </si>
  <si>
    <t>T 10.02  Risikoausgleich: Bruttoumverteilung und Nettoumverteilung in Mio. Fr. ab 1999</t>
  </si>
  <si>
    <t>Aus-</t>
  </si>
  <si>
    <t>gleichs-</t>
  </si>
  <si>
    <t>nach Ge-</t>
  </si>
  <si>
    <t>nach</t>
  </si>
  <si>
    <t>zwischen</t>
  </si>
  <si>
    <t>jahr</t>
  </si>
  <si>
    <t>schlecht</t>
  </si>
  <si>
    <t>Versicherern</t>
  </si>
  <si>
    <t xml:space="preserve">Vorjahr </t>
  </si>
  <si>
    <t>1) Theoretisch-statistische Grösse: Gesamtschweizerische Umverteilung von Männern zu Frauen resp. von jüngeren</t>
  </si>
  <si>
    <t>Versicherten (19 – 55-jährige Personen) zu älteren Versicherten (56-jährige und ältere Personen).</t>
  </si>
  <si>
    <t>2) Effektiv erfolgte Umverteilung zwischen den Versicherern (von Nettozahlern zu Nettoempfängern; vgl. Tabelle 10.01).</t>
  </si>
  <si>
    <r>
      <t xml:space="preserve">Bruttoumverteilung </t>
    </r>
    <r>
      <rPr>
        <vertAlign val="superscript"/>
        <sz val="11"/>
        <rFont val="Arial"/>
        <family val="2"/>
      </rPr>
      <t>1</t>
    </r>
  </si>
  <si>
    <r>
      <t xml:space="preserve">Nettoumverteilung </t>
    </r>
    <r>
      <rPr>
        <vertAlign val="superscript"/>
        <sz val="11"/>
        <rFont val="Arial"/>
        <family val="2"/>
      </rPr>
      <t>2</t>
    </r>
  </si>
  <si>
    <t>T 10.01  Risikoausgleich: Nettozahler und Nettoempfänger ab 1999</t>
  </si>
  <si>
    <t>Anteil</t>
  </si>
  <si>
    <t>1) Anzahl OKP Versicherer, die für das Ausgleichsjahr eine Abgabe an den Risikoausgleich leisten mussten (Nettozahler),</t>
  </si>
  <si>
    <t xml:space="preserve">    resp. einen Beitrag aus dem Risikoausgleich erhielten (Nettoempfänger).</t>
  </si>
  <si>
    <r>
      <t xml:space="preserve">zahler </t>
    </r>
    <r>
      <rPr>
        <vertAlign val="superscript"/>
        <sz val="11"/>
        <rFont val="Arial"/>
        <family val="2"/>
      </rPr>
      <t>1</t>
    </r>
  </si>
  <si>
    <r>
      <t xml:space="preserve">empfänger </t>
    </r>
    <r>
      <rPr>
        <vertAlign val="superscript"/>
        <sz val="11"/>
        <rFont val="Arial"/>
        <family val="2"/>
      </rPr>
      <t>1</t>
    </r>
  </si>
  <si>
    <t>Datenstand: 1.7.10</t>
  </si>
  <si>
    <t>1001-1005</t>
  </si>
  <si>
    <t>Anzahl Versicherer mit EF 1.12 A Total &gt; 0</t>
  </si>
  <si>
    <t>= [ 8A ] / [ 2 ]</t>
  </si>
  <si>
    <t xml:space="preserve">Durchschnittlicher Versichertenbestand EF 1.12 A Total  </t>
  </si>
  <si>
    <t>= [ 7A ] - [ 8A ]</t>
  </si>
  <si>
    <t>Prämiensoll je versicherte Person nach Versicherungsform ab 1999</t>
  </si>
  <si>
    <t>Prämiensoll pro Versicherten nach Kantonen</t>
  </si>
  <si>
    <t>Prämiensoll nach Kantonen</t>
  </si>
  <si>
    <t>Prämiensoll nach Altersgruppen und Geschlecht</t>
  </si>
  <si>
    <t>2: Leistungen und Kostenbeteiligung in der OKP</t>
  </si>
  <si>
    <t xml:space="preserve">Kostenbeteiligung der Versicherten in Fr. nach Versicherungsform ab 1999 </t>
  </si>
  <si>
    <t xml:space="preserve">Kostenbeteiligung je versicherte Person in Fr. nach Versicherungsform ab 1999 </t>
  </si>
  <si>
    <t>Leistungen netto pro Versicherten nach Kantonen ab 1999</t>
  </si>
  <si>
    <t>Leistungen brutto nach Kantonen</t>
  </si>
  <si>
    <t>Leistungen brutto pro Versicherten nach Kantonen</t>
  </si>
  <si>
    <t>Kosten des Gesundheitswesens in der Schweiz aus der Sicht der Krankenversicherungsprämien ab 1998</t>
  </si>
  <si>
    <t>Kosten des Gesundheitswesens in der Schweiz aus der Sicht der Krankenversicherungsleistungen ab 1998</t>
  </si>
  <si>
    <t>Details des Finanzierungssaldos ab 1998</t>
  </si>
  <si>
    <t>7) Gesamtergebnis (je versicherte Person in Fr.)</t>
  </si>
  <si>
    <t>Das Gesamtbetriebsergebnis entspricht dem Saldo der Einnahmen (Total des Gesamtertrags) und der Ausgaben (Total des Versicherungs- und Betriebsaufwands).</t>
  </si>
  <si>
    <t>8A + 8B) Rückstellungen (in Mio. Fr. und je versicherte Person in Fr.)</t>
  </si>
  <si>
    <t xml:space="preserve">Rückstellungen für unerledigte Versicherungsfälle, welche am Ende des Jahres für diejenigen Leistungen gebildet werden müssen, </t>
  </si>
  <si>
    <t>welche von den Versicherten bereits in Anspruch genommen worden sind, für die sie aber noch keine Rechnungen erhalten haben.</t>
  </si>
  <si>
    <t xml:space="preserve">Es handelt sich hierbei um geschuldete Leistungen, welche die Versicherer im folgenden Jahr noch zu erbringen haben; sie stellen somit keine Reserven dar. </t>
  </si>
  <si>
    <t>9A + 9B + 9C) Reserven (in Mio. Fr., je versicherte Person in Fr., in % des Prämiensolls)</t>
  </si>
  <si>
    <t>Sicherheits- und Schwankungsreserven = Mittel, die dem Versicherer zur Sicherstellung der langfristigen eigenen Zahlungsfähigkeit dienen.</t>
  </si>
  <si>
    <t>Je nach Grösse des Versicherers müssen folgende Mindestsätze (Reserven in % des jährlichen Prämiensolls) erreicht werden (Art. 78 KVV):</t>
  </si>
  <si>
    <t>≤ 100</t>
  </si>
  <si>
    <t>≤ 500</t>
  </si>
  <si>
    <t>≤ 1'000</t>
  </si>
  <si>
    <t>≤ 2'500</t>
  </si>
  <si>
    <t>≤ 5'000</t>
  </si>
  <si>
    <t>≤ 10'000</t>
  </si>
  <si>
    <t>≤ 50'000</t>
  </si>
  <si>
    <t>1996 -&gt; 2003 **</t>
  </si>
  <si>
    <t>≤  50'000</t>
  </si>
  <si>
    <t>≤  150'000</t>
  </si>
  <si>
    <t>≤  250'000</t>
  </si>
  <si>
    <t>&gt; 250'000</t>
  </si>
  <si>
    <t>2004 -&gt; 2006</t>
  </si>
  <si>
    <t>20% *</t>
  </si>
  <si>
    <t>*) Versicherer mit weniger als 50 000 Versicherten sind verpflichtet, eine Rückversicherung abzuschliessen.</t>
  </si>
  <si>
    <t>**) Dabei dürfen Versicherer mit einer entsprechenden Rückversicherung oder Defizitgarantie den Mindestsatz der Reserven unterschreiten.</t>
  </si>
  <si>
    <t>10) VVG Zusatzversicherungen : Prämien (in Mio. Fr.)</t>
  </si>
  <si>
    <t>KVG-Versicherer, welche eigene VVG-Zusatzversicherungen anbieten.</t>
  </si>
  <si>
    <t>11A + 11B + 11C) Gesetzlich vorgeschriebene Reserve</t>
  </si>
  <si>
    <t>(in Millionen Fanken, Höher als die gesetzliche vorgeschriebene Reserve, Tiefer als die gesetzliche vorgeschriebene Reserve)</t>
  </si>
  <si>
    <t>Siehe auch 9A.</t>
  </si>
  <si>
    <t>12A + 12B) Leistungen (brutto) der Versicherer (in Mio. Fr. und je versicherte Person in Fr.)</t>
  </si>
  <si>
    <t>Bruttoleistungen = Leistungen der Versicherer an die Leistungserbringer (Ärzte, Spitäler, Apotheken, usw.)</t>
  </si>
  <si>
    <t>13A + 13B) Kostenbeteiligung der Versicherten (in Mio. Fr. und je versicherte Person in Fr.)</t>
  </si>
  <si>
    <t>Kostenbeteiligung der Versicherten : Franchise / Selbstbehalt / Tagespauschale im Spital.</t>
  </si>
  <si>
    <t>Berücksichtigt nur die bei dem Versicherer eingereichten Rechnungen.</t>
  </si>
  <si>
    <t>14) Ausgaben Total (in Mio. Fr.)</t>
  </si>
  <si>
    <t>Ausgaben = Total Versicherungs- und Betriebsaufwand.</t>
  </si>
  <si>
    <t>15) Verhältnis Nettoleistungen / Prämien in %</t>
  </si>
  <si>
    <t>Quelle: Formulare EF 1 2 3</t>
  </si>
  <si>
    <t xml:space="preserve">BAG-Nr. nur wenn EF1.12A Total  &gt; 0 </t>
  </si>
  <si>
    <t xml:space="preserve">EF1.12A Total nur wenn &gt; 0 </t>
  </si>
  <si>
    <t>=( [ 8A ] / [ 1 ] ) in %</t>
  </si>
  <si>
    <t>EF2 Konten 6 + 7 Krankheit + Unfall Seiten 2.2 -&gt; 2.7</t>
  </si>
  <si>
    <t>EF1 Seite 5 Konten 290 + 290.9</t>
  </si>
  <si>
    <t xml:space="preserve">   Ab 1.1.2008 wird die Prämienverbilligung nach der Neugestaltung des Finanzausgleichs und der Aufgabenteilung</t>
  </si>
  <si>
    <t xml:space="preserve">   zwischen Bund und Kantonen (NFA) berechnet. Vgl. Erläuterungen im Anhang H.</t>
  </si>
  <si>
    <r>
      <t xml:space="preserve">nach KVG </t>
    </r>
    <r>
      <rPr>
        <b/>
        <vertAlign val="superscript"/>
        <sz val="11"/>
        <rFont val="Arial"/>
        <family val="2"/>
      </rPr>
      <t>1</t>
    </r>
  </si>
  <si>
    <t>T 4.09 KVG-Verteilmodell: Bundesbeiträge 2009 - 2011</t>
  </si>
  <si>
    <t>Berechnungsbasis 2011</t>
  </si>
  <si>
    <t>Quelle: KVG-Verteilmodelle für Bundesbeiträge für 2009/2010/2011.</t>
  </si>
  <si>
    <t xml:space="preserve">1) Mittlere Wohnbevölkerung 2009 [Durchschnittliche Wohnbevölkerung in einem bestimmten Gebiet nach wirtschaftlichem Wohnsitz; </t>
  </si>
  <si>
    <t xml:space="preserve">  Quelle: BFS [Sektion Bevölkerungsentwicklung] + versicherte Grenzgänger 2009 und deren Familienangehörige [Quelle: EF S{3} 2009].</t>
  </si>
  <si>
    <t>2) Ab 1.1.2008 wird die Prämienverbilligung nach der Neugestaltung des Finanzausgleichs und der Aufgabenteilung</t>
  </si>
  <si>
    <r>
      <t xml:space="preserve">Bundesbeiträge in Franken </t>
    </r>
    <r>
      <rPr>
        <b/>
        <vertAlign val="superscript"/>
        <sz val="11"/>
        <rFont val="Arial"/>
        <family val="2"/>
      </rPr>
      <t>2</t>
    </r>
  </si>
  <si>
    <t>Datenstand : 27.10.10</t>
  </si>
  <si>
    <t>Datenstand: 30.09.10</t>
  </si>
  <si>
    <t>KVG-Verteilmodell 2009</t>
  </si>
  <si>
    <t>für 2009</t>
  </si>
  <si>
    <t>für 2008</t>
  </si>
  <si>
    <t>OKP : Durchschnittlicher Versichertenbestand nach Versicherer und Kanton</t>
  </si>
  <si>
    <t>501-505</t>
  </si>
  <si>
    <t>401-409</t>
  </si>
  <si>
    <t>T 5.03 KVG Versicherer: Daten zur freiwilligen Taggeldversicherung</t>
  </si>
  <si>
    <t>* : KVG-Versi-</t>
  </si>
  <si>
    <t>cherer nur mit</t>
  </si>
  <si>
    <t xml:space="preserve">freiwilliger </t>
  </si>
  <si>
    <t>Taggeld-</t>
  </si>
  <si>
    <t>in Tausend</t>
  </si>
  <si>
    <t>versicherung</t>
  </si>
  <si>
    <t>Fr.</t>
  </si>
  <si>
    <t>20.1.11: 3.13,3.14, 4.02, 8.10,11.13</t>
  </si>
  <si>
    <t>19.1.11: 2.03,2.20,2.21,3.08, 3.12</t>
  </si>
  <si>
    <t>3) Total der Bezüger in Prozent des durchschnittlichen Versichertenbestandes.</t>
  </si>
  <si>
    <r>
      <t xml:space="preserve">quoten </t>
    </r>
    <r>
      <rPr>
        <vertAlign val="superscript"/>
        <sz val="11"/>
        <color indexed="10"/>
        <rFont val="Arial"/>
        <family val="2"/>
      </rPr>
      <t>3</t>
    </r>
  </si>
  <si>
    <t xml:space="preserve">    an die Versicherten für die Prämienverbilligung); Kostenbeteiligungen; "Out of pocket".</t>
  </si>
  <si>
    <t xml:space="preserve">5) Spenden und Vermächtnisse an Institutionen ohne Erwerbscharakter (Pflegeheim, Institution für Behinderte, Spitexorganisation usw.) </t>
  </si>
  <si>
    <t>6) Neue BFS-Berechnungsmethode im 2008 -&gt; vom BFS revidierte Werte für 1996-&gt;2006.</t>
  </si>
  <si>
    <t>7) Schätzung KOF Konjunkturforschungsstelle ETHZ [Medienmitteilung 11/10]</t>
  </si>
  <si>
    <t>Quelle: 1996-2008 : Statistisches Lexikon BFS, Kosten des Gesundheitswesens / 2009: Prognose der Gesundheitsausgaben, KOF</t>
  </si>
  <si>
    <r>
      <t xml:space="preserve">Staat </t>
    </r>
    <r>
      <rPr>
        <vertAlign val="superscript"/>
        <sz val="11"/>
        <rFont val="Arial"/>
        <family val="2"/>
      </rPr>
      <t>1</t>
    </r>
  </si>
  <si>
    <r>
      <t xml:space="preserve">rungen </t>
    </r>
    <r>
      <rPr>
        <vertAlign val="superscript"/>
        <sz val="11"/>
        <rFont val="Arial"/>
        <family val="2"/>
      </rPr>
      <t>2</t>
    </r>
  </si>
  <si>
    <r>
      <t xml:space="preserve">halte </t>
    </r>
    <r>
      <rPr>
        <vertAlign val="superscript"/>
        <sz val="11"/>
        <rFont val="Arial"/>
        <family val="2"/>
      </rPr>
      <t>4</t>
    </r>
  </si>
  <si>
    <r>
      <t xml:space="preserve">Sicherheit </t>
    </r>
    <r>
      <rPr>
        <vertAlign val="superscript"/>
        <sz val="11"/>
        <rFont val="Arial"/>
        <family val="2"/>
      </rPr>
      <t>3</t>
    </r>
  </si>
  <si>
    <r>
      <t xml:space="preserve">rung </t>
    </r>
    <r>
      <rPr>
        <vertAlign val="superscript"/>
        <sz val="11"/>
        <rFont val="Arial"/>
        <family val="2"/>
      </rPr>
      <t>5</t>
    </r>
  </si>
  <si>
    <r>
      <t xml:space="preserve">2009 </t>
    </r>
    <r>
      <rPr>
        <i/>
        <vertAlign val="superscript"/>
        <sz val="11"/>
        <rFont val="Arial"/>
        <family val="2"/>
      </rPr>
      <t>7</t>
    </r>
  </si>
  <si>
    <t>Privat-</t>
  </si>
  <si>
    <t>rungen</t>
  </si>
  <si>
    <t>1) Öffentliche Sicherheit, Rettungsdienste, Stationäre Betriebe, Ambulante Krankenpflege, Verwaltung, Prävention (usw.).</t>
  </si>
  <si>
    <t>Ärztliche Leistungen</t>
  </si>
  <si>
    <t>Zahnärztliche Leistungen</t>
  </si>
  <si>
    <t>Spital-leistungen</t>
  </si>
  <si>
    <t>Medizinische Apparate</t>
  </si>
  <si>
    <t>Andere Gesundheits-leistungen</t>
  </si>
  <si>
    <t>Gesundheits-pflege (Total)</t>
  </si>
  <si>
    <t>Landes-index der Konsumen-tenpreise (LIK)</t>
  </si>
  <si>
    <t>Vorjahresveränderung der Preisindizes für Gesundheitspflege</t>
  </si>
  <si>
    <t>1) Basis des Indexes der Konsumentenpreise: Dezember 2005 = 100. Indizes neu berechnet auf der Basis Jahresdurchschnitt 1996 = 100.</t>
  </si>
  <si>
    <t>Methode zur Ermittlung des Index  "Gesundheitspflege":</t>
  </si>
  <si>
    <t>Gesundheitskosten: Gewichtung nach den 6 in der Folge aufgeführten Teilindizes:</t>
  </si>
  <si>
    <t>15.4.11: 3.05 -&gt; 3.07</t>
  </si>
  <si>
    <t>Es handelt sich folglich um Schätzungen auf der Basis der aktuellsten verfügbaren Versichertenbestände.</t>
  </si>
  <si>
    <t xml:space="preserve">In den Kantonen mit mehreren Prämienregionen ist die Streuung der Prämien breiter </t>
  </si>
  <si>
    <t>als in den Kantonen mit nur einer Prämienregion.</t>
  </si>
  <si>
    <t>Prämiensoll, Subventionen und Prämienverbilligungen, Erlösminderungen (Rabatte und Skonti) sowie die übrigen Erträge (Kapital- und Liegenschaftserträge).</t>
  </si>
  <si>
    <t>3A + 3B) Prämien (in Mio. Fr., je versicherte Person in Fr.)</t>
  </si>
  <si>
    <t>Prämiensoll = Prämiensumme gemäss den genehmigten Prämientarifen.</t>
  </si>
  <si>
    <t>4A + 4B + 4C) Risikoausgleich (in Mio. Fr., je versicherte Person in Fr., und in % der Einnahmen)</t>
  </si>
  <si>
    <t xml:space="preserve">Über den Risikoausgleich erhalten Versicherer mit überdurchschnittlich kostenverursachenden Versicherten (Frauen, ältere Personen) Beiträge, </t>
  </si>
  <si>
    <t xml:space="preserve">Quelle: Formular EF123 [3.15] </t>
  </si>
  <si>
    <t>1) Für alle Versicherungsformen.</t>
  </si>
  <si>
    <t>welche von den Versicherern mit unterdurchschnittlich kostenverursachenden Versicherten (Männer, jüngere Personen) finanziert werden.</t>
  </si>
  <si>
    <t xml:space="preserve">Eine positive Prozentzahl bedeutet, dass der Versicherer in den Risikoausgleich einzahlen muss, ein negativer Wert steht bei Versicherern, </t>
  </si>
  <si>
    <t>welche aus dem Risikoausgleich Mittel beziehen können.</t>
  </si>
  <si>
    <t>5A + 5B) Leistungen (netto) der Versicherer (in Mio. Fr. und je versicherte Person in Fr.)</t>
  </si>
  <si>
    <t>Nettoleistungen = Bezahlte Leistungen der Versicherer an die Leistungserbringer (Ärzte, Spitäler, Apotheken, usw.)</t>
  </si>
  <si>
    <t>nach Abzug der Kostenbeteiligung der Versicherten (Franchise / Selbstbehalt / Tagespauschale im Spital).</t>
  </si>
  <si>
    <t>6A + 6B) Verwaltungsaufwand &amp; Abschreibungen (in % der Ausgaben und je versicherte Person in Fr.)</t>
  </si>
  <si>
    <t xml:space="preserve">Personalaufwand inkl. Sozialleistungen, Verwaltungsräumlichkeiten und Betriebseinrichtungen, EDV-Kosten, Versicherungsprämien </t>
  </si>
  <si>
    <t>(Mobiliar, Haftpflicht usw.), Werbung sowie Abschreibungen. Ausgaben = Total des Versicherungs- und Betriebsaufwands.</t>
  </si>
  <si>
    <t xml:space="preserve">Total der </t>
  </si>
  <si>
    <t>Besondere</t>
  </si>
  <si>
    <t>Spital halbprivat,</t>
  </si>
  <si>
    <t>per 31.12</t>
  </si>
  <si>
    <t>allgemein</t>
  </si>
  <si>
    <t>halbprivat</t>
  </si>
  <si>
    <t>privat</t>
  </si>
  <si>
    <t>privat und gleich-</t>
  </si>
  <si>
    <t>ganze CH</t>
  </si>
  <si>
    <t>wertige Produkte</t>
  </si>
  <si>
    <t>1) KVG-Versicherer : nur Spitalzusatzversicherungen, die den Versicherten von den KVG-Versicherern angeboten werden,</t>
  </si>
  <si>
    <t xml:space="preserve">    zum Teil über Drittversicherer (Gesellschaften, die dem VVG unterstellt sind).</t>
  </si>
  <si>
    <t xml:space="preserve">   Angaben der Privatversicherer : seit 2008 publiziert die FINMA keine Versichertenbestände mehr. Die Angaben von BAG/FINMA zu den Jahren 1996 -&gt; 2007 sind in der KV-Statistik 2008 ersichtlich.</t>
  </si>
  <si>
    <t xml:space="preserve">  Folglich weisen die in dieser Tabelle enthaltenen Prozentwerte nur einen Teil der Versicherten, die eine Spitalzusatzversicherung abgeschlossen haben.</t>
  </si>
  <si>
    <t xml:space="preserve">   Kantonale Angaben zu den Spitalzusatzversicherungen stehen nicht zur Verfügung.</t>
  </si>
  <si>
    <t>2) Quelle: Bundesamt für Gesundheit (BAG), Formular EF3 [3.7.3].</t>
  </si>
  <si>
    <t xml:space="preserve">   Es werden nur Versicherte berücksichtigt, welche die Zusatzversicherung beim gleichen Versicherer abgeschlossen haben wie die obligatorische Krankenpflegeversicherung.</t>
  </si>
  <si>
    <t>3) Quelle: T 11.06.</t>
  </si>
  <si>
    <t>4) Quelle: Bundesamt für Gesundheit (BAG), Formular EF3 [3.7.3].</t>
  </si>
  <si>
    <t xml:space="preserve">   Nur Versicherte, welche die Zusatzversicherung beim anderen Versicherer abgeschlossen haben als die obligatorische Krankenpflegeversicherung.</t>
  </si>
  <si>
    <t>5) Besondere Versicherungsangebote :</t>
  </si>
  <si>
    <t xml:space="preserve">- Flex-Versicherung, bei der Versicherte von Fall zu Fall die Abteilung, in der sie behandelt werden wollen, und die dazu gehörigen Franchise </t>
  </si>
  <si>
    <t xml:space="preserve">  bzw. Kostenbeteiligung für halbprivate oder private Abteilung wählen können.</t>
  </si>
  <si>
    <t>- Spitalzimmerversicherung für die freie Wahl von Ein- oder Zweibettzimmern in der allgemeinen Spitalabteilung</t>
  </si>
  <si>
    <t>- Taggeldversicherung im Zusammenhang mit Spitalaufenthalten, bei denen der Versicherte einen fixen Betrag pro Spitaltag erhält.</t>
  </si>
  <si>
    <t>- Behandlungskostenversicherung bei Spitalaufenthalten mit einem definierten Maximalbetrag pro Jahr.</t>
  </si>
  <si>
    <r>
      <t xml:space="preserve">T 9.11 KVG-Versicherer </t>
    </r>
    <r>
      <rPr>
        <b/>
        <vertAlign val="superscript"/>
        <sz val="12"/>
        <rFont val="Arial"/>
        <family val="2"/>
      </rPr>
      <t>1</t>
    </r>
    <r>
      <rPr>
        <b/>
        <sz val="12"/>
        <rFont val="Arial"/>
        <family val="2"/>
      </rPr>
      <t xml:space="preserve"> : Spitalzusatzversicherungen seit 1999 in % der OKP-Versicherten</t>
    </r>
  </si>
  <si>
    <r>
      <t xml:space="preserve">Versicherte mit Grundversicherung </t>
    </r>
    <r>
      <rPr>
        <sz val="11"/>
        <rFont val="Arial"/>
        <family val="2"/>
      </rPr>
      <t xml:space="preserve">(bei dem selben KVG-Versicherer) </t>
    </r>
    <r>
      <rPr>
        <vertAlign val="superscript"/>
        <sz val="11"/>
        <rFont val="Arial"/>
        <family val="2"/>
      </rPr>
      <t>2</t>
    </r>
  </si>
  <si>
    <r>
      <t xml:space="preserve">Versicherte ohne Grundversicherung </t>
    </r>
    <r>
      <rPr>
        <sz val="11"/>
        <rFont val="Arial"/>
        <family val="2"/>
      </rPr>
      <t xml:space="preserve">(bei dem selben KVG-Versicherer) </t>
    </r>
    <r>
      <rPr>
        <vertAlign val="superscript"/>
        <sz val="11"/>
        <rFont val="Arial"/>
        <family val="2"/>
      </rPr>
      <t>4</t>
    </r>
  </si>
  <si>
    <r>
      <t xml:space="preserve"> Privatversicherer </t>
    </r>
    <r>
      <rPr>
        <b/>
        <vertAlign val="superscript"/>
        <sz val="11"/>
        <rFont val="Arial"/>
        <family val="2"/>
      </rPr>
      <t>1</t>
    </r>
  </si>
  <si>
    <r>
      <t xml:space="preserve">Versicherer </t>
    </r>
    <r>
      <rPr>
        <b/>
        <vertAlign val="superscript"/>
        <sz val="11"/>
        <rFont val="Arial"/>
        <family val="2"/>
      </rPr>
      <t>6</t>
    </r>
  </si>
  <si>
    <r>
      <t xml:space="preserve">OKP </t>
    </r>
    <r>
      <rPr>
        <vertAlign val="superscript"/>
        <sz val="11"/>
        <rFont val="Arial"/>
        <family val="2"/>
      </rPr>
      <t>3</t>
    </r>
  </si>
  <si>
    <r>
      <t xml:space="preserve">Angebote </t>
    </r>
    <r>
      <rPr>
        <vertAlign val="superscript"/>
        <sz val="11"/>
        <rFont val="Arial"/>
        <family val="2"/>
      </rPr>
      <t>5</t>
    </r>
  </si>
  <si>
    <t>Datenstand: 10.2.11</t>
  </si>
  <si>
    <t>Datenstand : 24.8.10</t>
  </si>
  <si>
    <t>2007-2008</t>
  </si>
  <si>
    <t>1998-2008</t>
  </si>
  <si>
    <t>T 9.16 Erkrankte, Spitaleinweisungen und Spitaltage ab 1999</t>
  </si>
  <si>
    <t>Einwei-</t>
  </si>
  <si>
    <t>Spitaltage</t>
  </si>
  <si>
    <t>sungen</t>
  </si>
  <si>
    <t>1) Anzahl versicherte Personen, welche im Berichtsjahr mindestens einmal ambulante oder stationäre Kosten verursacht haben.</t>
  </si>
  <si>
    <t>(2008: Unvollständige Daten - 79 Versicherer - geschätzte Werte)</t>
  </si>
  <si>
    <t>2) Vor 1999 konnten nicht von allen Versicherern die Einweisungen und Tage in Pflegeheime(n) vollständig ausge-</t>
  </si>
  <si>
    <t>schieden werden  So ist die starke Abnahme der Spitaltage zwischen 1998 und 1999 auf diese</t>
  </si>
  <si>
    <t>"Nicht-mehr-Berücksichtigung" von Pflegeheimtagen durch grosse Versicherer zurückzuführen und darf somit nicht als echte</t>
  </si>
  <si>
    <t>Abnahme der Spitaltage im Spital stationär fehlinterpretiert werden.</t>
  </si>
  <si>
    <t>Quelle: T 9.21</t>
  </si>
  <si>
    <r>
      <t xml:space="preserve">Erkrankte </t>
    </r>
    <r>
      <rPr>
        <vertAlign val="superscript"/>
        <sz val="11"/>
        <rFont val="Arial"/>
        <family val="2"/>
      </rPr>
      <t>1</t>
    </r>
  </si>
  <si>
    <r>
      <t xml:space="preserve">Vorjahr </t>
    </r>
    <r>
      <rPr>
        <vertAlign val="superscript"/>
        <sz val="11"/>
        <rFont val="Arial"/>
        <family val="2"/>
      </rPr>
      <t>2</t>
    </r>
  </si>
  <si>
    <t>T 9.17 Taggeldversicherung KVG / VVG ab 1999 in Mio. Fr.</t>
  </si>
  <si>
    <t>KVG-Versicherer</t>
  </si>
  <si>
    <t>Privat-versicherer</t>
  </si>
  <si>
    <t>freiwillige</t>
  </si>
  <si>
    <t>Prämien = verdiente Prämien brutto; Leistungen = Zahlungen für Versicherungsfälle.</t>
  </si>
  <si>
    <t>1) Quelle: T 6.04 Brutto-Prämien [60-65] und bezahlte Leistungen [30-33]. Mit Unfallversicherung.</t>
  </si>
  <si>
    <t>2) Quelle: T 7.03 : Krankentaggeld VVG (BAG). Mit Unfallversicherung.</t>
  </si>
  <si>
    <t xml:space="preserve">     (-&gt; 2003: Bundesamt für Privatversicherungen [BPV]. Ohne Unfallversicherung)</t>
  </si>
  <si>
    <t>3) Quelle: Die privaten Versicherungseinrichtungen in der Schweiz (FINMA), Total der Tabelle AS03N [Ohne Unfallversicherung] - Total KVG Versicherer Versicherung VVG [Spalte 2].</t>
  </si>
  <si>
    <t xml:space="preserve">    (-&gt; 2007: Die privaten Versicherungseinrichtungen in der Schweiz (BPV), detaillierte Fassung der Tabelle AS03N. Ohne Unfallversicherung)</t>
  </si>
  <si>
    <t xml:space="preserve">    Die Zusatzversicherungen gemäss VVG der KVG-Versicherer (Krankenkassen) sind nicht in diesen Zahlen inbegriffen (siehe Spalte 2).</t>
  </si>
  <si>
    <r>
      <t xml:space="preserve">VVG </t>
    </r>
    <r>
      <rPr>
        <vertAlign val="superscript"/>
        <sz val="11"/>
        <rFont val="Arial"/>
        <family val="2"/>
      </rPr>
      <t>2</t>
    </r>
  </si>
  <si>
    <r>
      <t xml:space="preserve">KVG </t>
    </r>
    <r>
      <rPr>
        <vertAlign val="superscript"/>
        <sz val="11"/>
        <rFont val="Arial"/>
        <family val="2"/>
      </rPr>
      <t>1</t>
    </r>
  </si>
  <si>
    <t>Grund-</t>
  </si>
  <si>
    <t>2) Quelle: Die privaten Versicherungseinrichtungen in der Schweiz (FINMA), Total der Tabelle AS03N [Ohne Unfallversicherung] - Total KVG Versicherer Versicherung VVG [Spalte 2].</t>
  </si>
  <si>
    <t>3) VVG Zusatzversicherungen der KVG-Versicherer (Krankenkassen). Mit Unfallversicherung.</t>
  </si>
  <si>
    <t xml:space="preserve">   Quelle: T 7.03 Brutto-Prämien [60-65] und bezahlte Leistungen [30-33] (BAG) - Krankentaggeld VVG </t>
  </si>
  <si>
    <t xml:space="preserve">   (-&gt; 2003: Bundesamt für Privatversicherungen [BPV]).</t>
  </si>
  <si>
    <t>4) Quelle: T 1.02 Brutto-Prämien [60-65] und bezahlte Leistungen [30-33]. Mit Unfallversicherung.</t>
  </si>
  <si>
    <r>
      <t xml:space="preserve">T 9.18  Krankenversicherung </t>
    </r>
    <r>
      <rPr>
        <b/>
        <vertAlign val="superscript"/>
        <sz val="12"/>
        <rFont val="Arial"/>
        <family val="2"/>
      </rPr>
      <t>1</t>
    </r>
    <r>
      <rPr>
        <b/>
        <sz val="12"/>
        <rFont val="Arial"/>
        <family val="2"/>
      </rPr>
      <t xml:space="preserve"> (KVG-Versicherer und Privatversicherer) ab 1999 in Mio. Fr.</t>
    </r>
  </si>
  <si>
    <r>
      <t xml:space="preserve">Privat-versicherer </t>
    </r>
    <r>
      <rPr>
        <b/>
        <vertAlign val="superscript"/>
        <sz val="11"/>
        <rFont val="Arial"/>
        <family val="2"/>
      </rPr>
      <t>2</t>
    </r>
  </si>
  <si>
    <r>
      <t>versicherung</t>
    </r>
    <r>
      <rPr>
        <sz val="10"/>
        <rFont val="Arial"/>
        <family val="2"/>
      </rPr>
      <t xml:space="preserve"> </t>
    </r>
    <r>
      <rPr>
        <vertAlign val="superscript"/>
        <sz val="10"/>
        <rFont val="Arial"/>
        <family val="2"/>
      </rPr>
      <t>4</t>
    </r>
  </si>
  <si>
    <r>
      <t xml:space="preserve">sicherung </t>
    </r>
    <r>
      <rPr>
        <vertAlign val="superscript"/>
        <sz val="11"/>
        <rFont val="Arial"/>
        <family val="2"/>
      </rPr>
      <t>3</t>
    </r>
  </si>
  <si>
    <r>
      <t>1) Krankenpflegeversicherung ohne Taggeldversicherung</t>
    </r>
    <r>
      <rPr>
        <sz val="10"/>
        <rFont val="Arial"/>
        <family val="2"/>
      </rPr>
      <t>.</t>
    </r>
  </si>
  <si>
    <t>Merkmal</t>
  </si>
  <si>
    <t>neu im Jahr 2009 (14)</t>
  </si>
  <si>
    <t>1.3.11: 9.12 -&gt; 9.15 -&gt; 9.19, B1</t>
  </si>
  <si>
    <t xml:space="preserve">Im Risikoausgleich zu berücksichtigen sind: </t>
  </si>
  <si>
    <t>- Versicherte mit Arbeitsort in der Schweiz (Grenzgänger) sowie ihre nicht erwerbstätigen Familienangehörigen.</t>
  </si>
  <si>
    <t>Im Risikoausgleich nicht zu berücksichtigen sind:</t>
  </si>
  <si>
    <t>2) Krankenversicherung KVG (Grundversicherung); Unfallversicherung UVG; AHV-IV; Militärversicherung.</t>
  </si>
  <si>
    <t>3) KVG-Versicherer und private Versicherer.</t>
  </si>
  <si>
    <t>4) Kostenbeteiligung und "Out of pocket".</t>
  </si>
  <si>
    <t xml:space="preserve">5) Spenden und Vermächtnisse an Institutionen ohne Erwerbscharakter (Pflegeheim, Institution für Behinderte, </t>
  </si>
  <si>
    <t xml:space="preserve">     Spitexorganisation usw.) </t>
  </si>
  <si>
    <r>
      <t xml:space="preserve">VVG </t>
    </r>
    <r>
      <rPr>
        <vertAlign val="superscript"/>
        <sz val="11"/>
        <rFont val="Arial"/>
        <family val="2"/>
      </rPr>
      <t>3</t>
    </r>
  </si>
  <si>
    <t>Sozialme-</t>
  </si>
  <si>
    <t>Detail-</t>
  </si>
  <si>
    <t>Organisa-</t>
  </si>
  <si>
    <t>dizinische</t>
  </si>
  <si>
    <t>Versor-</t>
  </si>
  <si>
    <t>tionen ohne</t>
  </si>
  <si>
    <t>Institu-</t>
  </si>
  <si>
    <t>Erwerbs-</t>
  </si>
  <si>
    <t>charakter</t>
  </si>
  <si>
    <t>1) Allgemeine Krankenhäuser; Psychiatrische Kliniken; Rehabilitationskliniken; andere Spezialkliniken.</t>
  </si>
  <si>
    <t>2) Institutionen für Betagte und Chronischkranke; Institutionen für Behinderte und andere Institutionen.</t>
  </si>
  <si>
    <t>3) Ärzte, Zahnärzte, Physiotherapeuten, Psychotherapeuten, Spitexdienste, medizinische Labors , (usw.).</t>
  </si>
  <si>
    <t>4) Apotheken, Drogerien und therapeutische Apparate.</t>
  </si>
  <si>
    <t>5) Bund, Kantone, Gemeinden.</t>
  </si>
  <si>
    <t>6) Krankenversicherer (KVG); Unfallversicherer (UVG); AHV-IV; Private Krankenversicherer (VVG).</t>
  </si>
  <si>
    <t>8) Neue BFS-Berechnungsmethode im 2008 -&gt; vom BFS revidierte Werte für 1996-&gt;2006.</t>
  </si>
  <si>
    <r>
      <t xml:space="preserve">Staat </t>
    </r>
    <r>
      <rPr>
        <vertAlign val="superscript"/>
        <sz val="11"/>
        <rFont val="Arial"/>
        <family val="2"/>
      </rPr>
      <t>5</t>
    </r>
  </si>
  <si>
    <r>
      <t xml:space="preserve">häuser </t>
    </r>
    <r>
      <rPr>
        <vertAlign val="superscript"/>
        <sz val="11"/>
        <rFont val="Arial"/>
        <family val="2"/>
      </rPr>
      <t>1</t>
    </r>
  </si>
  <si>
    <r>
      <t xml:space="preserve">handel </t>
    </r>
    <r>
      <rPr>
        <vertAlign val="superscript"/>
        <sz val="11"/>
        <rFont val="Arial"/>
        <family val="2"/>
      </rPr>
      <t>4</t>
    </r>
  </si>
  <si>
    <r>
      <t xml:space="preserve">cherer </t>
    </r>
    <r>
      <rPr>
        <vertAlign val="superscript"/>
        <sz val="11"/>
        <rFont val="Arial"/>
        <family val="2"/>
      </rPr>
      <t>6</t>
    </r>
  </si>
  <si>
    <r>
      <t xml:space="preserve">gung </t>
    </r>
    <r>
      <rPr>
        <vertAlign val="superscript"/>
        <sz val="11"/>
        <rFont val="Arial"/>
        <family val="2"/>
      </rPr>
      <t>3</t>
    </r>
  </si>
  <si>
    <r>
      <t xml:space="preserve">tionen </t>
    </r>
    <r>
      <rPr>
        <vertAlign val="superscript"/>
        <sz val="11"/>
        <rFont val="Arial"/>
        <family val="2"/>
      </rPr>
      <t>2</t>
    </r>
  </si>
  <si>
    <t>Stationäre</t>
  </si>
  <si>
    <t>Verkauf</t>
  </si>
  <si>
    <t>Verwaltung</t>
  </si>
  <si>
    <t>und</t>
  </si>
  <si>
    <t>Gesund-</t>
  </si>
  <si>
    <t>teilstationäre</t>
  </si>
  <si>
    <t>1) Akutbehandlung Inkl. Psychiatrie; Rehabilitation; Langzeit; Andere.</t>
  </si>
  <si>
    <t>2) Medizinische Laboruntersuchungen (in medizinischen Labors); Radiologie; Transport und Rettung; Andere.</t>
  </si>
  <si>
    <t>3) Arzneimittel durch Detailhandel; Arzneimittel durch Ärzte; Therapeutische Apparate.</t>
  </si>
  <si>
    <t>4) Alkohol- und Drogenmissbrauch; Schulgesundheit, usw.</t>
  </si>
  <si>
    <t>5) Schätzung KOF Konjunkturforschungsstelle ETHZ [Medienmitteilung 11/10].</t>
  </si>
  <si>
    <r>
      <t xml:space="preserve">Prävention </t>
    </r>
    <r>
      <rPr>
        <vertAlign val="superscript"/>
        <sz val="11"/>
        <rFont val="Arial"/>
        <family val="2"/>
      </rPr>
      <t>4</t>
    </r>
  </si>
  <si>
    <r>
      <t xml:space="preserve">Leistungen </t>
    </r>
    <r>
      <rPr>
        <vertAlign val="superscript"/>
        <sz val="11"/>
        <rFont val="Arial"/>
        <family val="2"/>
      </rPr>
      <t>2</t>
    </r>
  </si>
  <si>
    <r>
      <t xml:space="preserve">heitsgüter </t>
    </r>
    <r>
      <rPr>
        <vertAlign val="superscript"/>
        <sz val="11"/>
        <rFont val="Arial"/>
        <family val="2"/>
      </rPr>
      <t>3</t>
    </r>
  </si>
  <si>
    <r>
      <t xml:space="preserve">Behandlung </t>
    </r>
    <r>
      <rPr>
        <vertAlign val="superscript"/>
        <sz val="11"/>
        <rFont val="Arial"/>
        <family val="2"/>
      </rPr>
      <t>1</t>
    </r>
  </si>
  <si>
    <r>
      <t xml:space="preserve">2009 </t>
    </r>
    <r>
      <rPr>
        <i/>
        <vertAlign val="superscript"/>
        <sz val="11"/>
        <rFont val="Arial"/>
        <family val="2"/>
      </rPr>
      <t>5</t>
    </r>
  </si>
  <si>
    <t>Datenstand: 29.11.10</t>
  </si>
  <si>
    <t>Unter-</t>
  </si>
  <si>
    <t>Total pro</t>
  </si>
  <si>
    <t>Einwohner</t>
  </si>
  <si>
    <t>1) Beiträge an Leistungserbringer; Gesundheitswesen,Verwaltung und Prävention; Verbilligung KVG-Prämien; Andere Soziale Sicherheit.</t>
  </si>
  <si>
    <t>2) Unfallversicherung UVG &amp; AHV-IV: Beiträge und Prämien der Arbeitgeber, der Arbeitnehmer und der Selbständigerwerbenden.</t>
  </si>
  <si>
    <t>3) Aufwand der Krankenversicherung (Betrag der Zahlungen der Krankenversicherung an das Gesundheitswesen, abzüglich Beiträge</t>
  </si>
  <si>
    <t xml:space="preserve"> an die Versicherten für die Prämienverbilligung); Kostenbeteiligung; "Out of pocket"; Andere private Finanzierung.</t>
  </si>
  <si>
    <t>4) Schätzung KOF Konjunkturforschungsstelle ETHZ [Medienmitteilung 11/10].</t>
  </si>
  <si>
    <t>5) Neue BFS-Berechnungsmethode im 2008 -&gt; vom BFS revidierte Werte für 1996-&gt;2006.</t>
  </si>
  <si>
    <r>
      <t xml:space="preserve">nehmungen </t>
    </r>
    <r>
      <rPr>
        <vertAlign val="superscript"/>
        <sz val="11"/>
        <rFont val="Arial"/>
        <family val="2"/>
      </rPr>
      <t>2</t>
    </r>
  </si>
  <si>
    <r>
      <t xml:space="preserve">Haushalte </t>
    </r>
    <r>
      <rPr>
        <vertAlign val="superscript"/>
        <sz val="11"/>
        <rFont val="Arial"/>
        <family val="2"/>
      </rPr>
      <t>3</t>
    </r>
  </si>
  <si>
    <r>
      <t xml:space="preserve">2009 </t>
    </r>
    <r>
      <rPr>
        <i/>
        <vertAlign val="superscript"/>
        <sz val="11"/>
        <rFont val="Arial"/>
        <family val="2"/>
      </rPr>
      <t>4</t>
    </r>
  </si>
  <si>
    <r>
      <t xml:space="preserve">2010 </t>
    </r>
    <r>
      <rPr>
        <i/>
        <vertAlign val="superscript"/>
        <sz val="11"/>
        <rFont val="Arial"/>
        <family val="2"/>
      </rPr>
      <t>4</t>
    </r>
  </si>
  <si>
    <r>
      <t xml:space="preserve">2011 </t>
    </r>
    <r>
      <rPr>
        <i/>
        <vertAlign val="superscript"/>
        <sz val="11"/>
        <rFont val="Arial"/>
        <family val="2"/>
      </rPr>
      <t>4</t>
    </r>
  </si>
  <si>
    <t>Quelle: 1996-2008 : Statistisches Lexikon BFS, Kosten des Gesundheitswesens / 2009: Prognose der Gesundheitsausgaben, KOF / T 9.10.</t>
  </si>
  <si>
    <t>16.12.10: 5.05</t>
  </si>
  <si>
    <t>(Zeilen 1996-&gt;1998 versteckt)</t>
  </si>
  <si>
    <t>9: Zusatzinformationen zum Gesundheitswesen</t>
  </si>
  <si>
    <t>Wohnbevölkerung, Ärzte mit Praxistätigkeit und Apotheken nach Kantonen</t>
  </si>
  <si>
    <t>Entwicklung der Wohnbevölkerung, der Ärzte mit Praxistätigkeit und der Apotheken ab 1999</t>
  </si>
  <si>
    <t>Aufteilung der Versicherten nach Art der Spitalzusatzversicherungen ab 1999</t>
  </si>
  <si>
    <t>Entwicklung der Preisindizes für Gesundheitspflege ab 1999</t>
  </si>
  <si>
    <t xml:space="preserve">3) = c) - a). Übriger Versicherungsaufwand gemäss Kosten des Gesundheitswesens, BFS. Schätzungen [BAG] : T 1.02 [34] / T 7.03 [34] / 0.   </t>
  </si>
  <si>
    <t xml:space="preserve">4) = e) - d). Schätzungen [BAG] = a) + b).  </t>
  </si>
  <si>
    <t xml:space="preserve">5) Verwaltungskosten (inkl. Prävention). Quelle: Kosten des Gesundheitswesens [nach Leistungserbringern und Direktzahlern, interne detaillierte Version BFS]. Schätzungen [BAG]: basierend auf dem 2008 festgestellten Verhältnis [d) / a)].   </t>
  </si>
  <si>
    <t xml:space="preserve">6) Quelle: Kosten des Gesundheitswesens [nach Direktzahlern], BFS. Schätzungen [BAG] = c) + d).  </t>
  </si>
  <si>
    <t xml:space="preserve">7) Quelle: T 1.02 [32]; T 7.03 [32], keine Informationen für Privatversicherer [0].  </t>
  </si>
  <si>
    <t xml:space="preserve">8) = e) + f)  </t>
  </si>
  <si>
    <t xml:space="preserve">9) Quelle: T 1.02 [60-65] (Bruttoprämien  inklusive Prämienverbilligung KVG) &amp; T 7.03 [60-65] ohne Taggeld VVG-Prämien oder T 9.18.   </t>
  </si>
  <si>
    <t xml:space="preserve">10) = h) + f)  </t>
  </si>
  <si>
    <t xml:space="preserve">11) Finanzierungssaldo: Differenz zwischen den Leistungen III der Versicherer an das Gesundheitswesen und den Prämieneinzahlungen der Haushalte.   </t>
  </si>
  <si>
    <t xml:space="preserve">    Aus der Sicht des Finanzgleichgewichts handelt es sich um die Kapitaleinkommen, die ausserordentlichen Einkommen, die Gewinne und die Veränderungen von Reserven.   </t>
  </si>
  <si>
    <t xml:space="preserve">    Ein positiver Saldo bedeutet grundsätzlich einen Abbau, ein negativer Saldo eine Erhöhung der Reserven. = e) - h) oder g) - i).  </t>
  </si>
  <si>
    <r>
      <t xml:space="preserve">Krankenversicherung </t>
    </r>
    <r>
      <rPr>
        <b/>
        <i/>
        <vertAlign val="superscript"/>
        <sz val="10"/>
        <rFont val="Arial"/>
        <family val="2"/>
      </rPr>
      <t>1</t>
    </r>
  </si>
  <si>
    <r>
      <t xml:space="preserve">2009 </t>
    </r>
    <r>
      <rPr>
        <b/>
        <i/>
        <vertAlign val="superscript"/>
        <sz val="10"/>
        <rFont val="Arial"/>
        <family val="2"/>
      </rPr>
      <t>12</t>
    </r>
  </si>
  <si>
    <r>
      <t xml:space="preserve">  a) Leistungen der Krankenversicherer I </t>
    </r>
    <r>
      <rPr>
        <b/>
        <vertAlign val="superscript"/>
        <sz val="10"/>
        <rFont val="Arial"/>
        <family val="2"/>
      </rPr>
      <t>2</t>
    </r>
  </si>
  <si>
    <r>
      <t xml:space="preserve">  b) Übriger Aufwand </t>
    </r>
    <r>
      <rPr>
        <b/>
        <vertAlign val="superscript"/>
        <sz val="10"/>
        <rFont val="Arial"/>
        <family val="2"/>
      </rPr>
      <t>3</t>
    </r>
  </si>
  <si>
    <r>
      <t xml:space="preserve">  c) Leistungen II </t>
    </r>
    <r>
      <rPr>
        <b/>
        <vertAlign val="superscript"/>
        <sz val="10"/>
        <rFont val="Arial"/>
        <family val="2"/>
      </rPr>
      <t>4</t>
    </r>
  </si>
  <si>
    <r>
      <t xml:space="preserve">  d) Verwaltungskosten (inkl. Prävention)  </t>
    </r>
    <r>
      <rPr>
        <b/>
        <vertAlign val="superscript"/>
        <sz val="10"/>
        <rFont val="Arial"/>
        <family val="2"/>
      </rPr>
      <t>5</t>
    </r>
  </si>
  <si>
    <r>
      <t xml:space="preserve">  e) Leistungen III  </t>
    </r>
    <r>
      <rPr>
        <b/>
        <vertAlign val="superscript"/>
        <sz val="10"/>
        <rFont val="Arial"/>
        <family val="2"/>
      </rPr>
      <t>6</t>
    </r>
  </si>
  <si>
    <r>
      <t xml:space="preserve">  f) Kostenbeteiligung </t>
    </r>
    <r>
      <rPr>
        <b/>
        <vertAlign val="superscript"/>
        <sz val="10"/>
        <rFont val="Arial"/>
        <family val="2"/>
      </rPr>
      <t>7</t>
    </r>
  </si>
  <si>
    <r>
      <t xml:space="preserve">  g) Gesamtleistungen  </t>
    </r>
    <r>
      <rPr>
        <b/>
        <vertAlign val="superscript"/>
        <sz val="10"/>
        <rFont val="Arial"/>
        <family val="2"/>
      </rPr>
      <t>8</t>
    </r>
  </si>
  <si>
    <r>
      <t xml:space="preserve">  h) Prämien der Haushalte </t>
    </r>
    <r>
      <rPr>
        <b/>
        <vertAlign val="superscript"/>
        <sz val="10"/>
        <rFont val="Arial"/>
        <family val="2"/>
      </rPr>
      <t>9</t>
    </r>
  </si>
  <si>
    <r>
      <t xml:space="preserve">Obligatorische Krankenpflegeversicherung KVG </t>
    </r>
    <r>
      <rPr>
        <vertAlign val="superscript"/>
        <sz val="8"/>
        <rFont val="Arial"/>
        <family val="2"/>
      </rPr>
      <t>3</t>
    </r>
  </si>
  <si>
    <r>
      <t xml:space="preserve">  i) Gesamtbeitrag </t>
    </r>
    <r>
      <rPr>
        <b/>
        <vertAlign val="superscript"/>
        <sz val="10"/>
        <rFont val="Arial"/>
        <family val="2"/>
      </rPr>
      <t>10</t>
    </r>
  </si>
  <si>
    <r>
      <t xml:space="preserve">j) Finanzierungssaldo </t>
    </r>
    <r>
      <rPr>
        <b/>
        <vertAlign val="superscript"/>
        <sz val="10"/>
        <rFont val="Arial"/>
        <family val="2"/>
      </rPr>
      <t>11</t>
    </r>
  </si>
  <si>
    <r>
      <t xml:space="preserve">10) Nettoprämien der Haushalte = Bruttoprämien obligatorische Krankenpflegeversicherung (T 9.08 </t>
    </r>
    <r>
      <rPr>
        <vertAlign val="superscript"/>
        <sz val="10"/>
        <rFont val="Arial"/>
        <family val="2"/>
      </rPr>
      <t>h</t>
    </r>
    <r>
      <rPr>
        <sz val="10"/>
        <rFont val="Arial"/>
        <family val="2"/>
      </rPr>
      <t xml:space="preserve"> ) - Prämienverbilligung KVG an Versicherte (T 9.06 </t>
    </r>
    <r>
      <rPr>
        <vertAlign val="superscript"/>
        <sz val="10"/>
        <rFont val="Arial"/>
        <family val="2"/>
      </rPr>
      <t>13</t>
    </r>
    <r>
      <rPr>
        <sz val="10"/>
        <rFont val="Arial"/>
        <family val="2"/>
      </rPr>
      <t xml:space="preserve"> ).   </t>
    </r>
  </si>
  <si>
    <r>
      <t xml:space="preserve">14) Schätzungen </t>
    </r>
    <r>
      <rPr>
        <i/>
        <sz val="10"/>
        <rFont val="Arial"/>
        <family val="2"/>
      </rPr>
      <t>(kursiv)</t>
    </r>
    <r>
      <rPr>
        <sz val="10"/>
        <rFont val="Arial"/>
        <family val="2"/>
      </rPr>
      <t xml:space="preserve"> [KOF &amp; BAG].   </t>
    </r>
  </si>
  <si>
    <r>
      <t>15) Neue BFS-Berechnungsmethode im 2008 -&gt; vom BFS revidierte Werte für 1996-&gt;2006 [</t>
    </r>
    <r>
      <rPr>
        <vertAlign val="superscript"/>
        <sz val="10"/>
        <rFont val="Arial"/>
        <family val="2"/>
      </rPr>
      <t>1, 2, 7, 8, 9, 12</t>
    </r>
    <r>
      <rPr>
        <sz val="10"/>
        <rFont val="Arial"/>
        <family val="2"/>
      </rPr>
      <t xml:space="preserve">].   </t>
    </r>
  </si>
  <si>
    <r>
      <t xml:space="preserve">17) Schätzungen </t>
    </r>
    <r>
      <rPr>
        <i/>
        <sz val="10"/>
        <rFont val="Arial"/>
        <family val="2"/>
      </rPr>
      <t>(kursiv)</t>
    </r>
    <r>
      <rPr>
        <sz val="10"/>
        <rFont val="Arial"/>
        <family val="2"/>
      </rPr>
      <t xml:space="preserve"> [KOF &amp; BAG].   </t>
    </r>
  </si>
  <si>
    <r>
      <t>18) Neue BFS-Berechnungsmethode im 2008 -&gt; vom BFS revidierte Werte für 1996-&gt;2006  [</t>
    </r>
    <r>
      <rPr>
        <vertAlign val="superscript"/>
        <sz val="10"/>
        <rFont val="Arial"/>
        <family val="2"/>
      </rPr>
      <t>1, 2, 8, 9, 12</t>
    </r>
    <r>
      <rPr>
        <sz val="10"/>
        <rFont val="Arial"/>
        <family val="2"/>
      </rPr>
      <t xml:space="preserve">].   </t>
    </r>
  </si>
  <si>
    <r>
      <t xml:space="preserve">12) Schätzungen </t>
    </r>
    <r>
      <rPr>
        <i/>
        <sz val="10"/>
        <rFont val="Arial"/>
        <family val="2"/>
      </rPr>
      <t>(kursiv)</t>
    </r>
    <r>
      <rPr>
        <sz val="10"/>
        <rFont val="Arial"/>
        <family val="2"/>
      </rPr>
      <t xml:space="preserve"> [BAG].   </t>
    </r>
  </si>
  <si>
    <t>Finanzierungsträger</t>
  </si>
  <si>
    <t>Durchschnittl.</t>
  </si>
  <si>
    <t>des Gesundheitswesens</t>
  </si>
  <si>
    <t>Bund</t>
  </si>
  <si>
    <t>Kantone</t>
  </si>
  <si>
    <t>Gemeinden</t>
  </si>
  <si>
    <t>Unfallversicherung UVG</t>
  </si>
  <si>
    <t>Militärversicherung</t>
  </si>
  <si>
    <t>Übrige Systeme der sozialen Sicherheit</t>
  </si>
  <si>
    <t xml:space="preserve">  Krankenversicherungsprämien </t>
  </si>
  <si>
    <t>1) - 15) und Quellen: siehe Fussnoten unter der Tabelle 9.08.</t>
  </si>
  <si>
    <r>
      <t>T 9.06 Kosten des Gesundheitswesens in der Schweiz aus der Sicht der Krankenversicherungs</t>
    </r>
    <r>
      <rPr>
        <b/>
        <i/>
        <sz val="12"/>
        <rFont val="Arial"/>
        <family val="2"/>
      </rPr>
      <t>prämien</t>
    </r>
    <r>
      <rPr>
        <b/>
        <vertAlign val="superscript"/>
        <sz val="12"/>
        <rFont val="Arial"/>
        <family val="2"/>
      </rPr>
      <t xml:space="preserve"> 15 </t>
    </r>
    <r>
      <rPr>
        <b/>
        <sz val="12"/>
        <rFont val="Arial"/>
        <family val="2"/>
      </rPr>
      <t>in Millionen Franken ab 1998</t>
    </r>
  </si>
  <si>
    <r>
      <t xml:space="preserve">2009 </t>
    </r>
    <r>
      <rPr>
        <b/>
        <i/>
        <vertAlign val="superscript"/>
        <sz val="10"/>
        <rFont val="Arial"/>
        <family val="2"/>
      </rPr>
      <t>14</t>
    </r>
  </si>
  <si>
    <r>
      <t xml:space="preserve">Staat </t>
    </r>
    <r>
      <rPr>
        <b/>
        <vertAlign val="superscript"/>
        <sz val="10"/>
        <rFont val="Arial"/>
        <family val="2"/>
      </rPr>
      <t>1</t>
    </r>
  </si>
  <si>
    <r>
      <t xml:space="preserve">Sozialversicherungen </t>
    </r>
    <r>
      <rPr>
        <b/>
        <vertAlign val="superscript"/>
        <sz val="10"/>
        <rFont val="Arial"/>
        <family val="2"/>
      </rPr>
      <t>2</t>
    </r>
  </si>
  <si>
    <r>
      <t xml:space="preserve">AHV / IV </t>
    </r>
    <r>
      <rPr>
        <b/>
        <vertAlign val="superscript"/>
        <sz val="10"/>
        <rFont val="Arial"/>
        <family val="2"/>
      </rPr>
      <t>3</t>
    </r>
  </si>
  <si>
    <r>
      <t xml:space="preserve">Finanzierungssaldo für die Krankenversicherung </t>
    </r>
    <r>
      <rPr>
        <b/>
        <vertAlign val="superscript"/>
        <sz val="10"/>
        <rFont val="Arial"/>
        <family val="2"/>
      </rPr>
      <t>4</t>
    </r>
  </si>
  <si>
    <r>
      <t xml:space="preserve">  Prämienverbilligung KVG </t>
    </r>
    <r>
      <rPr>
        <b/>
        <vertAlign val="superscript"/>
        <sz val="10"/>
        <rFont val="Arial"/>
        <family val="2"/>
      </rPr>
      <t>13</t>
    </r>
  </si>
  <si>
    <r>
      <t xml:space="preserve">  Ergänzungsleistungen </t>
    </r>
    <r>
      <rPr>
        <b/>
        <vertAlign val="superscript"/>
        <sz val="10"/>
        <rFont val="Arial"/>
        <family val="2"/>
      </rPr>
      <t>7</t>
    </r>
  </si>
  <si>
    <r>
      <t xml:space="preserve">  Sozialhilfe </t>
    </r>
    <r>
      <rPr>
        <b/>
        <vertAlign val="superscript"/>
        <sz val="10"/>
        <rFont val="Arial"/>
        <family val="2"/>
      </rPr>
      <t>7</t>
    </r>
  </si>
  <si>
    <r>
      <t xml:space="preserve">  Hilflosenentschädigungen </t>
    </r>
    <r>
      <rPr>
        <b/>
        <vertAlign val="superscript"/>
        <sz val="10"/>
        <rFont val="Arial"/>
        <family val="2"/>
      </rPr>
      <t>7</t>
    </r>
  </si>
  <si>
    <r>
      <t xml:space="preserve">Nettoprämien der obligatorischen Krankenpflegeversicherung KVG </t>
    </r>
    <r>
      <rPr>
        <b/>
        <vertAlign val="superscript"/>
        <sz val="8"/>
        <rFont val="Arial"/>
        <family val="2"/>
      </rPr>
      <t>10</t>
    </r>
  </si>
  <si>
    <r>
      <t xml:space="preserve">Zusatzversicherungen VVG der KVG-Versicherer </t>
    </r>
    <r>
      <rPr>
        <b/>
        <vertAlign val="superscript"/>
        <sz val="8"/>
        <rFont val="Arial"/>
        <family val="2"/>
      </rPr>
      <t>5</t>
    </r>
  </si>
  <si>
    <r>
      <t xml:space="preserve">Zusatzversicherungen VVG der Privatversicherer </t>
    </r>
    <r>
      <rPr>
        <b/>
        <vertAlign val="superscript"/>
        <sz val="8"/>
        <rFont val="Arial"/>
        <family val="2"/>
      </rPr>
      <t>6</t>
    </r>
  </si>
  <si>
    <r>
      <t xml:space="preserve">  Kostenbeteiligung </t>
    </r>
    <r>
      <rPr>
        <b/>
        <vertAlign val="superscript"/>
        <sz val="10"/>
        <rFont val="Arial"/>
        <family val="2"/>
      </rPr>
      <t>11</t>
    </r>
  </si>
  <si>
    <r>
      <t xml:space="preserve">  Out of pocket </t>
    </r>
    <r>
      <rPr>
        <b/>
        <vertAlign val="superscript"/>
        <sz val="10"/>
        <rFont val="Arial"/>
        <family val="2"/>
      </rPr>
      <t>8</t>
    </r>
  </si>
  <si>
    <r>
      <t xml:space="preserve">Übrige private Finanzierung </t>
    </r>
    <r>
      <rPr>
        <b/>
        <vertAlign val="superscript"/>
        <sz val="10"/>
        <rFont val="Arial"/>
        <family val="2"/>
      </rPr>
      <t>9</t>
    </r>
  </si>
  <si>
    <r>
      <t xml:space="preserve">Total Kosten des Gesundheitswesens </t>
    </r>
    <r>
      <rPr>
        <b/>
        <vertAlign val="superscript"/>
        <sz val="10"/>
        <rFont val="Arial"/>
        <family val="2"/>
      </rPr>
      <t>12</t>
    </r>
  </si>
  <si>
    <t xml:space="preserve"> Übriger Aufwand</t>
  </si>
  <si>
    <t xml:space="preserve"> Verwaltungskosten (inkl. Prävention) </t>
  </si>
  <si>
    <t>1) - 18) und Quellen: siehe Fussnoten unter der Tabelle 9.08.</t>
  </si>
  <si>
    <r>
      <t>T 9.07 Kosten des Gesundheitswesens in der Schweiz aus der Sicht der Krankenversicherungs</t>
    </r>
    <r>
      <rPr>
        <b/>
        <i/>
        <sz val="12"/>
        <rFont val="Arial"/>
        <family val="2"/>
      </rPr>
      <t>leistungen</t>
    </r>
    <r>
      <rPr>
        <b/>
        <sz val="12"/>
        <rFont val="Arial"/>
        <family val="2"/>
      </rPr>
      <t xml:space="preserve"> </t>
    </r>
    <r>
      <rPr>
        <b/>
        <vertAlign val="superscript"/>
        <sz val="12"/>
        <rFont val="Arial"/>
        <family val="2"/>
      </rPr>
      <t>18</t>
    </r>
    <r>
      <rPr>
        <b/>
        <sz val="12"/>
        <rFont val="Arial"/>
        <family val="2"/>
      </rPr>
      <t xml:space="preserve"> in Millionen Franken ab 1998</t>
    </r>
  </si>
  <si>
    <r>
      <t xml:space="preserve">2009 </t>
    </r>
    <r>
      <rPr>
        <i/>
        <vertAlign val="superscript"/>
        <sz val="10"/>
        <rFont val="Arial"/>
        <family val="2"/>
      </rPr>
      <t>17</t>
    </r>
  </si>
  <si>
    <r>
      <t xml:space="preserve">     Ergänzungsleistungen </t>
    </r>
    <r>
      <rPr>
        <b/>
        <vertAlign val="superscript"/>
        <sz val="9"/>
        <rFont val="Arial"/>
        <family val="2"/>
      </rPr>
      <t>7</t>
    </r>
  </si>
  <si>
    <r>
      <t xml:space="preserve">     Sozialhilfe </t>
    </r>
    <r>
      <rPr>
        <b/>
        <vertAlign val="superscript"/>
        <sz val="9"/>
        <rFont val="Arial"/>
        <family val="2"/>
      </rPr>
      <t>7</t>
    </r>
  </si>
  <si>
    <r>
      <t xml:space="preserve">     Hilflosenentschädigungen </t>
    </r>
    <r>
      <rPr>
        <b/>
        <vertAlign val="superscript"/>
        <sz val="9"/>
        <rFont val="Arial"/>
        <family val="2"/>
      </rPr>
      <t>7</t>
    </r>
  </si>
  <si>
    <r>
      <t xml:space="preserve">Brutto Krankenversicherungleistungen </t>
    </r>
    <r>
      <rPr>
        <b/>
        <vertAlign val="superscript"/>
        <sz val="10"/>
        <rFont val="Arial"/>
        <family val="2"/>
      </rPr>
      <t>15</t>
    </r>
    <r>
      <rPr>
        <b/>
        <sz val="10"/>
        <rFont val="Arial"/>
        <family val="2"/>
      </rPr>
      <t xml:space="preserve"> </t>
    </r>
  </si>
  <si>
    <r>
      <t xml:space="preserve">       davon Kostenbeteiligung </t>
    </r>
    <r>
      <rPr>
        <b/>
        <vertAlign val="superscript"/>
        <sz val="8"/>
        <rFont val="Arial"/>
        <family val="2"/>
      </rPr>
      <t>11</t>
    </r>
  </si>
  <si>
    <r>
      <t xml:space="preserve">      davon Prämienverbilligung KVG </t>
    </r>
    <r>
      <rPr>
        <b/>
        <vertAlign val="superscript"/>
        <sz val="8"/>
        <rFont val="Arial"/>
        <family val="2"/>
      </rPr>
      <t>13</t>
    </r>
  </si>
  <si>
    <r>
      <t xml:space="preserve">Zusatzversicherungen VVG der KVG-Versicherer </t>
    </r>
    <r>
      <rPr>
        <vertAlign val="superscript"/>
        <sz val="9"/>
        <rFont val="Arial"/>
        <family val="2"/>
      </rPr>
      <t>5</t>
    </r>
  </si>
  <si>
    <r>
      <t xml:space="preserve">      davon Kostenbeteiligung </t>
    </r>
    <r>
      <rPr>
        <b/>
        <vertAlign val="superscript"/>
        <sz val="8"/>
        <rFont val="Arial"/>
        <family val="2"/>
      </rPr>
      <t>11</t>
    </r>
  </si>
  <si>
    <r>
      <t xml:space="preserve">Zusatzversicherungen VVG der Privatversicherer </t>
    </r>
    <r>
      <rPr>
        <vertAlign val="superscript"/>
        <sz val="9"/>
        <rFont val="Arial"/>
        <family val="2"/>
      </rPr>
      <t>6</t>
    </r>
  </si>
  <si>
    <r>
      <t xml:space="preserve">Andere </t>
    </r>
    <r>
      <rPr>
        <b/>
        <vertAlign val="superscript"/>
        <sz val="10"/>
        <rFont val="Arial"/>
        <family val="2"/>
      </rPr>
      <t>16</t>
    </r>
  </si>
  <si>
    <r>
      <t xml:space="preserve">Out of pocket (Haushalte) </t>
    </r>
    <r>
      <rPr>
        <b/>
        <vertAlign val="superscript"/>
        <sz val="10"/>
        <rFont val="Arial"/>
        <family val="2"/>
      </rPr>
      <t>8</t>
    </r>
  </si>
  <si>
    <t xml:space="preserve">Leistungen brutto nach Altersgruppen und Geschlecht </t>
  </si>
  <si>
    <t>Leistungen netto nach Kantonen</t>
  </si>
  <si>
    <t>Leistungen netto pro Versicherten nach Versicherungsform</t>
  </si>
  <si>
    <t xml:space="preserve">Leistungen netto nach Altersgruppen und Geschlecht </t>
  </si>
  <si>
    <t>Kostenbeteiligung nach Kantonen</t>
  </si>
  <si>
    <t xml:space="preserve">Betriebsrechnung der Versicherungen mit eingeschränkter Wahl des Leistungserbringers </t>
  </si>
  <si>
    <t>Betriebsrechnung der obligatorischen Krankenpflegeversicherung Personen mit Wohnsitz in einem EG-Staat</t>
  </si>
  <si>
    <t>Gesamtbetriebsergebnis  nach Versicherungsform ab 1999</t>
  </si>
  <si>
    <t>Gesamtbetriebsergebnis  je versicherte Person nach Versicherungsform ab 1999</t>
  </si>
  <si>
    <t>Verwaltungsaufwand / Abschreibungen  nach Versicherungsform ab 1999</t>
  </si>
  <si>
    <t xml:space="preserve">Verwaltungsaufwand / Abschreibungen  je versicherte Person nach Versicherungsform ab 1999 </t>
  </si>
  <si>
    <t>Stand der Reserven per 31.12. ab 1999</t>
  </si>
  <si>
    <t xml:space="preserve">Stand der Rückstellungen per 31.12. für unerledigte Versicherungsfälle ab 1999 </t>
  </si>
  <si>
    <r>
      <t>T 1.08 Gesamtbetriebsergebnis in</t>
    </r>
    <r>
      <rPr>
        <b/>
        <sz val="12"/>
        <color indexed="10"/>
        <rFont val="Arial"/>
        <family val="2"/>
      </rPr>
      <t xml:space="preserve"> Mio. </t>
    </r>
    <r>
      <rPr>
        <b/>
        <sz val="12"/>
        <rFont val="Arial"/>
        <family val="2"/>
      </rPr>
      <t>Franken nach Versicherungsform ab 1999</t>
    </r>
  </si>
  <si>
    <t>T 1.09  Gesamtbetriebsergebnis in Franken je versicherte Person nach Versicherungsform ab 1999</t>
  </si>
  <si>
    <t>Quelle: T 1.08 / T 11.05</t>
  </si>
  <si>
    <t>T 1.10 Verwaltungsaufwand / Abschreibungen in Mio. Franken nach Versicherungsform ab 1999</t>
  </si>
  <si>
    <t>In % des</t>
  </si>
  <si>
    <t>Versicherungs-</t>
  </si>
  <si>
    <t>und Betriebsauf-</t>
  </si>
  <si>
    <t>wand</t>
  </si>
  <si>
    <t>wands</t>
  </si>
  <si>
    <t>Quelle: T 1.03, 1.04, 1.05, 1.06 [4] &amp; 1.02 [3/4]</t>
  </si>
  <si>
    <t>La Caisse Vaudoise</t>
  </si>
  <si>
    <t>KOLPING</t>
  </si>
  <si>
    <t>KK Easy Sana</t>
  </si>
  <si>
    <t>Krankenkasse Elm</t>
  </si>
  <si>
    <t>Innova Wallis AG</t>
  </si>
  <si>
    <t>CMP Lumnezia I</t>
  </si>
  <si>
    <t>KLuG Krankenversicherung</t>
  </si>
  <si>
    <t>EGK Grundversicherungen</t>
  </si>
  <si>
    <t>sanavals Gesundheitskasse</t>
  </si>
  <si>
    <t>KRANKENKASSE SLKK</t>
  </si>
  <si>
    <t>vita surselva</t>
  </si>
  <si>
    <t>Progrès Versicherungen AG</t>
  </si>
  <si>
    <t>Krankenkasse Zeneggen</t>
  </si>
  <si>
    <t>KKV</t>
  </si>
  <si>
    <t>KK Gondo-Zwischbergen</t>
  </si>
  <si>
    <t>Wincare Versicherungen AG</t>
  </si>
  <si>
    <t>Avantis Assureur maladie</t>
  </si>
  <si>
    <t>CM de la Vallée d'Entremont</t>
  </si>
  <si>
    <t>KK INSTITUT INGENBOHL</t>
  </si>
  <si>
    <t>Krankenkasse Turbenthal</t>
  </si>
  <si>
    <t>Auxilia Kranken-Vers. AG</t>
  </si>
  <si>
    <t>CM de Troistorrents</t>
  </si>
  <si>
    <t>KK Wädenswil</t>
  </si>
  <si>
    <t>Krankenkasse Birchmeier</t>
  </si>
  <si>
    <t>kmu-Krankenversicherung</t>
  </si>
  <si>
    <t>Krankenkasse Stoffel Mels KKS</t>
  </si>
  <si>
    <t>Krankenkasse Simplon</t>
  </si>
  <si>
    <t>SWICA Krankenversicherung</t>
  </si>
  <si>
    <t>GALENOS</t>
  </si>
  <si>
    <t>Vivao Sympany Schweiz AG</t>
  </si>
  <si>
    <t>rhenusana</t>
  </si>
  <si>
    <t>Publisana</t>
  </si>
  <si>
    <t>Fondation Natura Assurances.ch</t>
  </si>
  <si>
    <t>Mutuel Assurances</t>
  </si>
  <si>
    <t>AMB</t>
  </si>
  <si>
    <t>Sanitas Grundversicherungen AG</t>
  </si>
  <si>
    <t>Hotela caisse maladie</t>
  </si>
  <si>
    <t>Intras Assurance Maladie SA</t>
  </si>
  <si>
    <t>Philos Caisse-maladie et accident</t>
  </si>
  <si>
    <t>T 11.03  Versichertenbestand nach Wohnkanton per 31.12.</t>
  </si>
  <si>
    <t xml:space="preserve">Veränderung </t>
  </si>
  <si>
    <t xml:space="preserve">gegenüber </t>
  </si>
  <si>
    <t>Schweiz</t>
  </si>
  <si>
    <r>
      <t xml:space="preserve">Ausland </t>
    </r>
    <r>
      <rPr>
        <vertAlign val="superscript"/>
        <sz val="11"/>
        <rFont val="Arial"/>
        <family val="2"/>
      </rPr>
      <t>1</t>
    </r>
  </si>
  <si>
    <t>Versicherungsform</t>
  </si>
  <si>
    <t>Ordentliche Jahresfranchise</t>
  </si>
  <si>
    <t>Wählbare Jahresfranchisen</t>
  </si>
  <si>
    <t>BONUS-Versicherung</t>
  </si>
  <si>
    <t>Eingeschränkte Wahl (z.B. HMO) *</t>
  </si>
  <si>
    <t xml:space="preserve"> * davon Versicherte, die gleichzeitig eine wählbare Franchise haben</t>
  </si>
  <si>
    <t>1) Für die Zuteilung der Versicherten zu den Versicherungsformen ist die Versicherungsform (Hausarztmodell, HMO…)</t>
  </si>
  <si>
    <t xml:space="preserve">bei der Kategorie „Eingeschränkte Wahl des Leistungserbringers“ massgebend, auch wenn </t>
  </si>
  <si>
    <t>die Versicherung in Kombination mit einer ordentlichen/wählbaren Franchise abgeschlossen wurde.</t>
  </si>
  <si>
    <t>Quelle: Formular EF3 [T3.3]</t>
  </si>
  <si>
    <r>
      <t xml:space="preserve">T 11.06  Versichertenbestand nach Versicherungsform </t>
    </r>
    <r>
      <rPr>
        <b/>
        <vertAlign val="superscript"/>
        <sz val="12"/>
        <rFont val="Arial"/>
        <family val="2"/>
      </rPr>
      <t>1</t>
    </r>
    <r>
      <rPr>
        <b/>
        <sz val="12"/>
        <rFont val="Arial"/>
        <family val="2"/>
      </rPr>
      <t xml:space="preserve"> per 31.12.</t>
    </r>
  </si>
  <si>
    <t xml:space="preserve"> Wahl</t>
  </si>
  <si>
    <t>1) Ab 2006, vgl. Fussnote 1) von Tabelle 11.06.</t>
  </si>
  <si>
    <t>Quelle: T 11.06</t>
  </si>
  <si>
    <r>
      <t xml:space="preserve">T 11.05 Versichertenbestand per 31.12. nach Versicherungsform </t>
    </r>
    <r>
      <rPr>
        <b/>
        <vertAlign val="superscript"/>
        <sz val="12"/>
        <rFont val="Arial"/>
        <family val="2"/>
      </rPr>
      <t>1</t>
    </r>
    <r>
      <rPr>
        <b/>
        <sz val="12"/>
        <rFont val="Arial"/>
        <family val="2"/>
      </rPr>
      <t xml:space="preserve"> ab 1999</t>
    </r>
  </si>
  <si>
    <t>T 11.07 Verteilung der Versicherten (Kinder und Erwachsene) nach Versicherungsform ab 1999</t>
  </si>
  <si>
    <t>Quelle: T 11.05</t>
  </si>
  <si>
    <t>T 11.17  Anzahl Versicherte OKP nach Grösse der Versicherer ab 1999</t>
  </si>
  <si>
    <t>1 – 5'000</t>
  </si>
  <si>
    <t>5'001 –</t>
  </si>
  <si>
    <t>10'001 –</t>
  </si>
  <si>
    <t xml:space="preserve">50'001 – </t>
  </si>
  <si>
    <t xml:space="preserve">100'001 – </t>
  </si>
  <si>
    <t>mehr als</t>
  </si>
  <si>
    <t>(in %)</t>
  </si>
  <si>
    <t>(Durchschnittlicher</t>
  </si>
  <si>
    <t>Versichertenbestand)</t>
  </si>
  <si>
    <t>Quelle: T 5.01</t>
  </si>
  <si>
    <t>Alter</t>
  </si>
  <si>
    <t>männlich</t>
  </si>
  <si>
    <t>weiblich</t>
  </si>
  <si>
    <t>Anteil in %</t>
  </si>
  <si>
    <t>am Total</t>
  </si>
  <si>
    <t>Junge Erwachsene</t>
  </si>
  <si>
    <t>Durchschnittsalter</t>
  </si>
  <si>
    <t>davon gestorben</t>
  </si>
  <si>
    <t>Quelle: A: Formular EF3 [T 3.1 &amp; 3.8.1 &amp; 3.8.4] / B: Formular EF1 [1.12 D] / C: Formular EF1 [1.12 E]</t>
  </si>
  <si>
    <t>Versichertenbestand KVG, Personen mit Wohnsitz in der Schweiz und schweizerischer Prämie (inkl. Versicherte gemäss Art. 4 und 5 KVV)</t>
  </si>
  <si>
    <t>Quelle: Formular EF3 [T 3.8.2]</t>
  </si>
  <si>
    <t>T 11.12 Versichertenbestand KVG nach Geschlecht  am 1.1.2010</t>
  </si>
  <si>
    <t>ASSURA</t>
  </si>
  <si>
    <t>Caisse-maladie Universa</t>
  </si>
  <si>
    <t>aerosana Versicherungen AG</t>
  </si>
  <si>
    <t>Agrisano</t>
  </si>
  <si>
    <t>Helsana  Versicherungen AG</t>
  </si>
  <si>
    <t>Innova Krankenversicherung AG</t>
  </si>
  <si>
    <t>avanex Versicherungen AG</t>
  </si>
  <si>
    <t>sansan Versicherungen AG</t>
  </si>
  <si>
    <t>sana24</t>
  </si>
  <si>
    <t>Arcosana AG</t>
  </si>
  <si>
    <t>vivacare</t>
  </si>
  <si>
    <t>SanaTop Versicherungen AG</t>
  </si>
  <si>
    <t>maxi.ch Versicherungen AG</t>
  </si>
  <si>
    <t xml:space="preserve">Total : </t>
  </si>
  <si>
    <t>Quelle:  T 8.05 [6/7]; T 8.06 [3/4]; T 8.06 [800-801] - T 8.05 [800-801]</t>
  </si>
  <si>
    <r>
      <t xml:space="preserve">Jahr </t>
    </r>
    <r>
      <rPr>
        <vertAlign val="superscript"/>
        <sz val="11"/>
        <rFont val="Arial"/>
        <family val="2"/>
      </rPr>
      <t>1</t>
    </r>
  </si>
  <si>
    <r>
      <t xml:space="preserve">ergebnis </t>
    </r>
    <r>
      <rPr>
        <vertAlign val="superscript"/>
        <sz val="11"/>
        <rFont val="Arial"/>
        <family val="2"/>
      </rPr>
      <t>2</t>
    </r>
  </si>
  <si>
    <r>
      <t xml:space="preserve">2) Jahresergebnis ( = Vorschlag Gesamtbetriebsrechnung minus Rückschlag Gesamtbetriebsrechnung) </t>
    </r>
    <r>
      <rPr>
        <i/>
        <sz val="10"/>
        <rFont val="Arial"/>
        <family val="2"/>
      </rPr>
      <t>vor</t>
    </r>
    <r>
      <rPr>
        <sz val="10"/>
        <rFont val="Arial"/>
        <family val="2"/>
      </rPr>
      <t xml:space="preserve"> der Zuweisung an</t>
    </r>
  </si>
  <si>
    <t>T 8.07 Aktiven und Passiven der Versicherer in Mio. Franken ab 1999</t>
  </si>
  <si>
    <t>Aktiven</t>
  </si>
  <si>
    <t>Passiven</t>
  </si>
  <si>
    <t>Bilanz-</t>
  </si>
  <si>
    <t>Umlauf-</t>
  </si>
  <si>
    <t>Anlage-</t>
  </si>
  <si>
    <t>Fremd-</t>
  </si>
  <si>
    <t>Fonds und</t>
  </si>
  <si>
    <t>summe</t>
  </si>
  <si>
    <t>vermögen</t>
  </si>
  <si>
    <t>kapital</t>
  </si>
  <si>
    <t>1) Durchschnittlicher Versichertenbestand : Stand aller Monate zusammengezählt und geteilt durch 12.</t>
  </si>
  <si>
    <t>2) Vgl. Fussnote 2) von Tabelle 11.02.</t>
  </si>
  <si>
    <t>Quelle: Formular EF1 [1.12 A]</t>
  </si>
  <si>
    <r>
      <t xml:space="preserve">T 11.01 Durchschnittlicher Versichertenbestand </t>
    </r>
    <r>
      <rPr>
        <b/>
        <vertAlign val="superscript"/>
        <sz val="12"/>
        <rFont val="Arial"/>
        <family val="2"/>
      </rPr>
      <t xml:space="preserve">1  </t>
    </r>
    <r>
      <rPr>
        <b/>
        <sz val="12"/>
        <rFont val="Arial"/>
        <family val="2"/>
      </rPr>
      <t>ab 1999</t>
    </r>
  </si>
  <si>
    <r>
      <t xml:space="preserve">Jahr </t>
    </r>
    <r>
      <rPr>
        <vertAlign val="superscript"/>
        <sz val="11"/>
        <rFont val="Arial"/>
        <family val="2"/>
      </rPr>
      <t>2</t>
    </r>
  </si>
  <si>
    <t>T 11.02  Versichertenbestand per 31.12 ab 1999</t>
  </si>
  <si>
    <t>1) Personen, die das 18. Altersjahr noch nicht vollendet haben.</t>
  </si>
  <si>
    <t>2) Bis 2001: inbegriffen Versicherte mit Wohnsitz oder Aufenthalt im Ausland gemäss Art. 3, 4 und 5 KVV;</t>
  </si>
  <si>
    <t>Quelle: Formular EF3 [T 3.2]</t>
  </si>
  <si>
    <r>
      <t xml:space="preserve">Kinder </t>
    </r>
    <r>
      <rPr>
        <vertAlign val="superscript"/>
        <sz val="11"/>
        <rFont val="Arial"/>
        <family val="2"/>
      </rPr>
      <t>1</t>
    </r>
  </si>
  <si>
    <t>unbekannt</t>
  </si>
  <si>
    <t>1) Personen mit Wohnsitz/Aufenthalt im Ausland gemäss Art. 4 und 5 KVV.</t>
  </si>
  <si>
    <t>Quelle: Formular EF3 [T 3.12]  (-&gt;2008: Statistik des Risikoausgleiches - Gemeinsame Einrichtung KVG)</t>
  </si>
  <si>
    <t>T 11.15 Durchschnittlicher Versichertenbestand nach Altersgruppen und Geschlecht</t>
  </si>
  <si>
    <t>Altersgruppen</t>
  </si>
  <si>
    <t>des Totals</t>
  </si>
  <si>
    <t>gegenüber</t>
  </si>
  <si>
    <t>0 – 5</t>
  </si>
  <si>
    <t>6 – 10</t>
  </si>
  <si>
    <t>11 – 15</t>
  </si>
  <si>
    <t>16 – 18</t>
  </si>
  <si>
    <t>Total  0 – 18</t>
  </si>
  <si>
    <t>19 – 20</t>
  </si>
  <si>
    <t>21 – 25</t>
  </si>
  <si>
    <t>Total  19 – 25</t>
  </si>
  <si>
    <t>26 – 30</t>
  </si>
  <si>
    <t>31 – 35</t>
  </si>
  <si>
    <t>36 – 40</t>
  </si>
  <si>
    <t>41 – 45</t>
  </si>
  <si>
    <t>46 – 50</t>
  </si>
  <si>
    <t>51 – 55</t>
  </si>
  <si>
    <t>56 – 60</t>
  </si>
  <si>
    <t>61 – 65</t>
  </si>
  <si>
    <t>66 – 70</t>
  </si>
  <si>
    <t>71 – 75</t>
  </si>
  <si>
    <t>76 – 80</t>
  </si>
  <si>
    <t>81 – 85</t>
  </si>
  <si>
    <t>86 – 90</t>
  </si>
  <si>
    <t>91 – 95</t>
  </si>
  <si>
    <t>Quelle: 2009 -&gt; : T 2.25   /   -&gt; 2008 : T 2.01 / T 11.01 und T 11.05</t>
  </si>
  <si>
    <t xml:space="preserve">Quelle: 2008 -&gt; : T 2.13 (vollständige Daten)   /  1997-&gt;2007: DATENPOOL santésuisse [Auswertung BAG] </t>
  </si>
  <si>
    <t>1) Berücksichtigt nur die beim Versicherer eingereichten Rechnungen.</t>
  </si>
  <si>
    <t>2) 1996-&gt;2008: Schätzung des mittleren Versichertenbestandes (ausgenommen Spalte Total) aufgrund der Aufteilung der Versicherten per 31.12 in T 11.05</t>
  </si>
  <si>
    <t>3) Zusätzliche Angaben nach Altersgruppe pro Kanton: T 2.13 &amp; www.bag.admin.ch/pyramiden</t>
  </si>
  <si>
    <t>Schätzungen aus dem Prämiengenehmigungsverfahren: Eckwerte 2001-2011</t>
  </si>
  <si>
    <t>Genossenschaft Krankenkasse Malters</t>
  </si>
  <si>
    <t>01.01.09</t>
  </si>
  <si>
    <t>Krankenkasse Malters AG</t>
  </si>
  <si>
    <t>ÖKK Basel</t>
  </si>
  <si>
    <t>08.01.09</t>
  </si>
  <si>
    <t>Stiftung Kranken- und Unfallversicherung St. Moritz</t>
  </si>
  <si>
    <t>Kranken- und Unfallversicherungverein St. Moritz</t>
  </si>
  <si>
    <t>Krankenversicherung Flaachtal AG</t>
  </si>
  <si>
    <t>Krankenkasse der Region Goms</t>
  </si>
  <si>
    <t>sodalis gesundheitsgruppe</t>
  </si>
  <si>
    <t>01.04.09</t>
  </si>
  <si>
    <t>innova Wallis AG</t>
  </si>
  <si>
    <t>Krankenkasse Schattenberge</t>
  </si>
  <si>
    <t>Sana24</t>
  </si>
  <si>
    <t>Vivacare</t>
  </si>
  <si>
    <t>maxi.ch</t>
  </si>
  <si>
    <t>Compact Grundversicherungen AG</t>
  </si>
  <si>
    <t>Quelle: Verzeichnisse der zugelassenen Krankenversicherer (Mitteilungen) BAG 04/08 01/09 04/09 07/09 08/09 10/09 (www.bag.admin.ch)</t>
  </si>
  <si>
    <t>Statistik der obligatorischen Krankenversicherung 2009, Bundesamt für Gesundheit</t>
  </si>
  <si>
    <t>Datenstand : 11.5.10</t>
  </si>
  <si>
    <t xml:space="preserve">Beilage B1: </t>
  </si>
  <si>
    <t>laufende Aufdatierung</t>
  </si>
  <si>
    <t>(0 - 100%)</t>
  </si>
  <si>
    <t>Gesamtgeschäft der vom BAG anerkannten Krankenversicherer</t>
  </si>
  <si>
    <r>
      <t>B</t>
    </r>
    <r>
      <rPr>
        <b/>
        <i/>
        <sz val="12"/>
        <rFont val="55 Helvetica Roman"/>
      </rPr>
      <t xml:space="preserve">     Bundesamt für Gesundheit</t>
    </r>
  </si>
  <si>
    <t>Teil 10</t>
  </si>
  <si>
    <t>In der XLS Version sind die Daten</t>
  </si>
  <si>
    <t>meistens ab 1996 verfügbar</t>
  </si>
  <si>
    <t>Übergangsschlüssel Tabellen  2008 -&gt; 1996</t>
  </si>
  <si>
    <t>x</t>
  </si>
  <si>
    <t>Publikation 2008</t>
  </si>
  <si>
    <t>1.10</t>
  </si>
  <si>
    <t>9.16</t>
  </si>
  <si>
    <t>4.09</t>
  </si>
  <si>
    <t>1101-1117</t>
  </si>
  <si>
    <t>Risikoausgleich in der OKP</t>
  </si>
  <si>
    <t>H 04 A</t>
  </si>
  <si>
    <t>G 04 B</t>
  </si>
  <si>
    <t>H 04 B</t>
  </si>
  <si>
    <t>G 05</t>
  </si>
  <si>
    <t>H 05</t>
  </si>
  <si>
    <t>G 07</t>
  </si>
  <si>
    <t>G 08</t>
  </si>
  <si>
    <t>H 08</t>
  </si>
  <si>
    <t>9.10</t>
  </si>
  <si>
    <t>G 09</t>
  </si>
  <si>
    <t>H 09</t>
  </si>
  <si>
    <t>G 01 A</t>
  </si>
  <si>
    <t>G 03 A</t>
  </si>
  <si>
    <t>Eidgenössisches Departement des Innern EDI</t>
  </si>
  <si>
    <r>
      <t xml:space="preserve">Teil  Tabellen </t>
    </r>
    <r>
      <rPr>
        <b/>
        <sz val="14"/>
        <rFont val="55 Helvetica Roman"/>
      </rPr>
      <t>(XLS)</t>
    </r>
  </si>
  <si>
    <t>G 06 + G 07</t>
  </si>
  <si>
    <t>-</t>
  </si>
  <si>
    <t>1.50</t>
  </si>
  <si>
    <t>701-705</t>
  </si>
  <si>
    <t>10.01</t>
  </si>
  <si>
    <t>10.02</t>
  </si>
  <si>
    <t>10.03</t>
  </si>
  <si>
    <t>Beilage B1</t>
  </si>
  <si>
    <t>Teil 11</t>
  </si>
  <si>
    <t>Versicherte in der OKP</t>
  </si>
  <si>
    <t>Publikation 2005</t>
  </si>
  <si>
    <t>4.10</t>
  </si>
  <si>
    <t>2.20</t>
  </si>
  <si>
    <t>8.10</t>
  </si>
  <si>
    <t>8.11</t>
  </si>
  <si>
    <t>11.10</t>
  </si>
  <si>
    <t>9.22</t>
  </si>
  <si>
    <t>Vivao Sympany AG</t>
  </si>
  <si>
    <t>Krankenkasse Flaachtal</t>
  </si>
  <si>
    <t>Krankenkasse des Saastales</t>
  </si>
  <si>
    <t>G 10</t>
  </si>
  <si>
    <t>G 11</t>
  </si>
  <si>
    <t>G 12</t>
  </si>
  <si>
    <t>2.10</t>
  </si>
  <si>
    <t xml:space="preserve">* : Teil Tabellen </t>
  </si>
  <si>
    <t xml:space="preserve">Publikation 2000 </t>
  </si>
  <si>
    <t>F 02 -&gt; F 05</t>
  </si>
  <si>
    <t>F 01 -&gt; F 03</t>
  </si>
  <si>
    <t>3.11</t>
  </si>
  <si>
    <t>3.12</t>
  </si>
  <si>
    <t>3.13</t>
  </si>
  <si>
    <t>5.01 -&gt; 5.03</t>
  </si>
  <si>
    <t>5.00</t>
  </si>
  <si>
    <t>H 06 + H 07</t>
  </si>
  <si>
    <t>C 02 A</t>
  </si>
  <si>
    <t>C 02 B</t>
  </si>
  <si>
    <t>C 03</t>
  </si>
  <si>
    <t>C 04</t>
  </si>
  <si>
    <t>C 05</t>
  </si>
  <si>
    <t>D 01 A</t>
  </si>
  <si>
    <t>D 01 B</t>
  </si>
  <si>
    <t>D 02</t>
  </si>
  <si>
    <t>D 03</t>
  </si>
  <si>
    <t>D 04</t>
  </si>
  <si>
    <t>E 01 A</t>
  </si>
  <si>
    <t>E 01 B</t>
  </si>
  <si>
    <t xml:space="preserve">E 01 </t>
  </si>
  <si>
    <t>E 02</t>
  </si>
  <si>
    <t>9.21</t>
  </si>
  <si>
    <t>Verfügbar am:</t>
  </si>
  <si>
    <t>Vom Bund anerkannte Versicherungsträger</t>
  </si>
  <si>
    <t xml:space="preserve">Tabellen </t>
  </si>
  <si>
    <t>Teil 1</t>
  </si>
  <si>
    <t>Teil 2</t>
  </si>
  <si>
    <t>Leistungen und Kostenbeteiligung in der OKP</t>
  </si>
  <si>
    <t>Teil 3</t>
  </si>
  <si>
    <t>Prämien in der OKP</t>
  </si>
  <si>
    <t>Teil 4</t>
  </si>
  <si>
    <t>Prämienverbilligung in der OKP</t>
  </si>
  <si>
    <t>Teil 5</t>
  </si>
  <si>
    <t>Aufsichtsdaten OKP</t>
  </si>
  <si>
    <t>Teil 6</t>
  </si>
  <si>
    <t>601-606</t>
  </si>
  <si>
    <t>Freiwillige Taggeldversicherung KVG</t>
  </si>
  <si>
    <t>Teil 7</t>
  </si>
  <si>
    <t>Teil 8</t>
  </si>
  <si>
    <t>Teil 9</t>
  </si>
  <si>
    <t>Zusatzinformationen zum Gesundheitswesen</t>
  </si>
  <si>
    <t>Zusatzversicherungen VVG der vom BAG anerkannten Krankenversicherer</t>
  </si>
  <si>
    <t>Beilage B</t>
  </si>
  <si>
    <t>3.10</t>
  </si>
  <si>
    <t>Finanzen und obligatorische Krankenpflegeversicherung (OKP)</t>
  </si>
  <si>
    <t>E 03</t>
  </si>
  <si>
    <t>E 04</t>
  </si>
  <si>
    <t>E 05</t>
  </si>
  <si>
    <t>E 06</t>
  </si>
  <si>
    <t>E 07</t>
  </si>
  <si>
    <t>E 08</t>
  </si>
  <si>
    <t>E 09</t>
  </si>
  <si>
    <t>E 10</t>
  </si>
  <si>
    <t>E 11</t>
  </si>
  <si>
    <t>F 01</t>
  </si>
  <si>
    <t>F 02</t>
  </si>
  <si>
    <t>F 03</t>
  </si>
  <si>
    <t>F 04</t>
  </si>
  <si>
    <t>G 01</t>
  </si>
  <si>
    <t>H 01</t>
  </si>
  <si>
    <t>G 02 A</t>
  </si>
  <si>
    <t>H 02 A</t>
  </si>
  <si>
    <t>G 02 B</t>
  </si>
  <si>
    <t>H 02 B</t>
  </si>
  <si>
    <t>G 03</t>
  </si>
  <si>
    <t>H 03</t>
  </si>
  <si>
    <t>G 04 A</t>
  </si>
  <si>
    <r>
      <t xml:space="preserve">Korrigierte Tabellen :      </t>
    </r>
    <r>
      <rPr>
        <sz val="11"/>
        <color indexed="10"/>
        <rFont val="55 Helvetica Roman"/>
      </rPr>
      <t>(Korrekturen in roter Farbe)</t>
    </r>
    <r>
      <rPr>
        <sz val="11"/>
        <rFont val="55 Helvetica Roman"/>
      </rPr>
      <t xml:space="preserve">  </t>
    </r>
    <r>
      <rPr>
        <b/>
        <sz val="11"/>
        <rFont val="55 Helvetica Roman"/>
      </rPr>
      <t xml:space="preserve">   </t>
    </r>
    <r>
      <rPr>
        <b/>
        <sz val="11"/>
        <color indexed="9"/>
        <rFont val="55 Helvetica Roman"/>
      </rPr>
      <t xml:space="preserve">     (gegenüber PDF Version und der gedruckten Version) :</t>
    </r>
  </si>
  <si>
    <t>5: Individuelle Daten pro Versicherer</t>
  </si>
  <si>
    <t>Aufsichtsdaten der Krankenversicherer OKP</t>
  </si>
  <si>
    <t>Erklärungen und Quellen für die Aufsichtsdaten</t>
  </si>
  <si>
    <t xml:space="preserve">KVG-Versicherer: Daten zur freiwilligen Taggeldversicherung </t>
  </si>
  <si>
    <t>Mutationen bei den Krankenversicherern</t>
  </si>
  <si>
    <t>T 5.04  Mutationen bei den Krankenversicherern</t>
  </si>
  <si>
    <t>BAG-</t>
  </si>
  <si>
    <t>Name des Versicherers</t>
  </si>
  <si>
    <t>Datum</t>
  </si>
  <si>
    <t>9.20</t>
  </si>
  <si>
    <t>Publikation 1996</t>
  </si>
  <si>
    <t>Publikation 1997</t>
  </si>
  <si>
    <t>Publikation 1998</t>
  </si>
  <si>
    <t>Publikation 1999</t>
  </si>
  <si>
    <t>Publikation 2001</t>
  </si>
  <si>
    <t>Publikation 2002</t>
  </si>
  <si>
    <t xml:space="preserve">Mit dem In-Kraft-Treten des Personenfreizügigkeitsabkommens mit den EG-Staaten bzw. dem revidierten </t>
  </si>
  <si>
    <t xml:space="preserve">EFTA-Abkommen per 1. Juni 2002 wurde die Versicherungspflicht auf einzelne Personengruppen ausgedehnt, </t>
  </si>
  <si>
    <t>welche Wohnsitz in einem EG-Staat bzw. in Island oder Norwegen haben:</t>
  </si>
  <si>
    <t>Einkommens-, Vermögens-, Ertrags- und Kapitalsteuer VVG</t>
  </si>
  <si>
    <t>Total neutraler Aufwand/Ertrag</t>
  </si>
  <si>
    <t>6 / 7</t>
  </si>
  <si>
    <t>Total des Gesamtertrages</t>
  </si>
  <si>
    <t>Rückschlag Gesamtbetriebsrechnung</t>
  </si>
  <si>
    <t>Quelle: Formular EF1 [8,9]</t>
  </si>
  <si>
    <t>T 8.04  Ertrag, Aufwand und Ergebnis der Versicherer in Mio. Franken ab 1999</t>
  </si>
  <si>
    <t>1) Vorjahresvergleiche sind nur mit Vorbehalt möglich, da jene Zusatzversicherungen VAG, welche auch unternehmensrechtlich</t>
  </si>
  <si>
    <t>die resp. der Entnahme von den Fonds und Reserven.</t>
  </si>
  <si>
    <t>T 5.01 Aufsichtsdaten OKP</t>
  </si>
  <si>
    <t>Name des OKP Versicherers</t>
  </si>
  <si>
    <t>Durchsch-</t>
  </si>
  <si>
    <t>Netto-</t>
  </si>
  <si>
    <t>Kosten-</t>
  </si>
  <si>
    <t>Brutto-</t>
  </si>
  <si>
    <t>Risikoaus–</t>
  </si>
  <si>
    <t>Verwaltungs-</t>
  </si>
  <si>
    <t>Gesamter-</t>
  </si>
  <si>
    <t>Stand der</t>
  </si>
  <si>
    <t>Verhältnis</t>
  </si>
  <si>
    <t>Einnahmen</t>
  </si>
  <si>
    <t>Ausgaben</t>
  </si>
  <si>
    <t>Risiko–</t>
  </si>
  <si>
    <t>Gesetzlich</t>
  </si>
  <si>
    <t>Höher als die</t>
  </si>
  <si>
    <t>Tiefer als die</t>
  </si>
  <si>
    <t>nittlicher</t>
  </si>
  <si>
    <t xml:space="preserve">je versicherte </t>
  </si>
  <si>
    <t>leistungen</t>
  </si>
  <si>
    <t>beteiligung</t>
  </si>
  <si>
    <t>gleich</t>
  </si>
  <si>
    <t xml:space="preserve">aufwand + </t>
  </si>
  <si>
    <t>gebnis je</t>
  </si>
  <si>
    <t xml:space="preserve"> Rückstel-</t>
  </si>
  <si>
    <t>gleich in %</t>
  </si>
  <si>
    <t>in % der</t>
  </si>
  <si>
    <t>ausgleich</t>
  </si>
  <si>
    <t>vorgeschrie-</t>
  </si>
  <si>
    <t>gesetzlich</t>
  </si>
  <si>
    <t>Versicher-</t>
  </si>
  <si>
    <t xml:space="preserve">Person </t>
  </si>
  <si>
    <t>je versicherte</t>
  </si>
  <si>
    <t>Abschrei-</t>
  </si>
  <si>
    <t>versicherte</t>
  </si>
  <si>
    <t>lungen je</t>
  </si>
  <si>
    <t>leistungen /</t>
  </si>
  <si>
    <t>der Ein-</t>
  </si>
  <si>
    <t>lungen</t>
  </si>
  <si>
    <t xml:space="preserve"> in Mio. Fr.</t>
  </si>
  <si>
    <t>sicherungen:</t>
  </si>
  <si>
    <t>Quelle: Formular EF3 [T 3.5]</t>
  </si>
  <si>
    <r>
      <t xml:space="preserve">T 2.22  Leistungen (brutto) </t>
    </r>
    <r>
      <rPr>
        <b/>
        <vertAlign val="superscript"/>
        <sz val="12"/>
        <rFont val="Arial"/>
        <family val="2"/>
      </rPr>
      <t>1</t>
    </r>
    <r>
      <rPr>
        <b/>
        <sz val="12"/>
        <rFont val="Arial"/>
        <family val="2"/>
      </rPr>
      <t xml:space="preserve">  in Franken nach Versicherungsform </t>
    </r>
  </si>
  <si>
    <t>Ambulante</t>
  </si>
  <si>
    <t>Behandlung</t>
  </si>
  <si>
    <t>davon</t>
  </si>
  <si>
    <t>Arzt</t>
  </si>
  <si>
    <t>Spital</t>
  </si>
  <si>
    <t>Medikamente</t>
  </si>
  <si>
    <t>Mittel und</t>
  </si>
  <si>
    <t>Betriebsbeiträge</t>
  </si>
  <si>
    <t>Komplementär-</t>
  </si>
  <si>
    <t>(ambulant)</t>
  </si>
  <si>
    <t>(Arzt)</t>
  </si>
  <si>
    <t>(Apotheke)</t>
  </si>
  <si>
    <t>Gegenstände</t>
  </si>
  <si>
    <t>an HMO's</t>
  </si>
  <si>
    <t>medizin</t>
  </si>
  <si>
    <t>Jahresdurch-schnittliche Veränderung 1999-2009</t>
  </si>
  <si>
    <t>«Intra-muros»</t>
  </si>
  <si>
    <t xml:space="preserve">Spital </t>
  </si>
  <si>
    <t>Pflegeheim</t>
  </si>
  <si>
    <t>(stationär)</t>
  </si>
  <si>
    <t>1) Vgl. Fussnoten 1) und 2) von Tabelle 2.16.</t>
  </si>
  <si>
    <t>2) Werte neu berechnet anhand der mittleren Versichertenbestände vom 1996 bis 2005.</t>
  </si>
  <si>
    <t>Quelle: T 2.16 / 11.01</t>
  </si>
  <si>
    <r>
      <t xml:space="preserve">T 2.18  Leistungen (brutto) </t>
    </r>
    <r>
      <rPr>
        <b/>
        <vertAlign val="superscript"/>
        <sz val="12"/>
        <rFont val="Arial"/>
        <family val="2"/>
      </rPr>
      <t>3</t>
    </r>
    <r>
      <rPr>
        <b/>
        <sz val="12"/>
        <rFont val="Arial"/>
        <family val="2"/>
      </rPr>
      <t xml:space="preserve"> in Franken je versicherte Person nach Kostengruppen ab 1999 </t>
    </r>
    <r>
      <rPr>
        <b/>
        <vertAlign val="superscript"/>
        <sz val="12"/>
        <rFont val="Arial"/>
        <family val="2"/>
      </rPr>
      <t>1 2</t>
    </r>
  </si>
  <si>
    <r>
      <t xml:space="preserve">3) Leistungen (brutto) = Leistungen der Versicherer in der OKP </t>
    </r>
    <r>
      <rPr>
        <b/>
        <sz val="10"/>
        <rFont val="Arial"/>
        <family val="2"/>
      </rPr>
      <t>mit</t>
    </r>
    <r>
      <rPr>
        <sz val="10"/>
        <rFont val="Arial"/>
        <family val="2"/>
      </rPr>
      <t xml:space="preserve"> Kostenbeteiligung durch die Versicherten.</t>
    </r>
  </si>
  <si>
    <t>1) Als «Intra-muros» Behandlung gelten die Kategorien "Spital stationär", "Pflegeheime" und "übrige Leistungen stationär";</t>
  </si>
  <si>
    <t xml:space="preserve"> als ambulante Kosten gelten alle übrigen Kategorien.</t>
  </si>
  <si>
    <t>2) Werte 1997 teilweise geschätzt, Werte 1999 mit Datenstand Oktober 2001 revidiert.</t>
  </si>
  <si>
    <t>Quelle : T 2.17</t>
  </si>
  <si>
    <r>
      <t xml:space="preserve">T 2.16  Leistungen (brutto) </t>
    </r>
    <r>
      <rPr>
        <b/>
        <vertAlign val="superscript"/>
        <sz val="12"/>
        <rFont val="Arial"/>
        <family val="2"/>
      </rPr>
      <t>3</t>
    </r>
    <r>
      <rPr>
        <b/>
        <sz val="12"/>
        <rFont val="Arial"/>
        <family val="2"/>
      </rPr>
      <t xml:space="preserve"> in Mio. Franken nach Kostengruppen ab 1999</t>
    </r>
  </si>
  <si>
    <r>
      <t xml:space="preserve">Behandlung </t>
    </r>
    <r>
      <rPr>
        <b/>
        <vertAlign val="superscript"/>
        <sz val="11"/>
        <rFont val="Arial"/>
        <family val="2"/>
      </rPr>
      <t>1</t>
    </r>
  </si>
  <si>
    <t>Quelle: T 2.22</t>
  </si>
  <si>
    <r>
      <t xml:space="preserve">T 2.14  Leistungen (brutto) </t>
    </r>
    <r>
      <rPr>
        <b/>
        <vertAlign val="superscript"/>
        <sz val="12"/>
        <rFont val="Arial"/>
        <family val="2"/>
      </rPr>
      <t>1</t>
    </r>
    <r>
      <rPr>
        <b/>
        <sz val="12"/>
        <rFont val="Arial"/>
        <family val="2"/>
      </rPr>
      <t xml:space="preserve"> in Mio. Franken nach Versicherungsform ab 1999</t>
    </r>
  </si>
  <si>
    <t>T 2.01  Kostenbeteiligung der Versicherten in Mio. Franken nach Versicherungsform ab 1999</t>
  </si>
  <si>
    <t>Quelle: T 1.03; 1.04; 1.05; 1.06 [32]</t>
  </si>
  <si>
    <t>10: Risikoausgleich in der OKP</t>
  </si>
  <si>
    <t>Risikoausgleich: Nettozahler und Nettoempfänger ab 1999</t>
  </si>
  <si>
    <t>Risikoausgleich: Bruttoumverteilung und Nettoumverteilung ab 1999</t>
  </si>
  <si>
    <t>Risikoausgleich pro Versicherten und Versicherungsmonat nach Altersgruppen und Geschlecht</t>
  </si>
  <si>
    <t>10.04</t>
  </si>
  <si>
    <t>Durchschnittlicher Versichertenbestand nach Kantonen (gemäss Definition des Risikoausgleiches)</t>
  </si>
  <si>
    <t>10.05</t>
  </si>
  <si>
    <t>Effektive Kosten nach Kantonen (gemäss Definition des Risikoausgleiches)</t>
  </si>
  <si>
    <t>Erwach-</t>
  </si>
  <si>
    <t>Kinder und</t>
  </si>
  <si>
    <t>sene</t>
  </si>
  <si>
    <t>Quelle: Statistik des Risikoausgleiches - Gemeinsame Einrichtung KVG</t>
  </si>
  <si>
    <t>2) Vgl. Fussnote 2) von Tabelle 10.04.</t>
  </si>
  <si>
    <r>
      <t xml:space="preserve">T 10.05  Effektive Kosten </t>
    </r>
    <r>
      <rPr>
        <b/>
        <vertAlign val="superscript"/>
        <sz val="12"/>
        <rFont val="Arial"/>
        <family val="2"/>
      </rPr>
      <t xml:space="preserve">1 </t>
    </r>
    <r>
      <rPr>
        <b/>
        <sz val="12"/>
        <rFont val="Arial"/>
        <family val="2"/>
      </rPr>
      <t xml:space="preserve"> in Fr. nach Kantonen (gemäss Definition des Risikoausgleiches </t>
    </r>
    <r>
      <rPr>
        <b/>
        <vertAlign val="superscript"/>
        <sz val="12"/>
        <rFont val="Arial"/>
        <family val="2"/>
      </rPr>
      <t>2</t>
    </r>
    <r>
      <rPr>
        <b/>
        <sz val="12"/>
        <rFont val="Arial"/>
        <family val="2"/>
      </rPr>
      <t xml:space="preserve">)  </t>
    </r>
  </si>
  <si>
    <r>
      <t xml:space="preserve">1) Effektive Kosten = (bezahlte) Leistungen der Versicherer in der OKP </t>
    </r>
    <r>
      <rPr>
        <b/>
        <sz val="10"/>
        <rFont val="Arial"/>
        <family val="2"/>
      </rPr>
      <t>ohne</t>
    </r>
    <r>
      <rPr>
        <sz val="10"/>
        <rFont val="Arial"/>
        <family val="2"/>
      </rPr>
      <t xml:space="preserve"> Kostenbeteiligung durch die Versicherten.</t>
    </r>
  </si>
  <si>
    <t>1) Durchschnittlicher Versichertenbestand = Anzahl Versicherungsmonate dividiert durch 12.</t>
  </si>
  <si>
    <t xml:space="preserve">2) Für den Risikoausgleich gelten im Vergleich zu den EF123-Formularen zum Teil unterschiedliche Regelungen in Bezug auf die </t>
  </si>
  <si>
    <t xml:space="preserve">Berücksichtigung einzelner Versichertengruppen. Aufgrund unterschiedlicher Definitionen kommt es zu Differenzen beim Versichertenbestand </t>
  </si>
  <si>
    <t>und bei den Kosten gegenüber den Angaben im Formular EF 123 der Versicherer (siehe Definition Versicherte in Tabelle 11.02, Fussnote 2).</t>
  </si>
  <si>
    <t>4) Reserven in Prozent des Prämiensolls.</t>
  </si>
  <si>
    <t xml:space="preserve">Quelle: T 8.02, 11.01, 9.21, 3.12, 2.18, 2.21, 5.01, 1.12, 1.13, 3.10, 2.16, 2.01, 2.20, 1.10, 1.02, 1.13, 1.12 </t>
  </si>
  <si>
    <t>oder</t>
  </si>
  <si>
    <t>Formulare EF123:</t>
  </si>
  <si>
    <t xml:space="preserve">3) Bei den durchschnittlichen Versichertenbeständen der OKP (pro Kanton und Versicherer), die auf der OKP-Prämienseite des BAG publiziert werden, wird den Fusionen von Versicherern bis zum Moment der Gültigkeit der publizierten Prämien Rechnung getragen; </t>
  </si>
  <si>
    <r>
      <t xml:space="preserve">T 5.05 OKP : Durchschnittlicher Versichertenbestand nach Versicherer und Kanton </t>
    </r>
    <r>
      <rPr>
        <b/>
        <vertAlign val="superscript"/>
        <sz val="12"/>
        <color indexed="10"/>
        <rFont val="Arial"/>
        <family val="2"/>
      </rPr>
      <t>3</t>
    </r>
  </si>
  <si>
    <r>
      <t xml:space="preserve">T 10.04  Durchschnittlicher Versichertenbestand </t>
    </r>
    <r>
      <rPr>
        <b/>
        <vertAlign val="superscript"/>
        <sz val="12"/>
        <rFont val="Arial"/>
        <family val="2"/>
      </rPr>
      <t>1</t>
    </r>
    <r>
      <rPr>
        <b/>
        <sz val="12"/>
        <rFont val="Arial"/>
        <family val="2"/>
      </rPr>
      <t xml:space="preserve">  nach Kantonen (gemäss Definition des Risikoausgleiches </t>
    </r>
    <r>
      <rPr>
        <b/>
        <vertAlign val="superscript"/>
        <sz val="12"/>
        <rFont val="Arial"/>
        <family val="2"/>
      </rPr>
      <t>2</t>
    </r>
    <r>
      <rPr>
        <b/>
        <sz val="12"/>
        <rFont val="Arial"/>
        <family val="2"/>
      </rPr>
      <t xml:space="preserve">) </t>
    </r>
  </si>
  <si>
    <t>Veränd. in Fr.</t>
  </si>
  <si>
    <t>0 - 18</t>
  </si>
  <si>
    <t>19 - 25</t>
  </si>
  <si>
    <t>26 - 30</t>
  </si>
  <si>
    <t>31 - 35</t>
  </si>
  <si>
    <t>36 - 40</t>
  </si>
  <si>
    <t>41 - 45</t>
  </si>
  <si>
    <t>46 - 50</t>
  </si>
  <si>
    <t>51 - 55</t>
  </si>
  <si>
    <t>56 - 60</t>
  </si>
  <si>
    <t>61 - 65</t>
  </si>
  <si>
    <t>66 - 70</t>
  </si>
  <si>
    <t>71 - 75</t>
  </si>
  <si>
    <t>76 - 80</t>
  </si>
  <si>
    <t>81 - 85</t>
  </si>
  <si>
    <t>bene Reserve</t>
  </si>
  <si>
    <t>tenbestand</t>
  </si>
  <si>
    <t>bungen je</t>
  </si>
  <si>
    <t xml:space="preserve"> Person</t>
  </si>
  <si>
    <t>nahmen</t>
  </si>
  <si>
    <t>bungen</t>
  </si>
  <si>
    <t>Person</t>
  </si>
  <si>
    <t xml:space="preserve"> in % der </t>
  </si>
  <si>
    <t>(+) in Mio. Fr.</t>
  </si>
  <si>
    <t>(-) in Mio. Fr.</t>
  </si>
  <si>
    <t>Person in Fr.</t>
  </si>
  <si>
    <t>5B</t>
  </si>
  <si>
    <t>4B</t>
  </si>
  <si>
    <t>4C</t>
  </si>
  <si>
    <t>9C</t>
  </si>
  <si>
    <t>5A</t>
  </si>
  <si>
    <t>4A</t>
  </si>
  <si>
    <t>11A</t>
  </si>
  <si>
    <t>11B</t>
  </si>
  <si>
    <t>11C</t>
  </si>
  <si>
    <t>Quelle und Erklärungen: T 5.02</t>
  </si>
  <si>
    <t>T 5.02 Erklärungen und Quellen für Aufsichtsdaten OKP (T 5.01)</t>
  </si>
  <si>
    <t>0) Nur OKP Versicherer</t>
  </si>
  <si>
    <t>Name des Versicherers eventuell gekürzt, Name gültig 2009.</t>
  </si>
  <si>
    <t>1) Durchschnittlicher Versichertenbestand (nur OKP Versicherer)</t>
  </si>
  <si>
    <t xml:space="preserve">Durchschnittsbestand = Mittelwert aller Monate </t>
  </si>
  <si>
    <t>2) Einnahmen Total (in Mio. Fr.)</t>
  </si>
  <si>
    <t>20.1.11: 3.11,3.15,9.09,9.10,11.08 -&gt;11.10,11.16</t>
  </si>
  <si>
    <r>
      <t xml:space="preserve">5.1.11: </t>
    </r>
    <r>
      <rPr>
        <strike/>
        <sz val="8"/>
        <color indexed="10"/>
        <rFont val="55 Helvetica Roman"/>
      </rPr>
      <t>2.23</t>
    </r>
    <r>
      <rPr>
        <sz val="8"/>
        <color indexed="10"/>
        <rFont val="55 Helvetica Roman"/>
      </rPr>
      <t>,</t>
    </r>
    <r>
      <rPr>
        <strike/>
        <sz val="8"/>
        <color indexed="10"/>
        <rFont val="55 Helvetica Roman"/>
      </rPr>
      <t xml:space="preserve"> 3.11</t>
    </r>
  </si>
  <si>
    <t>Arzt ambulant</t>
  </si>
  <si>
    <t>Spital ambulant</t>
  </si>
  <si>
    <t>Medikamente Arzt</t>
  </si>
  <si>
    <t>Medikamente Apotheke</t>
  </si>
  <si>
    <t>Spitex</t>
  </si>
  <si>
    <t>Physiotherapie</t>
  </si>
  <si>
    <t>Labor</t>
  </si>
  <si>
    <t>Chiropraktik</t>
  </si>
  <si>
    <t>Mittel und Gegenstände</t>
  </si>
  <si>
    <t>Komplementärmedizin</t>
  </si>
  <si>
    <t>Leistungen Total</t>
  </si>
  <si>
    <t>davon Leistungen Mutterschaft</t>
  </si>
  <si>
    <t>1) Sofern keine Aufteilung nach den anderen aufgeführten Kostengruppen möglich ist.</t>
  </si>
  <si>
    <t>2) Intra-muros Behandlung; andere Gruppen = ambulante Behandlung.</t>
  </si>
  <si>
    <t>3) Kategorie "Medikamente Spital ambulant": gehört zur Kategorie "Spital ambulant".</t>
  </si>
  <si>
    <t>4) Zum Beispiel Heilbäder.</t>
  </si>
  <si>
    <t>5) Zum Beispiel Logopädie, Ergotherapie.</t>
  </si>
  <si>
    <t xml:space="preserve">     Kategorien "KVG-Leistungen von Zahnärzten" und "Transport- und Rettungskosten" gehören zur Kategorie "Übrige Leistungen ambulant".</t>
  </si>
  <si>
    <t xml:space="preserve">Quelle: Formular EF3 [T 3.6] </t>
  </si>
  <si>
    <r>
      <t xml:space="preserve">Spital stationär </t>
    </r>
    <r>
      <rPr>
        <vertAlign val="superscript"/>
        <sz val="11"/>
        <rFont val="Arial"/>
        <family val="2"/>
      </rPr>
      <t>2</t>
    </r>
  </si>
  <si>
    <r>
      <t xml:space="preserve">Pflegeheim </t>
    </r>
    <r>
      <rPr>
        <vertAlign val="superscript"/>
        <sz val="11"/>
        <rFont val="Arial"/>
        <family val="2"/>
      </rPr>
      <t>2</t>
    </r>
  </si>
  <si>
    <r>
      <t xml:space="preserve">Betriebsbeiträge an HMO's </t>
    </r>
    <r>
      <rPr>
        <vertAlign val="superscript"/>
        <sz val="11"/>
        <rFont val="Arial"/>
        <family val="2"/>
      </rPr>
      <t>1</t>
    </r>
  </si>
  <si>
    <r>
      <t xml:space="preserve">Übrige Leistungen ambulant </t>
    </r>
    <r>
      <rPr>
        <vertAlign val="superscript"/>
        <sz val="11"/>
        <rFont val="Arial"/>
        <family val="2"/>
      </rPr>
      <t>5</t>
    </r>
  </si>
  <si>
    <r>
      <t xml:space="preserve">Übrige Leistungen stationär </t>
    </r>
    <r>
      <rPr>
        <vertAlign val="superscript"/>
        <sz val="11"/>
        <rFont val="Arial"/>
        <family val="2"/>
      </rPr>
      <t>2 4</t>
    </r>
  </si>
  <si>
    <t>1: Finanzen und obligatorische Krankenpflegeversicherung (OKP)</t>
  </si>
  <si>
    <t>Obligatorische Krankenpflegeversicherung ab 1999 : wichtigste Indikatoren</t>
  </si>
  <si>
    <t xml:space="preserve">Betriebsrechnung der obligatorischen Krankenpflegeversicherung KVG insgesamt </t>
  </si>
  <si>
    <t>Betriebsrechnung der Versicherung mit ordentlicher Franchise</t>
  </si>
  <si>
    <t xml:space="preserve">Betriebsrechnung der Versicherungen mit wählbarer Franchise </t>
  </si>
  <si>
    <t xml:space="preserve">Betriebsrechnung der BONUS-Versicherung </t>
  </si>
  <si>
    <t>Quelle: Formular EF2 [ 2.2 ]</t>
  </si>
  <si>
    <r>
      <t xml:space="preserve">T 1.03  Betriebsrechnung der Versicherung </t>
    </r>
    <r>
      <rPr>
        <b/>
        <vertAlign val="superscript"/>
        <sz val="12"/>
        <rFont val="Arial"/>
        <family val="2"/>
      </rPr>
      <t>1</t>
    </r>
    <r>
      <rPr>
        <b/>
        <sz val="12"/>
        <rFont val="Arial"/>
        <family val="2"/>
      </rPr>
      <t xml:space="preserve">  mit ordentlicher Franchise </t>
    </r>
  </si>
  <si>
    <t>Quelle: Formular EF2 [ 2.3]</t>
  </si>
  <si>
    <r>
      <t xml:space="preserve">T 1.04  Betriebsrechnung der Versicherungen </t>
    </r>
    <r>
      <rPr>
        <b/>
        <vertAlign val="superscript"/>
        <sz val="12"/>
        <rFont val="Arial"/>
        <family val="2"/>
      </rPr>
      <t>1</t>
    </r>
    <r>
      <rPr>
        <b/>
        <sz val="12"/>
        <rFont val="Arial"/>
        <family val="2"/>
      </rPr>
      <t xml:space="preserve">  mit wählbarer Franchise </t>
    </r>
  </si>
  <si>
    <t>Quelle: Formular EF2 [ 2.4]</t>
  </si>
  <si>
    <r>
      <t xml:space="preserve">T 1.05  Betriebsrechnung der BONUS-Versicherung </t>
    </r>
    <r>
      <rPr>
        <b/>
        <vertAlign val="superscript"/>
        <sz val="12"/>
        <rFont val="Arial"/>
        <family val="2"/>
      </rPr>
      <t>1</t>
    </r>
  </si>
  <si>
    <t>Quelle: Formular EF2 [Summe 2.5 bis 2.7]</t>
  </si>
  <si>
    <r>
      <t xml:space="preserve">T 1.06  Betriebsrechnung der Versicherungen </t>
    </r>
    <r>
      <rPr>
        <b/>
        <vertAlign val="superscript"/>
        <sz val="12"/>
        <rFont val="Arial"/>
        <family val="2"/>
      </rPr>
      <t>1</t>
    </r>
    <r>
      <rPr>
        <b/>
        <sz val="12"/>
        <rFont val="Arial"/>
        <family val="2"/>
      </rPr>
      <t xml:space="preserve">  mit eingeschränkter Wahl des Leistungserbringers </t>
    </r>
  </si>
  <si>
    <t xml:space="preserve">Prämien für Effektivkosten </t>
  </si>
  <si>
    <t xml:space="preserve">Prämien für Pauschalkosten </t>
  </si>
  <si>
    <t>Leistungen (Effektivkosten)</t>
  </si>
  <si>
    <t>Leistungen (Pauschalkosten)</t>
  </si>
  <si>
    <t>Rückstellungen für Pauschalkosten</t>
  </si>
  <si>
    <t>Leistungen (31.1 + 31.2)</t>
  </si>
  <si>
    <t>Kostenbeteiligung der Versicherten (32)    (-)</t>
  </si>
  <si>
    <t>Bezahlte Leistungen (30-33)</t>
  </si>
  <si>
    <t>1) Ohne Liechstenstein. Versichertenbestand : siehe T 11.13.</t>
  </si>
  <si>
    <t>2) GrenzgängerInnen, sowie ihre nichterwerbstätigen Familienangehörigen (Versicherte gemäss Art. 3 KVV).</t>
  </si>
  <si>
    <t>Quelle: Formular EF2 [T.E] &amp; EF1 [1.12]</t>
  </si>
  <si>
    <r>
      <t xml:space="preserve">T 1.07  Betriebsrechnung der obligatorischen Krankenpflegeversicherung Personen mit Wohnsitz in einem EG-Staat, in Island oder in Norwegen, inklusive GrenzgängerInnen </t>
    </r>
    <r>
      <rPr>
        <b/>
        <vertAlign val="superscript"/>
        <sz val="12"/>
        <rFont val="Arial"/>
        <family val="2"/>
      </rPr>
      <t>1</t>
    </r>
  </si>
  <si>
    <r>
      <t xml:space="preserve">Nur GrenzgängerInnen </t>
    </r>
    <r>
      <rPr>
        <b/>
        <vertAlign val="superscript"/>
        <sz val="12"/>
        <rFont val="Arial"/>
        <family val="2"/>
      </rPr>
      <t>2</t>
    </r>
  </si>
  <si>
    <t xml:space="preserve">Jahr </t>
  </si>
  <si>
    <r>
      <t xml:space="preserve">17.9.10: 5.01, 2.03, 2.05, </t>
    </r>
    <r>
      <rPr>
        <strike/>
        <sz val="8"/>
        <color indexed="10"/>
        <rFont val="55 Helvetica Roman"/>
      </rPr>
      <t>2.08</t>
    </r>
    <r>
      <rPr>
        <sz val="8"/>
        <color indexed="10"/>
        <rFont val="55 Helvetica Roman"/>
      </rPr>
      <t xml:space="preserve">, </t>
    </r>
    <r>
      <rPr>
        <strike/>
        <sz val="8"/>
        <color indexed="10"/>
        <rFont val="55 Helvetica Roman"/>
      </rPr>
      <t>11.16</t>
    </r>
  </si>
  <si>
    <t xml:space="preserve">16.8.10: 2.03*, 2.05*, 2.08*, 11.14*, 11.16* </t>
  </si>
  <si>
    <t>(* = provisorisch)</t>
  </si>
  <si>
    <t>10.11.10: 3.01 -&gt; 3.04, 1.09 -&gt; 1.13</t>
  </si>
  <si>
    <t>12.11.10: ,3.05-&gt;3.07,3.09-&gt;3.11*,3.12,2.20,2.21*</t>
  </si>
  <si>
    <t>– Anzahl Versicherer OKP</t>
  </si>
  <si>
    <t>T 11.08 Verteilung der Versicherungsformen in % nach Kanton - Erwachsene ab 19 Jahren</t>
  </si>
  <si>
    <t>Bonus Versicherung</t>
  </si>
  <si>
    <t>Andere Versicherungsformen (HMO, Hausarztmodell,…)</t>
  </si>
  <si>
    <t>Ordentliche Franchise (300 Fr.)</t>
  </si>
  <si>
    <t>Wählbare Franchise I (500 Fr.)</t>
  </si>
  <si>
    <t>Wählbare Franchise II (1000 Fr.)</t>
  </si>
  <si>
    <t>Wählbare Franchise III (1500 Fr.)</t>
  </si>
  <si>
    <t>Wählbare Franchise IV (2000 Fr.)</t>
  </si>
  <si>
    <t>Wählbare Franchise V (2500 Fr.)</t>
  </si>
  <si>
    <t>Wählbare Fran-chise VI (-)</t>
  </si>
  <si>
    <t>Versicherte mit ordentlicher Franchise</t>
  </si>
  <si>
    <t>Versicherte mit wählbarer Franchise</t>
  </si>
  <si>
    <t>* davon Versicherte mit HMO-Modell</t>
  </si>
  <si>
    <t>* davon Versicherte mit Hausarzt-modell</t>
  </si>
  <si>
    <t>Quelle: Formular EF3 [T 3.24]  (vollständige Daten)   (-&gt;2008: DATENPOOL santésuisse [Auswertung BAG])</t>
  </si>
  <si>
    <t>1) Die Zuteilung der Versicherten nach Versicherungsart erfolgt derart, dass die Versicherten der Kategorie „andere Versicherungsformen“ (HMO, Hausarztmodell…)</t>
  </si>
  <si>
    <t xml:space="preserve">    zugewiesen werden, falls sie eine Kombination dieser Form mit ordentlicher/wählbarer Franchise aufweisen.</t>
  </si>
  <si>
    <t xml:space="preserve">2) Personen mit Wohnsitz oder Aufenthalt im Ausland gemäss Art. 4 und 5 KVV, aber ohne Versicherte, die dem </t>
  </si>
  <si>
    <r>
      <t>Standardmodell</t>
    </r>
    <r>
      <rPr>
        <b/>
        <vertAlign val="superscript"/>
        <sz val="11"/>
        <rFont val="Arial"/>
        <family val="2"/>
      </rPr>
      <t xml:space="preserve"> 1</t>
    </r>
  </si>
  <si>
    <t>4) Durchschnittliche Wohnbevölkerung in einem bestimmten Gebiet nach wirtschaftlichem Wohnsitz.</t>
  </si>
  <si>
    <t xml:space="preserve">Quelle:  T 11.01, Statistik des Risikoausgleiches - Gemeinsame Einrichtung KVG, T 11.02, T 9.10 </t>
  </si>
  <si>
    <r>
      <t>T 11.04 Versichertenbestand und Wohnbevölkerung</t>
    </r>
    <r>
      <rPr>
        <b/>
        <vertAlign val="superscript"/>
        <sz val="12"/>
        <rFont val="Arial"/>
        <family val="2"/>
      </rPr>
      <t xml:space="preserve"> </t>
    </r>
    <r>
      <rPr>
        <b/>
        <sz val="12"/>
        <rFont val="Arial"/>
        <family val="2"/>
      </rPr>
      <t>ab 1999</t>
    </r>
  </si>
  <si>
    <r>
      <t xml:space="preserve">EF </t>
    </r>
    <r>
      <rPr>
        <vertAlign val="superscript"/>
        <sz val="11"/>
        <rFont val="Arial"/>
        <family val="2"/>
      </rPr>
      <t>1</t>
    </r>
  </si>
  <si>
    <r>
      <t xml:space="preserve">CDR </t>
    </r>
    <r>
      <rPr>
        <vertAlign val="superscript"/>
        <sz val="11"/>
        <rFont val="Arial"/>
        <family val="2"/>
      </rPr>
      <t>2</t>
    </r>
  </si>
  <si>
    <r>
      <t xml:space="preserve">EF </t>
    </r>
    <r>
      <rPr>
        <vertAlign val="superscript"/>
        <sz val="11"/>
        <rFont val="Arial"/>
        <family val="2"/>
      </rPr>
      <t>3</t>
    </r>
  </si>
  <si>
    <r>
      <t xml:space="preserve">rung BFS </t>
    </r>
    <r>
      <rPr>
        <vertAlign val="superscript"/>
        <sz val="11"/>
        <rFont val="Arial"/>
        <family val="2"/>
      </rPr>
      <t>4</t>
    </r>
  </si>
  <si>
    <t>T 8.01 Anzahl KVG Versicherer ab 1999</t>
  </si>
  <si>
    <t>A</t>
  </si>
  <si>
    <t>B</t>
  </si>
  <si>
    <t>C</t>
  </si>
  <si>
    <t>D</t>
  </si>
  <si>
    <t xml:space="preserve">Anzahl </t>
  </si>
  <si>
    <t>Zuwachs</t>
  </si>
  <si>
    <t>Abgang</t>
  </si>
  <si>
    <t>Obligatorische</t>
  </si>
  <si>
    <t>Freiwillige</t>
  </si>
  <si>
    <t>Krankenpflege-</t>
  </si>
  <si>
    <t>KVG</t>
  </si>
  <si>
    <t>1) A - C : Versicherer, die keine Versicherte in der freiwilligen Taggeldversicherung nach KVG haben.</t>
  </si>
  <si>
    <t>2) A - B : Versicherer, die keine obligatorische Krankenpflegeversicherung anbieten (reine Taggeldversicherer).</t>
  </si>
  <si>
    <t>Quelle: T 5.01; T 5.03; T 5.04</t>
  </si>
  <si>
    <r>
      <t xml:space="preserve">    Anzahl KVG-Versicherer </t>
    </r>
    <r>
      <rPr>
        <vertAlign val="superscript"/>
        <sz val="11"/>
        <rFont val="Arial"/>
        <family val="2"/>
      </rPr>
      <t>1 2</t>
    </r>
  </si>
  <si>
    <r>
      <t xml:space="preserve">OKP </t>
    </r>
    <r>
      <rPr>
        <b/>
        <i/>
        <sz val="11"/>
        <rFont val="Arial"/>
        <family val="2"/>
      </rPr>
      <t>und</t>
    </r>
  </si>
  <si>
    <t>T 8.02  Anzahl Versicherer OKP nach Versichertenbestand ab 1999</t>
  </si>
  <si>
    <t>T 8.03  Stellen, Personal und Löhne in der OKP ab 1999</t>
  </si>
  <si>
    <t xml:space="preserve"> Verwaltung / Hauptsitz</t>
  </si>
  <si>
    <t xml:space="preserve"> Sektionen / Agenturen </t>
  </si>
  <si>
    <t xml:space="preserve">         Total             </t>
  </si>
  <si>
    <t>Stellen</t>
  </si>
  <si>
    <t>pro Stelle</t>
  </si>
  <si>
    <t xml:space="preserve">(Hauptsitz und </t>
  </si>
  <si>
    <t>(total)</t>
  </si>
  <si>
    <t>Agenturen)</t>
  </si>
  <si>
    <t>copie coller valeurs</t>
  </si>
  <si>
    <t>1) Ab 2001, nur obligatorische Grundversicherung OKP.</t>
  </si>
  <si>
    <t>2) Mitglieder der Direktion und der Räte (Verwaltungsrat, Stiftungsrat…)</t>
  </si>
  <si>
    <t>3) Angaben unvollständig.</t>
  </si>
  <si>
    <t>4) Schätzungen aufgrund der Versicherer, die vollständige Angaben geliefert haben (2007-08-09: ~ 50 Versicherer)</t>
  </si>
  <si>
    <t>Quelle: Formular EF3 [3.10.3]</t>
  </si>
  <si>
    <r>
      <t>Jahr</t>
    </r>
    <r>
      <rPr>
        <vertAlign val="superscript"/>
        <sz val="11"/>
        <rFont val="Arial"/>
        <family val="2"/>
      </rPr>
      <t xml:space="preserve"> 1</t>
    </r>
  </si>
  <si>
    <r>
      <t xml:space="preserve">  Bruttogehälter in Mio. Fr. </t>
    </r>
    <r>
      <rPr>
        <u/>
        <vertAlign val="superscript"/>
        <sz val="9"/>
        <rFont val="Arial"/>
        <family val="2"/>
      </rPr>
      <t xml:space="preserve">3 </t>
    </r>
  </si>
  <si>
    <r>
      <t xml:space="preserve"> Mittleres Bruttogehalt in Fr. </t>
    </r>
    <r>
      <rPr>
        <u/>
        <vertAlign val="superscript"/>
        <sz val="9"/>
        <rFont val="Arial"/>
        <family val="2"/>
      </rPr>
      <t>4</t>
    </r>
  </si>
  <si>
    <r>
      <t xml:space="preserve">davon Kader </t>
    </r>
    <r>
      <rPr>
        <i/>
        <vertAlign val="superscript"/>
        <sz val="9"/>
        <rFont val="Arial"/>
        <family val="2"/>
      </rPr>
      <t>2</t>
    </r>
  </si>
  <si>
    <r>
      <t xml:space="preserve">(Kader </t>
    </r>
    <r>
      <rPr>
        <vertAlign val="superscript"/>
        <sz val="9"/>
        <rFont val="Arial"/>
        <family val="2"/>
      </rPr>
      <t>2</t>
    </r>
    <r>
      <rPr>
        <sz val="9"/>
        <rFont val="Arial"/>
        <family val="2"/>
      </rPr>
      <t>)</t>
    </r>
  </si>
  <si>
    <t>Anzahl Versicherer OKP nach Versichertenbestand ab 1999</t>
  </si>
  <si>
    <t>Stellen, Personal und Löhne in der OKP ab 1999</t>
  </si>
  <si>
    <t>801-812</t>
  </si>
  <si>
    <t xml:space="preserve">Versicherte </t>
  </si>
  <si>
    <t>Prämienvolumen</t>
  </si>
  <si>
    <t>Versicherte mit</t>
  </si>
  <si>
    <t>pro Betreibung</t>
  </si>
  <si>
    <t>sistierten</t>
  </si>
  <si>
    <t>pro Versicherten</t>
  </si>
  <si>
    <t xml:space="preserve"> mit sistierten Leis-</t>
  </si>
  <si>
    <t>Quelle: Formular EF3 [3.10.4]</t>
  </si>
  <si>
    <t xml:space="preserve">1) Anzahl Versicherte, die im betrachteten Jahr betrieben wurden sowie das den Betreibungen unterliegende Prämienvolumen, </t>
  </si>
  <si>
    <t xml:space="preserve">     unabhängig davon, ob die Prämien schlussendlich durch das Betreibungsverfahren eingebracht werden konnten. </t>
  </si>
  <si>
    <t xml:space="preserve">    Daten teilweise unvollständig (siehe Punkt 2).</t>
  </si>
  <si>
    <t>2) Schätzungen aufgrund der Versicherer, die vollständige Angaben &lt;&gt; 0 geliefert haben (Versicherer: 2005-&gt;2009: 70-75-82-79-75).</t>
  </si>
  <si>
    <t>3)  „Versicherte mit sistierten Leistungen“ sind Versicherte für die ein Leistungsstopp verhängt wurde, weil sie ihre Prämien nicht bezahlt haben.</t>
  </si>
  <si>
    <t xml:space="preserve">     Angegeben ist auch das Total der ausstehenden Prämien dieser Versicherten in Franken. </t>
  </si>
  <si>
    <t xml:space="preserve">     Personen, die Militärdienst leisten und deshalb sistiert wurden, sind in dieser Tabelle nicht aufzuführt.</t>
  </si>
  <si>
    <t xml:space="preserve">     Daten teilweise unvollständig (siehe Punkt 4).</t>
  </si>
  <si>
    <t>4) Schätzungen aufgrund der Versicherer, die vollständige Angaben &lt;&gt; 0 geliefert haben (Versicherer: 2005-&gt;2009: 22-50-56-53-57).</t>
  </si>
  <si>
    <r>
      <t>T 11.11  Zahlungsausstände für OKP-Prämien</t>
    </r>
    <r>
      <rPr>
        <b/>
        <vertAlign val="superscript"/>
        <sz val="12"/>
        <rFont val="Arial"/>
        <family val="2"/>
      </rPr>
      <t xml:space="preserve"> </t>
    </r>
    <r>
      <rPr>
        <b/>
        <sz val="12"/>
        <rFont val="Arial"/>
        <family val="2"/>
      </rPr>
      <t>ab 1999</t>
    </r>
  </si>
  <si>
    <r>
      <t xml:space="preserve">mit Betreibung </t>
    </r>
    <r>
      <rPr>
        <vertAlign val="superscript"/>
        <sz val="11"/>
        <rFont val="Arial"/>
        <family val="2"/>
      </rPr>
      <t>1</t>
    </r>
  </si>
  <si>
    <r>
      <t xml:space="preserve"> in Franken </t>
    </r>
    <r>
      <rPr>
        <i/>
        <vertAlign val="superscript"/>
        <sz val="11"/>
        <rFont val="Arial"/>
        <family val="2"/>
      </rPr>
      <t>2</t>
    </r>
  </si>
  <si>
    <r>
      <t xml:space="preserve"> Leistungen </t>
    </r>
    <r>
      <rPr>
        <vertAlign val="superscript"/>
        <sz val="11"/>
        <rFont val="Arial"/>
        <family val="2"/>
      </rPr>
      <t>3</t>
    </r>
  </si>
  <si>
    <r>
      <t xml:space="preserve"> tungen in Franken </t>
    </r>
    <r>
      <rPr>
        <i/>
        <vertAlign val="superscript"/>
        <sz val="11"/>
        <rFont val="Arial"/>
        <family val="2"/>
      </rPr>
      <t>4</t>
    </r>
  </si>
  <si>
    <t>11: Versicherte in der OKP</t>
  </si>
  <si>
    <t>Durchschnittlicher Versichertenbestand ab 1999</t>
  </si>
  <si>
    <t>Versichertenbestand per 31.12. ab 1999</t>
  </si>
  <si>
    <t>Versichertenbestand nach Wohnkanton per 31.12.</t>
  </si>
  <si>
    <t>Versichertenbestand und Wohnbevölkerung ab 1999</t>
  </si>
  <si>
    <t>Versichertenbestand per 31.12 nach Versicherungsform ab 1999</t>
  </si>
  <si>
    <t>Versichertenbestand nach Versicherungsform per 31.12.</t>
  </si>
  <si>
    <t>Aufteilung der Versicherten (Kinder und Erwachsene) nach Versicherungsform ab 1999</t>
  </si>
  <si>
    <t>Verteilung der Versicherungsformen in % nach Kanton - Versicherte ab 19 Jahren</t>
  </si>
  <si>
    <t>Verteilung der Versicherungsformen in % nach Kanton - Kinder 0 - 18 Jahre</t>
  </si>
  <si>
    <t xml:space="preserve">Versicherteneintritte KVG nach Alter und Geschlecht </t>
  </si>
  <si>
    <t>Zahlungsausstände für OKP-Prämien ab 1999</t>
  </si>
  <si>
    <t>Versichertenbestand nach Geschlecht am 1.1.</t>
  </si>
  <si>
    <t>Durchschnittlicher Versichertenbestand KVG und Durchschnittsalter nach Geschlecht</t>
  </si>
  <si>
    <t>Durchschnittlicher Versichertenbestand nach Kantonen</t>
  </si>
  <si>
    <t>Durchschnittlicher Versichertenbestand nach Altersgruppen und Geschlecht</t>
  </si>
  <si>
    <t xml:space="preserve">Durchschnittlicher Versichertenbestand nach Versicherungsform </t>
  </si>
  <si>
    <t>Anzahl Versicherte OKP nach Grösse der Versicherer ab 1999</t>
  </si>
  <si>
    <r>
      <t xml:space="preserve">Zusätzliche Angaben : nach Altersgruppe (Total) </t>
    </r>
    <r>
      <rPr>
        <b/>
        <vertAlign val="superscript"/>
        <sz val="12"/>
        <rFont val="Arial"/>
        <family val="2"/>
      </rPr>
      <t>2</t>
    </r>
  </si>
  <si>
    <r>
      <t xml:space="preserve">T 2.20  </t>
    </r>
    <r>
      <rPr>
        <b/>
        <sz val="12"/>
        <color indexed="10"/>
        <rFont val="Arial"/>
        <family val="2"/>
      </rPr>
      <t>Leistungen (netto)</t>
    </r>
    <r>
      <rPr>
        <b/>
        <sz val="12"/>
        <rFont val="Arial"/>
        <family val="2"/>
      </rPr>
      <t xml:space="preserve"> </t>
    </r>
    <r>
      <rPr>
        <b/>
        <vertAlign val="superscript"/>
        <sz val="12"/>
        <rFont val="Arial"/>
        <family val="2"/>
      </rPr>
      <t xml:space="preserve">1 </t>
    </r>
    <r>
      <rPr>
        <b/>
        <sz val="12"/>
        <rFont val="Arial"/>
        <family val="2"/>
      </rPr>
      <t xml:space="preserve"> in Mio. Franken nach Versicherungsform ab 1999</t>
    </r>
  </si>
  <si>
    <t>1) Leistungen (netto) = bezahlte Leistungen der Versicherer = Leistungen (brutto) der Versicherer minus Kostenbeteiligungen der Versicherten.</t>
  </si>
  <si>
    <t>Quelle: 2009 -&gt; : T 2.08   /  1996 -&gt; 2008 : T 2.20 / T 11.01 und T 11.05</t>
  </si>
  <si>
    <t>2) 1996 -&gt; 2008: Schätzung des mittleren Versichertenbestandes (ausgenommen Spalte Total) aufgrund der Aufteilung der Versicherten per 31.12 in T 11.05</t>
  </si>
  <si>
    <t>Quelle: 2008 -&gt; : T 2.12 (vollständige Daten)  /  1997-&gt;2007: DATENPOOL santésuisse [Auswertung BAG]</t>
  </si>
  <si>
    <r>
      <t xml:space="preserve">T 2.21  </t>
    </r>
    <r>
      <rPr>
        <b/>
        <sz val="12"/>
        <color indexed="10"/>
        <rFont val="Arial"/>
        <family val="2"/>
      </rPr>
      <t>Leistungen (netto)</t>
    </r>
    <r>
      <rPr>
        <b/>
        <sz val="12"/>
        <rFont val="Arial"/>
        <family val="2"/>
      </rPr>
      <t xml:space="preserve"> </t>
    </r>
    <r>
      <rPr>
        <b/>
        <vertAlign val="superscript"/>
        <sz val="12"/>
        <rFont val="Arial"/>
        <family val="2"/>
      </rPr>
      <t>1</t>
    </r>
    <r>
      <rPr>
        <b/>
        <sz val="12"/>
        <rFont val="Arial"/>
        <family val="2"/>
      </rPr>
      <t xml:space="preserve">  in Franken je versicherte Person nach Versicherungsform ab 1999</t>
    </r>
  </si>
  <si>
    <t xml:space="preserve">Quelle: Formular EF3 [T 3.19 / T 3.13] </t>
  </si>
  <si>
    <t>4) Berücksichtigt nur die bei dem Versicherer eingereichten Rechnungen</t>
  </si>
  <si>
    <t xml:space="preserve">Quelle: Formular EF3 [T 3.22 / T 3.13] </t>
  </si>
  <si>
    <r>
      <t xml:space="preserve">T 2.24  Leistungen (brutto) </t>
    </r>
    <r>
      <rPr>
        <b/>
        <vertAlign val="superscript"/>
        <sz val="12"/>
        <rFont val="Arial"/>
        <family val="2"/>
      </rPr>
      <t xml:space="preserve">4  </t>
    </r>
    <r>
      <rPr>
        <b/>
        <sz val="12"/>
        <rFont val="Arial"/>
        <family val="2"/>
      </rPr>
      <t>in Fr. pro Versicherten nach Versicherungsform</t>
    </r>
  </si>
  <si>
    <r>
      <t xml:space="preserve">4) Leistungen (brutto) = Leistungen der Versicherer in der OKP </t>
    </r>
    <r>
      <rPr>
        <b/>
        <sz val="10"/>
        <rFont val="Arial"/>
        <family val="2"/>
      </rPr>
      <t>mit</t>
    </r>
    <r>
      <rPr>
        <sz val="10"/>
        <rFont val="Arial"/>
        <family val="2"/>
      </rPr>
      <t xml:space="preserve"> Kostenbeteiligung durch die Versicherten.</t>
    </r>
  </si>
  <si>
    <t xml:space="preserve">Quelle : CH : T 1.01   /  Kantone : 2009 -&gt; : T 3.13 (vollständige Daten)   /  -&gt; 2008: DATENPOOL santésuisse [Auswertung BAG] </t>
  </si>
  <si>
    <r>
      <t xml:space="preserve">T 3.08  </t>
    </r>
    <r>
      <rPr>
        <b/>
        <sz val="12"/>
        <color indexed="10"/>
        <rFont val="Arial"/>
        <family val="2"/>
      </rPr>
      <t>Prämiensoll</t>
    </r>
    <r>
      <rPr>
        <b/>
        <sz val="12"/>
        <rFont val="Arial"/>
        <family val="2"/>
      </rPr>
      <t xml:space="preserve"> in Franken je versicherte Person </t>
    </r>
    <r>
      <rPr>
        <b/>
        <vertAlign val="superscript"/>
        <sz val="12"/>
        <rFont val="Arial"/>
        <family val="2"/>
      </rPr>
      <t xml:space="preserve">1 </t>
    </r>
    <r>
      <rPr>
        <b/>
        <sz val="12"/>
        <rFont val="Arial"/>
        <family val="2"/>
      </rPr>
      <t xml:space="preserve"> </t>
    </r>
    <r>
      <rPr>
        <b/>
        <sz val="12"/>
        <color indexed="10"/>
        <rFont val="Arial"/>
        <family val="2"/>
      </rPr>
      <t>nach Kantonen</t>
    </r>
    <r>
      <rPr>
        <b/>
        <sz val="12"/>
        <rFont val="Arial"/>
        <family val="2"/>
      </rPr>
      <t xml:space="preserve"> ab 1999</t>
    </r>
  </si>
  <si>
    <t xml:space="preserve">Quelle: Formular EF3 [T 3.16 / T 3.13] </t>
  </si>
  <si>
    <r>
      <t>T 3.11</t>
    </r>
    <r>
      <rPr>
        <b/>
        <sz val="12"/>
        <rFont val="Arial"/>
        <family val="2"/>
      </rPr>
      <t xml:space="preserve">  Prämiensoll in Fr. pro Versicherten nach Versicherungsform</t>
    </r>
  </si>
  <si>
    <r>
      <t>T 2.23</t>
    </r>
    <r>
      <rPr>
        <b/>
        <sz val="12"/>
        <rFont val="Arial"/>
        <family val="2"/>
      </rPr>
      <t xml:space="preserve"> Kostenbeteiligung </t>
    </r>
    <r>
      <rPr>
        <b/>
        <vertAlign val="superscript"/>
        <sz val="12"/>
        <rFont val="Arial"/>
        <family val="2"/>
      </rPr>
      <t xml:space="preserve">4  </t>
    </r>
    <r>
      <rPr>
        <b/>
        <sz val="12"/>
        <rFont val="Arial"/>
        <family val="2"/>
      </rPr>
      <t>in Fr. pro Versicherten nach Versicherungsform</t>
    </r>
  </si>
  <si>
    <t>Quelle: 2009 -&gt; T 3.11   (-&gt; 2008: T 3.10 / T 11.01 und T 11.05)</t>
  </si>
  <si>
    <t xml:space="preserve">Quelle: 2009 -&gt; T 3.13  (vollständige Daten)  / 1997-&gt;2008: DATENPOOL santésuisse [Auswertung BAG] </t>
  </si>
  <si>
    <t>1) 1996 -&gt; 2008: Schätzung des mittleren Versichertenbestandes (ausgenommen Spalte Total) aufgrund der Aufteilung der Versicherten per 31.12. in T 11.05</t>
  </si>
  <si>
    <r>
      <t xml:space="preserve">T 3.13  </t>
    </r>
    <r>
      <rPr>
        <b/>
        <sz val="12"/>
        <color indexed="10"/>
        <rFont val="Arial"/>
        <family val="2"/>
      </rPr>
      <t>Prämiensoll</t>
    </r>
    <r>
      <rPr>
        <b/>
        <sz val="12"/>
        <rFont val="Arial"/>
        <family val="2"/>
      </rPr>
      <t xml:space="preserve"> </t>
    </r>
    <r>
      <rPr>
        <b/>
        <vertAlign val="superscript"/>
        <sz val="12"/>
        <rFont val="Arial"/>
        <family val="2"/>
      </rPr>
      <t xml:space="preserve">1 </t>
    </r>
    <r>
      <rPr>
        <b/>
        <sz val="12"/>
        <rFont val="Arial"/>
        <family val="2"/>
      </rPr>
      <t xml:space="preserve"> in Fr. pro Versicherten nach Kantonen</t>
    </r>
  </si>
  <si>
    <t>Quelle : 2009-&gt; : T 3.14 / T 11.14 (vollständige Daten)  /   -&gt;2008: DATENPOOL santésuisse [Auswertung BAG]</t>
  </si>
  <si>
    <r>
      <t xml:space="preserve">T 3.14  </t>
    </r>
    <r>
      <rPr>
        <b/>
        <sz val="12"/>
        <color indexed="10"/>
        <rFont val="Arial"/>
        <family val="2"/>
      </rPr>
      <t>Prämiensoll</t>
    </r>
    <r>
      <rPr>
        <b/>
        <sz val="12"/>
        <rFont val="Arial"/>
        <family val="2"/>
      </rPr>
      <t xml:space="preserve"> </t>
    </r>
    <r>
      <rPr>
        <b/>
        <vertAlign val="superscript"/>
        <sz val="12"/>
        <rFont val="Arial"/>
        <family val="2"/>
      </rPr>
      <t>1</t>
    </r>
    <r>
      <rPr>
        <b/>
        <sz val="12"/>
        <rFont val="Arial"/>
        <family val="2"/>
      </rPr>
      <t xml:space="preserve">  in Fr. nach Kantonen</t>
    </r>
  </si>
  <si>
    <t>T 3.15  Prämiensoll nach Altersgruppen und Geschlecht in Mio. Fr.</t>
  </si>
  <si>
    <t xml:space="preserve">Quelle: Formular EF3 [T 3.14] </t>
  </si>
  <si>
    <t>3: Prämientarife in der OKP</t>
  </si>
  <si>
    <t>Monatliche Durchschnittsprämien ab 1996 : CH</t>
  </si>
  <si>
    <t>Kantonale monatliche Durchschnittsprämien für Erwachsene pro Prämienregion 2011</t>
  </si>
  <si>
    <t>Kantonale monatliche Durchschnittsprämien für junge Erwachsene pro Prämienregion 2011</t>
  </si>
  <si>
    <t>Kantonale monatliche Durchschnittsprämien für Kinder pro Prämienregion 2011</t>
  </si>
  <si>
    <t>Verteilung der kantonalen monatlichen Durchschnittsprämien für Erwachsene 2011</t>
  </si>
  <si>
    <t>Verteilung der kantonalen monatlichen Durchschnittsprämien für junge Erwachsene 2011</t>
  </si>
  <si>
    <t>Verteilung der kantonalen monatlichen Durchschnittsprämien für Kinder 2011</t>
  </si>
  <si>
    <t>Prämiensoll pro Versicherten nach Kantonen ab 1999</t>
  </si>
  <si>
    <t>Prämiensoll nach Versicherungsform ab 1999</t>
  </si>
  <si>
    <t xml:space="preserve">Prämiensoll nach Versicherungsform </t>
  </si>
  <si>
    <t>Prämiensoll je versicherte Person nach Versicherungsform</t>
  </si>
  <si>
    <r>
      <t xml:space="preserve">davon KVG-Leistungen von Zahnärzten </t>
    </r>
    <r>
      <rPr>
        <i/>
        <vertAlign val="superscript"/>
        <sz val="11"/>
        <rFont val="Arial"/>
        <family val="2"/>
      </rPr>
      <t>5</t>
    </r>
  </si>
  <si>
    <r>
      <t xml:space="preserve">davon Transport- und Rettungskosten </t>
    </r>
    <r>
      <rPr>
        <i/>
        <vertAlign val="superscript"/>
        <sz val="11"/>
        <rFont val="Arial"/>
        <family val="2"/>
      </rPr>
      <t>5</t>
    </r>
  </si>
  <si>
    <t>T 2.19  Leistungen (brutto) in Franken je versicherte Person nach Kostengruppen</t>
  </si>
  <si>
    <t>Quelle: T 2.17 / T 11.01</t>
  </si>
  <si>
    <t xml:space="preserve">24.8.10: 1.01-&gt;1.08, 2.17, 2.19, 6.01-&gt;6.06, </t>
  </si>
  <si>
    <t xml:space="preserve">                7.01-&gt;7.05, 8.04-&gt;8.12</t>
  </si>
  <si>
    <t>CH</t>
  </si>
  <si>
    <t>Publikation 2007</t>
  </si>
  <si>
    <t>Statistik der obligatorischen Krankenversicherung 2009</t>
  </si>
  <si>
    <t>13.8.10: B2, 5.04</t>
  </si>
  <si>
    <t>Beilage B2</t>
  </si>
  <si>
    <t>STAT KV: Berichte: PDF 1996-2008, Tabellen: XLS 1996-2008, Grafiken: XLS 2005-2008 auf der Internet-Adresse</t>
  </si>
  <si>
    <t xml:space="preserve">Übergangsschlüssel Tabellen 2008 -&gt; 2009 / 2009 -&gt; 2008             </t>
  </si>
  <si>
    <t>Übergangsschlüssel Tabellen  2009 -&gt; 1996</t>
  </si>
  <si>
    <t>Finanzierung des Gesundheitswesens in der Schweiz aus der Sicht der sozialen Sicherheit ab 1998</t>
  </si>
  <si>
    <t>Finanzierung des Gesundheitswesens in der Schweiz nach Direktzahler ab 1998</t>
  </si>
  <si>
    <t>Kosten des Gesundheitswesens in der Schweiz nach Leistungserbringer ab 1998</t>
  </si>
  <si>
    <t>Kosten des Gesundheitswesens in der Schweiz nach Leistungen ab 1998</t>
  </si>
  <si>
    <t>Finanzierung des Gesundheitswesens in der Schweiz aus der Sicht der Volkswirtschaft und Kosten pro Einwohner ab 1998</t>
  </si>
  <si>
    <t>Index der Krankenpflegekosten, der Krankenversicherungsausgaben der Versicherten sowie der Löhne ab 1996</t>
  </si>
  <si>
    <t>T 9.19  Gesundheitskosten ausgewählter OECD–Länder ab 1998</t>
  </si>
  <si>
    <t>A.  Gesundheitskosten ausgewählter OECD–Länder in % des BIP</t>
  </si>
  <si>
    <t>Land</t>
  </si>
  <si>
    <t>Australien</t>
  </si>
  <si>
    <t>Belgien</t>
  </si>
  <si>
    <t>Dänemark</t>
  </si>
  <si>
    <t>Deutschland</t>
  </si>
  <si>
    <t>Finnland</t>
  </si>
  <si>
    <t>Frankreich</t>
  </si>
  <si>
    <t>Grossbritannien</t>
  </si>
  <si>
    <t>Italien</t>
  </si>
  <si>
    <t>Japan</t>
  </si>
  <si>
    <t>Niederlande</t>
  </si>
  <si>
    <t>Norwegen</t>
  </si>
  <si>
    <t>Österreich</t>
  </si>
  <si>
    <t>Schweden</t>
  </si>
  <si>
    <t>Spanien</t>
  </si>
  <si>
    <t>USA</t>
  </si>
  <si>
    <t>Schweiz *</t>
  </si>
  <si>
    <t>1) 2009: Schätzung BAG. Quelle: Kosten T 9.01 / BIP BFS.</t>
  </si>
  <si>
    <t xml:space="preserve">2) nur die Kosten im Zusammenhang mit der obligatorischen Krankenpflegeversicherung, also Bruttoleistungen (bezahlte </t>
  </si>
  <si>
    <t xml:space="preserve">     Leistungen und Kostenbeteiligung) sowie Verwaltungskosten und Abschreibungen der KVG-Versicherer. Quelle: T 1.01 / BIP BFS.</t>
  </si>
  <si>
    <t>3) Umrechnung von US$ in CHF mit dem Kurs des betrachteten Jahres.</t>
  </si>
  <si>
    <t xml:space="preserve">Quelle : www.oecd.org et www.ecosante.org  OECD Health Data 2010 Version: October 2010    </t>
  </si>
  <si>
    <t xml:space="preserve">Topics &gt; OECD &gt; Series available &gt; expenditure on health &gt;  total and current expenditure on health  &gt; total expenditure on health, </t>
  </si>
  <si>
    <t>% gross domestic product,    /capita, national currency unit,    /capita, US$ exchange rate</t>
  </si>
  <si>
    <r>
      <t xml:space="preserve">Schweiz * </t>
    </r>
    <r>
      <rPr>
        <b/>
        <vertAlign val="superscript"/>
        <sz val="11"/>
        <rFont val="Arial"/>
        <family val="2"/>
      </rPr>
      <t>1</t>
    </r>
  </si>
  <si>
    <r>
      <t xml:space="preserve">* davon Kosten OKP </t>
    </r>
    <r>
      <rPr>
        <b/>
        <i/>
        <vertAlign val="superscript"/>
        <sz val="11"/>
        <rFont val="Arial"/>
        <family val="2"/>
      </rPr>
      <t>2</t>
    </r>
  </si>
  <si>
    <r>
      <t xml:space="preserve">B. Gesundheitskosten ausgewählter OECD–Länder in CHF pro Person </t>
    </r>
    <r>
      <rPr>
        <b/>
        <vertAlign val="superscript"/>
        <sz val="12"/>
        <rFont val="Arial"/>
        <family val="2"/>
      </rPr>
      <t>3</t>
    </r>
  </si>
  <si>
    <t>Gesundheitskosten ausgewählter OECD–Länder ab 1998</t>
  </si>
  <si>
    <r>
      <t xml:space="preserve">T 9.05 Finanzierung des Gesundheitswesens in der Schweiz aus der Sicht der Volkswirtschaft </t>
    </r>
    <r>
      <rPr>
        <b/>
        <vertAlign val="superscript"/>
        <sz val="12"/>
        <rFont val="Arial"/>
        <family val="2"/>
      </rPr>
      <t>5</t>
    </r>
    <r>
      <rPr>
        <b/>
        <sz val="12"/>
        <rFont val="Arial"/>
        <family val="2"/>
      </rPr>
      <t xml:space="preserve"> in Mio. Fr. und Kosten pro Einwohner in Fr. ab 1998</t>
    </r>
  </si>
  <si>
    <r>
      <t xml:space="preserve">T 9.04  Kosten des Gesundheitswesens in der Schweiz nach Leistungen </t>
    </r>
    <r>
      <rPr>
        <b/>
        <vertAlign val="superscript"/>
        <sz val="12"/>
        <rFont val="Arial"/>
        <family val="2"/>
      </rPr>
      <t>6</t>
    </r>
    <r>
      <rPr>
        <b/>
        <sz val="12"/>
        <rFont val="Arial"/>
        <family val="2"/>
      </rPr>
      <t xml:space="preserve"> in Mio. Fr. ab 1998</t>
    </r>
  </si>
  <si>
    <r>
      <t>T 9.03  Kosten des Gesundheitswesens in der Schweiz nach Leistungserbringer</t>
    </r>
    <r>
      <rPr>
        <b/>
        <vertAlign val="superscript"/>
        <sz val="12"/>
        <rFont val="Arial"/>
        <family val="2"/>
      </rPr>
      <t xml:space="preserve"> 8</t>
    </r>
    <r>
      <rPr>
        <b/>
        <sz val="12"/>
        <rFont val="Arial"/>
        <family val="2"/>
      </rPr>
      <t xml:space="preserve"> in Mio. Fr. ab 1998</t>
    </r>
  </si>
  <si>
    <r>
      <t xml:space="preserve">T 9.02  Finanzierung des Gesundheitswesens in der Schweiz nach Direktzahler </t>
    </r>
    <r>
      <rPr>
        <b/>
        <vertAlign val="superscript"/>
        <sz val="12"/>
        <rFont val="Arial"/>
        <family val="2"/>
      </rPr>
      <t>6</t>
    </r>
    <r>
      <rPr>
        <b/>
        <sz val="12"/>
        <rFont val="Arial"/>
        <family val="2"/>
      </rPr>
      <t xml:space="preserve"> in Mio. Fr. ab 1998</t>
    </r>
  </si>
  <si>
    <r>
      <t xml:space="preserve">T 9.01  Finanzierung des Gesundheitswesens in der Schweiz aus der Sicht der sozialen Sicherheit </t>
    </r>
    <r>
      <rPr>
        <b/>
        <vertAlign val="superscript"/>
        <sz val="12"/>
        <rFont val="Arial"/>
        <family val="2"/>
      </rPr>
      <t>6</t>
    </r>
    <r>
      <rPr>
        <b/>
        <sz val="12"/>
        <rFont val="Arial"/>
        <family val="2"/>
      </rPr>
      <t xml:space="preserve"> in Mio. Fr. ab 1998</t>
    </r>
  </si>
  <si>
    <r>
      <t xml:space="preserve">1.3.11: 1.01, </t>
    </r>
    <r>
      <rPr>
        <strike/>
        <sz val="8"/>
        <color indexed="10"/>
        <rFont val="55 Helvetica Roman"/>
      </rPr>
      <t>9.21</t>
    </r>
    <r>
      <rPr>
        <sz val="8"/>
        <color indexed="10"/>
        <rFont val="55 Helvetica Roman"/>
      </rPr>
      <t>, 9.20</t>
    </r>
  </si>
  <si>
    <t>901-920</t>
  </si>
  <si>
    <t>Beilage J</t>
  </si>
  <si>
    <t>Übergangsschlüssel Tabellen *  2009 -&gt; 1996</t>
  </si>
  <si>
    <t>Publikation 2009</t>
  </si>
  <si>
    <t>Beilage B: Übergangsschlüssel Tabellen T  2008 -&gt; 2009 / 2009 -&gt; 2008</t>
  </si>
  <si>
    <t>8.03 &amp; 8.13</t>
  </si>
  <si>
    <t>9.11</t>
  </si>
  <si>
    <t>11.11</t>
  </si>
  <si>
    <t>4.01 &amp; 4.07</t>
  </si>
  <si>
    <t>4.02 &amp; 4.06</t>
  </si>
  <si>
    <t>(131 Tabellen)</t>
  </si>
  <si>
    <t>Neuheiten im Jahr 2009 (29)</t>
  </si>
  <si>
    <t>nicht vorhanden</t>
  </si>
  <si>
    <t>Daten pro Kanton (27)</t>
  </si>
  <si>
    <t>Übergangsschlüssel Tabellen 2009 -&gt; 1996 : siehe Beilage B1 Version STAT KV 2009 Tabellen XLS auf dem www.</t>
  </si>
  <si>
    <t>2.11.10: 4.01-&gt;4.09, 5.03, 5.05, J</t>
  </si>
  <si>
    <t xml:space="preserve">T 4.07 KVG-Verteilmodell: Berechnungsbasis sowie Bundes- und Kantonsbeiträge </t>
  </si>
  <si>
    <t>Mittlere</t>
  </si>
  <si>
    <t>Grenz-</t>
  </si>
  <si>
    <t>Wohnbe-</t>
  </si>
  <si>
    <t>Bundes-</t>
  </si>
  <si>
    <t>Kantons-</t>
  </si>
  <si>
    <t>* davon Anteil</t>
  </si>
  <si>
    <t>völkerung</t>
  </si>
  <si>
    <t>beiträge</t>
  </si>
  <si>
    <t>Beiträge *</t>
  </si>
  <si>
    <t>und Grenz-</t>
  </si>
  <si>
    <t>gänger</t>
  </si>
  <si>
    <t>Quelle: Bundesbeiträge: KVG-Verteilmodell für das Jahr 2009 / Kantonsbeiträge: Formular PV1.</t>
  </si>
  <si>
    <t xml:space="preserve">1) Mittlere Wohnbevölkerung 2007 [Durchschnittliche Wohnbevölkerung in einem bestimmten Gebiet nach wirtschaftlichem Wohnsitz; </t>
  </si>
  <si>
    <t xml:space="preserve">  Quelle: BFS Sektion Bevölkerungsentwicklung] + versicherte Grenzgänger 2007 und deren Familienangehörige [Quelle: EF S{3} 2007].</t>
  </si>
  <si>
    <t>2)  Ab 1.1.2008 wird die Prämienverbilligung nach der Neugestaltung des Finanzausgleichs und der Aufgabenteilung</t>
  </si>
  <si>
    <t xml:space="preserve">     zwischen Bund und Kantonen (NFA) berechnet. Vgl. Erläuterungen im Anhang H.</t>
  </si>
  <si>
    <r>
      <t xml:space="preserve">gänger </t>
    </r>
    <r>
      <rPr>
        <vertAlign val="superscript"/>
        <sz val="11"/>
        <rFont val="Arial"/>
        <family val="2"/>
      </rPr>
      <t>1</t>
    </r>
  </si>
  <si>
    <r>
      <t xml:space="preserve">völkerung </t>
    </r>
    <r>
      <rPr>
        <vertAlign val="superscript"/>
        <sz val="11"/>
        <rFont val="Arial"/>
        <family val="2"/>
      </rPr>
      <t>1</t>
    </r>
  </si>
  <si>
    <r>
      <t xml:space="preserve">in Fr. </t>
    </r>
    <r>
      <rPr>
        <b/>
        <vertAlign val="superscript"/>
        <sz val="11"/>
        <rFont val="Arial"/>
        <family val="2"/>
      </rPr>
      <t>2</t>
    </r>
  </si>
  <si>
    <t>T 4.08 Prämienverbilligung OKP : effektiv ausgerichtete Beiträge nach Kantonen</t>
  </si>
  <si>
    <t>Beiträge</t>
  </si>
  <si>
    <t>nach KVG</t>
  </si>
  <si>
    <t>* in %</t>
  </si>
  <si>
    <t>der Durch-</t>
  </si>
  <si>
    <t>und früher</t>
  </si>
  <si>
    <t>in Fr. *</t>
  </si>
  <si>
    <t>schnittsprämie</t>
  </si>
  <si>
    <t>Quelle: Formular PV1 &amp; T 3.08 &amp; T 4.02 &amp; T 4.04 &amp; T 4.07</t>
  </si>
  <si>
    <t>1) Effektiv im Berichtsjahr an die Haushalte/Bezüger ausbezahlte Prämienverbilligungen nach KVG. Bund und Kantone.</t>
  </si>
  <si>
    <t>Publikation 2003</t>
  </si>
  <si>
    <t>Publikation 2004</t>
  </si>
  <si>
    <t>A 01</t>
  </si>
  <si>
    <t>A 02 A</t>
  </si>
  <si>
    <t>A 02 B</t>
  </si>
  <si>
    <t>A 03 A</t>
  </si>
  <si>
    <t>A 03 B</t>
  </si>
  <si>
    <t>A 04 A</t>
  </si>
  <si>
    <t>A 04 B</t>
  </si>
  <si>
    <t>A 05 A</t>
  </si>
  <si>
    <t>A 05 B</t>
  </si>
  <si>
    <t>A 06</t>
  </si>
  <si>
    <t>A 07</t>
  </si>
  <si>
    <t>A 08 A</t>
  </si>
  <si>
    <t>A 08 B</t>
  </si>
  <si>
    <t>A 09 A</t>
  </si>
  <si>
    <t>A 09 B</t>
  </si>
  <si>
    <t>A 10</t>
  </si>
  <si>
    <t>A 11</t>
  </si>
  <si>
    <t>A 12 A</t>
  </si>
  <si>
    <t>A 12 B</t>
  </si>
  <si>
    <t>A 13 B</t>
  </si>
  <si>
    <t>A 13 A</t>
  </si>
  <si>
    <t>B 01</t>
  </si>
  <si>
    <t>B 02</t>
  </si>
  <si>
    <t>B 03 A</t>
  </si>
  <si>
    <t>B 03 B</t>
  </si>
  <si>
    <t>B 04 A</t>
  </si>
  <si>
    <t>B 04 B</t>
  </si>
  <si>
    <t>B 05 A</t>
  </si>
  <si>
    <t>B 05 B</t>
  </si>
  <si>
    <t>B 06 A</t>
  </si>
  <si>
    <t>B 06 B</t>
  </si>
  <si>
    <t>B 07 A</t>
  </si>
  <si>
    <t>B 07 B</t>
  </si>
  <si>
    <t>B 08 A</t>
  </si>
  <si>
    <t>B 08 B</t>
  </si>
  <si>
    <t>B 09 A</t>
  </si>
  <si>
    <t>EF3  T 3.7.1</t>
  </si>
  <si>
    <t>= [ 3A ] / [ 2 ] * 100</t>
  </si>
  <si>
    <t>= [ 7B ] - [ 8B ]</t>
  </si>
  <si>
    <t>EF3  T 3.7.2</t>
  </si>
  <si>
    <t>EF2 Konten 40-47 + 48 K+U Seiten 2.2 -&gt; 2.7</t>
  </si>
  <si>
    <t>= [ 10A ] / [ 2 ]</t>
  </si>
  <si>
    <t>EF3  T 3.4</t>
  </si>
  <si>
    <t xml:space="preserve">EF2 Konto Gesamtbetriebsergebnis Krankheit + Unfall Seiten 2.2 -&gt; 2.7 </t>
  </si>
  <si>
    <t>= [ 6A ] / [ 2 ]</t>
  </si>
  <si>
    <t>EF 1.4 Konto 270</t>
  </si>
  <si>
    <t>EF3  T 3.6</t>
  </si>
  <si>
    <t>= [ 12A ] / [ 2 ]</t>
  </si>
  <si>
    <t>= [ 7A ] / [ 2 ]</t>
  </si>
  <si>
    <t>= [ 12A ] / [ 9A ] * 100 in %</t>
  </si>
  <si>
    <t>EF3  T 3.6 / [ 2 ]</t>
  </si>
  <si>
    <t>EF 1.5 Konten 290 + 290.9</t>
  </si>
  <si>
    <t>EF3 T 3.6 / [ 2 ]</t>
  </si>
  <si>
    <t>= [ 13A ] / [ 2 ]</t>
  </si>
  <si>
    <t>EF2 Konto 32 K+U Seiten 2.2 -&gt; 2.7</t>
  </si>
  <si>
    <t>= [ 13A ] / [ 6A ] * 100 in %</t>
  </si>
  <si>
    <r>
      <t xml:space="preserve">– Leistungen (brutto) </t>
    </r>
    <r>
      <rPr>
        <vertAlign val="superscript"/>
        <sz val="11"/>
        <rFont val="Arial"/>
        <family val="2"/>
      </rPr>
      <t>1</t>
    </r>
    <r>
      <rPr>
        <sz val="11"/>
        <rFont val="Arial"/>
        <family val="2"/>
      </rPr>
      <t xml:space="preserve"> pro Versicherte(n) in Fr.</t>
    </r>
  </si>
  <si>
    <r>
      <t xml:space="preserve">– Bezahlte Leistungen </t>
    </r>
    <r>
      <rPr>
        <vertAlign val="superscript"/>
        <sz val="11"/>
        <rFont val="Arial"/>
        <family val="2"/>
      </rPr>
      <t>2</t>
    </r>
    <r>
      <rPr>
        <sz val="11"/>
        <rFont val="Arial"/>
        <family val="2"/>
      </rPr>
      <t xml:space="preserve"> pro Versicherten in  Fr.</t>
    </r>
  </si>
  <si>
    <r>
      <t xml:space="preserve">– Leistungen (brutto) </t>
    </r>
    <r>
      <rPr>
        <vertAlign val="superscript"/>
        <sz val="11"/>
        <rFont val="Arial"/>
        <family val="2"/>
      </rPr>
      <t>1</t>
    </r>
    <r>
      <rPr>
        <sz val="11"/>
        <rFont val="Arial"/>
        <family val="2"/>
      </rPr>
      <t xml:space="preserve"> in Mio. Fr.</t>
    </r>
  </si>
  <si>
    <r>
      <t xml:space="preserve">– Bezahlte Leistungen </t>
    </r>
    <r>
      <rPr>
        <vertAlign val="superscript"/>
        <sz val="11"/>
        <rFont val="Arial"/>
        <family val="2"/>
      </rPr>
      <t xml:space="preserve">2  </t>
    </r>
    <r>
      <rPr>
        <sz val="11"/>
        <rFont val="Arial"/>
        <family val="2"/>
      </rPr>
      <t>in Mio. Fr.</t>
    </r>
  </si>
  <si>
    <r>
      <t xml:space="preserve">– Rückstellungenquote </t>
    </r>
    <r>
      <rPr>
        <vertAlign val="superscript"/>
        <sz val="11"/>
        <rFont val="Arial"/>
        <family val="2"/>
      </rPr>
      <t>3</t>
    </r>
    <r>
      <rPr>
        <sz val="11"/>
        <rFont val="Arial"/>
        <family val="2"/>
      </rPr>
      <t xml:space="preserve"> per 31.12. in %</t>
    </r>
  </si>
  <si>
    <r>
      <t xml:space="preserve">– Reservequote </t>
    </r>
    <r>
      <rPr>
        <vertAlign val="superscript"/>
        <sz val="11"/>
        <rFont val="Arial"/>
        <family val="2"/>
      </rPr>
      <t>4</t>
    </r>
    <r>
      <rPr>
        <sz val="11"/>
        <rFont val="Arial"/>
        <family val="2"/>
      </rPr>
      <t xml:space="preserve"> per 31.12. in %</t>
    </r>
  </si>
  <si>
    <t>Kontengruppen</t>
  </si>
  <si>
    <r>
      <t xml:space="preserve">davon Transport- und Rettungskosten </t>
    </r>
    <r>
      <rPr>
        <i/>
        <vertAlign val="superscript"/>
        <sz val="11"/>
        <rFont val="Arial"/>
        <family val="2"/>
      </rPr>
      <t>6</t>
    </r>
  </si>
  <si>
    <r>
      <t xml:space="preserve">davon KVG-Leistungen von Zahnärzten </t>
    </r>
    <r>
      <rPr>
        <i/>
        <vertAlign val="superscript"/>
        <sz val="11"/>
        <rFont val="Arial"/>
        <family val="2"/>
      </rPr>
      <t>6</t>
    </r>
  </si>
  <si>
    <r>
      <t xml:space="preserve">Übrige Leistungen ambulant </t>
    </r>
    <r>
      <rPr>
        <vertAlign val="superscript"/>
        <sz val="11"/>
        <rFont val="Arial"/>
        <family val="2"/>
      </rPr>
      <t>5 6</t>
    </r>
  </si>
  <si>
    <t>6) Kategorien "KVG-Leistungen von Zahnärzten" und "Transport- und Rettungskosten" gehören zur Kategorie "Übrige Leistungen ambulant".</t>
  </si>
  <si>
    <t>PROVITA Gesundheitsversicherung AG</t>
  </si>
  <si>
    <t>Forderungen von Subventionen, Prämienverbilligung, Risikoausgleich und anderen Beiträgen</t>
  </si>
  <si>
    <t>Vorausbezahlte Versicherungsleistungen, Regress und Rückerstattungsansprüche</t>
  </si>
  <si>
    <t>Übrige Forderungen und aktive Rechnungsabgrenzung</t>
  </si>
  <si>
    <t>Anlagevermögen</t>
  </si>
  <si>
    <t>Kapitalanlagen</t>
  </si>
  <si>
    <t>– Kapitalanlagen brutto</t>
  </si>
  <si>
    <t xml:space="preserve">– Wertberichtigung </t>
  </si>
  <si>
    <t>– Grundstücke und Gebäude brutto</t>
  </si>
  <si>
    <t>– Wertberichtigung</t>
  </si>
  <si>
    <t>Betriebseinrichtungen und Fahrzeuge</t>
  </si>
  <si>
    <t>– Betriebseinrichtungen und Fahrzeuge brutto</t>
  </si>
  <si>
    <t>Total Aktiven</t>
  </si>
  <si>
    <t>Quelle: Formular EF1 [3]</t>
  </si>
  <si>
    <t xml:space="preserve">T 8.06  Gesamtbetriebsrechnung: Aufwand der Versicherer </t>
  </si>
  <si>
    <t>Kostenbeteiligung der Versicherten</t>
  </si>
  <si>
    <t>30 – 33</t>
  </si>
  <si>
    <t>Veränderung der Rückstellungen für unerledigte Versicherungsfälle / versicherungstechnische Rückstellungen</t>
  </si>
  <si>
    <t>30 – 35</t>
  </si>
  <si>
    <t>Leistungsanteile der Rückversicherer</t>
  </si>
  <si>
    <t>– Personalaufwand inkl. Sozialleistungen</t>
  </si>
  <si>
    <t>– Verwaltungsräumlichkeiten und Betriebseinrichtungen</t>
  </si>
  <si>
    <t>– EDV-Kosten</t>
  </si>
  <si>
    <t>– Versicherungsprämien und Verbandsbeiträge</t>
  </si>
  <si>
    <t>– Marketing und Werbung inkl. Provisionen KVG</t>
  </si>
  <si>
    <t>– Marketing und Werbung inkl. Provisionen VVG</t>
  </si>
  <si>
    <t>– Übriger Verwaltungsaufwand</t>
  </si>
  <si>
    <t xml:space="preserve"> - Medikamente: Kostenermittlung bei rund 200 Medikamenten in den 10 umsatzstärksten Behandlungskategorien</t>
  </si>
  <si>
    <t xml:space="preserve"> - Ärztliche Leistungen: Gewichtung nach 26 kantonalen Indizes; </t>
  </si>
  <si>
    <t xml:space="preserve">   für jeden Kanton werden die 30 umsatzstärksten Tarifpositionen ermittelt </t>
  </si>
  <si>
    <t xml:space="preserve"> - Spitalleistungen: Gewichtung nach 26 kantonalen Indizes unter Berücksichtigung der Tarife für stationäre und ambulante Dienste.</t>
  </si>
  <si>
    <t xml:space="preserve">   Betrachtet wurden öffentliche und private Akutspitäler und Psychiatrieeinrichtungen.</t>
  </si>
  <si>
    <t xml:space="preserve"> - Medizinische Geräte: Kostenermittlung nach den typischen Leistungen in den Bereichen Augenoptik (Brillen und </t>
  </si>
  <si>
    <t xml:space="preserve">   Kontaktlinsen in 16 Gemeinden), Hörgeräte (Kostenfeststellung nach den 6 - nach BAG-Tarif - meistverkauften Geräten)</t>
  </si>
  <si>
    <t xml:space="preserve">  und andere medizinische Geräte (z.B. Gehhilfen, Stützen usw.)</t>
  </si>
  <si>
    <t xml:space="preserve"> - Andere Gesundheitsleistungen: Kostenermittlung nach den typischen Leistungen in den Bereichen Physiotherapie, Labor und Spitex. </t>
  </si>
  <si>
    <t>Quelle: BFS, Sektion Preise.</t>
  </si>
  <si>
    <r>
      <t xml:space="preserve">T 9.12  Entwicklung der Preisindizes für Gesundheitspflege ab 1999  (1996 = 100) </t>
    </r>
    <r>
      <rPr>
        <b/>
        <vertAlign val="superscript"/>
        <sz val="12"/>
        <rFont val="Arial"/>
        <family val="2"/>
      </rPr>
      <t>1</t>
    </r>
  </si>
  <si>
    <t>T 9.13 Index der Krankenversicherungsprämien je versicherte Person nach Versicherungsart ab 1999 (Basis 1999 = 100)</t>
  </si>
  <si>
    <t xml:space="preserve">Kinder </t>
  </si>
  <si>
    <t>(ganze CH)</t>
  </si>
  <si>
    <t>Veränderung gegenüber dem Vorjahr</t>
  </si>
  <si>
    <t>Einfluss auf das</t>
  </si>
  <si>
    <t>verfügbares</t>
  </si>
  <si>
    <t>Einkommen</t>
  </si>
  <si>
    <t>1) Auswirkung der Prämienentwicklung auf das Wachstum des verfügbaren Einkommens der Haushalte in %. Quelle: Siehe 3).</t>
  </si>
  <si>
    <t>3) Quelle: BFS, Sektion Preise. Krankenversicherungsprämienindex (KVPI) [Medienmitteilung 12/10].</t>
  </si>
  <si>
    <r>
      <t xml:space="preserve">Obligatorische Krankenpflegeversicherung (OKP) </t>
    </r>
    <r>
      <rPr>
        <b/>
        <vertAlign val="superscript"/>
        <sz val="11"/>
        <rFont val="Arial"/>
        <family val="2"/>
      </rPr>
      <t>2</t>
    </r>
  </si>
  <si>
    <r>
      <t xml:space="preserve">Spitalzusatzversicherungen </t>
    </r>
    <r>
      <rPr>
        <b/>
        <vertAlign val="superscript"/>
        <sz val="11"/>
        <rFont val="Arial"/>
        <family val="2"/>
      </rPr>
      <t>3</t>
    </r>
  </si>
  <si>
    <r>
      <t xml:space="preserve">in %  </t>
    </r>
    <r>
      <rPr>
        <vertAlign val="superscript"/>
        <sz val="10"/>
        <rFont val="Arial"/>
        <family val="2"/>
      </rPr>
      <t>1</t>
    </r>
  </si>
  <si>
    <r>
      <t xml:space="preserve">2010 </t>
    </r>
    <r>
      <rPr>
        <vertAlign val="superscript"/>
        <sz val="11"/>
        <rFont val="Arial"/>
        <family val="2"/>
      </rPr>
      <t>4</t>
    </r>
  </si>
  <si>
    <r>
      <t xml:space="preserve">2) Quelle: T 3.12. </t>
    </r>
    <r>
      <rPr>
        <u/>
        <sz val="10"/>
        <rFont val="55 Helvetica Roman"/>
      </rPr>
      <t>Effektive</t>
    </r>
    <r>
      <rPr>
        <sz val="10"/>
        <rFont val="55 Helvetica Roman"/>
      </rPr>
      <t xml:space="preserve"> Erhöhungen für alle Versicherungsmodelle.</t>
    </r>
  </si>
  <si>
    <r>
      <t xml:space="preserve">Werte der </t>
    </r>
    <r>
      <rPr>
        <u/>
        <sz val="10"/>
        <rFont val="Arial"/>
        <family val="2"/>
      </rPr>
      <t>geschätzten</t>
    </r>
    <r>
      <rPr>
        <sz val="10"/>
        <rFont val="Arial"/>
        <family val="2"/>
      </rPr>
      <t xml:space="preserve"> Erhöhung der Prämien pro Altersgruppe für die ordentliche Franchise: vgl. T 3.01.</t>
    </r>
  </si>
  <si>
    <r>
      <t xml:space="preserve">4) OKP: </t>
    </r>
    <r>
      <rPr>
        <i/>
        <sz val="10"/>
        <rFont val="Arial"/>
        <family val="2"/>
      </rPr>
      <t>Schätzung :</t>
    </r>
    <r>
      <rPr>
        <sz val="10"/>
        <rFont val="Arial"/>
        <family val="2"/>
      </rPr>
      <t xml:space="preserve"> Quelle: Siehe 3). Siehe auch Beilage J (Schätzung, pro Versicherte Person).</t>
    </r>
  </si>
  <si>
    <t xml:space="preserve"> - Zahnärztliche Leistungen: Kostenermittlung von 11 typischen Leistungsarten in 16 Gemeinden bei ca. 50 Zahnärzten</t>
  </si>
  <si>
    <t>Datenstand: 8.1.10</t>
  </si>
  <si>
    <t>Datenstand: 6.12.10</t>
  </si>
  <si>
    <t>Alle Versicherte</t>
  </si>
  <si>
    <t>Quelle: T 3.12 + 2.02</t>
  </si>
  <si>
    <t>Zusätzliche Angaben : nach Altersgruppe (Total)</t>
  </si>
  <si>
    <r>
      <t xml:space="preserve">T 9.15 Totaler Beitrag je versicherte Person (Prämie + Kostenbeteiligung </t>
    </r>
    <r>
      <rPr>
        <b/>
        <vertAlign val="superscript"/>
        <sz val="12"/>
        <rFont val="Arial"/>
        <family val="2"/>
      </rPr>
      <t xml:space="preserve">1 </t>
    </r>
    <r>
      <rPr>
        <b/>
        <sz val="12"/>
        <rFont val="Arial"/>
        <family val="2"/>
      </rPr>
      <t>) nach Versicherungsform ab 1999</t>
    </r>
  </si>
  <si>
    <t>T 9.14 Index der Krankenpflegekosten, der Krankenversicherungsausgaben der Versicherten sowie der Löhne ab 1996  (1996 = 100)</t>
  </si>
  <si>
    <t>Pflege-</t>
  </si>
  <si>
    <t>Gesundheits-</t>
  </si>
  <si>
    <t>OKP-</t>
  </si>
  <si>
    <t>BFS-Lohn-</t>
  </si>
  <si>
    <t>kosten-</t>
  </si>
  <si>
    <t>wesen Kosten-</t>
  </si>
  <si>
    <t>index</t>
  </si>
  <si>
    <t>OKP</t>
  </si>
  <si>
    <t>(nominal)</t>
  </si>
  <si>
    <t>1) Quelle: T 2.15. Entwicklung der Leistungen pro Versicherte(n) (erfasst mit der Kostenbeteiligung der Versicherten).</t>
  </si>
  <si>
    <t>3) Quelle: T 9.15. OKP Ausgaben = Prämien + Kostenbeteiligung (berücksichtigt nur die bei dem Versicherer eingereichten Rechnungen).</t>
  </si>
  <si>
    <t>4) Quelle: T 2.02. Berücksichtigt nur die bei dem Versicherer eingereichten Rechnungen.</t>
  </si>
  <si>
    <t>5) Quelle: BFS, Sektion Löhne und Arbeitsbedingungen.</t>
  </si>
  <si>
    <t>6) Quelle: T 3.12. Entwicklung pro versicherte Person für alle Versicherungsmodelle.</t>
  </si>
  <si>
    <r>
      <t xml:space="preserve">index </t>
    </r>
    <r>
      <rPr>
        <vertAlign val="superscript"/>
        <sz val="11"/>
        <rFont val="Arial"/>
        <family val="2"/>
      </rPr>
      <t>5</t>
    </r>
  </si>
  <si>
    <r>
      <t xml:space="preserve">index </t>
    </r>
    <r>
      <rPr>
        <vertAlign val="superscript"/>
        <sz val="11"/>
        <rFont val="Arial"/>
        <family val="2"/>
      </rPr>
      <t>2</t>
    </r>
  </si>
  <si>
    <r>
      <t xml:space="preserve">OKP </t>
    </r>
    <r>
      <rPr>
        <vertAlign val="superscript"/>
        <sz val="11"/>
        <rFont val="Arial"/>
        <family val="2"/>
      </rPr>
      <t>1</t>
    </r>
  </si>
  <si>
    <r>
      <t xml:space="preserve">Index </t>
    </r>
    <r>
      <rPr>
        <vertAlign val="superscript"/>
        <sz val="11"/>
        <rFont val="Arial"/>
        <family val="2"/>
      </rPr>
      <t>6</t>
    </r>
  </si>
  <si>
    <r>
      <t xml:space="preserve">Index </t>
    </r>
    <r>
      <rPr>
        <vertAlign val="superscript"/>
        <sz val="11"/>
        <rFont val="Arial"/>
        <family val="2"/>
      </rPr>
      <t>4</t>
    </r>
  </si>
  <si>
    <r>
      <t xml:space="preserve">2) Quelle: T 9.05. Entwicklung pro Einwohner. </t>
    </r>
    <r>
      <rPr>
        <i/>
        <sz val="10"/>
        <rFont val="Arial"/>
        <family val="2"/>
      </rPr>
      <t>2009: Schätzung [KOF, Medienmitteilung 11/10].</t>
    </r>
  </si>
  <si>
    <r>
      <t>T 9.2</t>
    </r>
    <r>
      <rPr>
        <b/>
        <sz val="12"/>
        <color indexed="10"/>
        <rFont val="Arial"/>
        <family val="2"/>
      </rPr>
      <t>0</t>
    </r>
    <r>
      <rPr>
        <b/>
        <sz val="12"/>
        <rFont val="Arial"/>
        <family val="2"/>
      </rPr>
      <t xml:space="preserve">  Erkrankte, Spitaleinweisungen und Spitaltage</t>
    </r>
  </si>
  <si>
    <r>
      <t xml:space="preserve">(0-18 Jahre) </t>
    </r>
    <r>
      <rPr>
        <vertAlign val="superscript"/>
        <sz val="11"/>
        <rFont val="Arial"/>
        <family val="2"/>
      </rPr>
      <t>4</t>
    </r>
  </si>
  <si>
    <r>
      <t xml:space="preserve">(19-25 Jahre) </t>
    </r>
    <r>
      <rPr>
        <vertAlign val="superscript"/>
        <sz val="11"/>
        <rFont val="Arial"/>
        <family val="2"/>
      </rPr>
      <t>3</t>
    </r>
  </si>
  <si>
    <r>
      <t xml:space="preserve">– </t>
    </r>
    <r>
      <rPr>
        <i/>
        <sz val="11"/>
        <rFont val="Arial"/>
        <family val="2"/>
      </rPr>
      <t>Aktienkapital</t>
    </r>
  </si>
  <si>
    <r>
      <t xml:space="preserve">– </t>
    </r>
    <r>
      <rPr>
        <i/>
        <sz val="11"/>
        <rFont val="Arial"/>
        <family val="2"/>
      </rPr>
      <t>Reserven Oblig. Krankenpflegeversicherung EG und EFTA (ohne Liechtenstein)</t>
    </r>
  </si>
  <si>
    <r>
      <t xml:space="preserve">– </t>
    </r>
    <r>
      <rPr>
        <i/>
        <sz val="11"/>
        <rFont val="Arial"/>
        <family val="2"/>
      </rPr>
      <t xml:space="preserve">Reserven Oblig. Krankenpflegeversicherung (ohne Konto 290.5) </t>
    </r>
  </si>
  <si>
    <r>
      <t xml:space="preserve">– </t>
    </r>
    <r>
      <rPr>
        <i/>
        <sz val="11"/>
        <rFont val="Arial"/>
        <family val="2"/>
      </rPr>
      <t xml:space="preserve">Oblig. Krankenpflegevers. (ohne Kto. 270.2 und 270.3)  </t>
    </r>
  </si>
  <si>
    <r>
      <t xml:space="preserve">– </t>
    </r>
    <r>
      <rPr>
        <i/>
        <sz val="11"/>
        <rFont val="Arial"/>
        <family val="2"/>
      </rPr>
      <t>Nicht versicherungstechnische Rückstellungen KVG</t>
    </r>
  </si>
  <si>
    <r>
      <t xml:space="preserve">– </t>
    </r>
    <r>
      <rPr>
        <i/>
        <sz val="11"/>
        <rFont val="Arial"/>
        <family val="2"/>
      </rPr>
      <t>Oblig. Krankenpflegevers. (effektive Kosten gemäss Verordnung (EWG) Nr. 574/72 Art. 93)</t>
    </r>
  </si>
  <si>
    <r>
      <t xml:space="preserve">– </t>
    </r>
    <r>
      <rPr>
        <i/>
        <sz val="11"/>
        <rFont val="Arial"/>
        <family val="2"/>
      </rPr>
      <t>Oblig. Krankenpflegevers. (Pauschalkosten gem. Verordnung (EWG) Nr. 574/72 Art. 94 und 95)</t>
    </r>
  </si>
  <si>
    <t>Ärzte:</t>
  </si>
  <si>
    <t>Dichte der</t>
  </si>
  <si>
    <t>Medika-</t>
  </si>
  <si>
    <t>Apo-</t>
  </si>
  <si>
    <t>Wohn-</t>
  </si>
  <si>
    <t>Allge-</t>
  </si>
  <si>
    <t>Spezial-</t>
  </si>
  <si>
    <t>Ärzte mit</t>
  </si>
  <si>
    <t>Apothe-</t>
  </si>
  <si>
    <t>menten-</t>
  </si>
  <si>
    <t>theken-</t>
  </si>
  <si>
    <t>bevölke-</t>
  </si>
  <si>
    <t>mein-</t>
  </si>
  <si>
    <t>ärzte</t>
  </si>
  <si>
    <t>Praxistä-</t>
  </si>
  <si>
    <t>Datenstand: 20.12.10</t>
  </si>
  <si>
    <t>1) Durchschnittliche Wohnbevölkerung in einem bestimmten Gebiet nach wirtschaftlichem Wohnsitz.</t>
  </si>
  <si>
    <t xml:space="preserve">    Quelle: BFS Sektion Bevölkerungsentwicklung</t>
  </si>
  <si>
    <t>2) Summe der Ärzte (mit Praxistätigkeit) mit Facharzttitel in Allgemeinmedizin und der Ärzte (mit Praxistätigkeit) ohne Facharzttitel.</t>
  </si>
  <si>
    <t xml:space="preserve">     Inklusiv Fachärzte für innere Medizin, die als Grundversorger tätig sind.</t>
  </si>
  <si>
    <t>3) Ohne Fachärzte für innere Medizin, die als Grundversorger tätig sind.</t>
  </si>
  <si>
    <t>4) Quelle: FMH, Ärztestatistik.</t>
  </si>
  <si>
    <t xml:space="preserve">    Ab 2008 ohne die Ärzte, die weder im ambulanten noch im stationären Sektor arbeiten (Versicherungen, Bundesverwaltung usw.).</t>
  </si>
  <si>
    <t>5) Anzahl Ärzte mit Praxistätigkeit pro 1'000 Einwohner.</t>
  </si>
  <si>
    <t>6) Quelle: pharmaSuisse, Schweizerischer Apothekerverein SAV.</t>
  </si>
  <si>
    <t>7) Anzahl Apotheken (Öffentliche Apotheken) pro 10'000 Einwohner.</t>
  </si>
  <si>
    <t>8) Selbstdispensation (Medikamentenverkauf durch Ärzte) : 1 flächendeckend im Kanton / 2 Mischformen /  3 reines Rezeptursystem.</t>
  </si>
  <si>
    <t xml:space="preserve">     Quelle : pharmaSuisse, Schweizerischer Apothekerverein SAV.</t>
  </si>
  <si>
    <r>
      <t xml:space="preserve">T 9.09  Wohnbevölkerung, Ärzte mit Praxistätigkeit </t>
    </r>
    <r>
      <rPr>
        <b/>
        <sz val="12"/>
        <rFont val="Arial"/>
        <family val="2"/>
      </rPr>
      <t xml:space="preserve">und Apotheken nach Kantonen </t>
    </r>
  </si>
  <si>
    <r>
      <t xml:space="preserve">Ärzte </t>
    </r>
    <r>
      <rPr>
        <vertAlign val="superscript"/>
        <sz val="11"/>
        <rFont val="Arial"/>
        <family val="2"/>
      </rPr>
      <t>5</t>
    </r>
  </si>
  <si>
    <r>
      <t>ken</t>
    </r>
    <r>
      <rPr>
        <vertAlign val="superscript"/>
        <sz val="11"/>
        <rFont val="Arial"/>
        <family val="2"/>
      </rPr>
      <t xml:space="preserve"> 6</t>
    </r>
  </si>
  <si>
    <r>
      <t xml:space="preserve">verkauf </t>
    </r>
    <r>
      <rPr>
        <vertAlign val="superscript"/>
        <sz val="11"/>
        <rFont val="Arial"/>
        <family val="2"/>
      </rPr>
      <t>8</t>
    </r>
  </si>
  <si>
    <r>
      <t xml:space="preserve">dichte </t>
    </r>
    <r>
      <rPr>
        <vertAlign val="superscript"/>
        <sz val="11"/>
        <rFont val="Arial"/>
        <family val="2"/>
      </rPr>
      <t>7</t>
    </r>
  </si>
  <si>
    <r>
      <t xml:space="preserve">rung </t>
    </r>
    <r>
      <rPr>
        <vertAlign val="superscript"/>
        <sz val="11"/>
        <rFont val="Arial"/>
        <family val="2"/>
      </rPr>
      <t>1</t>
    </r>
  </si>
  <si>
    <r>
      <t xml:space="preserve">praktiker </t>
    </r>
    <r>
      <rPr>
        <vertAlign val="superscript"/>
        <sz val="11"/>
        <rFont val="Arial"/>
        <family val="2"/>
      </rPr>
      <t>2</t>
    </r>
  </si>
  <si>
    <r>
      <t xml:space="preserve">FMH </t>
    </r>
    <r>
      <rPr>
        <vertAlign val="superscript"/>
        <sz val="11"/>
        <rFont val="Arial"/>
        <family val="2"/>
      </rPr>
      <t>3</t>
    </r>
  </si>
  <si>
    <r>
      <t xml:space="preserve">tigkeit </t>
    </r>
    <r>
      <rPr>
        <vertAlign val="superscript"/>
        <sz val="11"/>
        <rFont val="Arial"/>
        <family val="2"/>
      </rPr>
      <t>4</t>
    </r>
  </si>
  <si>
    <t>T 9.10  Entwicklung der Wohnbevölkerung, der Ärzte mit Praxistätigkeit und der Apotheken ab 1999</t>
  </si>
  <si>
    <t>Datenstand : 20.12.10</t>
  </si>
  <si>
    <t>1) Quelle: T 9.09.</t>
  </si>
  <si>
    <t xml:space="preserve">   Ab 2008 ohne die Ärzte, die weder im ambulanten noch im stationären Sektor arbeiten (Versicherungen, Bundesverwaltung usw.).</t>
  </si>
  <si>
    <t>2) Anzahl Ärzte mit Praxistätigkeit pro 1'000 Einwohner.</t>
  </si>
  <si>
    <t>3) Veränderung der Dichte.</t>
  </si>
  <si>
    <t>4) Anzahl Apotheken (Öffentliche Apotheken) pro 10'000 Einwohner.</t>
  </si>
  <si>
    <r>
      <t xml:space="preserve">Veränd. </t>
    </r>
    <r>
      <rPr>
        <vertAlign val="superscript"/>
        <sz val="11"/>
        <rFont val="Arial"/>
        <family val="2"/>
      </rPr>
      <t>3</t>
    </r>
  </si>
  <si>
    <r>
      <t xml:space="preserve">Ärzte </t>
    </r>
    <r>
      <rPr>
        <vertAlign val="superscript"/>
        <sz val="11"/>
        <rFont val="Arial"/>
        <family val="2"/>
      </rPr>
      <t>1</t>
    </r>
  </si>
  <si>
    <r>
      <t xml:space="preserve">Ärzte </t>
    </r>
    <r>
      <rPr>
        <vertAlign val="superscript"/>
        <sz val="11"/>
        <rFont val="Arial"/>
        <family val="2"/>
      </rPr>
      <t>2</t>
    </r>
  </si>
  <si>
    <r>
      <t xml:space="preserve">ken </t>
    </r>
    <r>
      <rPr>
        <vertAlign val="superscript"/>
        <sz val="11"/>
        <rFont val="Arial"/>
        <family val="2"/>
      </rPr>
      <t>1</t>
    </r>
  </si>
  <si>
    <r>
      <t xml:space="preserve">dichte </t>
    </r>
    <r>
      <rPr>
        <vertAlign val="superscript"/>
        <sz val="11"/>
        <rFont val="Arial"/>
        <family val="2"/>
      </rPr>
      <t>4</t>
    </r>
  </si>
  <si>
    <t>Umlaufvermögen</t>
  </si>
  <si>
    <t>Flüssige Mittel</t>
  </si>
  <si>
    <t>Forderungen bei Versicherten</t>
  </si>
  <si>
    <t>– Forderungen bei Versicherten brutto</t>
  </si>
  <si>
    <t xml:space="preserve">– Wertberichtigung / Delkredere </t>
  </si>
  <si>
    <t>Forderungen bei Partnern</t>
  </si>
  <si>
    <t>– Forderungen bei Partnern brutto</t>
  </si>
  <si>
    <t>– Wertberichtigung / Delkredere</t>
  </si>
  <si>
    <t>Forderungen bei Rückversicherern</t>
  </si>
  <si>
    <t>B 09 B</t>
  </si>
  <si>
    <t>B 10 A</t>
  </si>
  <si>
    <t>B 10 B</t>
  </si>
  <si>
    <t>B 11 A</t>
  </si>
  <si>
    <t>B 11 B</t>
  </si>
  <si>
    <t>B 12 A</t>
  </si>
  <si>
    <t>B 12 B</t>
  </si>
  <si>
    <t>B 13 A</t>
  </si>
  <si>
    <t>B 13 B</t>
  </si>
  <si>
    <t>B 14</t>
  </si>
  <si>
    <t>B 15</t>
  </si>
  <si>
    <t>B 16</t>
  </si>
  <si>
    <t>B 17</t>
  </si>
  <si>
    <t>B 18</t>
  </si>
  <si>
    <t>C 01 A</t>
  </si>
  <si>
    <t>C 01 B</t>
  </si>
  <si>
    <t>Publikation 2006</t>
  </si>
  <si>
    <t>Sektion Statistik und Mathematik</t>
  </si>
  <si>
    <t>© Bundesamt für Gesundheit (BAG)</t>
  </si>
  <si>
    <t>nicht mehr</t>
  </si>
  <si>
    <t>Neuer</t>
  </si>
  <si>
    <t>Neue</t>
  </si>
  <si>
    <t>Neues</t>
  </si>
  <si>
    <t>Zusammenschluss oder Transfer mit</t>
  </si>
  <si>
    <t>Nr.</t>
  </si>
  <si>
    <t>in der</t>
  </si>
  <si>
    <t>Versicherer</t>
  </si>
  <si>
    <t>Namen</t>
  </si>
  <si>
    <t>BAG-Nr. / Versicherer</t>
  </si>
  <si>
    <t>gebiet</t>
  </si>
  <si>
    <t>Total</t>
  </si>
  <si>
    <r>
      <t xml:space="preserve">BAG-Liste </t>
    </r>
    <r>
      <rPr>
        <vertAlign val="superscript"/>
        <sz val="10"/>
        <rFont val="Arial"/>
        <family val="2"/>
      </rPr>
      <t>1</t>
    </r>
  </si>
  <si>
    <t xml:space="preserve"> www.bag.admin.ch/pyramiden            </t>
  </si>
  <si>
    <t>G 03 B</t>
  </si>
  <si>
    <t>G 04</t>
  </si>
  <si>
    <t>G 06</t>
  </si>
  <si>
    <t>Beilagen F1-&gt;F3</t>
  </si>
  <si>
    <t>Entwicklung der Franchisen, Prämienrabatte und Selbstbehalte und Zunahme der Gesamtausgaben ab 1996</t>
  </si>
  <si>
    <t>Krankenkasse Embd</t>
  </si>
  <si>
    <t>Krankenkasse Lötschental</t>
  </si>
  <si>
    <t>Krankenkasse Stalden</t>
  </si>
  <si>
    <t>Krankenkasse Staldenried</t>
  </si>
  <si>
    <t>Krankenkasse Cervino</t>
  </si>
  <si>
    <t>Visana</t>
  </si>
  <si>
    <t>Tätigkeits-</t>
  </si>
  <si>
    <t>Auszugsweiser Abdruck unter Quellenangabe (Name der Publikation, Jahr, Nummer der Tabelle) gestattet.</t>
  </si>
  <si>
    <r>
      <t xml:space="preserve">T 2.03 Leistungen (netto) </t>
    </r>
    <r>
      <rPr>
        <b/>
        <vertAlign val="superscript"/>
        <sz val="12"/>
        <rFont val="Arial"/>
        <family val="2"/>
      </rPr>
      <t xml:space="preserve">1 2 </t>
    </r>
    <r>
      <rPr>
        <b/>
        <sz val="12"/>
        <rFont val="Arial"/>
        <family val="2"/>
      </rPr>
      <t xml:space="preserve"> pro Versicherten nach Kantonen in Franken ab 1999</t>
    </r>
  </si>
  <si>
    <r>
      <t xml:space="preserve">    Leistungen (netto) = bezahlte Leistungen der Versicherer </t>
    </r>
    <r>
      <rPr>
        <b/>
        <sz val="10"/>
        <rFont val="Arial"/>
        <family val="2"/>
      </rPr>
      <t>ohne</t>
    </r>
    <r>
      <rPr>
        <sz val="10"/>
        <rFont val="Arial"/>
        <family val="2"/>
      </rPr>
      <t xml:space="preserve"> Kostenbeteiligungen der Versicherten.</t>
    </r>
  </si>
  <si>
    <t>Index der Krankenversicherungsprämien nach Versicherungsart ab 1999</t>
  </si>
  <si>
    <t>Totaler Beitrag je versicherte Person nach Versicherungsform in der OKP ab 1999</t>
  </si>
  <si>
    <t>Erkrankte, Spitaleinweisungen und Spitaltage in der OKP ab 1999</t>
  </si>
  <si>
    <t>Taggeldversicherung KVG / VVG ab 1999</t>
  </si>
  <si>
    <t>Krankenversicherung (KVG-Versicherer und Privatversicherer) ab 1999</t>
  </si>
  <si>
    <t>Erkrankte, Spitaleinweisungen und Spitaltage in der OKP</t>
  </si>
  <si>
    <r>
      <t xml:space="preserve">Ausgewiesen wird die </t>
    </r>
    <r>
      <rPr>
        <b/>
        <sz val="10"/>
        <rFont val="Arial"/>
        <family val="2"/>
      </rPr>
      <t>geschätzte</t>
    </r>
    <r>
      <rPr>
        <sz val="10"/>
        <rFont val="Arial"/>
        <family val="2"/>
      </rPr>
      <t xml:space="preserve"> monatliche Durchschnittsprämie </t>
    </r>
    <r>
      <rPr>
        <b/>
        <sz val="10"/>
        <rFont val="Arial"/>
        <family val="2"/>
      </rPr>
      <t>OKP</t>
    </r>
    <r>
      <rPr>
        <sz val="10"/>
        <rFont val="Arial"/>
        <family val="2"/>
      </rPr>
      <t xml:space="preserve"> in Franken; die Berechnungen beruhen auf den Prämientarifen</t>
    </r>
  </si>
  <si>
    <r>
      <t xml:space="preserve"> </t>
    </r>
    <r>
      <rPr>
        <b/>
        <sz val="10"/>
        <rFont val="Arial"/>
        <family val="2"/>
      </rPr>
      <t>inklusive Unfalldeckung der ordentlichen Franchise</t>
    </r>
    <r>
      <rPr>
        <sz val="10"/>
        <rFont val="Arial"/>
        <family val="2"/>
      </rPr>
      <t xml:space="preserve"> und auf den Versichertenbeständen nach Kantonen, nach Versicherer </t>
    </r>
  </si>
  <si>
    <t>für Kinder (0 - 18 Jahre) in Franken für 2011</t>
  </si>
  <si>
    <t>Datenstand: 5.10.10</t>
  </si>
  <si>
    <t>für junge Erwachsene (19 -25 Jahre) in Franken für 2011</t>
  </si>
  <si>
    <t>für Erwachsene (26 Jahre und mehr) in Franken für 2011</t>
  </si>
  <si>
    <t>2001 - 2011</t>
  </si>
  <si>
    <t>1) Leistungen brutto = Leistungen inkl. Kostenbeteiligung der Versicherten.</t>
  </si>
  <si>
    <t>Beilage F1</t>
  </si>
  <si>
    <t>Entwicklung der Franchisen, Prämienrabatte und Selbstbehalte ab 1996 (Erwachsene)</t>
  </si>
  <si>
    <t>1996-1997</t>
  </si>
  <si>
    <t>Selbstbehalt</t>
  </si>
  <si>
    <t>10% max. 600.-</t>
  </si>
  <si>
    <t>Franchise</t>
  </si>
  <si>
    <t>maximaler Prämienrabatt in %</t>
  </si>
  <si>
    <t>ordentlich 150.-</t>
  </si>
  <si>
    <t>1) 300.-</t>
  </si>
  <si>
    <t>2) 600.-</t>
  </si>
  <si>
    <t>3) 1200.-</t>
  </si>
  <si>
    <t>4) 1500.-</t>
  </si>
  <si>
    <t>1998-2000</t>
  </si>
  <si>
    <t>2001-2003</t>
  </si>
  <si>
    <t>jedoch höchstens Fr. pro Jahr</t>
  </si>
  <si>
    <t>(Differenz zwischen wählbarer und ordentlicher Franchise)</t>
  </si>
  <si>
    <t>ordentlich 230.-</t>
  </si>
  <si>
    <t>1) 400.-</t>
  </si>
  <si>
    <t>(80% der Differenz zwischen wählbarer und ordentlicher Franchise)</t>
  </si>
  <si>
    <t>10% max. 700.-</t>
  </si>
  <si>
    <t>ordentlich 300.-</t>
  </si>
  <si>
    <t>1) 500.-</t>
  </si>
  <si>
    <t>2) 1000.-</t>
  </si>
  <si>
    <t>3) 1500.-</t>
  </si>
  <si>
    <t>4) 2000.-</t>
  </si>
  <si>
    <t>5) 2500.-</t>
  </si>
  <si>
    <t>2006-2009</t>
  </si>
  <si>
    <t>2010-</t>
  </si>
  <si>
    <t>(70% der Differenz zwischen wählbarer und ordentlicher Franchise)</t>
  </si>
  <si>
    <t>Datenstand: 8.10.10</t>
  </si>
  <si>
    <t>Quelle: BAG</t>
  </si>
  <si>
    <t>1) Erwachsene (ab 19 Jahren) = junge Erwachsene (19-25 Jahre) + Erwachsene (ab 26 Jahren)</t>
  </si>
  <si>
    <t xml:space="preserve">2) Ausnahme : Erhöhung des Selbstbehaltes auf 20 % für Originalpräparate, von welchen </t>
  </si>
  <si>
    <t xml:space="preserve">    ein mindestens 20 % billigeres Generikum in der Spezialitätenliste angeführt ist (Art. 38a KLV).</t>
  </si>
  <si>
    <t>(Änderungen grau)</t>
  </si>
  <si>
    <r>
      <t xml:space="preserve">Erwachsene (ab 19 Jahren) </t>
    </r>
    <r>
      <rPr>
        <b/>
        <i/>
        <vertAlign val="superscript"/>
        <sz val="9"/>
        <rFont val="Arial"/>
        <family val="2"/>
      </rPr>
      <t>1</t>
    </r>
  </si>
  <si>
    <r>
      <t xml:space="preserve">ordentlich </t>
    </r>
    <r>
      <rPr>
        <b/>
        <i/>
        <sz val="10"/>
        <rFont val="Arial"/>
        <family val="2"/>
      </rPr>
      <t>230</t>
    </r>
    <r>
      <rPr>
        <b/>
        <sz val="10"/>
        <rFont val="Arial"/>
        <family val="2"/>
      </rPr>
      <t>.-</t>
    </r>
  </si>
  <si>
    <r>
      <t xml:space="preserve">1) </t>
    </r>
    <r>
      <rPr>
        <b/>
        <i/>
        <sz val="10"/>
        <rFont val="Arial"/>
        <family val="2"/>
      </rPr>
      <t>400.-</t>
    </r>
  </si>
  <si>
    <r>
      <t xml:space="preserve">10% </t>
    </r>
    <r>
      <rPr>
        <i/>
        <sz val="10"/>
        <rFont val="Arial"/>
        <family val="2"/>
      </rPr>
      <t>max</t>
    </r>
    <r>
      <rPr>
        <b/>
        <i/>
        <sz val="10"/>
        <rFont val="Arial"/>
        <family val="2"/>
      </rPr>
      <t>. 700.-</t>
    </r>
  </si>
  <si>
    <r>
      <t xml:space="preserve">ordentlich </t>
    </r>
    <r>
      <rPr>
        <b/>
        <i/>
        <sz val="10"/>
        <rFont val="Arial"/>
        <family val="2"/>
      </rPr>
      <t>300</t>
    </r>
    <r>
      <rPr>
        <b/>
        <sz val="10"/>
        <rFont val="Arial"/>
        <family val="2"/>
      </rPr>
      <t>.-</t>
    </r>
  </si>
  <si>
    <r>
      <t>10%</t>
    </r>
    <r>
      <rPr>
        <sz val="10"/>
        <rFont val="Arial"/>
        <family val="2"/>
      </rPr>
      <t xml:space="preserve"> </t>
    </r>
    <r>
      <rPr>
        <vertAlign val="superscript"/>
        <sz val="10"/>
        <rFont val="Arial"/>
        <family val="2"/>
      </rPr>
      <t>2</t>
    </r>
    <r>
      <rPr>
        <sz val="10"/>
        <rFont val="Arial"/>
        <family val="2"/>
      </rPr>
      <t xml:space="preserve"> </t>
    </r>
    <r>
      <rPr>
        <i/>
        <sz val="10"/>
        <rFont val="Arial"/>
        <family val="2"/>
      </rPr>
      <t>max. 700.-</t>
    </r>
  </si>
  <si>
    <t>Beilage F2</t>
  </si>
  <si>
    <t>Entwicklung der Franchisen, Prämienrabatte und Selbstbehalte ab 1996 (Kinder)</t>
  </si>
  <si>
    <t>10% max. 300.-</t>
  </si>
  <si>
    <t>ordentlich 0.-</t>
  </si>
  <si>
    <t>1) 150.-</t>
  </si>
  <si>
    <t>2) 300.-</t>
  </si>
  <si>
    <t>3) 375.-</t>
  </si>
  <si>
    <t>10% max. 350.-</t>
  </si>
  <si>
    <t>1) 100.-</t>
  </si>
  <si>
    <t>2) 200.-</t>
  </si>
  <si>
    <t>3) 300.-</t>
  </si>
  <si>
    <t>4) 400.-</t>
  </si>
  <si>
    <t>5) 500.-</t>
  </si>
  <si>
    <t>6) 600.-</t>
  </si>
  <si>
    <t xml:space="preserve">1) Ausnahme : Erhöhung des Selbstbehaltes auf 20 % für Originalpräparate, von welchen </t>
  </si>
  <si>
    <r>
      <t xml:space="preserve">10% </t>
    </r>
    <r>
      <rPr>
        <i/>
        <sz val="10"/>
        <rFont val="Arial"/>
        <family val="2"/>
      </rPr>
      <t xml:space="preserve">max. </t>
    </r>
    <r>
      <rPr>
        <b/>
        <i/>
        <sz val="10"/>
        <rFont val="Arial"/>
        <family val="2"/>
      </rPr>
      <t>350.-</t>
    </r>
  </si>
  <si>
    <r>
      <t>10%</t>
    </r>
    <r>
      <rPr>
        <sz val="10"/>
        <rFont val="Arial"/>
        <family val="2"/>
      </rPr>
      <t xml:space="preserve"> </t>
    </r>
    <r>
      <rPr>
        <vertAlign val="superscript"/>
        <sz val="10"/>
        <rFont val="Arial"/>
        <family val="2"/>
      </rPr>
      <t>1</t>
    </r>
    <r>
      <rPr>
        <sz val="10"/>
        <rFont val="Arial"/>
        <family val="2"/>
      </rPr>
      <t xml:space="preserve"> </t>
    </r>
    <r>
      <rPr>
        <i/>
        <sz val="10"/>
        <rFont val="Arial"/>
        <family val="2"/>
      </rPr>
      <t xml:space="preserve">max. </t>
    </r>
    <r>
      <rPr>
        <sz val="10"/>
        <rFont val="Arial"/>
        <family val="2"/>
      </rPr>
      <t>350</t>
    </r>
    <r>
      <rPr>
        <i/>
        <sz val="10"/>
        <rFont val="Arial"/>
        <family val="2"/>
      </rPr>
      <t>.-</t>
    </r>
  </si>
  <si>
    <t>Beilage F3</t>
  </si>
  <si>
    <t>Erwachsene (ab 26 Jahren) : effektive Zunahme 2011</t>
  </si>
  <si>
    <t>Gesamtausgaben in Fr. :</t>
  </si>
  <si>
    <t>Max. Gewinn (+) / Verlust (-) in Fr. / % gegenüber der ordentlichen Franchise :</t>
  </si>
  <si>
    <t>mit Leistungen von 0.-</t>
  </si>
  <si>
    <t>mit Leistungen von 9500.-</t>
  </si>
  <si>
    <t xml:space="preserve">ordentlich 300.- </t>
  </si>
  <si>
    <t xml:space="preserve">1) 500.- </t>
  </si>
  <si>
    <t xml:space="preserve">2) 1000.- </t>
  </si>
  <si>
    <t>Junge Erwachsene (19-25 Jahre) : effektive Zunahme 2011</t>
  </si>
  <si>
    <t>Kinder (0-18 Jahre) : effektive Zunahme 2011</t>
  </si>
  <si>
    <t>Gesamtausgaben in Fr.  :</t>
  </si>
  <si>
    <t>Max. Gewinn (+) / Verlust (-) in Fr. / %  gegenüber der ordentlichen Franchise :</t>
  </si>
  <si>
    <t>mit Leistungen von 4100.-</t>
  </si>
  <si>
    <t xml:space="preserve">4) 400.- </t>
  </si>
  <si>
    <t xml:space="preserve">6) 600.- </t>
  </si>
  <si>
    <t>Datenstand: 9.9.2010</t>
  </si>
  <si>
    <t>Quelle: T 3.01; Anhang F1 &amp; F2.</t>
  </si>
  <si>
    <t xml:space="preserve">1) Der tatsächliche Anstieg ist abhängig von der Prämienhöhe und den Leistungen. Hier wird er angegeben für die schweizerische Durchschnittsprämie für </t>
  </si>
  <si>
    <t>null Leistungen (0.-) und maximale Leistungen (ab diesem Betrag nehmen die Ausgaben der Versicherten mit der höchsten Franchise nicht mehr zu).</t>
  </si>
  <si>
    <t>Es wird von der Hypothese ausgegangen, dass der gesetzlich maximale Prämienrabatt für die wählbaren Franchisen gewährt wird.</t>
  </si>
  <si>
    <t xml:space="preserve">Ist dem nicht so, sieht der tatsächliche Anstieg anders aus. </t>
  </si>
  <si>
    <t>Berechnungsmethode:</t>
  </si>
  <si>
    <t>- Man berechnet den Gesamtanstieg (Prämie + Kostenbeteiligung, d.h. Franchise + Selbstbehalt [10 % vereinfacht gesagt]) für jede Franchisenhöhe gemäss Leistungen;</t>
  </si>
  <si>
    <t>- danach wird der effektive Anstieg in % im Vergleich zum Vorjahr bestimmt;</t>
  </si>
  <si>
    <t>- der maximale Gewinn oder Verlust für das laufende Jahr berechnet sich aus dem Gesamtanstieg für die ordentliche Franchise.</t>
  </si>
  <si>
    <t>Anstieg 1996-&gt;2010: siehe STAT KV 03-&gt;08 (Beilagen).</t>
  </si>
  <si>
    <t xml:space="preserve">2) Es handelt sich um eine Schätzung der monatlichen Durchschnittsprämie in Franken ausgehend von den Versicherungstarifen mit ordentlicher Franchise </t>
  </si>
  <si>
    <t>einschliesslich Unfalldeckung und den Versichertenbeständen nach Kantonen und Prämienregion.</t>
  </si>
  <si>
    <t>input (coller valeurs depuis onglet f et modifier manuellement les années 2007 -&gt; 2008 )</t>
  </si>
  <si>
    <r>
      <t xml:space="preserve">Zunahme der Gesamtausgaben </t>
    </r>
    <r>
      <rPr>
        <b/>
        <vertAlign val="superscript"/>
        <sz val="11"/>
        <rFont val="Arial"/>
        <family val="2"/>
      </rPr>
      <t>1</t>
    </r>
    <r>
      <rPr>
        <b/>
        <sz val="11"/>
        <rFont val="Arial"/>
        <family val="2"/>
      </rPr>
      <t xml:space="preserve"> der Versicherten (Prämien + Kostenbeteiligung) als Folge der Änderungen der Franchisen, der Prämienrabatte und des Selbstbehalts </t>
    </r>
  </si>
  <si>
    <r>
      <t xml:space="preserve">Durchschnittsprämie CH </t>
    </r>
    <r>
      <rPr>
        <b/>
        <i/>
        <vertAlign val="superscript"/>
        <sz val="10"/>
        <rFont val="Arial"/>
        <family val="2"/>
      </rPr>
      <t>2</t>
    </r>
    <r>
      <rPr>
        <b/>
        <i/>
        <sz val="10"/>
        <rFont val="Arial"/>
        <family val="2"/>
      </rPr>
      <t xml:space="preserve"> : 373.80</t>
    </r>
  </si>
  <si>
    <r>
      <t xml:space="preserve">Durchschnittsprämie CH </t>
    </r>
    <r>
      <rPr>
        <b/>
        <i/>
        <vertAlign val="superscript"/>
        <sz val="10"/>
        <rFont val="Arial"/>
        <family val="2"/>
      </rPr>
      <t>2</t>
    </r>
    <r>
      <rPr>
        <b/>
        <i/>
        <sz val="10"/>
        <rFont val="Arial"/>
        <family val="2"/>
      </rPr>
      <t xml:space="preserve"> : 328.50</t>
    </r>
  </si>
  <si>
    <r>
      <t xml:space="preserve">Durchschnittsprämie CH </t>
    </r>
    <r>
      <rPr>
        <b/>
        <i/>
        <vertAlign val="superscript"/>
        <sz val="10"/>
        <rFont val="Arial"/>
        <family val="2"/>
      </rPr>
      <t>2</t>
    </r>
    <r>
      <rPr>
        <b/>
        <i/>
        <sz val="10"/>
        <rFont val="Arial"/>
        <family val="2"/>
      </rPr>
      <t xml:space="preserve"> : 89.30</t>
    </r>
  </si>
  <si>
    <t>Beilage A</t>
  </si>
  <si>
    <t xml:space="preserve">Überblick über die statistischen Tabellen in der KV-Statistik             </t>
  </si>
  <si>
    <t>3.3.11: A, B, F1 -&gt; F3</t>
  </si>
  <si>
    <t>Beilage A: Überblick über die statistischen Tabellen in der KV-Statistik</t>
  </si>
  <si>
    <t>Übersicht der Tabellen zu Prämien, Leistungen, Kostenbeteiligung sowie Versichertenbestand (OKP)</t>
  </si>
  <si>
    <t>Angaben zum Berichtsjahr</t>
  </si>
  <si>
    <t>Zeitreihen 1999 -&gt;</t>
  </si>
  <si>
    <t>Kriterien</t>
  </si>
  <si>
    <t xml:space="preserve">Form </t>
  </si>
  <si>
    <t>Kostengruppe</t>
  </si>
  <si>
    <t>Mio. Fr.</t>
  </si>
  <si>
    <t>2.22</t>
  </si>
  <si>
    <t>2.17</t>
  </si>
  <si>
    <t>2.14</t>
  </si>
  <si>
    <t>Fr. pro Person</t>
  </si>
  <si>
    <t>2.24</t>
  </si>
  <si>
    <t>2.19</t>
  </si>
  <si>
    <t>2.15</t>
  </si>
  <si>
    <t>2.01</t>
  </si>
  <si>
    <t>2.13</t>
  </si>
  <si>
    <t>2.23</t>
  </si>
  <si>
    <t>2.02</t>
  </si>
  <si>
    <t>2.07</t>
  </si>
  <si>
    <t>2.12</t>
  </si>
  <si>
    <t>2.08</t>
  </si>
  <si>
    <t>2.21</t>
  </si>
  <si>
    <t>3.15</t>
  </si>
  <si>
    <t>3.14</t>
  </si>
  <si>
    <t>3.09</t>
  </si>
  <si>
    <t>Durchschnittsprämien</t>
  </si>
  <si>
    <t>Fr. pro Monat</t>
  </si>
  <si>
    <t>3.02-3.04</t>
  </si>
  <si>
    <t>3.01</t>
  </si>
  <si>
    <t>Durchschnitt</t>
  </si>
  <si>
    <t>11.15</t>
  </si>
  <si>
    <t>11.14</t>
  </si>
  <si>
    <t>11.16</t>
  </si>
  <si>
    <t>11.08/09</t>
  </si>
  <si>
    <t>per 31.12.</t>
  </si>
  <si>
    <t>11.03</t>
  </si>
  <si>
    <t>11.06</t>
  </si>
  <si>
    <t>11.05/07</t>
  </si>
  <si>
    <t>Erklärung zu den Statistiken:</t>
  </si>
  <si>
    <t>Bezahlte Leistungen (vom Versicherer bezahlte Leistungen) plus Kostenbeteiligung</t>
  </si>
  <si>
    <t xml:space="preserve">Beitrag der Versicherten an die Kosten (Franchise, Selbstbehalt, Beitrag an Spitalaufenthalt), sofern statistisch erfasst. </t>
  </si>
  <si>
    <t>Nicht erfasst sind nicht eingereichte Belege im System Tier garant.</t>
  </si>
  <si>
    <t>Prämie, die die Versicherten dem Versicherer zahlen müssen (= geschuldete Prämien)</t>
  </si>
  <si>
    <t>Prämie für das Standardmodell mit ord. Franchise (inkl. Unfalldeckung).</t>
  </si>
  <si>
    <t>Erklärung zu den Kriterien:</t>
  </si>
  <si>
    <t>Altergruppe</t>
  </si>
  <si>
    <t>5-Jahresgruppen; 0-5, 6-10, 11-15, 16-18; 19-20, 21-25; 26-30, 31-35 etc.</t>
  </si>
  <si>
    <t>Form</t>
  </si>
  <si>
    <t>Versicherungsform Ordentliche Franchise, Wahlfranchisen, BONUS, Eingeschränkte Wahl</t>
  </si>
  <si>
    <t>nach Leistungsprinzip</t>
  </si>
  <si>
    <t>Weitere wichtige Tabellen</t>
  </si>
  <si>
    <t>Wichtige Indikatoren OKP (ab 1996)</t>
  </si>
  <si>
    <t>Detaillierte Betriebsrechnung für das Berichtsjahr (OKP: 1.03-1.07; Taggeld: 6.04-6.06; Gesamtbetriebsrechnung: 8.05/06)</t>
  </si>
  <si>
    <t>1.08-11</t>
  </si>
  <si>
    <t>Gesamtbetriebsergebnis sowie Verwaltungsaufwand (Mio. Fr./pro Kopf) nach Form (grob) ab 1999</t>
  </si>
  <si>
    <t>4.01-03</t>
  </si>
  <si>
    <t>Prämienverbilligung: Bezüger, Haushalte und ausbezahlter Betrag ab 1999; Anzahl Bezüger nach Kanton, Alter und Geschlecht</t>
  </si>
  <si>
    <t>5.01/03/05</t>
  </si>
  <si>
    <t>Indikatoren nach einzelnem Versicherer (Aufsichtsdaten OKP; kantonale Versichertenbestände)</t>
  </si>
  <si>
    <t>Stellen, Personal und Löhne OKP</t>
  </si>
  <si>
    <t>8.09/8.10</t>
  </si>
  <si>
    <t>Bilanz (aggregiert): Aktiven/Passiven</t>
  </si>
  <si>
    <t>Eintritte (nach Geschlecht )</t>
  </si>
  <si>
    <t>= - (EF2 Konto 32 Krankheit + Unfall Seiten 2.2 -&gt; 2.7)</t>
  </si>
  <si>
    <t xml:space="preserve">EF2 Konten Gesamtbetriebsergebnis {ohne Position} </t>
  </si>
  <si>
    <t>= ( [ 13A ] / [ 1 ] )</t>
  </si>
  <si>
    <t>Krankheit + Unfall Seiten 2.2 -&gt; 2.7 / ( [ 1 ] )</t>
  </si>
  <si>
    <t>(EF2 Konto 3/4 Krankheit + Unfall Seiten 2.2 -&gt; 2.7)</t>
  </si>
  <si>
    <t>EF1 Seite 4 Konto 270</t>
  </si>
  <si>
    <t>= ( [ 5B ] / [ 3B ] ) in %</t>
  </si>
  <si>
    <t>Aufsichtsdaten OKP gemäss Art. 31 KVV (Stand 1.1.08) / gemäss Art. 28b KVV (Stand 1.1.09)</t>
  </si>
  <si>
    <r>
      <t>≤ 250'</t>
    </r>
    <r>
      <rPr>
        <sz val="10"/>
        <color indexed="8"/>
        <rFont val="Arial"/>
        <family val="2"/>
      </rPr>
      <t>000</t>
    </r>
  </si>
  <si>
    <r>
      <t>&gt; 250'</t>
    </r>
    <r>
      <rPr>
        <sz val="10"/>
        <color indexed="8"/>
        <rFont val="Arial"/>
        <family val="2"/>
      </rPr>
      <t>000</t>
    </r>
  </si>
  <si>
    <r>
      <t>mit</t>
    </r>
    <r>
      <rPr>
        <sz val="10"/>
        <color indexed="8"/>
        <rFont val="Arial"/>
        <family val="2"/>
      </rPr>
      <t xml:space="preserve"> Kostenbeteiligung der Versicherten (Franchise / Selbstbehalt / Tagespauschale im Spital).</t>
    </r>
  </si>
  <si>
    <t>CSS Kranken-Vers. AG</t>
  </si>
  <si>
    <t>Aquilana Versicherungen</t>
  </si>
  <si>
    <t>Moove Sympany AG</t>
  </si>
  <si>
    <t>SUPRA</t>
  </si>
  <si>
    <t>Krankenkasse Luchsingen-Hätzingen</t>
  </si>
  <si>
    <t>Bezirkskrankenkasse Einsiedeln</t>
  </si>
  <si>
    <t>CM de la Fonction Publique</t>
  </si>
  <si>
    <t xml:space="preserve">PROVITA Gesundheitsversicherung AG </t>
  </si>
  <si>
    <t>Sumiswalder</t>
  </si>
  <si>
    <t>Caisse-maladie EOS</t>
  </si>
  <si>
    <t>Krankenkasse Steffisburg</t>
  </si>
  <si>
    <t>carena schweiz</t>
  </si>
  <si>
    <t>CMBB</t>
  </si>
  <si>
    <t>CONCORDIA Kranken- und Unfallversicherung AG</t>
  </si>
  <si>
    <t>Krankenkasse Malters</t>
  </si>
  <si>
    <t>ATUPRI</t>
  </si>
  <si>
    <t>Avenir Assurances</t>
  </si>
  <si>
    <t>Krankenkasse Luzerner Hinterland</t>
  </si>
  <si>
    <t>Krankenkasse KPT AG</t>
  </si>
  <si>
    <t>Xundheit</t>
  </si>
  <si>
    <t>Caisse-maladie Hermes</t>
  </si>
  <si>
    <t>ÖKK</t>
  </si>
  <si>
    <t>Panorama Kranken- und Unfallversicherung</t>
  </si>
  <si>
    <t>KK St. Moritz</t>
  </si>
  <si>
    <r>
      <t xml:space="preserve">T 2.12 Leistungen (netto) </t>
    </r>
    <r>
      <rPr>
        <b/>
        <vertAlign val="superscript"/>
        <sz val="12"/>
        <rFont val="Arial"/>
        <family val="2"/>
      </rPr>
      <t>1</t>
    </r>
    <r>
      <rPr>
        <b/>
        <sz val="12"/>
        <rFont val="Arial"/>
        <family val="2"/>
      </rPr>
      <t xml:space="preserve">  in Fr.  pro Versicherten nach Kantonen </t>
    </r>
  </si>
  <si>
    <t>Quelle: T 2.10 / T 11.14  (-&gt;2008: Statistik des Risikoausgleiches - Gemeinsame Einrichtung KVG)</t>
  </si>
  <si>
    <t>1) Berücksichtigt nur die bei dem Versicherer eingereichten Rechnungen</t>
  </si>
  <si>
    <r>
      <t xml:space="preserve">T 2.13 Kostenbeteiligung  </t>
    </r>
    <r>
      <rPr>
        <b/>
        <vertAlign val="superscript"/>
        <sz val="12"/>
        <rFont val="Arial"/>
        <family val="2"/>
      </rPr>
      <t>1</t>
    </r>
    <r>
      <rPr>
        <b/>
        <sz val="12"/>
        <rFont val="Arial"/>
        <family val="2"/>
      </rPr>
      <t xml:space="preserve">  in Fr. pro Versicherten nach Kantonen</t>
    </r>
  </si>
  <si>
    <t>Kanton</t>
  </si>
  <si>
    <t>Kinder</t>
  </si>
  <si>
    <t>Junge</t>
  </si>
  <si>
    <t>Erwachsene</t>
  </si>
  <si>
    <t>Veränd.</t>
  </si>
  <si>
    <t>gegenüb.</t>
  </si>
  <si>
    <t>(0-18 Jahre)</t>
  </si>
  <si>
    <t>(19-25 Jahre)</t>
  </si>
  <si>
    <t>(26 J. und älter)</t>
  </si>
  <si>
    <t>Vorjahr</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</si>
  <si>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</si>
  <si>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</si>
  <si>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</si>
  <si>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</si>
  <si>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</si>
  <si>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</si>
  <si>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</si>
  <si>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</si>
  <si>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</si>
  <si>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</si>
  <si>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</si>
  <si>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</si>
  <si>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</si>
  <si>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</si>
  <si>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</si>
  <si>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</si>
  <si>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</si>
  <si>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</si>
  <si>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</si>
  <si>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</si>
  <si>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</si>
  <si>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</si>
  <si>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</si>
  <si>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</si>
  <si>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</si>
  <si>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</si>
  <si>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t>Männer</t>
  </si>
  <si>
    <t>Frauen</t>
  </si>
  <si>
    <t>1) Für alle Versicherten für alle Versicherungsformen.</t>
  </si>
  <si>
    <t>2) Zusätzliche Angaben nach Altersgruppe pro Kanton: www.bag.admin.ch/pyramiden</t>
  </si>
  <si>
    <t>Datenstand: 24.8.10</t>
  </si>
  <si>
    <t>T 1.01 Obligatorische Krankenpflegeversicherung ab 1996: wichtigste Indikatoren</t>
  </si>
  <si>
    <t>Merkmale</t>
  </si>
  <si>
    <t>Veränderung 2008 - 2009 in %</t>
  </si>
  <si>
    <t>Jahresdurch-schnittliche Veränderung 1999 - 2009 in %</t>
  </si>
  <si>
    <t>16.12.10: 9.01-&gt;9.05, 10.01-&gt;10.05</t>
  </si>
  <si>
    <t>22.11.10: 2.01,2.14,2.16,2.18,2.22,2.23*</t>
  </si>
  <si>
    <t>28.9.10: 3.13,3.14,11.03,11.05-&gt;11.07,11.12,11.13,11.17</t>
  </si>
  <si>
    <t>17.9.10: 2.04, 2.07, 2.10, 2.12, 2.13,3.08</t>
  </si>
  <si>
    <t>1.9.10: 11.01, 11.02, 11.15</t>
  </si>
  <si>
    <t>14.9.10: 5.01, 5.02</t>
  </si>
  <si>
    <t>– Erhaltene Verwaltungsentschädigung</t>
  </si>
  <si>
    <t>40 – 47</t>
  </si>
  <si>
    <t>Total Verwaltungsaufwand</t>
  </si>
  <si>
    <t>3 / 4</t>
  </si>
  <si>
    <t>800 – 801</t>
  </si>
  <si>
    <t>Vorschlag Gesamtbetriebsrechnung</t>
  </si>
  <si>
    <t>–</t>
  </si>
  <si>
    <t>Gesamt-Total</t>
  </si>
  <si>
    <t>1) Mit Versicherten, die dem Versicherungsobligatorium unterstehen und in einem EU- oder EFTA-Staat Wohnsitz haben (EWG);</t>
  </si>
  <si>
    <t>[T 1.02 + T 1.07].</t>
  </si>
  <si>
    <t xml:space="preserve">2) Jene Zusatzversicherungen VVG, welche auch unternehmensrechtlich vom KVG-Bereich eines Versicherers abgetrennt werden, </t>
  </si>
  <si>
    <t>entziehen sich der Sicht der BAG-Krankenversicherungsstatistik.</t>
  </si>
  <si>
    <t>Quelle: Formular EF1 [6,7]</t>
  </si>
  <si>
    <r>
      <t xml:space="preserve">Obligatorische Krankenpflegeversicherung KVG </t>
    </r>
    <r>
      <rPr>
        <vertAlign val="superscript"/>
        <sz val="11"/>
        <rFont val="Arial"/>
        <family val="2"/>
      </rPr>
      <t>1</t>
    </r>
  </si>
  <si>
    <r>
      <t xml:space="preserve">Zusatzversicherungen VVG, inkl. Taggeld VVG </t>
    </r>
    <r>
      <rPr>
        <vertAlign val="superscript"/>
        <sz val="11"/>
        <rFont val="Arial"/>
        <family val="2"/>
      </rPr>
      <t>2</t>
    </r>
  </si>
  <si>
    <t xml:space="preserve">T 8.05 Gesamtbetriebsrechnung: Ertrag der Versicherer </t>
  </si>
  <si>
    <t>– Taggeld</t>
  </si>
  <si>
    <t>– Überschussbeteiligung auf Kollektivversicherung Taggeld</t>
  </si>
  <si>
    <t>60 – 63</t>
  </si>
  <si>
    <t>Erlösminderungen auf Prämien</t>
  </si>
  <si>
    <t>Andere Prämienanteile</t>
  </si>
  <si>
    <t>60 – 65</t>
  </si>
  <si>
    <t>Prämienanteile der Rückversicherer</t>
  </si>
  <si>
    <t>60 – 66</t>
  </si>
  <si>
    <t>Prämienverbilligung und sonstige Beiträge / Subventionen</t>
  </si>
  <si>
    <t>– Beiträge zur Prämienverbilligung (Art. 65 KVG)</t>
  </si>
  <si>
    <t>– Beiträge anderer Institutionen z.G. der Versicherten</t>
  </si>
  <si>
    <t>– Beiträge z.G. des Versicheres</t>
  </si>
  <si>
    <t>– Beiträge an Insolvenzfonds</t>
  </si>
  <si>
    <t>Prämienermässigung an Versicherte</t>
  </si>
  <si>
    <t>67 – 68</t>
  </si>
  <si>
    <t>Eigene Subventionen und Beiträge</t>
  </si>
  <si>
    <t>Liegenschaftsrechnung</t>
  </si>
  <si>
    <t>– Liegenschaftsergebnis</t>
  </si>
  <si>
    <t>Neutraler Aufwand und Ertrag</t>
  </si>
  <si>
    <t>– Kapitalertrag</t>
  </si>
  <si>
    <t>– Kapitalaufwand</t>
  </si>
  <si>
    <t>– Wertberichtigung auf Wertschriften</t>
  </si>
  <si>
    <t>– Nicht rückzuerstattende Abgabeerträge VOC und HEL</t>
  </si>
  <si>
    <t>– Übriger neutraler Aufwand und Ertrag</t>
  </si>
  <si>
    <t>Einweisungen je 100 Versicherte</t>
  </si>
  <si>
    <t>Spitaltage je 100 Versicherte</t>
  </si>
  <si>
    <t>Spitaltage je Einweisung</t>
  </si>
  <si>
    <t>1) Durchschnittlicher Versichertenbestand.</t>
  </si>
  <si>
    <t>2) Anzahl versicherte Personen, welche im Berichtsjahr mindestens einmal ambulante oder stationäre Kosten verursacht haben</t>
  </si>
  <si>
    <t xml:space="preserve">   (die Anzahl Erkrankte ist somit kleiner oder gleich wie die Anzahl Versicherte).</t>
  </si>
  <si>
    <t>3) Anzahl Einweisungen ins Spital stationär; dazu zählen Einweisungen in Spitäler zur kurzfristigen</t>
  </si>
  <si>
    <t xml:space="preserve">    und zur langfristigen Behandlung körperlich Kranker sowie Einweisungen in psychiatrische Klini-</t>
  </si>
  <si>
    <t xml:space="preserve">    ken; nicht dazu zählen hingegen Einweisungen in Pflegeheime. Sobald zwischen zwei Spital-</t>
  </si>
  <si>
    <t xml:space="preserve">    aufenthalten eine Lücke besteht, zählen diese als zwei Einweisungen.</t>
  </si>
  <si>
    <t>4) Anzahl Spitaltage im Spital stationär; dazu zählen die Spitaltage in Spitälern zur kurzfristigen</t>
  </si>
  <si>
    <t xml:space="preserve">    und zur langfristigen Behandlung körperlich Kranker sowie die Spitaltage in psychiatrischen Kliniken;</t>
  </si>
  <si>
    <t xml:space="preserve">    nicht dazu zählen hingegen die Tage in Pflegeheimen.</t>
  </si>
  <si>
    <t>5) Personen, die das 18. Altersjahr noch nicht vollendet haben (vgl. Art. 61 Abs. 3 KVG); bei der</t>
  </si>
  <si>
    <t xml:space="preserve">    "Mutterschaft" von "Kindern" ist die Mutterschaft von noch nicht 18-jährigen Frauen gemeint.</t>
  </si>
  <si>
    <t>Quelle: Formular EF3 [T 1.12 &amp; 3.7.1 &amp; 3.7.2]</t>
  </si>
  <si>
    <r>
      <t xml:space="preserve">Kinder </t>
    </r>
    <r>
      <rPr>
        <vertAlign val="superscript"/>
        <sz val="11"/>
        <rFont val="Arial"/>
        <family val="2"/>
      </rPr>
      <t>5</t>
    </r>
  </si>
  <si>
    <r>
      <t xml:space="preserve">Versicherte </t>
    </r>
    <r>
      <rPr>
        <vertAlign val="superscript"/>
        <sz val="11"/>
        <rFont val="Arial"/>
        <family val="2"/>
      </rPr>
      <t>1</t>
    </r>
  </si>
  <si>
    <r>
      <t xml:space="preserve">Erkrankte </t>
    </r>
    <r>
      <rPr>
        <vertAlign val="superscript"/>
        <sz val="11"/>
        <rFont val="Arial"/>
        <family val="2"/>
      </rPr>
      <t>2</t>
    </r>
  </si>
  <si>
    <r>
      <t xml:space="preserve">Erkrankte je 100 Versicherte </t>
    </r>
    <r>
      <rPr>
        <vertAlign val="superscript"/>
        <sz val="11"/>
        <rFont val="Arial"/>
        <family val="2"/>
      </rPr>
      <t>2</t>
    </r>
  </si>
  <si>
    <r>
      <t xml:space="preserve">Einweisungen </t>
    </r>
    <r>
      <rPr>
        <vertAlign val="superscript"/>
        <sz val="11"/>
        <rFont val="Arial"/>
        <family val="2"/>
      </rPr>
      <t>3</t>
    </r>
  </si>
  <si>
    <r>
      <t xml:space="preserve">Spitaltage </t>
    </r>
    <r>
      <rPr>
        <vertAlign val="superscript"/>
        <sz val="11"/>
        <rFont val="Arial"/>
        <family val="2"/>
      </rPr>
      <t>4</t>
    </r>
  </si>
  <si>
    <t>17.2.11: 9.06 -&gt; 9.08, 9.11, 9.16 -&gt; 9.18, 9.21</t>
  </si>
  <si>
    <t>Caisse Maladie du Personnel Communal de la Ville de Neuchâtel</t>
  </si>
  <si>
    <t>Taggeldkasse bildende Künstler/Innen</t>
  </si>
  <si>
    <t>Gewerbliche Krankenkasse Bern</t>
  </si>
  <si>
    <t>KSM</t>
  </si>
  <si>
    <t>Krankengeldversicherung für Mitarbeiter der Fenaco</t>
  </si>
  <si>
    <t>1) Es gibt OKP-Versicherer, die in der freiwilligen KVG-Krankentaggeld keine Versicherten haben. Name des Versicherers eventuell gekürzt. Name gültig 2009.</t>
  </si>
  <si>
    <t>Quelle: Formular EF123</t>
  </si>
  <si>
    <t>BAG-Nr. nur wenn [2] oder [3] &lt; &gt; 0</t>
  </si>
  <si>
    <t xml:space="preserve">* wenn EF 1.12A Total = 0 </t>
  </si>
  <si>
    <t>EF3 Total T 3.9.2</t>
  </si>
  <si>
    <t>EF3 Total T 3.9.3</t>
  </si>
  <si>
    <t>4</t>
  </si>
  <si>
    <t xml:space="preserve">EF2 Konten 40-47 + 48 Krankheit + Unfall Seiten 2.0 -&gt; 2.1 </t>
  </si>
  <si>
    <t>EF2 Konten Gesamtbetriebergebnis ohne Position Krankheit + Unfall Seiten 2.0 -&gt; 2.1</t>
  </si>
  <si>
    <t>EF1 [1.4] Konto 271</t>
  </si>
  <si>
    <t>EF1 [1.5] Konto 291</t>
  </si>
  <si>
    <r>
      <t xml:space="preserve">Name des KVG-Versicherers </t>
    </r>
    <r>
      <rPr>
        <vertAlign val="superscript"/>
        <sz val="10"/>
        <rFont val="Arial"/>
        <family val="2"/>
      </rPr>
      <t>1</t>
    </r>
  </si>
  <si>
    <r>
      <t xml:space="preserve">1) Nach dem Entzug der Anerkennung als Krankenversicherer wurden die Leistungen </t>
    </r>
    <r>
      <rPr>
        <sz val="10"/>
        <color indexed="10"/>
        <rFont val="Arial"/>
        <family val="2"/>
      </rPr>
      <t>falls notwendig</t>
    </r>
    <r>
      <rPr>
        <sz val="10"/>
        <rFont val="Arial"/>
        <family val="2"/>
      </rPr>
      <t xml:space="preserve"> durch den Insolvenzfonds (Gemeinsame Einrichtung) erbracht.</t>
    </r>
  </si>
  <si>
    <t>*</t>
  </si>
  <si>
    <t>1</t>
  </si>
  <si>
    <t>2</t>
  </si>
  <si>
    <t>3</t>
  </si>
  <si>
    <t>5</t>
  </si>
  <si>
    <t>6</t>
  </si>
  <si>
    <t>7</t>
  </si>
  <si>
    <t>8</t>
  </si>
  <si>
    <t>9</t>
  </si>
  <si>
    <t>10</t>
  </si>
  <si>
    <t>11</t>
  </si>
  <si>
    <t>12</t>
  </si>
  <si>
    <t>13</t>
  </si>
  <si>
    <t>14</t>
  </si>
  <si>
    <t>15</t>
  </si>
  <si>
    <t>16</t>
  </si>
  <si>
    <t>17</t>
  </si>
  <si>
    <t>18</t>
  </si>
  <si>
    <t>19</t>
  </si>
  <si>
    <t>20</t>
  </si>
  <si>
    <t>21</t>
  </si>
  <si>
    <t>22</t>
  </si>
  <si>
    <t>23</t>
  </si>
  <si>
    <t>24</t>
  </si>
  <si>
    <t>25</t>
  </si>
  <si>
    <t>26</t>
  </si>
  <si>
    <t>27</t>
  </si>
  <si>
    <t>1) Name des Versicherers eventuell gekürzt. Name gültig 2009.</t>
  </si>
  <si>
    <t>Quelle : EF3 [3.12]</t>
  </si>
  <si>
    <r>
      <t xml:space="preserve">Name des OKP Versicherers </t>
    </r>
    <r>
      <rPr>
        <vertAlign val="superscript"/>
        <sz val="10"/>
        <rFont val="Arial"/>
        <family val="2"/>
      </rPr>
      <t>1</t>
    </r>
  </si>
  <si>
    <r>
      <t xml:space="preserve">Ausland </t>
    </r>
    <r>
      <rPr>
        <vertAlign val="superscript"/>
        <sz val="10"/>
        <rFont val="Arial"/>
        <family val="2"/>
      </rPr>
      <t>2</t>
    </r>
  </si>
  <si>
    <t>2) Personen mit Wohnort im Ausland gemäss Artikel 4 KVV (Entsandte Arbeitnehmer und Arbeitnehmerinnen) und 5 KVV (Personen im öffentlichen Dienst mit Aufenthalt im Ausland) mit Ausnahme derjenigen Personen, die in einem EU oder EFTA Staat wohnen und gestützt auf das Freizügigkeitsakbommen oder das EFTA-Abkommen der schweizerischen Versicherung unterstellt sind (Art. 1 Abs. 2 Bst. d und e KVV).</t>
  </si>
  <si>
    <t xml:space="preserve">CONCORDIA Kranken- und Unfallversicherung </t>
  </si>
  <si>
    <t>Schätzungen aus dem Prämiengenehmigungsverfahren: Hauptwerte [in Mio. Fr. ausser Versicherte in Tausend]</t>
  </si>
  <si>
    <t>Veränder. 2008-09 in %</t>
  </si>
  <si>
    <t>Schätzung</t>
  </si>
  <si>
    <t>Abweichung S</t>
  </si>
  <si>
    <t>Prognose</t>
  </si>
  <si>
    <t>Nettoleistungen</t>
  </si>
  <si>
    <t>Kostenbeteiligung</t>
  </si>
  <si>
    <t>Verwaltungskosten</t>
  </si>
  <si>
    <t>Rückstellungen</t>
  </si>
  <si>
    <t>Bruttoleistungen</t>
  </si>
  <si>
    <t>Bemerkungen:</t>
  </si>
  <si>
    <t>- 1-8: in der STAT KV publizierte Werte [T 1.01 &amp; 1.02] aus den Formularen EF123</t>
  </si>
  <si>
    <t>- Schätzung: geschätzte Werte aus dem Prämiengenehmigungsverfahren des BAG *, Schätzung für das laufende Jahr</t>
  </si>
  <si>
    <t xml:space="preserve">  Beispiel: Schätzung von 2006 für 2006 / Schätzung von 2007 für 2007</t>
  </si>
  <si>
    <t xml:space="preserve">- Prognose: geschätzte Werte aus dem Prämiengenehmigungsverfahren des BAG *, Prognose für das Folgejahr </t>
  </si>
  <si>
    <t xml:space="preserve">  Beispiel: Prognose von 2006 für 2007 / Prognose von 2007 für 2008</t>
  </si>
  <si>
    <t xml:space="preserve">Im Allgemeinen ist die Schätzung genauer als die (eher grobe) Prognose. </t>
  </si>
  <si>
    <t>Es ist lediglich die Abweichung zwischen der Schätzung und dem in der STAT KV publizierten Wert (Abweichung S in %) aufgeführt.</t>
  </si>
  <si>
    <t xml:space="preserve">   der Bevölkerung und der geschätzten Bevölkerung in % zum bzw. vom ebenfalls absoluten, für jede Kategorie aufgeführten Wert nach </t>
  </si>
  <si>
    <t xml:space="preserve">   folgendem Schema addiert oder subtrahiert werden:</t>
  </si>
  <si>
    <t xml:space="preserve">   Das Zeichen der Genauigkeit pro versicherte Person richtet sich nach folgendem Schema:</t>
  </si>
  <si>
    <t>Abweichung geschätzte Bevölkerung - Bevölkerung in %</t>
  </si>
  <si>
    <t>+</t>
  </si>
  <si>
    <t xml:space="preserve">Abweichung geschätzter Wert [2-8] - Wert [2-8] in %   </t>
  </si>
  <si>
    <t>Zeichen der Genauigkeit pro versicherte Person: + oder - %</t>
  </si>
  <si>
    <t xml:space="preserve">   Beispiel: Reserven pro versicherte Person im Jahr 2004 mit der Schätzung: -0.2% + 0.52% = Abweichung pro versicherte Person von + 0.72%</t>
  </si>
  <si>
    <t>– Durchschnittsprämien pro Versicherten in Fr. : 2009 [T 1.01] 2611 Fr. / 2010 [Schätzung J1] 2838 Fr. ( +8.70%)</t>
  </si>
  <si>
    <t>* Datenstand: 2010 (Schätzung) &amp; 2011 (Prognose): 13.10.10</t>
  </si>
  <si>
    <r>
      <t xml:space="preserve">- Zur Genauigkeit der geschätzten Werte </t>
    </r>
    <r>
      <rPr>
        <b/>
        <sz val="8"/>
        <rFont val="Arial"/>
        <family val="2"/>
      </rPr>
      <t>pro versicherte Person</t>
    </r>
    <r>
      <rPr>
        <sz val="8"/>
        <rFont val="Arial"/>
        <family val="2"/>
      </rPr>
      <t>: Sie berechnen sich, indem der absolute Wert der Abweichung zwischen</t>
    </r>
  </si>
  <si>
    <t xml:space="preserve">    ab 2002: mit Personen mit Wohnsitz oder Aufenthalt im Ausland gemäss Art. 4 und 5 KVV (vgl. Fussnote 1 von Tabelle 11.03).</t>
  </si>
  <si>
    <t>Quelle: T 11.03</t>
  </si>
  <si>
    <t xml:space="preserve">1) Personen mit Wohnort im Ausland gemäss Artikel 4 KVV (Entsandte Arbeitnehmer und Arbeitnehmerinnen) und 5 KVV </t>
  </si>
  <si>
    <t xml:space="preserve">   (Personen im öffentlichen Dienst mit Aufenthalt im Ausland) mit Ausnahme derjenigen Personen, die in einem EU </t>
  </si>
  <si>
    <t xml:space="preserve">   oder EFTA Staat wohnen und gestützt auf das Freizügigkeitsakbommen oder das EFTA-Abkommen der schweizerischen </t>
  </si>
  <si>
    <t xml:space="preserve">  Versicherung unterstellt sind (Art. 1 Abs. 2 Bst. d und e KVV).</t>
  </si>
  <si>
    <t>Betriebsaufwand</t>
  </si>
  <si>
    <t>Total Vers.- und Betriebsaufwand</t>
  </si>
  <si>
    <t>Quelle: T 7.03, 7.04, 7.05</t>
  </si>
  <si>
    <t>aufwand</t>
  </si>
  <si>
    <t>1) Zusammenzug der «Zusatzversicherungen VVG»,</t>
  </si>
  <si>
    <t>«Krankenpflegeversicherung Liechtenstein» und «Zusatzversicherungen Versicherte wohnhaft im Ausland».</t>
  </si>
  <si>
    <t>2) Vorjahresvergleiche sind nur mit Vorbehalt möglich, da jene Zusatzversicherungen VAG, welche auch unternehmensrechtlich</t>
  </si>
  <si>
    <t>vom KVG-Bereich eines Versicherers abgetrennt werden, sich der Sicht der BAG-Krankenversicherungsstatistik entziehen.</t>
  </si>
  <si>
    <t>3) Revidierte Zahlen für 2002 und 2003 (ohne T 7.06).</t>
  </si>
  <si>
    <t>Quelle: T 7.02</t>
  </si>
  <si>
    <r>
      <t xml:space="preserve">T 7.01  Ertrag, Aufwand und Ergebnis der anderen Versicherungen insgesamt </t>
    </r>
    <r>
      <rPr>
        <b/>
        <vertAlign val="superscript"/>
        <sz val="12"/>
        <rFont val="Arial"/>
        <family val="2"/>
      </rPr>
      <t xml:space="preserve">1 </t>
    </r>
    <r>
      <rPr>
        <b/>
        <sz val="12"/>
        <rFont val="Arial"/>
        <family val="2"/>
      </rPr>
      <t xml:space="preserve"> in Franken ab 1999</t>
    </r>
  </si>
  <si>
    <r>
      <t xml:space="preserve">Jahr </t>
    </r>
    <r>
      <rPr>
        <vertAlign val="superscript"/>
        <sz val="11"/>
        <rFont val="Arial"/>
        <family val="2"/>
      </rPr>
      <t>2, 3</t>
    </r>
  </si>
  <si>
    <t>T 8.12  Ergebnisverteilung per 31.12.</t>
  </si>
  <si>
    <t>Betrag</t>
  </si>
  <si>
    <t>Gesamtbetriebsrechnung:</t>
  </si>
  <si>
    <t>Vorschlag</t>
  </si>
  <si>
    <t>Rückschlag</t>
  </si>
  <si>
    <t>Zuweisungen</t>
  </si>
  <si>
    <t xml:space="preserve">Entnahmen </t>
  </si>
  <si>
    <t>Fonds:</t>
  </si>
  <si>
    <t>Reglementierte Fonds</t>
  </si>
  <si>
    <t>Immobilien</t>
  </si>
  <si>
    <t>EDV-Projekte</t>
  </si>
  <si>
    <t>Eigenkapital:</t>
  </si>
  <si>
    <t xml:space="preserve">Reserven Oblig. Krankenpflegeversicherung (ohne Kto. 290.5) </t>
  </si>
  <si>
    <t>Reserven Oblig. Krankenpflegeversicherung EG und EFTA (ohne Liechtenstein)</t>
  </si>
  <si>
    <t>Reserven Freiw.Taggeldversicherung KVG</t>
  </si>
  <si>
    <t xml:space="preserve">Reserven Aktive Rückversicherung nach KVG </t>
  </si>
  <si>
    <t>Zusatzversicherung VVG, inkl. Taggeld VVG</t>
  </si>
  <si>
    <t xml:space="preserve">Total </t>
  </si>
  <si>
    <t>Quelle: Formular EF1 [10]</t>
  </si>
  <si>
    <t>T 8.11  Aufstellung über Kapitalanlagen, Grundstücke und Gebäude per 31.12.</t>
  </si>
  <si>
    <t>Anteile</t>
  </si>
  <si>
    <t>in %</t>
  </si>
  <si>
    <t xml:space="preserve">Kapitalanlagen </t>
  </si>
  <si>
    <t>Anlagen bei öffentlich-rechtlichen Körperschaften und bei Banken und Sparkassen</t>
  </si>
  <si>
    <t>Wertpapiere und andere an der Börse kotierte Anlagen</t>
  </si>
  <si>
    <t xml:space="preserve">Anlagen in grundpfandgesicherten Darlehen </t>
  </si>
  <si>
    <t>Anlagen und Guthaben von Betriebskrankenkassen im eigenen Betrieb</t>
  </si>
  <si>
    <t>Anlagen bei Institutionen, die der Durchführung der sozialen Krankenversicherung dienen</t>
  </si>
  <si>
    <t xml:space="preserve">Sonstige Wertschriften </t>
  </si>
  <si>
    <t>Wertberichtigung Kapitalanlagen</t>
  </si>
  <si>
    <t>Kapitalanlagen  - Gesamttotal</t>
  </si>
  <si>
    <t>Grundstücke und Gebäude</t>
  </si>
  <si>
    <t xml:space="preserve">Grundstücke </t>
  </si>
  <si>
    <t>Gebäude für Verwaltungszwecke</t>
  </si>
  <si>
    <t>Gebäude für Wohn- und Geschäftszwecke</t>
  </si>
  <si>
    <t>Wertberichtigung Grundstücke und Gebäude</t>
  </si>
  <si>
    <t>Grundstücke / Gebäude - Gesamttotal</t>
  </si>
  <si>
    <t>17-18</t>
  </si>
  <si>
    <t>Gesamttotal  Kapitalanlagen, Grundstücke und Gebäude</t>
  </si>
  <si>
    <t>1) Anschaffungswert = Buchwert</t>
  </si>
  <si>
    <t>Quelle: Formular EF1 [11]</t>
  </si>
  <si>
    <r>
      <t xml:space="preserve">Kapitalanlagen nach Art. 80 KVV </t>
    </r>
    <r>
      <rPr>
        <i/>
        <vertAlign val="superscript"/>
        <sz val="11"/>
        <rFont val="Arial"/>
        <family val="2"/>
      </rPr>
      <t>1</t>
    </r>
  </si>
  <si>
    <t>T 8.10  Bilanz: Passiven der Versicherer per 31.12.</t>
  </si>
  <si>
    <t>Fremdkapital</t>
  </si>
  <si>
    <t>Verbindlichkeiten aus Versicherungsleistungen</t>
  </si>
  <si>
    <t>Verbindlichkeiten bei Versicherten (ohne Konto.215)</t>
  </si>
  <si>
    <t>Noch zur Verrechnung gelangende Abgabeerträge VOC und HEL</t>
  </si>
  <si>
    <t>Verbindlichkeiten bei Partnern</t>
  </si>
  <si>
    <t>Verbindlichkeiten bei Rückversicherern</t>
  </si>
  <si>
    <t>Verbindlichkeiten bei der Gemeinsamen Einrichtung KVG</t>
  </si>
  <si>
    <t>Verbindlichkeiten bei anderen Versicherern</t>
  </si>
  <si>
    <t>Übrige Verbindlichkeiten und passive Rechnungsabgrenzung</t>
  </si>
  <si>
    <t>Rückstellung für unerledigte Versicherungsfälle, Risikoausgleich, nicht versicherungstechn. Rückstellungen, Rücklagen aus Fusionen</t>
  </si>
  <si>
    <t>– Freiwillige Taggeldversicherung nach KVG</t>
  </si>
  <si>
    <t>– Aktive Rückversicherung</t>
  </si>
  <si>
    <t>– Zusatzversicherungen inkl. Taggeld VVG</t>
  </si>
  <si>
    <t>– Nicht versicherungstechnische Rückstellungen VVG</t>
  </si>
  <si>
    <t>– Risikoausgleich</t>
  </si>
  <si>
    <t>– Zweckgebundene Rücklagen aus Fusionen</t>
  </si>
  <si>
    <t>Fonds und Eigenkapital</t>
  </si>
  <si>
    <t>Fonds</t>
  </si>
  <si>
    <t>– Reglementierte Fonds</t>
  </si>
  <si>
    <t>– Immobilien (Renovationen, Umbauten)</t>
  </si>
  <si>
    <t>– EDV-Projekte</t>
  </si>
  <si>
    <t>Eigenkapital</t>
  </si>
  <si>
    <t>– Reserven Taggeldversicherung nach KVG</t>
  </si>
  <si>
    <t>– Reserven Aktive Rückversicherung</t>
  </si>
  <si>
    <t>– Zusatzversicherung VVG, inkl. Taggeld VVG</t>
  </si>
  <si>
    <t>– Einkaufssummen fusionierter Versicherer</t>
  </si>
  <si>
    <t>Total Passiven</t>
  </si>
  <si>
    <t>Quelle: Formular EF1 [4,5]</t>
  </si>
  <si>
    <t>T 8.09  Bilanz: Aktiven der Versicherer per 31.12.</t>
  </si>
  <si>
    <t>96 – 100</t>
  </si>
  <si>
    <t>&gt; 100</t>
  </si>
  <si>
    <t>Total  &gt; 25</t>
  </si>
  <si>
    <t>Unbekannt</t>
  </si>
  <si>
    <t>Quelle: Formular EF3 [T 3.11]  (-&gt;2008: Statistik des Risikoausgleiches - Gemeinsame Einrichtung KVG)</t>
  </si>
  <si>
    <r>
      <t xml:space="preserve">Ausland </t>
    </r>
    <r>
      <rPr>
        <vertAlign val="superscript"/>
        <sz val="11"/>
        <color indexed="10"/>
        <rFont val="Arial"/>
        <family val="2"/>
      </rPr>
      <t>1</t>
    </r>
  </si>
  <si>
    <t>1.9.10: 11.14, 11.16</t>
  </si>
  <si>
    <t>Reserven</t>
  </si>
  <si>
    <t>1) Bestände per Jahresende; Vorjahresvergleiche sind nur mit Vorbehalt möglich, da jene Zusatzversicherungen VAG, welche</t>
  </si>
  <si>
    <t>auch unternehmensrechtlich vom KVG-Bereich eines Versicherers abgetrennt werden, sich der Sicht der BAG-Krankenversi-</t>
  </si>
  <si>
    <t>cherungsstatistik entziehen.</t>
  </si>
  <si>
    <t>Quelle: T 8.09; T 8.10</t>
  </si>
  <si>
    <t>T 8.08  Eigenkapital, Kapitalanlagen, Grundstücke und Gebäude der Versicherer ab 1999</t>
  </si>
  <si>
    <t>Eigenkapital-</t>
  </si>
  <si>
    <t>Kapital-</t>
  </si>
  <si>
    <t>Grundstücke</t>
  </si>
  <si>
    <t>anlagen</t>
  </si>
  <si>
    <t>und Gebäude</t>
  </si>
  <si>
    <t xml:space="preserve">1) Eigenkapital in % des Prämiensolls. </t>
  </si>
  <si>
    <t>Quelle: T 8.10 [29] ; T 8.05 [60-63] ; T 8.11 [17, 18]</t>
  </si>
  <si>
    <r>
      <t xml:space="preserve">quote </t>
    </r>
    <r>
      <rPr>
        <vertAlign val="superscript"/>
        <sz val="11"/>
        <rFont val="Arial"/>
        <family val="2"/>
      </rPr>
      <t>1</t>
    </r>
  </si>
  <si>
    <t xml:space="preserve">T 2.17  Leistungen (brutto) in Franken nach Kostengruppen </t>
  </si>
  <si>
    <t>Kostengruppen</t>
  </si>
  <si>
    <t>Anteil am</t>
  </si>
  <si>
    <t>total in %</t>
  </si>
  <si>
    <t>in 1000 Fr.</t>
  </si>
  <si>
    <t>2.2.11: 8.01 -&gt; 8.03, 11.04, 11.11</t>
  </si>
  <si>
    <t>Durchschnittlicher</t>
  </si>
  <si>
    <t>Versichertenbestand</t>
  </si>
  <si>
    <t xml:space="preserve"> per 31.12</t>
  </si>
  <si>
    <t>Wohnbevölke-</t>
  </si>
  <si>
    <t>1) Durchschnittlicher Versichertenbestand im Formular EF123 der Versicherer : Stand aller Monate zusammengezählt und geteilt durch 12.</t>
  </si>
  <si>
    <t>gegenüber den Angaben im Formular EF123 der Versicherer.</t>
  </si>
  <si>
    <t>welche Wohnsitz in einem EG-Staat bzw. in Island oder Norwegen haben.</t>
  </si>
  <si>
    <t xml:space="preserve">Mit der Änderung vom 16. Dezember 2005 des Asylgesetzes vom 26. Juni 1998 (Artikel 82a Asylgesetz) sowie des KVG (Artikel 105a) wurden </t>
  </si>
  <si>
    <t xml:space="preserve">Asylsuchende, vorläufig Aufgenommene und Schutzbedürftige ohne Aufenthaltsbewilligung, welche sich in der Schweiz aufhalten und Sozialhilfe </t>
  </si>
  <si>
    <t xml:space="preserve">beziehen, vom massgebenden Versichertenbestand des Risikoausgleichs (Art. 4 Abs. 1 VORA) ausgenommen. Die Änderung ist per 1. Januar </t>
  </si>
  <si>
    <t xml:space="preserve">2007 in Kraft getreten. In den Daten des Jahres 2007 sind diese Versicherten somit erstmals nicht berücksichtigt. Diese Änderung gilt nicht für </t>
  </si>
  <si>
    <t>anerkannte Flüchtlinge (Personen mit positivem Asylentscheid) sowie für "Sans-Papiers".</t>
  </si>
  <si>
    <t>3) Versichertenbestand per 31.12. im Formular EF123 der Versicherer.</t>
  </si>
  <si>
    <t xml:space="preserve">T 3.10  Prämiensoll in Franken nach Versicherungsform </t>
  </si>
  <si>
    <t>Quelle: Formular EF3 [T 3.4]</t>
  </si>
  <si>
    <t>T 3.09  Prämiensoll in Mio. Franken nach Versicherungsform ab 1999</t>
  </si>
  <si>
    <t>Versiche-</t>
  </si>
  <si>
    <t>schränk-</t>
  </si>
  <si>
    <t>te Wahl</t>
  </si>
  <si>
    <t>1) Vgl. Fussnote 3) von Tabelle 11.02.</t>
  </si>
  <si>
    <t>Quelle: T 3.10</t>
  </si>
  <si>
    <t>der Versicherten sind unterhalb dieser Prämie</t>
  </si>
  <si>
    <t>der Versicherten sind unterhalb und oberhalb dieser Prämie</t>
  </si>
  <si>
    <t>der Versicherten sind oberhalb dieser Prämie</t>
  </si>
  <si>
    <r>
      <t>T 3.07  Verteilung der kantonalen monatlichen Durchschnittsprämien</t>
    </r>
    <r>
      <rPr>
        <b/>
        <vertAlign val="superscript"/>
        <sz val="12"/>
        <rFont val="Arial"/>
        <family val="2"/>
      </rPr>
      <t xml:space="preserve"> 1</t>
    </r>
  </si>
  <si>
    <r>
      <t xml:space="preserve">T 3.06  Verteilung der kantonalen monatlichen Durchschnittsprämien </t>
    </r>
    <r>
      <rPr>
        <b/>
        <vertAlign val="superscript"/>
        <sz val="12"/>
        <rFont val="Arial"/>
        <family val="2"/>
      </rPr>
      <t>1</t>
    </r>
  </si>
  <si>
    <t xml:space="preserve">Die Tabelle stellt eine hypothetische Verteilung der für das Jahr 2011 genehmigten Prämien für das Grundmodell </t>
  </si>
  <si>
    <t>(ordentliche Franchise inkl. Unfalldeckung) dar, basierend auf den Beständen des Jahres 2009.</t>
  </si>
  <si>
    <r>
      <t xml:space="preserve">T 3.05  Verteilung der kantonalen monatlichen Durchschnittsprämien </t>
    </r>
    <r>
      <rPr>
        <b/>
        <vertAlign val="superscript"/>
        <sz val="12"/>
        <rFont val="Arial"/>
        <family val="2"/>
      </rPr>
      <t>1</t>
    </r>
  </si>
  <si>
    <t>für junge Erwachsene (19 - 25 Jahre) in Franken für 2011</t>
  </si>
  <si>
    <t>EF2 Konto 37 Krankheit + Unfall Seiten 2.2 -&gt; 2.7</t>
  </si>
  <si>
    <t xml:space="preserve">EF2 Seite 2.8 VVG Konto 63 Krankheit + Unfall </t>
  </si>
  <si>
    <t>(EF2 Konto 37 Krankheit + Unfall Seiten 2.2 -&gt; 2.7) / [ 1 ]</t>
  </si>
  <si>
    <t>Versicherte = [1] ; % gemäss Tabelle 9A</t>
  </si>
  <si>
    <t>(EF2 Konto 37 Krankheit + Unfall Seiten 2.2 -&gt; 2.7) / [ 2 ]</t>
  </si>
  <si>
    <t xml:space="preserve">wenn [9A] &gt;= [11A] : [9A] - [11A] </t>
  </si>
  <si>
    <t>EF2 Konto 30-33 Krankheit + Unfall Seiten 2.2 -&gt; 2.7</t>
  </si>
  <si>
    <t xml:space="preserve">wenn [9A] &lt; [11A] : [9A] - [11A] </t>
  </si>
  <si>
    <t>= ( [ 5A ] / [ 1 ] )</t>
  </si>
  <si>
    <t>=  [ 5A ] + [ 13A ]</t>
  </si>
  <si>
    <t xml:space="preserve">(EF2 Konten 40-47 + 48 Krankheit + Unfall Seiten 2.2 -&gt; 2.7) / </t>
  </si>
  <si>
    <t>= ( [ 12A ] / [ 1 ] )</t>
  </si>
  <si>
    <t>(EF2 Konten 40-47 + 48 Krankheit + Unfall Seiten 2.2 -&gt; 2.7) / [ 1 ] in %</t>
  </si>
  <si>
    <t xml:space="preserve">1) Ohne Taggelder (für Verdienstausfall) KVG oder VVG.   </t>
  </si>
  <si>
    <t xml:space="preserve">2) Quelle: T 1.02 [30-33] &amp; T 7.03 [30-33] ohne Taggeld VVG-Prämien oder T 9.18.  </t>
  </si>
  <si>
    <t>Quelle: Formular EF123 [3.21]  (-&gt;2008: Statistik des Risikoausgleiches - Gemeinsame Einrichtung KVG)</t>
  </si>
  <si>
    <t>2) Personen mit Wohnsitz/Aufenthalt im Ausland gemäss Art. 4 und 5 KVV.</t>
  </si>
  <si>
    <r>
      <t xml:space="preserve">T 2.04  Leistungen (brutto) </t>
    </r>
    <r>
      <rPr>
        <b/>
        <vertAlign val="superscript"/>
        <sz val="12"/>
        <rFont val="Arial"/>
        <family val="2"/>
      </rPr>
      <t>1</t>
    </r>
    <r>
      <rPr>
        <b/>
        <sz val="12"/>
        <rFont val="Arial"/>
        <family val="2"/>
      </rPr>
      <t xml:space="preserve">  in Fr. nach Kantonen</t>
    </r>
  </si>
  <si>
    <r>
      <t xml:space="preserve">Ausland </t>
    </r>
    <r>
      <rPr>
        <vertAlign val="superscript"/>
        <sz val="11"/>
        <rFont val="Arial"/>
        <family val="2"/>
      </rPr>
      <t>2</t>
    </r>
  </si>
  <si>
    <r>
      <t xml:space="preserve">1) Leistungen (brutto) = Leistungen der Versicherer in der OKP </t>
    </r>
    <r>
      <rPr>
        <b/>
        <sz val="10"/>
        <rFont val="Arial"/>
        <family val="2"/>
      </rPr>
      <t>mit</t>
    </r>
    <r>
      <rPr>
        <sz val="10"/>
        <rFont val="Arial"/>
        <family val="2"/>
      </rPr>
      <t xml:space="preserve"> Kostenbeteiligung durch die Versicherten.</t>
    </r>
  </si>
  <si>
    <t>Quelle: T 2.04 / T 11.14  (-&gt;2008: Statistik des Risikoausgleiches - Gemeinsame Einrichtung KVG)</t>
  </si>
  <si>
    <r>
      <t xml:space="preserve">T 2.05  Leistungen (brutto) </t>
    </r>
    <r>
      <rPr>
        <b/>
        <vertAlign val="superscript"/>
        <sz val="12"/>
        <rFont val="Arial"/>
        <family val="2"/>
      </rPr>
      <t xml:space="preserve">1 </t>
    </r>
    <r>
      <rPr>
        <b/>
        <sz val="12"/>
        <rFont val="Arial"/>
        <family val="2"/>
      </rPr>
      <t xml:space="preserve"> in Fr. pro Versicherten nach Kantonen</t>
    </r>
  </si>
  <si>
    <t>Quelle: T 2.04 - 2.10  (-&gt;2008: Statistik des Risikoausgleiches - Gemeinsame Einrichtung KVG)</t>
  </si>
  <si>
    <r>
      <t xml:space="preserve">T 2.07  Leistungen (netto) </t>
    </r>
    <r>
      <rPr>
        <b/>
        <vertAlign val="superscript"/>
        <sz val="12"/>
        <rFont val="Arial"/>
        <family val="2"/>
      </rPr>
      <t xml:space="preserve">1 </t>
    </r>
    <r>
      <rPr>
        <b/>
        <sz val="12"/>
        <rFont val="Arial"/>
        <family val="2"/>
      </rPr>
      <t xml:space="preserve"> in Fr. nach Kantonen </t>
    </r>
  </si>
  <si>
    <r>
      <t xml:space="preserve">1) Leistungen (netto) = bezahlte Leistungen der Versicherer in der OKP </t>
    </r>
    <r>
      <rPr>
        <b/>
        <sz val="10"/>
        <rFont val="Arial"/>
        <family val="2"/>
      </rPr>
      <t>ohne</t>
    </r>
    <r>
      <rPr>
        <sz val="10"/>
        <rFont val="Arial"/>
        <family val="2"/>
      </rPr>
      <t xml:space="preserve"> Kostenbeteiligung durch die Versicherten.</t>
    </r>
  </si>
  <si>
    <t>Quelle: Formular EF123 [3.18]  (-&gt;2008: Statistik des Risikoausgleiches - Gemeinsame Einrichtung KVG)</t>
  </si>
  <si>
    <t>1) Berücksichtigt nur die bei dem Versicherer eingereichten Rechnungen.</t>
  </si>
  <si>
    <r>
      <t xml:space="preserve">T 2.10  Kostenbeteiligung </t>
    </r>
    <r>
      <rPr>
        <b/>
        <vertAlign val="superscript"/>
        <sz val="12"/>
        <rFont val="Arial"/>
        <family val="2"/>
      </rPr>
      <t>1</t>
    </r>
    <r>
      <rPr>
        <b/>
        <sz val="12"/>
        <rFont val="Arial"/>
        <family val="2"/>
      </rPr>
      <t xml:space="preserve"> in Fr. nach Kantonen</t>
    </r>
  </si>
  <si>
    <t>Quelle: T 2.07 / T 11.14  (-&gt;2008: Statistik des Risikoausgleiches - Gemeinsame Einrichtung KVG)</t>
  </si>
  <si>
    <t>Ausgaben der</t>
  </si>
  <si>
    <t>Versicherten</t>
  </si>
  <si>
    <t>in der OKP</t>
  </si>
  <si>
    <r>
      <t xml:space="preserve">Index </t>
    </r>
    <r>
      <rPr>
        <vertAlign val="superscript"/>
        <sz val="11"/>
        <rFont val="Arial"/>
        <family val="2"/>
      </rPr>
      <t>3</t>
    </r>
  </si>
  <si>
    <t>T 1.11 Verwaltungsaufwand / Abschreibungen in Franken je versicherte Person nach Versicherungsform ab 1999</t>
  </si>
  <si>
    <t>Quelle: T 1.10 / T 11.05</t>
  </si>
  <si>
    <t>T 1.12 Stand der Reserven per 31.12. ab 1999</t>
  </si>
  <si>
    <t>Stand</t>
  </si>
  <si>
    <t>Reserve-</t>
  </si>
  <si>
    <t>pro ver-</t>
  </si>
  <si>
    <t>quote</t>
  </si>
  <si>
    <t>sicherte Per-</t>
  </si>
  <si>
    <t>son in Fr.</t>
  </si>
  <si>
    <t>1) Vgl. Tabelle 11.13A.</t>
  </si>
  <si>
    <t>2) Reserven in % des Prämiensolls (vgl. Tabelle 3.10).</t>
  </si>
  <si>
    <t>3) Gemäss den gesetzlichen Bestimmungen berechneter Mindestreservesatz (siehe T 5.01 &amp; T 5.02).</t>
  </si>
  <si>
    <t>Quelle: T 8.10 [290 + 290.9]; T 11.13A; T 3.10; T 5.01 und Aufsichtsdaten 1998-2003</t>
  </si>
  <si>
    <r>
      <t xml:space="preserve">Reserven </t>
    </r>
    <r>
      <rPr>
        <vertAlign val="superscript"/>
        <sz val="11"/>
        <rFont val="Arial"/>
        <family val="2"/>
      </rPr>
      <t>1</t>
    </r>
  </si>
  <si>
    <r>
      <t xml:space="preserve">effektiv </t>
    </r>
    <r>
      <rPr>
        <vertAlign val="superscript"/>
        <sz val="11"/>
        <rFont val="Arial"/>
        <family val="2"/>
      </rPr>
      <t>2</t>
    </r>
  </si>
  <si>
    <r>
      <t>gesetzlich</t>
    </r>
    <r>
      <rPr>
        <vertAlign val="superscript"/>
        <sz val="11"/>
        <rFont val="Arial"/>
        <family val="2"/>
      </rPr>
      <t xml:space="preserve"> 3</t>
    </r>
  </si>
  <si>
    <t>T 1.13  Stand der Rückstellungen per 31.12. für unerledigte Versicherungsfälle, ab 1999</t>
  </si>
  <si>
    <t>Stand Rück-</t>
  </si>
  <si>
    <t>Rück-</t>
  </si>
  <si>
    <t>stellungen pro</t>
  </si>
  <si>
    <t>in % der be-</t>
  </si>
  <si>
    <t>stellungen</t>
  </si>
  <si>
    <t>zahlten Lei-</t>
  </si>
  <si>
    <t>2) Vgl. Tabelle 2.20.</t>
  </si>
  <si>
    <t>Quelle: T 8.10 [270]; T 11.13A; T 2.20</t>
  </si>
  <si>
    <r>
      <t xml:space="preserve">Person in Fr. </t>
    </r>
    <r>
      <rPr>
        <vertAlign val="superscript"/>
        <sz val="11"/>
        <rFont val="Arial"/>
        <family val="2"/>
      </rPr>
      <t>1</t>
    </r>
  </si>
  <si>
    <r>
      <t xml:space="preserve">stungen </t>
    </r>
    <r>
      <rPr>
        <vertAlign val="superscript"/>
        <sz val="11"/>
        <rFont val="Arial"/>
        <family val="2"/>
      </rPr>
      <t>2</t>
    </r>
  </si>
  <si>
    <t>2.11.10: 5.04, 11.02, 11.03, 1.08</t>
  </si>
  <si>
    <t>3) Zusätzliche Angaben nach Altersgruppe pro Kanton: T 2.12 &amp; www.bag.admin.ch/pyramiden</t>
  </si>
  <si>
    <r>
      <t>Alle Versicherte</t>
    </r>
    <r>
      <rPr>
        <b/>
        <vertAlign val="superscript"/>
        <sz val="11"/>
        <rFont val="Arial"/>
        <family val="2"/>
      </rPr>
      <t xml:space="preserve"> 2</t>
    </r>
  </si>
  <si>
    <r>
      <t xml:space="preserve">Zusätzliche Angaben : nach Altersgruppe (Total) </t>
    </r>
    <r>
      <rPr>
        <b/>
        <vertAlign val="superscript"/>
        <sz val="12"/>
        <rFont val="Arial"/>
        <family val="2"/>
      </rPr>
      <t>3</t>
    </r>
  </si>
  <si>
    <t>Quelle: T 1.03; 1.04; 1.05; 1.06 [30-33]</t>
  </si>
  <si>
    <r>
      <t xml:space="preserve">davon Medikamente Spital ambulant </t>
    </r>
    <r>
      <rPr>
        <i/>
        <vertAlign val="superscript"/>
        <sz val="11"/>
        <rFont val="Arial"/>
        <family val="2"/>
      </rPr>
      <t>3</t>
    </r>
  </si>
  <si>
    <t>EF2 Konto 61 Krankheit + Unfall Seiten 2.2 -&gt; 2.7</t>
  </si>
  <si>
    <t>= ( [ 9A ] / [ 1 ] ) in %</t>
  </si>
  <si>
    <t>= ( [ 3A ] / [ 1 ] )</t>
  </si>
  <si>
    <t>= ( [ 9A ] / [ 3 ] ) in %</t>
  </si>
  <si>
    <t>101-113</t>
  </si>
  <si>
    <t>T 3.12  Prämiensoll in Franken je versicherte Person nach Versicherungsform ab 1999</t>
  </si>
  <si>
    <t xml:space="preserve">Erwachsene </t>
  </si>
  <si>
    <t>(26 Jahre und mehr)</t>
  </si>
  <si>
    <t>2) Zusätzliche Angaben nach Altersgruppe pro Kanton: T 3.13 &amp; www.bag.admin.ch/pyramiden</t>
  </si>
  <si>
    <r>
      <t xml:space="preserve">Alle Versicherte </t>
    </r>
    <r>
      <rPr>
        <b/>
        <vertAlign val="superscript"/>
        <sz val="11"/>
        <rFont val="Arial"/>
        <family val="2"/>
      </rPr>
      <t>1</t>
    </r>
  </si>
  <si>
    <r>
      <t xml:space="preserve">Zusätzliche Angaben : nach Altersgruppe (Total) </t>
    </r>
    <r>
      <rPr>
        <b/>
        <vertAlign val="superscript"/>
        <sz val="12"/>
        <rFont val="Arial"/>
        <family val="2"/>
      </rPr>
      <t>2</t>
    </r>
    <r>
      <rPr>
        <b/>
        <sz val="12"/>
        <rFont val="Arial"/>
        <family val="2"/>
      </rPr>
      <t xml:space="preserve"> </t>
    </r>
  </si>
  <si>
    <t>Eingeschränkte Wahl (z.B. HMO)</t>
  </si>
  <si>
    <t>vollständig (131 / 131 T.)</t>
  </si>
  <si>
    <r>
      <t>Wählbare Franchisen</t>
    </r>
    <r>
      <rPr>
        <b/>
        <sz val="11"/>
        <rFont val="Arial"/>
        <family val="2"/>
      </rPr>
      <t xml:space="preserve"> </t>
    </r>
    <r>
      <rPr>
        <b/>
        <sz val="10"/>
        <rFont val="Arial"/>
        <family val="2"/>
      </rPr>
      <t xml:space="preserve">I -&gt; VI </t>
    </r>
  </si>
  <si>
    <t>T 11.09 Verteilung der Versicherungsformen in % nach Kanton - Kinder 0 - 18 Jahre</t>
  </si>
  <si>
    <t>Ordentliche Franchise (0 Fr.)</t>
  </si>
  <si>
    <t>Wählbare Franchise I (100 Fr.)</t>
  </si>
  <si>
    <t>Wählbare Franchise II (200 Fr.)</t>
  </si>
  <si>
    <t>Wählbare Franchise III (300 Fr.)</t>
  </si>
  <si>
    <t>Wählbare Franchise IV (400 Fr.)</t>
  </si>
  <si>
    <t>Wählbare Franchise V (500 Fr.)</t>
  </si>
  <si>
    <t>Wählbare Franchise VI (600 Fr.)</t>
  </si>
  <si>
    <t>Quelle: Formular EF3 [T 3.23]</t>
  </si>
  <si>
    <t>T 11.16  Durchschnittlicher Versichertenbestand nach Versicherungsform</t>
  </si>
  <si>
    <t>* davon Versicherte mit Unfalldeckung KVG</t>
  </si>
  <si>
    <t>* davon junge Erwachsene und Erwachsene</t>
  </si>
  <si>
    <t xml:space="preserve">Quelle: Formular EF3 [T 3.13] </t>
  </si>
  <si>
    <t xml:space="preserve">1) Die Zuteilung der Versicherten nach Versicherungsart erfolgt derart, dass die Versicherten der Kategorie „andere Versicherungsformen“ </t>
  </si>
  <si>
    <t xml:space="preserve">    (HMO, Hausarztmodell…) zugewiesen werden, falls sie eine Kombination dieser Form mit ordentlicher/wählbarer Franchise aufweisen.</t>
  </si>
  <si>
    <t xml:space="preserve">T 11.10  Versicherteneintritte KVG nach Alter und Geschlecht </t>
  </si>
  <si>
    <t xml:space="preserve">In % des durch- </t>
  </si>
  <si>
    <t>schnittlichen Ver-</t>
  </si>
  <si>
    <t>sichertenbestandes</t>
  </si>
  <si>
    <t>davon Neugeborene</t>
  </si>
  <si>
    <t>Quelle: Formular EF3 [3.8.3] &amp; T 11.13</t>
  </si>
  <si>
    <r>
      <t xml:space="preserve">B. KVG-Versicherte mit Wohnsitz in einem EG-Staat, in Island oder in Norwegen, inklusive Grenzgänger </t>
    </r>
    <r>
      <rPr>
        <b/>
        <vertAlign val="superscript"/>
        <sz val="12"/>
        <color indexed="10"/>
        <rFont val="Arial"/>
        <family val="2"/>
      </rPr>
      <t>3</t>
    </r>
  </si>
  <si>
    <r>
      <t xml:space="preserve">C. KVG-Versicherte mit Wohnsitz in einem EG-Staat, in Island oder in Norwegen, nur Grenzgänger </t>
    </r>
    <r>
      <rPr>
        <b/>
        <vertAlign val="superscript"/>
        <sz val="12"/>
        <color indexed="10"/>
        <rFont val="Arial"/>
        <family val="2"/>
      </rPr>
      <t>4</t>
    </r>
  </si>
  <si>
    <r>
      <t xml:space="preserve">A. KVG-Versicherte mit Wohnsitz in der Schweiz und schweizerischer Prämie (inkl. Versicherte gemäss Art. 4 und 5 KVV) </t>
    </r>
    <r>
      <rPr>
        <b/>
        <vertAlign val="superscript"/>
        <sz val="12"/>
        <color indexed="10"/>
        <rFont val="55 Helvetica Roman"/>
      </rPr>
      <t>2</t>
    </r>
  </si>
  <si>
    <r>
      <t xml:space="preserve">T 11.13 Durchschnittlicher Versichertenbestand </t>
    </r>
    <r>
      <rPr>
        <b/>
        <vertAlign val="superscript"/>
        <sz val="12"/>
        <color indexed="10"/>
        <rFont val="Arial"/>
        <family val="2"/>
      </rPr>
      <t>1</t>
    </r>
    <r>
      <rPr>
        <b/>
        <sz val="12"/>
        <rFont val="Arial"/>
        <family val="2"/>
      </rPr>
      <t xml:space="preserve"> und Durchschnittsalter für die obligatorische Krankenpflegeversicherung gemäss Art. 29 KVV</t>
    </r>
  </si>
  <si>
    <t>1) Durchschnittsbestand = Stand aller Monate zusammengezählt und geteilt durch 12.</t>
  </si>
  <si>
    <t>2) Versichertenbestand per 31.12: siehe T 11.02.</t>
  </si>
  <si>
    <t>3) Betriebsrechnung: siehe T 1.07.</t>
  </si>
  <si>
    <t>4) Grenzgänger, sowie ihre nichterwerbstätigen Familienangehörigen (Versicherte gemäss Art. 3 KVV).</t>
  </si>
  <si>
    <t>T 11.14  Durchschnittlicher Versichertenbestand nach Kantonen</t>
  </si>
  <si>
    <t>19.1.11: 2.02,2.06,2.08,2.09,2.11,2.15,2.23,2.24</t>
  </si>
  <si>
    <t>201-224</t>
  </si>
  <si>
    <t>301-315</t>
  </si>
  <si>
    <t>Ordentliche</t>
  </si>
  <si>
    <t>Wählbare</t>
  </si>
  <si>
    <t>BONUS-</t>
  </si>
  <si>
    <t>Einge-</t>
  </si>
  <si>
    <t xml:space="preserve">  Jahres-</t>
  </si>
  <si>
    <t xml:space="preserve"> Jahres-</t>
  </si>
  <si>
    <t>Versicherung</t>
  </si>
  <si>
    <t>schränkte</t>
  </si>
  <si>
    <t>franchise</t>
  </si>
  <si>
    <t>franchisen</t>
  </si>
  <si>
    <t>Wahl</t>
  </si>
  <si>
    <t xml:space="preserve"> (z.B. HMO)</t>
  </si>
  <si>
    <t>Quelle: T 1.03, 1.04, 1.05, 1.06</t>
  </si>
  <si>
    <t>8: Gesamtgeschäft der vom BAG anerkannten Krankenversicherer</t>
  </si>
  <si>
    <t>Anzahl Versicherer ab 1999</t>
  </si>
  <si>
    <t>Ertrag, Aufwand und Ergebnis der Versicherer ab 1999</t>
  </si>
  <si>
    <t>Gesamtbetriebsrechnung: Ertrag der Versicherer</t>
  </si>
  <si>
    <t xml:space="preserve">Gesamtbetriebsrechnung: Aufwand der Versicherer </t>
  </si>
  <si>
    <t>Aktiven und Passiven der Versicherer ab 1999</t>
  </si>
  <si>
    <t>Eigenkapital, Kapitalanlagen, Grundstücke und Gebäude der Versicherer ab 1999</t>
  </si>
  <si>
    <t>Bilanz: Aktiven der Versicherer per 31.12.</t>
  </si>
  <si>
    <t>Bilanz: Passiven der Versicherer per 31.12.</t>
  </si>
  <si>
    <t>Aufstellung über Kapitalanlagen, Grundstücke und Gebäude per 31.12.</t>
  </si>
  <si>
    <t>Ergebnisverteilung per 31.12.</t>
  </si>
  <si>
    <t>7: Andere Versicherungen der vom BAG anerkannten Krankenversicherer</t>
  </si>
  <si>
    <t>Ertrag, Aufwand und Ergebnis der anderen Versicherungen insgesamt ab 1999</t>
  </si>
  <si>
    <t>Indikatoren der Betriebsrechnung der anderen Versicherungen</t>
  </si>
  <si>
    <t>Betriebsrechnung der Zusatzversicherungen VVG</t>
  </si>
  <si>
    <t xml:space="preserve">Betriebsrechnung der Krankenpflegeversicherung Liechtenstein </t>
  </si>
  <si>
    <t>Betriebsrechnung der Zusatzversicherungen Versicherte wohnhaft im Ausland</t>
  </si>
  <si>
    <t>6: Freiwillige Taggeldversicherung KVG</t>
  </si>
  <si>
    <t>Prämien, Leistungen, Versichertenbestand und Versichererbestand ab 1999</t>
  </si>
  <si>
    <t>Ertrag, Aufwand und Ergebnis ab 1999</t>
  </si>
  <si>
    <t>Versicherer, Versicherte, Prämien und Leistungen nach Einzel- u. Kollektivverträgen</t>
  </si>
  <si>
    <t xml:space="preserve">Betriebsrechnung der Einzel- und Kollektivversicherung insgesamt </t>
  </si>
  <si>
    <t xml:space="preserve">Betriebsrechnung der Einzelversicherung </t>
  </si>
  <si>
    <t>Betriebsrechnung der Kollektivversicherung</t>
  </si>
  <si>
    <t xml:space="preserve">T 6.04  Betriebsrechnung der Einzel- und Kollektivversicherung insgesamt </t>
  </si>
  <si>
    <t>Quelle: Formular EF2 [2.0 &amp; 2.1]</t>
  </si>
  <si>
    <t>Quelle: Formular EF2 [2.0]</t>
  </si>
  <si>
    <t>1) Getrennte Rechnungsführung für die Einzel- und die Kollektivversicherung wird nur bei unterschiedlichen Prämientarifen</t>
  </si>
  <si>
    <t>verlangt (vgl. Art. 75 Abs. 2 KVG).</t>
  </si>
  <si>
    <r>
      <t xml:space="preserve">T 6.05  Betriebsrechnung der Einzelversicherung </t>
    </r>
    <r>
      <rPr>
        <b/>
        <vertAlign val="superscript"/>
        <sz val="12"/>
        <rFont val="Arial"/>
        <family val="2"/>
      </rPr>
      <t>1</t>
    </r>
  </si>
  <si>
    <t>Quelle: Formular EF2 [2.1]</t>
  </si>
  <si>
    <r>
      <t xml:space="preserve">T 6.06  Betriebsrechnung der Kollektivversicherung </t>
    </r>
    <r>
      <rPr>
        <b/>
        <vertAlign val="superscript"/>
        <sz val="12"/>
        <rFont val="Arial"/>
        <family val="2"/>
      </rPr>
      <t>1</t>
    </r>
  </si>
  <si>
    <t>Anzahl / Betrag</t>
  </si>
  <si>
    <t>Einzel-</t>
  </si>
  <si>
    <t>Kollektiv-</t>
  </si>
  <si>
    <t>versiche-</t>
  </si>
  <si>
    <t>rung</t>
  </si>
  <si>
    <t>1999 alt</t>
  </si>
  <si>
    <t>1999 neu</t>
  </si>
  <si>
    <t>Anzahl Versicherer</t>
  </si>
  <si>
    <t>Männlich</t>
  </si>
  <si>
    <t>Weiblich</t>
  </si>
  <si>
    <t>Prämiensoll in Franken</t>
  </si>
  <si>
    <t>Prämiensoll in Franken pro Versicherte(n)</t>
  </si>
  <si>
    <t xml:space="preserve">Leistungen in Franken </t>
  </si>
  <si>
    <t>davon Mutterschaft</t>
  </si>
  <si>
    <t>Leistungen in Franken pro Versicherte(n)</t>
  </si>
  <si>
    <t>Quelle: Formular EF3 [3.9]</t>
  </si>
  <si>
    <t>2) Versichertenbestand am 31.12.</t>
  </si>
  <si>
    <t>3) In der Kollektivversicherung gibt es auch Lohnsummenverträge, bei denen die Zahl der Versicherten nicht bekannt ist.</t>
  </si>
  <si>
    <r>
      <t xml:space="preserve">T 6.03 Versicherer, Versicherte, Prämien und Leistungen nach Einzel- und Kollektivverträgen </t>
    </r>
    <r>
      <rPr>
        <b/>
        <vertAlign val="superscript"/>
        <sz val="12"/>
        <rFont val="Arial"/>
        <family val="2"/>
      </rPr>
      <t>1</t>
    </r>
  </si>
  <si>
    <r>
      <t xml:space="preserve">rung </t>
    </r>
    <r>
      <rPr>
        <vertAlign val="superscript"/>
        <sz val="11"/>
        <rFont val="Arial"/>
        <family val="2"/>
      </rPr>
      <t>3</t>
    </r>
  </si>
  <si>
    <r>
      <t xml:space="preserve">Versichertenbestand </t>
    </r>
    <r>
      <rPr>
        <b/>
        <vertAlign val="superscript"/>
        <sz val="11"/>
        <rFont val="Arial"/>
        <family val="2"/>
      </rPr>
      <t>2</t>
    </r>
  </si>
  <si>
    <t/>
  </si>
  <si>
    <t xml:space="preserve"> </t>
  </si>
  <si>
    <t>T 6.02 Ertrag, Aufwand und Ergebnis in Franken ab 1999</t>
  </si>
  <si>
    <t>Jahr</t>
  </si>
  <si>
    <t>Total des</t>
  </si>
  <si>
    <t>Total Ver-</t>
  </si>
  <si>
    <t>Gesamt-</t>
  </si>
  <si>
    <t>sicherungs-</t>
  </si>
  <si>
    <t>betriebs-</t>
  </si>
  <si>
    <t>ertrags</t>
  </si>
  <si>
    <t>und Betriebs-</t>
  </si>
  <si>
    <t>ergebnis</t>
  </si>
  <si>
    <t xml:space="preserve">aufwand </t>
  </si>
  <si>
    <t>Quelle: T 6.04</t>
  </si>
  <si>
    <t>T 6.01 Prämien, Leistungen, Versichertenbestand und Versichererbestand ab 1999</t>
  </si>
  <si>
    <t>Prämiensoll</t>
  </si>
  <si>
    <t>Versi-</t>
  </si>
  <si>
    <t>in Mio. Fr.</t>
  </si>
  <si>
    <t xml:space="preserve"> pro</t>
  </si>
  <si>
    <t>cherten-</t>
  </si>
  <si>
    <t>cherer-</t>
  </si>
  <si>
    <t>Versicherte(n)</t>
  </si>
  <si>
    <t>bestand</t>
  </si>
  <si>
    <t>Quelle: T 6.03</t>
  </si>
  <si>
    <t>1) Versichertenbestand am 31.12. Die Werte 1997 bis 1999 des Versichertenbestands wurden revidiert.</t>
  </si>
  <si>
    <r>
      <t xml:space="preserve">bestand </t>
    </r>
    <r>
      <rPr>
        <vertAlign val="superscript"/>
        <sz val="11"/>
        <rFont val="Arial"/>
        <family val="2"/>
      </rPr>
      <t>1</t>
    </r>
  </si>
  <si>
    <r>
      <t xml:space="preserve">in Fr. </t>
    </r>
    <r>
      <rPr>
        <vertAlign val="superscript"/>
        <sz val="11"/>
        <rFont val="Arial"/>
        <family val="2"/>
      </rPr>
      <t>1</t>
    </r>
  </si>
  <si>
    <r>
      <t xml:space="preserve">    </t>
    </r>
    <r>
      <rPr>
        <u/>
        <sz val="10"/>
        <rFont val="Arial"/>
        <family val="2"/>
      </rPr>
      <t>Nur Einzelversicherung.</t>
    </r>
  </si>
  <si>
    <t>davon Taggeldversicherung VVG</t>
  </si>
  <si>
    <t xml:space="preserve">Brutto-Prämien (60-65) </t>
  </si>
  <si>
    <t xml:space="preserve">Bezahlte Leistungen (30-33) </t>
  </si>
  <si>
    <t>1) Gemäss Art. 13 und 14 KVV, ohne  T 7.04 und 7.05.</t>
  </si>
  <si>
    <t>Quelle: Formular EF2 [2.8] &amp; EF1 [1.12C]</t>
  </si>
  <si>
    <r>
      <t xml:space="preserve">T 7.03  Betriebsrechnung der Zusatzversicherungen VVG </t>
    </r>
    <r>
      <rPr>
        <b/>
        <vertAlign val="superscript"/>
        <sz val="12"/>
        <rFont val="Arial"/>
        <family val="2"/>
      </rPr>
      <t>1</t>
    </r>
  </si>
  <si>
    <t xml:space="preserve">T 7.04  Betriebsrechnung der Krankenpflegeversicherung Liechtenstein </t>
  </si>
  <si>
    <t>Quelle: Formular EF2 [2.9]</t>
  </si>
  <si>
    <t>1) Ohne T 7.04</t>
  </si>
  <si>
    <t>Quelle: Formular EF2 [2.10]</t>
  </si>
  <si>
    <r>
      <t xml:space="preserve">T 7.05  Betriebsrechnung der Zusatzversicherungen Versicherte wohnhaft im Ausland </t>
    </r>
    <r>
      <rPr>
        <b/>
        <vertAlign val="superscript"/>
        <sz val="12"/>
        <rFont val="Arial"/>
        <family val="2"/>
      </rPr>
      <t>1</t>
    </r>
  </si>
  <si>
    <t xml:space="preserve">T 7.02  Indikatoren der Betriebsrechnung der anderen Versicherungen in Franken </t>
  </si>
  <si>
    <t>Zusatzversi-</t>
  </si>
  <si>
    <t>Kranken-</t>
  </si>
  <si>
    <t>Zusatzver-</t>
  </si>
  <si>
    <t>cherungen</t>
  </si>
  <si>
    <t>pflegever-</t>
  </si>
  <si>
    <t>sicherungen</t>
  </si>
  <si>
    <t>VVG</t>
  </si>
  <si>
    <t>sicherung</t>
  </si>
  <si>
    <t>Versicherte</t>
  </si>
  <si>
    <t>Liechten-</t>
  </si>
  <si>
    <t>wohnhaft</t>
  </si>
  <si>
    <t>stein</t>
  </si>
  <si>
    <t xml:space="preserve"> im Ausland</t>
  </si>
  <si>
    <t>Versicherungsertrag</t>
  </si>
  <si>
    <t>davon Brutto-Prämien</t>
  </si>
  <si>
    <t>Neutraler Aufwand/Ertrag</t>
  </si>
  <si>
    <t>Total des Gesamtertrags</t>
  </si>
  <si>
    <t>Versicherungsaufwand</t>
  </si>
  <si>
    <t>davon Brutto-Leistungen</t>
  </si>
  <si>
    <t>4: Prämienverbilligung in der OKP</t>
  </si>
  <si>
    <t>Anzahl Bezüger, subventionierte Haushalte sowie ausgerichtete Subventionen ab 1999</t>
  </si>
  <si>
    <t>Anzahl Bezüger nach Kantonen</t>
  </si>
  <si>
    <t>Anzahl Bezüger nach Geschlecht und Altersgruppen</t>
  </si>
  <si>
    <t xml:space="preserve">Anzahl subventionierte Haushalte nach Haushaltstyp und Kantonen </t>
  </si>
  <si>
    <t>Anzahl subventionierte Haushalte nach ausbezahltem Jahresbetrag und Kantonen</t>
  </si>
  <si>
    <t>Ausbezahlter Betrag nach Kantonen in Mio. Franken</t>
  </si>
  <si>
    <t xml:space="preserve">KVG-Verteilmodell: Berechnungsbasis sowie Bundes- und Kantonsbeiträge </t>
  </si>
  <si>
    <t xml:space="preserve">Prämienverbilligung OKP : effektiv ausgerichtete Beiträge nach Kantonen </t>
  </si>
  <si>
    <t>KVG-Verteilmodell: Bundesbeiträge 2009 - 2011</t>
  </si>
  <si>
    <t>Année</t>
  </si>
  <si>
    <t>Ausbezahlte</t>
  </si>
  <si>
    <t>Anzahl</t>
  </si>
  <si>
    <t>Bezüger-</t>
  </si>
  <si>
    <t>Subvention</t>
  </si>
  <si>
    <t>Anzahl sub-</t>
  </si>
  <si>
    <t>Subventionen</t>
  </si>
  <si>
    <t>davon Anteil</t>
  </si>
  <si>
    <t>Bezüger</t>
  </si>
  <si>
    <t>pro Bezüger</t>
  </si>
  <si>
    <t>ventionierte</t>
  </si>
  <si>
    <t>pro Haushalt</t>
  </si>
  <si>
    <t>der Kantone</t>
  </si>
  <si>
    <t>Haushalte</t>
  </si>
  <si>
    <t>Quelle:  T 4.02 &amp; 4.04 &amp; 4.08</t>
  </si>
  <si>
    <t>1) Effektiv im Berichtsjahr an die Haushalte/Bezüger ausbezahlte Prämienverbilligungen nach KVG.</t>
  </si>
  <si>
    <t xml:space="preserve">     Die Werte für 1996 und 2004 wurden revidiert.</t>
  </si>
  <si>
    <t xml:space="preserve">2)  Anzahl Bezüger in Prozent des durschnittlichen Versichertenbestandes (1996-&gt;2008: revidierte Zahlen). </t>
  </si>
  <si>
    <r>
      <t xml:space="preserve">T 4.01 Anzahl Bezüger, Bezügerquoten, subventionierte Haushalte sowie ausgerichtete Subventionen nach KVG ab 1999 </t>
    </r>
    <r>
      <rPr>
        <b/>
        <vertAlign val="superscript"/>
        <sz val="12"/>
        <rFont val="Arial"/>
        <family val="2"/>
      </rPr>
      <t>1</t>
    </r>
  </si>
  <si>
    <r>
      <t xml:space="preserve">quote </t>
    </r>
    <r>
      <rPr>
        <vertAlign val="superscript"/>
        <sz val="11"/>
        <rFont val="Arial"/>
        <family val="2"/>
      </rPr>
      <t>2</t>
    </r>
  </si>
  <si>
    <r>
      <t xml:space="preserve">nach KVG </t>
    </r>
    <r>
      <rPr>
        <vertAlign val="superscript"/>
        <sz val="11"/>
        <rFont val="Arial"/>
        <family val="2"/>
      </rPr>
      <t>1</t>
    </r>
  </si>
  <si>
    <t>T 4.02 Anzahl Bezüger nach Kantonen</t>
  </si>
  <si>
    <t>no print</t>
  </si>
  <si>
    <t xml:space="preserve">davon </t>
  </si>
  <si>
    <t>Männliche</t>
  </si>
  <si>
    <t>Weibliche</t>
  </si>
  <si>
    <t>Bezüger, deren</t>
  </si>
  <si>
    <t>Im Jahr</t>
  </si>
  <si>
    <t>Personen</t>
  </si>
  <si>
    <t>Bezüger von</t>
  </si>
  <si>
    <t>Sozialhilfe-</t>
  </si>
  <si>
    <t>OKP-Prämien</t>
  </si>
  <si>
    <t>ausbezahlter</t>
  </si>
  <si>
    <t>Ergänzungs-</t>
  </si>
  <si>
    <t>bezüger</t>
  </si>
  <si>
    <t>vollumfänglich</t>
  </si>
  <si>
    <t xml:space="preserve"> Betrag</t>
  </si>
  <si>
    <t>verbilligt werden</t>
  </si>
  <si>
    <t>Quelle: Formular PV2 [2.1] &amp; T 11.14</t>
  </si>
  <si>
    <t>1) Anzahl Personen, an welche im Berichtsjahr Subventionen nach KVG ausgerichtet wurden.</t>
  </si>
  <si>
    <r>
      <t xml:space="preserve">Bezüger </t>
    </r>
    <r>
      <rPr>
        <vertAlign val="superscript"/>
        <sz val="11"/>
        <rFont val="Arial"/>
        <family val="2"/>
      </rPr>
      <t>1</t>
    </r>
  </si>
  <si>
    <r>
      <t xml:space="preserve">in Mio. Franken </t>
    </r>
    <r>
      <rPr>
        <vertAlign val="superscript"/>
        <sz val="11"/>
        <rFont val="Arial"/>
        <family val="2"/>
      </rPr>
      <t>2</t>
    </r>
  </si>
  <si>
    <r>
      <t xml:space="preserve">CH </t>
    </r>
    <r>
      <rPr>
        <b/>
        <vertAlign val="superscript"/>
        <sz val="11"/>
        <rFont val="Arial"/>
        <family val="2"/>
      </rPr>
      <t>2</t>
    </r>
  </si>
  <si>
    <r>
      <t xml:space="preserve">2) Angaben 2009 unvollständig in einigen Kantonen und damit auch für </t>
    </r>
    <r>
      <rPr>
        <i/>
        <sz val="10"/>
        <rFont val="Arial"/>
        <family val="2"/>
      </rPr>
      <t>CH.</t>
    </r>
  </si>
  <si>
    <t>Altersgruppe</t>
  </si>
  <si>
    <t xml:space="preserve">Bezügerquoten </t>
  </si>
  <si>
    <t>pro Altersgruppe</t>
  </si>
  <si>
    <t>0 – 18</t>
  </si>
  <si>
    <t>19 – 25</t>
  </si>
  <si>
    <t>91 und mehr</t>
  </si>
  <si>
    <t>Alter unbekannt</t>
  </si>
  <si>
    <t>Quelle: Formular PV2 [2.1] &amp; T 11.15</t>
  </si>
  <si>
    <t>1) Bezügerquoten  0-18 -&gt; 91 und mehr unterschätzt wegen der Kategorie “Alter unbekannt”.</t>
  </si>
  <si>
    <t>2) Angaben 2009 unvollständig in einigen Kantonen und damit auch für CH (siehe T 4.07).</t>
  </si>
  <si>
    <r>
      <t>T 4.03 Anzahl Bezüger nach Geschlecht</t>
    </r>
    <r>
      <rPr>
        <b/>
        <sz val="12"/>
        <rFont val="Arial"/>
        <family val="2"/>
      </rPr>
      <t xml:space="preserve"> und Altersgruppen</t>
    </r>
  </si>
  <si>
    <r>
      <t xml:space="preserve">Total </t>
    </r>
    <r>
      <rPr>
        <vertAlign val="superscript"/>
        <sz val="11"/>
        <rFont val="Arial"/>
        <family val="2"/>
      </rPr>
      <t>1</t>
    </r>
  </si>
  <si>
    <r>
      <t>in Mio. Franken</t>
    </r>
    <r>
      <rPr>
        <vertAlign val="superscript"/>
        <sz val="11"/>
        <rFont val="Arial"/>
        <family val="2"/>
      </rPr>
      <t xml:space="preserve"> 2</t>
    </r>
  </si>
  <si>
    <t xml:space="preserve">  [ x Erwachsene + y Kinder ]</t>
  </si>
  <si>
    <t>1+0</t>
  </si>
  <si>
    <t>1+1</t>
  </si>
  <si>
    <t>1+2</t>
  </si>
  <si>
    <t>1+≥3</t>
  </si>
  <si>
    <t>2+0</t>
  </si>
  <si>
    <t>2+1</t>
  </si>
  <si>
    <t>2+2</t>
  </si>
  <si>
    <t>2+≥3</t>
  </si>
  <si>
    <t xml:space="preserve">Kanton </t>
  </si>
  <si>
    <t>Quelle: Formular PV2 [2.2]</t>
  </si>
  <si>
    <t>1) Anzahl subventionierte Haushalte im Sinne der kantonalen Regelungen zur Prämienverbilligung.</t>
  </si>
  <si>
    <t>2) Die Anzahl Personen pro Haushalt hängt von den kantonalen Regelungen zur Prämienverbilligung ab.</t>
  </si>
  <si>
    <t xml:space="preserve">    Beispiele: 1+0 = 1 Erwachsene + 0 Kind / 1+1 = 1 Erwachsene + 1 Kind (alleinerziehender Haushalt)</t>
  </si>
  <si>
    <t>3) Angaben 2009 unvollständig in einigen Kantonen und damit auch für CH (siehe T 4.07).</t>
  </si>
  <si>
    <r>
      <t xml:space="preserve">T 4.04 Anzahl subventionierte Haushalte </t>
    </r>
    <r>
      <rPr>
        <b/>
        <vertAlign val="superscript"/>
        <sz val="12"/>
        <rFont val="Arial"/>
        <family val="2"/>
      </rPr>
      <t>1</t>
    </r>
    <r>
      <rPr>
        <b/>
        <sz val="12"/>
        <rFont val="Arial"/>
        <family val="2"/>
      </rPr>
      <t xml:space="preserve">  nach Haushaltstyp und Kantonen</t>
    </r>
  </si>
  <si>
    <r>
      <t xml:space="preserve">  Anzahl subventionierte Haushalte (gemäss Anzahl Personen pro Haushalt </t>
    </r>
    <r>
      <rPr>
        <vertAlign val="superscript"/>
        <sz val="11"/>
        <rFont val="Arial"/>
        <family val="2"/>
      </rPr>
      <t xml:space="preserve">2 </t>
    </r>
    <r>
      <rPr>
        <sz val="11"/>
        <rFont val="Arial"/>
        <family val="2"/>
      </rPr>
      <t>)</t>
    </r>
  </si>
  <si>
    <r>
      <t xml:space="preserve">CH </t>
    </r>
    <r>
      <rPr>
        <b/>
        <vertAlign val="superscript"/>
        <sz val="11"/>
        <rFont val="Arial"/>
        <family val="2"/>
      </rPr>
      <t>3</t>
    </r>
  </si>
  <si>
    <r>
      <t xml:space="preserve">Im Jahr ausbezahlter  Betrag in Mio. Franken </t>
    </r>
    <r>
      <rPr>
        <vertAlign val="superscript"/>
        <sz val="11"/>
        <rFont val="Arial"/>
        <family val="2"/>
      </rPr>
      <t xml:space="preserve">3 </t>
    </r>
    <r>
      <rPr>
        <sz val="11"/>
        <rFont val="Arial"/>
        <family val="2"/>
      </rPr>
      <t xml:space="preserve"> (CH)</t>
    </r>
  </si>
  <si>
    <t>Ausbezahlter Jahresbetrag</t>
  </si>
  <si>
    <t>1 - 600 Fr.</t>
  </si>
  <si>
    <t>601 -</t>
  </si>
  <si>
    <t>1'201 -</t>
  </si>
  <si>
    <t>2'401 -</t>
  </si>
  <si>
    <t>3'601 -</t>
  </si>
  <si>
    <t>4'801 -</t>
  </si>
  <si>
    <t>6'001 -</t>
  </si>
  <si>
    <t>Jahresbetrag</t>
  </si>
  <si>
    <t>1'200 Fr.</t>
  </si>
  <si>
    <t>2'400 Fr.</t>
  </si>
  <si>
    <t>3'600 Fr.</t>
  </si>
  <si>
    <t>4'800 Fr.</t>
  </si>
  <si>
    <t>6'000 Fr.</t>
  </si>
  <si>
    <t>12'000 Fr.</t>
  </si>
  <si>
    <r>
      <t xml:space="preserve">T 4.05 Anzahl subventionierte Haushalte </t>
    </r>
    <r>
      <rPr>
        <b/>
        <vertAlign val="superscript"/>
        <sz val="12"/>
        <rFont val="Arial"/>
        <family val="2"/>
      </rPr>
      <t>1</t>
    </r>
    <r>
      <rPr>
        <b/>
        <sz val="12"/>
        <rFont val="Arial"/>
        <family val="2"/>
      </rPr>
      <t xml:space="preserve">  nach ausbezahltem Jahresbetrag und Kantonen </t>
    </r>
  </si>
  <si>
    <t>T 4.06 Ausbezahlter Betrag nach Kantonen in Mio. Franken</t>
  </si>
  <si>
    <t xml:space="preserve">Alter </t>
  </si>
  <si>
    <t>1) Angaben 2009 unvollständig in einigen Kantonen und damit auch für CH (siehe T 4.07).</t>
  </si>
  <si>
    <r>
      <t xml:space="preserve">CH </t>
    </r>
    <r>
      <rPr>
        <b/>
        <vertAlign val="superscript"/>
        <sz val="11"/>
        <rFont val="Arial"/>
        <family val="2"/>
      </rPr>
      <t>1</t>
    </r>
  </si>
  <si>
    <r>
      <t xml:space="preserve">T 2.02  Kostenbeteiligung </t>
    </r>
    <r>
      <rPr>
        <b/>
        <vertAlign val="superscript"/>
        <sz val="12"/>
        <rFont val="Arial"/>
        <family val="2"/>
      </rPr>
      <t>1</t>
    </r>
    <r>
      <rPr>
        <b/>
        <sz val="12"/>
        <rFont val="Arial"/>
        <family val="2"/>
      </rPr>
      <t xml:space="preserve"> je versicherte Person in Franken nach Versicherungsform ab 1999</t>
    </r>
  </si>
  <si>
    <r>
      <t xml:space="preserve">Alle Versicherte </t>
    </r>
    <r>
      <rPr>
        <b/>
        <vertAlign val="superscript"/>
        <sz val="11"/>
        <rFont val="Arial"/>
        <family val="2"/>
      </rPr>
      <t>2</t>
    </r>
  </si>
  <si>
    <t>Quelle: CH: T 1.01  / Kantone: 2009-&gt;: T 2.12  / 1997-&gt;2007: DATENPOOL santésuisse [Auswertung BAG] / 2008: T 2.08 (Statistik des Risikoausgleiches)</t>
  </si>
  <si>
    <t>Quelle: Formular EF3 [T 3.20]  (-&gt;2008: Statistik des Risikoausgleiches - Gemeinsame Einrichtung KVG)</t>
  </si>
  <si>
    <r>
      <t xml:space="preserve">T 2.06 Leistungen (brutto) </t>
    </r>
    <r>
      <rPr>
        <b/>
        <vertAlign val="superscript"/>
        <sz val="12"/>
        <rFont val="Arial"/>
        <family val="2"/>
      </rPr>
      <t xml:space="preserve">1 </t>
    </r>
    <r>
      <rPr>
        <b/>
        <sz val="12"/>
        <rFont val="Arial"/>
        <family val="2"/>
      </rPr>
      <t>nach Altersgruppen und Geschlecht in Mio. Fr.</t>
    </r>
  </si>
  <si>
    <t>Kinder (0-18 Jahre)</t>
  </si>
  <si>
    <t>Junge Erwachsene (19-25 Jahre)</t>
  </si>
  <si>
    <t>Erwachsene (ab 26 Jahre)</t>
  </si>
  <si>
    <t>Standardmodell mit ordentlicher Jahresfranchise</t>
  </si>
  <si>
    <t>Standardmodell</t>
  </si>
  <si>
    <t>mit wählbarer</t>
  </si>
  <si>
    <t>Jahresfranchise</t>
  </si>
  <si>
    <t>Andere Versicherungsformen (HMO, Hausarzt-modell,…)</t>
  </si>
  <si>
    <t>Total *</t>
  </si>
  <si>
    <t xml:space="preserve"> * davon Versicherte mit HMO-Modell</t>
  </si>
  <si>
    <t>* davon Versicherte mit Hausarztmodell</t>
  </si>
  <si>
    <t>* davon Versicherte mit wählbarer Franchise</t>
  </si>
  <si>
    <t>Quelle: T 2.24 - T 2.23</t>
  </si>
  <si>
    <t>1) Die Zuteilung der Versicherten nach Versicherungsart erfolgt derart, dass die Versicherten der Kategorie „andere Versicherungsformen“</t>
  </si>
  <si>
    <t xml:space="preserve">     (HMO, Hausarztmodell…) zugewiesen werden, falls sie eine Kombination dieser Form mit ordentlicher/wählbarer Franchise aufweisen.</t>
  </si>
  <si>
    <t>2) Franchisenstufen ( Kinder /  Erwachsene)</t>
  </si>
  <si>
    <t xml:space="preserve">     Kinder: ordentliche Franchise F O: 0.- ; wählbare Franchisen F I -&gt; F VI: 100.- 200.- 300.- 400.- 500.- 600.-</t>
  </si>
  <si>
    <t xml:space="preserve">     Erwachsene ab 19 Jahre: ordentliche Franchise F O: 300.- ; wählbare Franchisen F I -&gt; F V: 500.- 1000.- 1500.- 2000.- 2500.-</t>
  </si>
  <si>
    <t xml:space="preserve">3) Inkl. Personen mit Wohnsitz oder Aufenthalt im Ausland gemäss Art. 4 und 5 KVV, aber ohne Versicherte, die dem </t>
  </si>
  <si>
    <t xml:space="preserve">    Versicherungsobligatorium  unterstehen und in einem EU- oder EFTA-Staat Wohnsitz haben (vgl. Fussnote 1 von Tabelle 11.03).</t>
  </si>
  <si>
    <r>
      <t xml:space="preserve">T 2.08  Leistungen (netto) </t>
    </r>
    <r>
      <rPr>
        <b/>
        <vertAlign val="superscript"/>
        <sz val="12"/>
        <rFont val="Arial"/>
        <family val="2"/>
      </rPr>
      <t xml:space="preserve">4  </t>
    </r>
    <r>
      <rPr>
        <b/>
        <sz val="12"/>
        <rFont val="Arial"/>
        <family val="2"/>
      </rPr>
      <t>in Fr. pro Versicherten nach Versicherungsform</t>
    </r>
  </si>
  <si>
    <r>
      <t xml:space="preserve">Versicherungsart </t>
    </r>
    <r>
      <rPr>
        <b/>
        <vertAlign val="superscript"/>
        <sz val="11"/>
        <rFont val="Arial"/>
        <family val="2"/>
      </rPr>
      <t>1</t>
    </r>
  </si>
  <si>
    <r>
      <t xml:space="preserve">F O  </t>
    </r>
    <r>
      <rPr>
        <i/>
        <sz val="11"/>
        <rFont val="Arial"/>
        <family val="2"/>
      </rPr>
      <t xml:space="preserve">(0 / 300) </t>
    </r>
    <r>
      <rPr>
        <i/>
        <vertAlign val="superscript"/>
        <sz val="11"/>
        <rFont val="Arial"/>
        <family val="2"/>
      </rPr>
      <t>2</t>
    </r>
  </si>
  <si>
    <r>
      <t xml:space="preserve">F I  </t>
    </r>
    <r>
      <rPr>
        <i/>
        <sz val="11"/>
        <rFont val="Arial"/>
        <family val="2"/>
      </rPr>
      <t xml:space="preserve">(100 / 500) </t>
    </r>
    <r>
      <rPr>
        <i/>
        <vertAlign val="superscript"/>
        <sz val="11"/>
        <rFont val="Arial"/>
        <family val="2"/>
      </rPr>
      <t>2</t>
    </r>
  </si>
  <si>
    <r>
      <t xml:space="preserve">F II  </t>
    </r>
    <r>
      <rPr>
        <i/>
        <sz val="11"/>
        <rFont val="Arial"/>
        <family val="2"/>
      </rPr>
      <t xml:space="preserve">(200 / 1000) </t>
    </r>
    <r>
      <rPr>
        <i/>
        <vertAlign val="superscript"/>
        <sz val="11"/>
        <rFont val="Arial"/>
        <family val="2"/>
      </rPr>
      <t>2</t>
    </r>
  </si>
  <si>
    <r>
      <t xml:space="preserve">F III  </t>
    </r>
    <r>
      <rPr>
        <i/>
        <sz val="11"/>
        <rFont val="Arial"/>
        <family val="2"/>
      </rPr>
      <t xml:space="preserve">(300 / 1500) </t>
    </r>
    <r>
      <rPr>
        <i/>
        <vertAlign val="superscript"/>
        <sz val="11"/>
        <rFont val="Arial"/>
        <family val="2"/>
      </rPr>
      <t>2</t>
    </r>
  </si>
  <si>
    <r>
      <t xml:space="preserve">F IV  </t>
    </r>
    <r>
      <rPr>
        <i/>
        <sz val="11"/>
        <rFont val="Arial"/>
        <family val="2"/>
      </rPr>
      <t xml:space="preserve">(400 / 2000) </t>
    </r>
    <r>
      <rPr>
        <i/>
        <vertAlign val="superscript"/>
        <sz val="11"/>
        <rFont val="Arial"/>
        <family val="2"/>
      </rPr>
      <t>2</t>
    </r>
  </si>
  <si>
    <r>
      <t xml:space="preserve">F V  </t>
    </r>
    <r>
      <rPr>
        <i/>
        <sz val="11"/>
        <rFont val="Arial"/>
        <family val="2"/>
      </rPr>
      <t xml:space="preserve">(500 / 2500) </t>
    </r>
    <r>
      <rPr>
        <i/>
        <vertAlign val="superscript"/>
        <sz val="11"/>
        <rFont val="Arial"/>
        <family val="2"/>
      </rPr>
      <t>2</t>
    </r>
  </si>
  <si>
    <r>
      <t xml:space="preserve">F VI  </t>
    </r>
    <r>
      <rPr>
        <i/>
        <sz val="11"/>
        <rFont val="Arial"/>
        <family val="2"/>
      </rPr>
      <t xml:space="preserve">(600 / -) </t>
    </r>
    <r>
      <rPr>
        <i/>
        <vertAlign val="superscript"/>
        <sz val="11"/>
        <rFont val="Arial"/>
        <family val="2"/>
      </rPr>
      <t>2</t>
    </r>
  </si>
  <si>
    <r>
      <t xml:space="preserve">Alle </t>
    </r>
    <r>
      <rPr>
        <b/>
        <vertAlign val="superscript"/>
        <sz val="11"/>
        <rFont val="Arial"/>
        <family val="2"/>
      </rPr>
      <t>3</t>
    </r>
  </si>
  <si>
    <r>
      <t xml:space="preserve">4) Leistungen (netto) = bezahlte Leistungen der Versicherer in der OKP </t>
    </r>
    <r>
      <rPr>
        <b/>
        <sz val="10"/>
        <rFont val="Arial"/>
        <family val="2"/>
      </rPr>
      <t>ohne</t>
    </r>
    <r>
      <rPr>
        <sz val="10"/>
        <rFont val="Arial"/>
        <family val="2"/>
      </rPr>
      <t xml:space="preserve"> Kostenbeteiligung durch die Versicherten.</t>
    </r>
  </si>
  <si>
    <t>Quelle: T 2.06 - T 2.11  (-&gt;2008: Statistik des Risikoausgleiches - Gemeinsame Einrichtung KVG)</t>
  </si>
  <si>
    <r>
      <t xml:space="preserve">T 2.09 Leistungen (netto) </t>
    </r>
    <r>
      <rPr>
        <b/>
        <vertAlign val="superscript"/>
        <sz val="12"/>
        <rFont val="Arial"/>
        <family val="2"/>
      </rPr>
      <t xml:space="preserve">1 </t>
    </r>
    <r>
      <rPr>
        <b/>
        <sz val="12"/>
        <rFont val="Arial"/>
        <family val="2"/>
      </rPr>
      <t>nach Altersgruppen und Geschlecht in Mio. Fr.</t>
    </r>
  </si>
  <si>
    <t>Quelle: Formular EF3 [T 3.17]  (-&gt;2008: Statistik des Risikoausgleiches - Gemeinsame Einrichtung KVG)</t>
  </si>
  <si>
    <r>
      <t xml:space="preserve">T 2.11 Kostenbeteiligung </t>
    </r>
    <r>
      <rPr>
        <b/>
        <vertAlign val="superscript"/>
        <sz val="12"/>
        <rFont val="Arial"/>
        <family val="2"/>
      </rPr>
      <t xml:space="preserve">1 </t>
    </r>
    <r>
      <rPr>
        <b/>
        <sz val="12"/>
        <rFont val="Arial"/>
        <family val="2"/>
      </rPr>
      <t>nach Altersgruppen und Geschlecht in Mio. Fr.</t>
    </r>
  </si>
  <si>
    <t>Quelle: 2009 -&gt; : T 2.24  /   -&gt; 2008 : T 2.23</t>
  </si>
  <si>
    <t xml:space="preserve">Quelle: 2009 -&gt; : T 2.05 (vollständige Daten)  /  2008 : T 2.02 + T 2.21 / 1997-&gt;2007: DATENPOOL santésuisse [Auswertung BAG] </t>
  </si>
  <si>
    <t>2) Zusätzliche Angaben nach Altersgruppe pro Kanton: T 2.05 &amp; www.bag.admin.ch/pyramiden</t>
  </si>
  <si>
    <r>
      <t xml:space="preserve">T 2.15  Leistungen (brutto) </t>
    </r>
    <r>
      <rPr>
        <b/>
        <vertAlign val="superscript"/>
        <sz val="12"/>
        <rFont val="Arial"/>
        <family val="2"/>
      </rPr>
      <t>1</t>
    </r>
    <r>
      <rPr>
        <b/>
        <sz val="12"/>
        <rFont val="Arial"/>
        <family val="2"/>
      </rPr>
      <t xml:space="preserve"> in Franken je versicherte Person nach Versicherungsform ab 1999</t>
    </r>
  </si>
  <si>
    <t>Krankheit</t>
  </si>
  <si>
    <t>Unfall</t>
  </si>
  <si>
    <t>in Fr.</t>
  </si>
  <si>
    <t>Prämien</t>
  </si>
  <si>
    <t>Erlösminderungen für Prämien (-)</t>
  </si>
  <si>
    <t>Andere Beitragsanteile</t>
  </si>
  <si>
    <t>60-65</t>
  </si>
  <si>
    <t>Brutto-Prämien</t>
  </si>
  <si>
    <t>Prämienanteile der Rückversicherer (-)</t>
  </si>
  <si>
    <t>60-66</t>
  </si>
  <si>
    <t>Eigene Versicherungsprämien</t>
  </si>
  <si>
    <t>Prämienverbilligung / sonstige Beiträge</t>
  </si>
  <si>
    <t>Prämienermässigung an Versicherte (-)</t>
  </si>
  <si>
    <t>Sonstige Betriebserträge</t>
  </si>
  <si>
    <t>Total Versicherungsertrag</t>
  </si>
  <si>
    <t>Leistungen</t>
  </si>
  <si>
    <t>Kostenbeteiligung der Versicherten (-)</t>
  </si>
  <si>
    <t>30-33</t>
  </si>
  <si>
    <t>Bezahlte Leistungen</t>
  </si>
  <si>
    <t>Sonstige Aufwendungen für Leistungen</t>
  </si>
  <si>
    <t>Rückstellungen für unerledigte Versicherungsfälle</t>
  </si>
  <si>
    <t>30-35</t>
  </si>
  <si>
    <t>Brutto-Leistungen</t>
  </si>
  <si>
    <t>Leistungsanteile der Rückversicherer (-)</t>
  </si>
  <si>
    <t>Risikoausgleich</t>
  </si>
  <si>
    <t>Total Versicherungsaufwand</t>
  </si>
  <si>
    <t>40-47</t>
  </si>
  <si>
    <t>Verwaltungsaufwand</t>
  </si>
  <si>
    <t>Abschreibungen</t>
  </si>
  <si>
    <t>Sonstige Betriebsaufwendungen</t>
  </si>
  <si>
    <t>Total Betriebsaufwand</t>
  </si>
  <si>
    <t>3/4</t>
  </si>
  <si>
    <t>Total Versicherungs- und Betriebsaufwand</t>
  </si>
  <si>
    <t>Versicherungsbetriebsergebnis</t>
  </si>
  <si>
    <t>Neutraler Aufwand / Ertrag</t>
  </si>
  <si>
    <t>Gesamtbetriebsergebnis</t>
  </si>
  <si>
    <t>1) Vgl. Fussnote 2) von Tabelle 11.02.</t>
  </si>
  <si>
    <t>Quelle: Formular EF2 [Summe 2.2 bis 2.7]</t>
  </si>
  <si>
    <r>
      <t xml:space="preserve">T 1.02  Betriebsrechnung der obligatorischen Krankenpflegeversicherung KVG insgesamt </t>
    </r>
    <r>
      <rPr>
        <b/>
        <vertAlign val="superscript"/>
        <sz val="12"/>
        <rFont val="Arial"/>
        <family val="2"/>
      </rPr>
      <t>1</t>
    </r>
  </si>
  <si>
    <t>1) Siehe Fussnote 1) in T 1.02</t>
  </si>
  <si>
    <t>Kostenbeteiligung nach Altersgruppen und Geschlecht</t>
  </si>
  <si>
    <t>Leistungen netto pro Versicherten nach Kantonen</t>
  </si>
  <si>
    <t>Kostenbeteiligung pro Versicherten nach Kantonen</t>
  </si>
  <si>
    <t>Leistungen brutto nach Versicherungsform ab 1999</t>
  </si>
  <si>
    <t>Leistungen brutto je versicherte Person nach Versicherungsform ab 1999</t>
  </si>
  <si>
    <t>Leistungen brutto nach Kostengruppen ab 1999</t>
  </si>
  <si>
    <t xml:space="preserve">Leistungen brutto nach Kostengruppen </t>
  </si>
  <si>
    <t xml:space="preserve">Leistungen brutto je versicherte Person nach Kostengruppen ab 1999 </t>
  </si>
  <si>
    <t>Leistungen brutto je versicherte Person nach Kostengruppen</t>
  </si>
  <si>
    <t>Leistungen netto nach Versicherungsform ab 1999</t>
  </si>
  <si>
    <t>Leistungen netto je versicherte Person nach Versicherungsform ab 1999</t>
  </si>
  <si>
    <t xml:space="preserve">Leistungen (brutto) nach Versicherungsform </t>
  </si>
  <si>
    <t xml:space="preserve">Kostenbeteiligung je versicherte Person nach Versicherungsform </t>
  </si>
  <si>
    <t xml:space="preserve">Leistungen (brutto) je versicherte Person nach Versicherungsform </t>
  </si>
  <si>
    <t>30.5.11: 4.01, 4.02, 4.03, 4.08</t>
  </si>
  <si>
    <t>Datenstand: 28.7.11</t>
  </si>
  <si>
    <t>28.7.11: 9.17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</si>
</sst>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88" formatCode="0.0"/>
    <numFmt numFmtId="189" formatCode="#,##0.0"/>
    <numFmt numFmtId="190" formatCode="0.0%"/>
    <numFmt numFmtId="211" formatCode="#,##0.000"/>
  </numFmts>
  <fonts count="116">
    <font>
      <sz val="10"/>
      <name val="55 Helvetica Roman"/>
    </font>
    <font>
      <sz val="12"/>
      <name val="Arial"/>
      <family val="2"/>
    </font>
    <font>
      <b/>
      <sz val="12"/>
      <name val="Arial"/>
      <family val="2"/>
    </font>
    <font>
      <sz val="11"/>
      <name val="Arial"/>
      <family val="2"/>
    </font>
    <font>
      <sz val="10"/>
      <name val="Arial"/>
      <family val="2"/>
    </font>
    <font>
      <b/>
      <sz val="11"/>
      <name val="Arial"/>
      <family val="2"/>
    </font>
    <font>
      <b/>
      <i/>
      <sz val="22"/>
      <name val="Arial"/>
      <family val="2"/>
    </font>
    <font>
      <b/>
      <i/>
      <sz val="18"/>
      <name val="Arial"/>
      <family val="2"/>
    </font>
    <font>
      <b/>
      <sz val="10"/>
      <name val="Arial"/>
      <family val="2"/>
    </font>
    <font>
      <i/>
      <sz val="12"/>
      <name val="55 Helvetica Roman"/>
    </font>
    <font>
      <sz val="12"/>
      <name val="55 Helvetica Roman"/>
    </font>
    <font>
      <b/>
      <sz val="10"/>
      <color indexed="9"/>
      <name val="55 Helvetica Roman"/>
    </font>
    <font>
      <b/>
      <sz val="20"/>
      <name val="55 Helvetica Roman"/>
    </font>
    <font>
      <b/>
      <sz val="10"/>
      <name val="55 Helvetica Roman"/>
    </font>
    <font>
      <b/>
      <sz val="12"/>
      <color indexed="10"/>
      <name val="55 Helvetica Roman"/>
    </font>
    <font>
      <i/>
      <sz val="11"/>
      <name val="55 Helvetica Roman"/>
    </font>
    <font>
      <sz val="12"/>
      <color indexed="8"/>
      <name val="Arial"/>
      <family val="2"/>
    </font>
    <font>
      <b/>
      <sz val="14"/>
      <name val="55 Helvetica Roman"/>
    </font>
    <font>
      <sz val="9"/>
      <name val="Arial"/>
      <family val="2"/>
    </font>
    <font>
      <b/>
      <i/>
      <sz val="24"/>
      <name val="Logo BAG"/>
      <family val="1"/>
    </font>
    <font>
      <b/>
      <i/>
      <sz val="12"/>
      <name val="55 Helvetica Roman"/>
    </font>
    <font>
      <b/>
      <sz val="11"/>
      <color indexed="9"/>
      <name val="55 Helvetica Roman"/>
    </font>
    <font>
      <b/>
      <sz val="12"/>
      <name val="55 Helvetica Roman"/>
    </font>
    <font>
      <sz val="8"/>
      <name val="Arial"/>
      <family val="2"/>
    </font>
    <font>
      <sz val="9"/>
      <name val="Geneva"/>
      <family val="2"/>
    </font>
    <font>
      <i/>
      <sz val="10"/>
      <name val="55 Helvetica Roman"/>
    </font>
    <font>
      <i/>
      <sz val="10"/>
      <name val="Arial"/>
      <family val="2"/>
    </font>
    <font>
      <sz val="10"/>
      <color indexed="10"/>
      <name val="55 Helvetica Roman"/>
    </font>
    <font>
      <b/>
      <sz val="9"/>
      <name val="55 Helvetica Roman"/>
    </font>
    <font>
      <sz val="9"/>
      <name val="55 Helvetica Roman"/>
    </font>
    <font>
      <sz val="10"/>
      <name val="Arial"/>
      <family val="2"/>
    </font>
    <font>
      <sz val="11"/>
      <name val="55 Helvetica Roman"/>
    </font>
    <font>
      <b/>
      <sz val="8"/>
      <name val="Arial"/>
      <family val="2"/>
    </font>
    <font>
      <b/>
      <sz val="7"/>
      <name val="Arial"/>
      <family val="2"/>
    </font>
    <font>
      <sz val="7"/>
      <name val="Arial"/>
      <family val="2"/>
    </font>
    <font>
      <i/>
      <sz val="7"/>
      <name val="Arial"/>
      <family val="2"/>
    </font>
    <font>
      <b/>
      <sz val="12"/>
      <color indexed="12"/>
      <name val="Arial"/>
      <family val="2"/>
    </font>
    <font>
      <sz val="10"/>
      <name val="55 Helvetica Roman"/>
    </font>
    <font>
      <b/>
      <sz val="9"/>
      <name val="Arial"/>
      <family val="2"/>
    </font>
    <font>
      <b/>
      <sz val="11"/>
      <color indexed="42"/>
      <name val="Arial"/>
      <family val="2"/>
    </font>
    <font>
      <sz val="6"/>
      <name val="Arial"/>
      <family val="2"/>
    </font>
    <font>
      <b/>
      <sz val="11"/>
      <name val="55 Helvetica Roman"/>
    </font>
    <font>
      <sz val="11"/>
      <color indexed="10"/>
      <name val="55 Helvetica Roman"/>
    </font>
    <font>
      <vertAlign val="superscript"/>
      <sz val="10"/>
      <name val="Arial"/>
      <family val="2"/>
    </font>
    <font>
      <i/>
      <sz val="11"/>
      <name val="Arial"/>
      <family val="2"/>
    </font>
    <font>
      <b/>
      <sz val="11"/>
      <color indexed="10"/>
      <name val="Arial"/>
      <family val="2"/>
    </font>
    <font>
      <sz val="8"/>
      <name val="55 Helvetica Roman"/>
    </font>
    <font>
      <sz val="10"/>
      <color indexed="10"/>
      <name val="Arial"/>
      <family val="2"/>
    </font>
    <font>
      <sz val="9"/>
      <name val="Arial"/>
      <family val="2"/>
    </font>
    <font>
      <b/>
      <vertAlign val="superscript"/>
      <sz val="12"/>
      <name val="Arial"/>
      <family val="2"/>
    </font>
    <font>
      <i/>
      <sz val="12"/>
      <name val="Arial"/>
      <family val="2"/>
    </font>
    <font>
      <b/>
      <i/>
      <sz val="11"/>
      <name val="Arial"/>
      <family val="2"/>
    </font>
    <font>
      <b/>
      <sz val="14"/>
      <name val="Arial"/>
      <family val="2"/>
    </font>
    <font>
      <vertAlign val="superscript"/>
      <sz val="11"/>
      <name val="Arial"/>
      <family val="2"/>
    </font>
    <font>
      <b/>
      <vertAlign val="superscript"/>
      <sz val="11"/>
      <name val="Arial"/>
      <family val="2"/>
    </font>
    <font>
      <b/>
      <sz val="8"/>
      <color indexed="81"/>
      <name val="Tahoma"/>
      <family val="2"/>
    </font>
    <font>
      <sz val="8"/>
      <color indexed="81"/>
      <name val="Tahoma"/>
      <family val="2"/>
    </font>
    <font>
      <u/>
      <sz val="10"/>
      <name val="Arial"/>
      <family val="2"/>
    </font>
    <font>
      <b/>
      <i/>
      <u/>
      <sz val="11"/>
      <name val="Arial"/>
      <family val="2"/>
    </font>
    <font>
      <i/>
      <vertAlign val="superscript"/>
      <sz val="11"/>
      <name val="Arial"/>
      <family val="2"/>
    </font>
    <font>
      <sz val="8"/>
      <color indexed="10"/>
      <name val="55 Helvetica Roman"/>
    </font>
    <font>
      <sz val="11"/>
      <color indexed="10"/>
      <name val="Arial"/>
      <family val="2"/>
    </font>
    <font>
      <vertAlign val="superscript"/>
      <sz val="11"/>
      <color indexed="10"/>
      <name val="Arial"/>
      <family val="2"/>
    </font>
    <font>
      <b/>
      <sz val="12"/>
      <color indexed="8"/>
      <name val="Arial"/>
      <family val="2"/>
    </font>
    <font>
      <b/>
      <sz val="10"/>
      <color indexed="8"/>
      <name val="Arial"/>
      <family val="2"/>
    </font>
    <font>
      <sz val="10"/>
      <color indexed="8"/>
      <name val="Arial"/>
      <family val="2"/>
    </font>
    <font>
      <i/>
      <sz val="10"/>
      <color indexed="8"/>
      <name val="Arial"/>
      <family val="2"/>
    </font>
    <font>
      <strike/>
      <sz val="8"/>
      <color indexed="10"/>
      <name val="55 Helvetica Roman"/>
    </font>
    <font>
      <sz val="8"/>
      <name val="Arial"/>
      <family val="2"/>
    </font>
    <font>
      <i/>
      <sz val="8"/>
      <color indexed="10"/>
      <name val="Arial"/>
      <family val="2"/>
    </font>
    <font>
      <i/>
      <sz val="9"/>
      <color indexed="10"/>
      <name val="Arial"/>
      <family val="2"/>
    </font>
    <font>
      <i/>
      <sz val="9"/>
      <name val="Arial"/>
      <family val="2"/>
    </font>
    <font>
      <i/>
      <sz val="8"/>
      <name val="Arial"/>
      <family val="2"/>
    </font>
    <font>
      <b/>
      <sz val="10"/>
      <name val="Arial"/>
      <family val="2"/>
    </font>
    <font>
      <sz val="9"/>
      <color indexed="48"/>
      <name val="Arial"/>
      <family val="2"/>
    </font>
    <font>
      <sz val="7"/>
      <name val="Arial"/>
      <family val="2"/>
    </font>
    <font>
      <b/>
      <sz val="7"/>
      <name val="Arial"/>
      <family val="2"/>
    </font>
    <font>
      <b/>
      <sz val="12"/>
      <color indexed="10"/>
      <name val="Arial"/>
      <family val="2"/>
    </font>
    <font>
      <b/>
      <vertAlign val="superscript"/>
      <sz val="12"/>
      <color indexed="10"/>
      <name val="Arial"/>
      <family val="2"/>
    </font>
    <font>
      <b/>
      <i/>
      <sz val="10"/>
      <name val="Arial"/>
      <family val="2"/>
    </font>
    <font>
      <i/>
      <sz val="11"/>
      <color indexed="10"/>
      <name val="Arial"/>
      <family val="2"/>
    </font>
    <font>
      <sz val="10"/>
      <color indexed="14"/>
      <name val="Arial"/>
      <family val="2"/>
    </font>
    <font>
      <b/>
      <vertAlign val="superscript"/>
      <sz val="12"/>
      <color indexed="10"/>
      <name val="55 Helvetica Roman"/>
    </font>
    <font>
      <u/>
      <sz val="9"/>
      <name val="Arial"/>
      <family val="2"/>
    </font>
    <font>
      <u/>
      <vertAlign val="superscript"/>
      <sz val="9"/>
      <name val="Arial"/>
      <family val="2"/>
    </font>
    <font>
      <i/>
      <vertAlign val="superscript"/>
      <sz val="9"/>
      <name val="Arial"/>
      <family val="2"/>
    </font>
    <font>
      <vertAlign val="superscript"/>
      <sz val="9"/>
      <name val="Arial"/>
      <family val="2"/>
    </font>
    <font>
      <sz val="10"/>
      <name val="Tms Rmn"/>
    </font>
    <font>
      <sz val="8"/>
      <name val="Tms Rmn"/>
    </font>
    <font>
      <b/>
      <i/>
      <vertAlign val="superscript"/>
      <sz val="10"/>
      <name val="Arial"/>
      <family val="2"/>
    </font>
    <font>
      <b/>
      <vertAlign val="superscript"/>
      <sz val="10"/>
      <name val="Arial"/>
      <family val="2"/>
    </font>
    <font>
      <b/>
      <i/>
      <sz val="8"/>
      <name val="Arial"/>
      <family val="2"/>
    </font>
    <font>
      <vertAlign val="superscript"/>
      <sz val="8"/>
      <name val="Arial"/>
      <family val="2"/>
    </font>
    <font>
      <b/>
      <u/>
      <sz val="10"/>
      <name val="Arial"/>
      <family val="2"/>
    </font>
    <font>
      <b/>
      <sz val="10"/>
      <color indexed="56"/>
      <name val="Arial"/>
      <family val="2"/>
    </font>
    <font>
      <b/>
      <i/>
      <sz val="12"/>
      <name val="Arial"/>
      <family val="2"/>
    </font>
    <font>
      <b/>
      <sz val="10"/>
      <name val="Tms Rmn"/>
    </font>
    <font>
      <sz val="8"/>
      <color indexed="10"/>
      <name val="Arial"/>
      <family val="2"/>
    </font>
    <font>
      <b/>
      <vertAlign val="superscript"/>
      <sz val="8"/>
      <name val="Arial"/>
      <family val="2"/>
    </font>
    <font>
      <i/>
      <vertAlign val="superscript"/>
      <sz val="10"/>
      <name val="Arial"/>
      <family val="2"/>
    </font>
    <font>
      <b/>
      <vertAlign val="superscript"/>
      <sz val="9"/>
      <name val="Arial"/>
      <family val="2"/>
    </font>
    <font>
      <sz val="9"/>
      <name val="Tms Rmn"/>
    </font>
    <font>
      <b/>
      <sz val="12"/>
      <name val="Times New Roman"/>
      <family val="1"/>
    </font>
    <font>
      <sz val="10"/>
      <color indexed="9"/>
      <name val="Arial"/>
      <family val="2"/>
    </font>
    <font>
      <u/>
      <sz val="10"/>
      <name val="55 Helvetica Roman"/>
    </font>
    <font>
      <b/>
      <i/>
      <vertAlign val="superscript"/>
      <sz val="11"/>
      <name val="Arial"/>
      <family val="2"/>
    </font>
    <font>
      <sz val="9"/>
      <color indexed="10"/>
      <name val="Arial"/>
      <family val="2"/>
    </font>
    <font>
      <b/>
      <i/>
      <vertAlign val="superscript"/>
      <sz val="9"/>
      <name val="Arial"/>
      <family val="2"/>
    </font>
    <font>
      <b/>
      <i/>
      <sz val="9"/>
      <name val="Arial"/>
      <family val="2"/>
    </font>
    <font>
      <b/>
      <sz val="14"/>
      <name val="Times New Roman"/>
      <family val="1"/>
    </font>
    <font>
      <sz val="14"/>
      <name val="Times New Roman"/>
      <family val="1"/>
    </font>
    <font>
      <sz val="10"/>
      <name val="Times New Roman"/>
      <family val="1"/>
    </font>
    <font>
      <sz val="8"/>
      <name val="Times New Roman"/>
      <family val="1"/>
    </font>
    <font>
      <sz val="11"/>
      <color rgb="FFFF0000"/>
      <name val="Arial"/>
      <family val="2"/>
    </font>
    <font>
      <b/>
      <sz val="11"/>
      <color rgb="FFFF0000"/>
      <name val="Arial"/>
      <family val="2"/>
    </font>
    <font>
      <i/>
      <sz val="11"/>
      <color rgb="FFFF0000"/>
      <name val="Arial"/>
      <family val="2"/>
    </font>
  </fonts>
  <fills count="13">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44"/>
        <bgColor indexed="64"/>
      </patternFill>
    </fill>
    <fill>
      <patternFill patternType="solid">
        <fgColor indexed="43"/>
        <bgColor indexed="64"/>
      </patternFill>
    </fill>
    <fill>
      <patternFill patternType="solid">
        <fgColor indexed="47"/>
        <bgColor indexed="64"/>
      </patternFill>
    </fill>
    <fill>
      <patternFill patternType="solid">
        <fgColor indexed="11"/>
        <bgColor indexed="64"/>
      </patternFill>
    </fill>
    <fill>
      <patternFill patternType="solid">
        <fgColor indexed="9"/>
        <bgColor indexed="64"/>
      </patternFill>
    </fill>
    <fill>
      <patternFill patternType="lightGray">
        <fgColor indexed="22"/>
        <bgColor indexed="22"/>
      </patternFill>
    </fill>
    <fill>
      <patternFill patternType="solid">
        <fgColor indexed="47"/>
        <bgColor indexed="47"/>
      </patternFill>
    </fill>
    <fill>
      <patternFill patternType="solid">
        <fgColor indexed="41"/>
        <bgColor indexed="64"/>
      </patternFill>
    </fill>
    <fill>
      <patternFill patternType="solid">
        <fgColor indexed="55"/>
        <bgColor indexed="64"/>
      </patternFill>
    </fill>
  </fills>
  <borders count="46">
    <border>
      <left/>
      <right/>
      <top/>
      <bottom/>
      <diagonal/>
    </border>
    <border>
      <left style="thin">
        <color indexed="64"/>
      </left>
      <right/>
      <top/>
      <bottom/>
      <diagonal/>
    </border>
    <border>
      <left/>
      <right/>
      <top style="thin">
        <color indexed="64"/>
      </top>
      <bottom/>
      <diagonal/>
    </border>
    <border>
      <left/>
      <right/>
      <top/>
      <bottom style="thin">
        <color indexed="64"/>
      </bottom>
      <diagonal/>
    </border>
    <border>
      <left/>
      <right/>
      <top/>
      <bottom style="medium">
        <color indexed="9"/>
      </bottom>
      <diagonal/>
    </border>
    <border>
      <left/>
      <right/>
      <top style="medium">
        <color indexed="9"/>
      </top>
      <bottom style="medium">
        <color indexed="64"/>
      </bottom>
      <diagonal/>
    </border>
    <border>
      <left/>
      <right/>
      <top style="thin">
        <color indexed="64"/>
      </top>
      <bottom style="medium">
        <color indexed="9"/>
      </bottom>
      <diagonal/>
    </border>
    <border>
      <left/>
      <right/>
      <top style="medium">
        <color indexed="9"/>
      </top>
      <bottom style="medium">
        <color indexed="9"/>
      </bottom>
      <diagonal/>
    </border>
    <border>
      <left/>
      <right/>
      <top style="medium">
        <color indexed="64"/>
      </top>
      <bottom/>
      <diagonal/>
    </border>
    <border>
      <left/>
      <right/>
      <top style="hair">
        <color indexed="64"/>
      </top>
      <bottom style="hair">
        <color indexed="64"/>
      </bottom>
      <diagonal/>
    </border>
    <border>
      <left/>
      <right/>
      <top style="hair">
        <color indexed="8"/>
      </top>
      <bottom style="hair">
        <color indexed="8"/>
      </bottom>
      <diagonal/>
    </border>
    <border>
      <left/>
      <right/>
      <top/>
      <bottom style="medium">
        <color indexed="64"/>
      </bottom>
      <diagonal/>
    </border>
    <border>
      <left/>
      <right/>
      <top style="medium">
        <color indexed="9"/>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style="medium">
        <color indexed="9"/>
      </top>
      <bottom style="thin">
        <color indexed="64"/>
      </bottom>
      <diagonal/>
    </border>
    <border>
      <left/>
      <right/>
      <top style="thin">
        <color indexed="64"/>
      </top>
      <bottom style="dotted">
        <color indexed="64"/>
      </bottom>
      <diagonal/>
    </border>
    <border>
      <left/>
      <right/>
      <top style="thin">
        <color indexed="64"/>
      </top>
      <bottom style="thin">
        <color indexed="64"/>
      </bottom>
      <diagonal/>
    </border>
    <border>
      <left style="thin">
        <color indexed="64"/>
      </left>
      <right/>
      <top style="medium">
        <color indexed="9"/>
      </top>
      <bottom style="medium">
        <color indexed="9"/>
      </bottom>
      <diagonal/>
    </border>
    <border>
      <left/>
      <right style="thin">
        <color indexed="64"/>
      </right>
      <top style="thin">
        <color indexed="64"/>
      </top>
      <bottom style="dotted">
        <color indexed="64"/>
      </bottom>
      <diagonal/>
    </border>
    <border>
      <left style="medium">
        <color indexed="64"/>
      </left>
      <right/>
      <top/>
      <bottom/>
      <diagonal/>
    </border>
    <border>
      <left style="medium">
        <color indexed="64"/>
      </left>
      <right/>
      <top style="thin">
        <color indexed="64"/>
      </top>
      <bottom/>
      <diagonal/>
    </border>
    <border>
      <left/>
      <right/>
      <top style="thin">
        <color indexed="8"/>
      </top>
      <bottom style="medium">
        <color indexed="9"/>
      </bottom>
      <diagonal/>
    </border>
    <border>
      <left style="medium">
        <color indexed="64"/>
      </left>
      <right/>
      <top style="thin">
        <color indexed="8"/>
      </top>
      <bottom style="medium">
        <color indexed="9"/>
      </bottom>
      <diagonal/>
    </border>
    <border>
      <left/>
      <right style="medium">
        <color indexed="64"/>
      </right>
      <top style="medium">
        <color indexed="9"/>
      </top>
      <bottom style="medium">
        <color indexed="9"/>
      </bottom>
      <diagonal/>
    </border>
    <border>
      <left/>
      <right style="medium">
        <color indexed="64"/>
      </right>
      <top style="thin">
        <color indexed="8"/>
      </top>
      <bottom style="medium">
        <color indexed="9"/>
      </bottom>
      <diagonal/>
    </border>
    <border>
      <left style="medium">
        <color indexed="64"/>
      </left>
      <right/>
      <top style="thin">
        <color indexed="8"/>
      </top>
      <bottom style="medium">
        <color indexed="64"/>
      </bottom>
      <diagonal/>
    </border>
    <border>
      <left style="medium">
        <color indexed="64"/>
      </left>
      <right/>
      <top style="medium">
        <color indexed="9"/>
      </top>
      <bottom style="medium">
        <color indexed="64"/>
      </bottom>
      <diagonal/>
    </border>
    <border>
      <left style="medium">
        <color indexed="64"/>
      </left>
      <right/>
      <top/>
      <bottom style="thin">
        <color indexed="64"/>
      </bottom>
      <diagonal/>
    </border>
    <border>
      <left style="medium">
        <color indexed="64"/>
      </left>
      <right/>
      <top/>
      <bottom style="medium">
        <color indexed="9"/>
      </bottom>
      <diagonal/>
    </border>
    <border>
      <left style="medium">
        <color indexed="64"/>
      </left>
      <right/>
      <top style="thin">
        <color indexed="64"/>
      </top>
      <bottom style="medium">
        <color indexed="9"/>
      </bottom>
      <diagonal/>
    </border>
    <border>
      <left style="medium">
        <color indexed="64"/>
      </left>
      <right/>
      <top style="thin">
        <color indexed="64"/>
      </top>
      <bottom style="medium">
        <color indexed="64"/>
      </bottom>
      <diagonal/>
    </border>
    <border>
      <left style="medium">
        <color indexed="64"/>
      </left>
      <right/>
      <top style="medium">
        <color indexed="9"/>
      </top>
      <bottom style="medium">
        <color indexed="9"/>
      </bottom>
      <diagonal/>
    </border>
    <border>
      <left style="medium">
        <color indexed="64"/>
      </left>
      <right/>
      <top/>
      <bottom style="medium">
        <color indexed="64"/>
      </bottom>
      <diagonal/>
    </border>
    <border>
      <left style="medium">
        <color indexed="64"/>
      </left>
      <right/>
      <top style="medium">
        <color indexed="9"/>
      </top>
      <bottom/>
      <diagonal/>
    </border>
    <border>
      <left/>
      <right/>
      <top style="medium">
        <color indexed="64"/>
      </top>
      <bottom style="thin">
        <color indexed="64"/>
      </bottom>
      <diagonal/>
    </border>
    <border>
      <left style="thin">
        <color indexed="64"/>
      </left>
      <right/>
      <top style="thin">
        <color indexed="64"/>
      </top>
      <bottom style="thin">
        <color indexed="64"/>
      </bottom>
      <diagonal/>
    </border>
  </borders>
  <cellStyleXfs count="25">
    <xf numFmtId="0" fontId="0" fillId="0" borderId="0"/>
    <xf numFmtId="0" fontId="30" fillId="0" borderId="0"/>
    <xf numFmtId="0" fontId="30" fillId="0" borderId="0"/>
    <xf numFmtId="0" fontId="37"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7" fillId="0" borderId="0"/>
    <xf numFmtId="0" fontId="30" fillId="0" borderId="0"/>
    <xf numFmtId="0" fontId="30" fillId="0" borderId="0"/>
    <xf numFmtId="0" fontId="30" fillId="0" borderId="0"/>
    <xf numFmtId="0" fontId="30" fillId="0" borderId="0"/>
    <xf numFmtId="0" fontId="30" fillId="0" borderId="0"/>
    <xf numFmtId="0" fontId="87" fillId="0" borderId="0"/>
    <xf numFmtId="0" fontId="87" fillId="0" borderId="0"/>
    <xf numFmtId="0" fontId="87" fillId="0" borderId="0"/>
    <xf numFmtId="0" fontId="30" fillId="0" borderId="0"/>
  </cellStyleXfs>
  <cellXfs count="2045">
    <xf numFmtId="0" fontId="0" fillId="0" borderId="0" xfId="0"/>
    <xf numFmtId="0" fontId="1" fillId="0" borderId="0" xfId="0" applyFont="1"/>
    <xf numFmtId="0" fontId="4" fillId="0" borderId="0" xfId="0" applyFont="1"/>
    <xf numFmtId="0" fontId="4" fillId="0" borderId="0" xfId="0" applyFont="1" applyFill="1"/>
    <xf numFmtId="0" fontId="6" fillId="0" borderId="0" xfId="0" applyFont="1" applyAlignment="1">
      <alignment horizontal="left"/>
    </xf>
    <xf numFmtId="0" fontId="7" fillId="0" borderId="0" xfId="0" applyFont="1" applyAlignment="1">
      <alignment horizontal="left"/>
    </xf>
    <xf numFmtId="0" fontId="9" fillId="0" borderId="0" xfId="0" applyFont="1" applyAlignment="1">
      <alignment horizontal="left"/>
    </xf>
    <xf numFmtId="3" fontId="4" fillId="0" borderId="0" xfId="0" applyNumberFormat="1" applyFont="1"/>
    <xf numFmtId="3" fontId="3" fillId="0" borderId="0" xfId="0" applyNumberFormat="1" applyFont="1" applyBorder="1" applyAlignment="1">
      <alignment horizontal="right"/>
    </xf>
    <xf numFmtId="0" fontId="12" fillId="2" borderId="0" xfId="0" applyFont="1" applyFill="1"/>
    <xf numFmtId="0" fontId="0" fillId="2" borderId="0" xfId="0" applyFill="1"/>
    <xf numFmtId="0" fontId="4" fillId="2" borderId="0" xfId="0" applyFont="1" applyFill="1"/>
    <xf numFmtId="0" fontId="10" fillId="0" borderId="0" xfId="0" applyFont="1"/>
    <xf numFmtId="2" fontId="2" fillId="0" borderId="0" xfId="0" applyNumberFormat="1" applyFont="1"/>
    <xf numFmtId="2" fontId="10" fillId="0" borderId="0" xfId="0" applyNumberFormat="1" applyFont="1"/>
    <xf numFmtId="0" fontId="4" fillId="3" borderId="0" xfId="0" applyFont="1" applyFill="1"/>
    <xf numFmtId="0" fontId="2" fillId="0" borderId="0" xfId="0" applyFont="1"/>
    <xf numFmtId="0" fontId="11" fillId="4" borderId="0" xfId="0" applyFont="1" applyFill="1"/>
    <xf numFmtId="0" fontId="5" fillId="4" borderId="0" xfId="0" applyFont="1" applyFill="1"/>
    <xf numFmtId="0" fontId="19" fillId="0" borderId="0" xfId="0" applyFont="1"/>
    <xf numFmtId="0" fontId="4" fillId="5" borderId="0" xfId="0" applyFont="1" applyFill="1"/>
    <xf numFmtId="0" fontId="14" fillId="0" borderId="0" xfId="0" applyFont="1" applyFill="1"/>
    <xf numFmtId="14" fontId="4" fillId="5" borderId="0" xfId="0" applyNumberFormat="1" applyFont="1" applyFill="1"/>
    <xf numFmtId="0" fontId="0" fillId="0" borderId="0" xfId="0" applyFill="1"/>
    <xf numFmtId="9" fontId="26" fillId="0" borderId="0" xfId="0" applyNumberFormat="1" applyFont="1" applyFill="1" applyAlignment="1">
      <alignment horizontal="right"/>
    </xf>
    <xf numFmtId="2" fontId="4" fillId="5" borderId="0" xfId="0" applyNumberFormat="1" applyFont="1" applyFill="1" applyAlignment="1">
      <alignment horizontal="left"/>
    </xf>
    <xf numFmtId="0" fontId="12" fillId="0" borderId="0" xfId="0" applyFont="1" applyFill="1"/>
    <xf numFmtId="0" fontId="13" fillId="0" borderId="0" xfId="0" applyFont="1" applyFill="1"/>
    <xf numFmtId="0" fontId="28" fillId="2" borderId="0" xfId="0" applyFont="1" applyFill="1"/>
    <xf numFmtId="0" fontId="29" fillId="2" borderId="0" xfId="0" applyFont="1" applyFill="1"/>
    <xf numFmtId="0" fontId="18" fillId="2" borderId="0" xfId="0" applyFont="1" applyFill="1"/>
    <xf numFmtId="14" fontId="4" fillId="0" borderId="0" xfId="0" applyNumberFormat="1" applyFont="1" applyFill="1"/>
    <xf numFmtId="2" fontId="4" fillId="0" borderId="0" xfId="0" applyNumberFormat="1" applyFont="1" applyFill="1" applyAlignment="1">
      <alignment horizontal="left"/>
    </xf>
    <xf numFmtId="0" fontId="4" fillId="0" borderId="1" xfId="0" applyFont="1" applyBorder="1"/>
    <xf numFmtId="0" fontId="22" fillId="0" borderId="0" xfId="0" applyFont="1" applyFill="1"/>
    <xf numFmtId="0" fontId="29" fillId="0" borderId="0" xfId="0" applyFont="1" applyFill="1"/>
    <xf numFmtId="0" fontId="18" fillId="0" borderId="0" xfId="0" applyFont="1" applyFill="1"/>
    <xf numFmtId="0" fontId="25" fillId="0" borderId="0" xfId="0" applyFont="1" applyFill="1"/>
    <xf numFmtId="0" fontId="36" fillId="0" borderId="0" xfId="0" applyFont="1"/>
    <xf numFmtId="0" fontId="39" fillId="2" borderId="0" xfId="0" applyFont="1" applyFill="1"/>
    <xf numFmtId="0" fontId="13" fillId="2" borderId="0" xfId="0" applyFont="1" applyFill="1"/>
    <xf numFmtId="14" fontId="29" fillId="2" borderId="0" xfId="0" applyNumberFormat="1" applyFont="1" applyFill="1"/>
    <xf numFmtId="0" fontId="38" fillId="0" borderId="0" xfId="0" applyFont="1" applyFill="1"/>
    <xf numFmtId="0" fontId="41" fillId="5" borderId="0" xfId="0" applyFont="1" applyFill="1"/>
    <xf numFmtId="0" fontId="1" fillId="0" borderId="0" xfId="0" applyFont="1" applyFill="1"/>
    <xf numFmtId="0" fontId="1" fillId="0" borderId="0" xfId="0" applyFont="1" applyFill="1" applyAlignment="1">
      <alignment horizontal="center"/>
    </xf>
    <xf numFmtId="3" fontId="1" fillId="0" borderId="0" xfId="0" applyNumberFormat="1" applyFont="1" applyFill="1"/>
    <xf numFmtId="0" fontId="1" fillId="0" borderId="0" xfId="0" applyNumberFormat="1" applyFont="1" applyFill="1"/>
    <xf numFmtId="0" fontId="2" fillId="0" borderId="0" xfId="0" applyFont="1" applyBorder="1" applyAlignment="1">
      <alignment vertical="top"/>
    </xf>
    <xf numFmtId="0" fontId="2" fillId="0" borderId="0" xfId="0" applyFont="1" applyFill="1"/>
    <xf numFmtId="0" fontId="4" fillId="3" borderId="2" xfId="0" applyFont="1" applyFill="1" applyBorder="1" applyAlignment="1">
      <alignment horizontal="left"/>
    </xf>
    <xf numFmtId="0" fontId="4" fillId="6" borderId="2" xfId="0" applyFont="1" applyFill="1" applyBorder="1" applyAlignment="1">
      <alignment horizontal="center"/>
    </xf>
    <xf numFmtId="0" fontId="4" fillId="3" borderId="2" xfId="0" applyFont="1" applyFill="1" applyBorder="1" applyAlignment="1">
      <alignment horizontal="center"/>
    </xf>
    <xf numFmtId="3" fontId="4" fillId="6" borderId="2" xfId="0" applyNumberFormat="1" applyFont="1" applyFill="1" applyBorder="1" applyAlignment="1">
      <alignment horizontal="center"/>
    </xf>
    <xf numFmtId="3" fontId="4" fillId="3" borderId="2" xfId="0" applyNumberFormat="1" applyFont="1" applyFill="1" applyBorder="1" applyAlignment="1">
      <alignment horizontal="center"/>
    </xf>
    <xf numFmtId="0" fontId="4" fillId="3" borderId="2" xfId="0" applyNumberFormat="1" applyFont="1" applyFill="1" applyBorder="1" applyAlignment="1">
      <alignment horizontal="left"/>
    </xf>
    <xf numFmtId="0" fontId="4" fillId="3" borderId="0" xfId="0" applyFont="1" applyFill="1" applyBorder="1" applyAlignment="1">
      <alignment horizontal="left"/>
    </xf>
    <xf numFmtId="0" fontId="4" fillId="6" borderId="0" xfId="0" applyFont="1" applyFill="1" applyBorder="1" applyAlignment="1">
      <alignment horizontal="center"/>
    </xf>
    <xf numFmtId="0" fontId="4" fillId="3" borderId="0" xfId="0" applyFont="1" applyFill="1" applyBorder="1" applyAlignment="1">
      <alignment horizontal="center"/>
    </xf>
    <xf numFmtId="3" fontId="4" fillId="6" borderId="0" xfId="0" applyNumberFormat="1" applyFont="1" applyFill="1" applyBorder="1" applyAlignment="1">
      <alignment horizontal="center"/>
    </xf>
    <xf numFmtId="3" fontId="4" fillId="3" borderId="0" xfId="0" applyNumberFormat="1" applyFont="1" applyFill="1" applyBorder="1" applyAlignment="1">
      <alignment horizontal="center"/>
    </xf>
    <xf numFmtId="0" fontId="4" fillId="3" borderId="0" xfId="0" applyNumberFormat="1" applyFont="1" applyFill="1" applyBorder="1" applyAlignment="1">
      <alignment horizontal="left"/>
    </xf>
    <xf numFmtId="0" fontId="4" fillId="3" borderId="0" xfId="0" applyNumberFormat="1" applyFont="1" applyFill="1" applyBorder="1" applyAlignment="1">
      <alignment horizontal="center"/>
    </xf>
    <xf numFmtId="0" fontId="4" fillId="3" borderId="3" xfId="0" applyFont="1" applyFill="1" applyBorder="1" applyAlignment="1">
      <alignment horizontal="left"/>
    </xf>
    <xf numFmtId="0" fontId="4" fillId="3" borderId="3" xfId="0" applyFont="1" applyFill="1" applyBorder="1" applyAlignment="1">
      <alignment horizontal="center"/>
    </xf>
    <xf numFmtId="0" fontId="4" fillId="6" borderId="3" xfId="0" applyFont="1" applyFill="1" applyBorder="1" applyAlignment="1">
      <alignment horizontal="center" vertical="top"/>
    </xf>
    <xf numFmtId="0" fontId="4" fillId="3" borderId="3" xfId="0" applyFont="1" applyFill="1" applyBorder="1" applyAlignment="1">
      <alignment horizontal="center" vertical="top"/>
    </xf>
    <xf numFmtId="3" fontId="4" fillId="6" borderId="3" xfId="0" applyNumberFormat="1" applyFont="1" applyFill="1" applyBorder="1" applyAlignment="1">
      <alignment horizontal="center" vertical="top"/>
    </xf>
    <xf numFmtId="3" fontId="4" fillId="3" borderId="3" xfId="0" applyNumberFormat="1" applyFont="1" applyFill="1" applyBorder="1" applyAlignment="1">
      <alignment horizontal="center" vertical="top"/>
    </xf>
    <xf numFmtId="0" fontId="4" fillId="3" borderId="3" xfId="0" applyNumberFormat="1" applyFont="1" applyFill="1" applyBorder="1" applyAlignment="1">
      <alignment horizontal="center" vertical="top"/>
    </xf>
    <xf numFmtId="1" fontId="4" fillId="3" borderId="4" xfId="0" applyNumberFormat="1" applyFont="1" applyFill="1" applyBorder="1" applyAlignment="1">
      <alignment horizontal="center" vertical="center"/>
    </xf>
    <xf numFmtId="1" fontId="4" fillId="3" borderId="4" xfId="0" applyNumberFormat="1" applyFont="1" applyFill="1" applyBorder="1" applyAlignment="1">
      <alignment horizontal="left" vertical="center"/>
    </xf>
    <xf numFmtId="14" fontId="4" fillId="6" borderId="4" xfId="0" quotePrefix="1" applyNumberFormat="1" applyFont="1" applyFill="1" applyBorder="1" applyAlignment="1">
      <alignment horizontal="center" vertical="center"/>
    </xf>
    <xf numFmtId="189" fontId="4" fillId="3" borderId="4" xfId="0" applyNumberFormat="1" applyFont="1" applyFill="1" applyBorder="1" applyAlignment="1">
      <alignment horizontal="center" vertical="center" wrapText="1"/>
    </xf>
    <xf numFmtId="189" fontId="4" fillId="6" borderId="4" xfId="0" applyNumberFormat="1" applyFont="1" applyFill="1" applyBorder="1" applyAlignment="1">
      <alignment horizontal="center" vertical="center" wrapText="1"/>
    </xf>
    <xf numFmtId="1" fontId="4" fillId="3" borderId="4" xfId="0" applyNumberFormat="1" applyFont="1" applyFill="1" applyBorder="1" applyAlignment="1">
      <alignment vertical="center" wrapText="1"/>
    </xf>
    <xf numFmtId="0" fontId="4" fillId="3" borderId="4" xfId="0" applyNumberFormat="1" applyFont="1" applyFill="1" applyBorder="1" applyAlignment="1">
      <alignment horizontal="center" vertical="center" wrapText="1"/>
    </xf>
    <xf numFmtId="189" fontId="4" fillId="3" borderId="4" xfId="0" applyNumberFormat="1" applyFont="1" applyFill="1" applyBorder="1" applyAlignment="1">
      <alignment horizontal="left" vertical="center" wrapText="1"/>
    </xf>
    <xf numFmtId="1" fontId="4" fillId="3" borderId="4" xfId="0" applyNumberFormat="1" applyFont="1" applyFill="1" applyBorder="1" applyAlignment="1">
      <alignment horizontal="left" vertical="center" wrapText="1"/>
    </xf>
    <xf numFmtId="189" fontId="4" fillId="3" borderId="4" xfId="0" applyNumberFormat="1" applyFont="1" applyFill="1" applyBorder="1" applyAlignment="1">
      <alignment vertical="center" wrapText="1"/>
    </xf>
    <xf numFmtId="0" fontId="8" fillId="0" borderId="0" xfId="0" applyNumberFormat="1" applyFont="1" applyAlignment="1">
      <alignment horizontal="center"/>
    </xf>
    <xf numFmtId="14" fontId="4" fillId="6" borderId="4" xfId="0" applyNumberFormat="1" applyFont="1" applyFill="1" applyBorder="1" applyAlignment="1">
      <alignment horizontal="center" vertical="center"/>
    </xf>
    <xf numFmtId="0" fontId="8" fillId="3" borderId="5" xfId="0" applyNumberFormat="1" applyFont="1" applyFill="1" applyBorder="1" applyAlignment="1">
      <alignment horizontal="center" vertical="center"/>
    </xf>
    <xf numFmtId="0" fontId="8" fillId="3" borderId="5" xfId="0" applyNumberFormat="1" applyFont="1" applyFill="1" applyBorder="1" applyAlignment="1">
      <alignment horizontal="left" vertical="center"/>
    </xf>
    <xf numFmtId="0" fontId="8" fillId="6" borderId="5" xfId="0" applyNumberFormat="1" applyFont="1" applyFill="1" applyBorder="1" applyAlignment="1">
      <alignment horizontal="center" vertical="center"/>
    </xf>
    <xf numFmtId="0" fontId="8" fillId="6" borderId="5" xfId="0" quotePrefix="1" applyNumberFormat="1" applyFont="1" applyFill="1" applyBorder="1" applyAlignment="1">
      <alignment horizontal="center" vertical="center"/>
    </xf>
    <xf numFmtId="0" fontId="4" fillId="0" borderId="0" xfId="0" applyFont="1" applyFill="1" applyAlignment="1">
      <alignment horizontal="center"/>
    </xf>
    <xf numFmtId="0" fontId="4" fillId="0" borderId="0" xfId="0" applyFont="1" applyAlignment="1">
      <alignment horizontal="center"/>
    </xf>
    <xf numFmtId="0" fontId="4" fillId="0" borderId="0" xfId="0" applyNumberFormat="1" applyFont="1"/>
    <xf numFmtId="1" fontId="4" fillId="0" borderId="0" xfId="0" applyNumberFormat="1" applyFont="1" applyAlignment="1">
      <alignment horizontal="left"/>
    </xf>
    <xf numFmtId="1" fontId="4" fillId="0" borderId="0" xfId="0" applyNumberFormat="1" applyFont="1"/>
    <xf numFmtId="1" fontId="4" fillId="0" borderId="0" xfId="0" applyNumberFormat="1" applyFont="1" applyFill="1" applyAlignment="1">
      <alignment horizontal="left"/>
    </xf>
    <xf numFmtId="0" fontId="4" fillId="0" borderId="0" xfId="0" applyFont="1" applyFill="1" applyAlignment="1">
      <alignment horizontal="left"/>
    </xf>
    <xf numFmtId="0" fontId="4" fillId="0" borderId="0" xfId="0" applyFont="1" applyAlignment="1">
      <alignment horizontal="left"/>
    </xf>
    <xf numFmtId="0" fontId="26" fillId="0" borderId="0" xfId="0" applyFont="1"/>
    <xf numFmtId="0" fontId="37" fillId="0" borderId="0" xfId="0" applyFont="1" applyFill="1"/>
    <xf numFmtId="0" fontId="27" fillId="0" borderId="0" xfId="0" applyFont="1" applyFill="1"/>
    <xf numFmtId="0" fontId="4" fillId="0" borderId="0" xfId="3" applyFont="1" applyAlignment="1">
      <alignment horizontal="right"/>
    </xf>
    <xf numFmtId="0" fontId="31" fillId="0" borderId="0" xfId="3" applyFont="1"/>
    <xf numFmtId="0" fontId="8" fillId="0" borderId="0" xfId="0" applyFont="1" applyFill="1"/>
    <xf numFmtId="0" fontId="45" fillId="2" borderId="0" xfId="0" applyFont="1" applyFill="1"/>
    <xf numFmtId="0" fontId="26" fillId="0" borderId="1" xfId="0" applyFont="1" applyBorder="1"/>
    <xf numFmtId="0" fontId="13" fillId="4" borderId="0" xfId="0" applyFont="1" applyFill="1"/>
    <xf numFmtId="0" fontId="8" fillId="4" borderId="0" xfId="0" applyFont="1" applyFill="1"/>
    <xf numFmtId="0" fontId="47" fillId="2" borderId="0" xfId="0" applyFont="1" applyFill="1"/>
    <xf numFmtId="0" fontId="44" fillId="7" borderId="0" xfId="0" applyFont="1" applyFill="1" applyAlignment="1">
      <alignment horizontal="left"/>
    </xf>
    <xf numFmtId="0" fontId="44" fillId="7" borderId="0" xfId="0" applyFont="1" applyFill="1"/>
    <xf numFmtId="0" fontId="26" fillId="7" borderId="0" xfId="0" applyFont="1" applyFill="1"/>
    <xf numFmtId="0" fontId="23" fillId="0" borderId="0" xfId="0" applyFont="1"/>
    <xf numFmtId="14" fontId="46" fillId="5" borderId="0" xfId="0" applyNumberFormat="1" applyFont="1" applyFill="1"/>
    <xf numFmtId="14" fontId="23" fillId="5" borderId="0" xfId="0" applyNumberFormat="1" applyFont="1" applyFill="1"/>
    <xf numFmtId="2" fontId="23" fillId="5" borderId="0" xfId="0" applyNumberFormat="1" applyFont="1" applyFill="1" applyAlignment="1">
      <alignment horizontal="left"/>
    </xf>
    <xf numFmtId="0" fontId="39" fillId="2" borderId="0" xfId="0" applyFont="1" applyFill="1" applyAlignment="1">
      <alignment horizontal="right"/>
    </xf>
    <xf numFmtId="14" fontId="46" fillId="0" borderId="0" xfId="0" applyNumberFormat="1" applyFont="1" applyFill="1"/>
    <xf numFmtId="0" fontId="2" fillId="0" borderId="0" xfId="16" applyFont="1"/>
    <xf numFmtId="0" fontId="30" fillId="0" borderId="0" xfId="16"/>
    <xf numFmtId="0" fontId="4" fillId="0" borderId="0" xfId="16" applyFont="1"/>
    <xf numFmtId="0" fontId="23" fillId="0" borderId="0" xfId="16" applyFont="1"/>
    <xf numFmtId="0" fontId="2" fillId="0" borderId="0" xfId="0" applyFont="1" applyAlignment="1">
      <alignment vertical="top"/>
    </xf>
    <xf numFmtId="0" fontId="3" fillId="3" borderId="2" xfId="0" applyFont="1" applyFill="1" applyBorder="1" applyAlignment="1">
      <alignment horizontal="left"/>
    </xf>
    <xf numFmtId="0" fontId="3" fillId="6" borderId="2" xfId="0" applyFont="1" applyFill="1" applyBorder="1" applyAlignment="1">
      <alignment horizontal="right"/>
    </xf>
    <xf numFmtId="0" fontId="3" fillId="3" borderId="2" xfId="0" applyFont="1" applyFill="1" applyBorder="1" applyAlignment="1">
      <alignment horizontal="right"/>
    </xf>
    <xf numFmtId="0" fontId="3" fillId="3" borderId="0" xfId="0" applyFont="1" applyFill="1" applyBorder="1" applyAlignment="1">
      <alignment horizontal="center"/>
    </xf>
    <xf numFmtId="0" fontId="3" fillId="6" borderId="0" xfId="0" applyFont="1" applyFill="1" applyBorder="1" applyAlignment="1">
      <alignment horizontal="right"/>
    </xf>
    <xf numFmtId="0" fontId="3" fillId="3" borderId="0" xfId="0" applyFont="1" applyFill="1" applyBorder="1" applyAlignment="1">
      <alignment horizontal="right"/>
    </xf>
    <xf numFmtId="0" fontId="3" fillId="6" borderId="0" xfId="0" applyFont="1" applyFill="1" applyBorder="1" applyAlignment="1">
      <alignment horizontal="center"/>
    </xf>
    <xf numFmtId="0" fontId="3" fillId="3" borderId="3" xfId="0" applyFont="1" applyFill="1" applyBorder="1" applyAlignment="1">
      <alignment horizontal="center" vertical="top"/>
    </xf>
    <xf numFmtId="0" fontId="3" fillId="6" borderId="3" xfId="0" applyFont="1" applyFill="1" applyBorder="1" applyAlignment="1">
      <alignment horizontal="center" vertical="top"/>
    </xf>
    <xf numFmtId="0" fontId="3" fillId="3" borderId="3" xfId="0" applyFont="1" applyFill="1" applyBorder="1" applyAlignment="1">
      <alignment horizontal="right" vertical="top"/>
    </xf>
    <xf numFmtId="0" fontId="3" fillId="6" borderId="3" xfId="0" applyFont="1" applyFill="1" applyBorder="1" applyAlignment="1">
      <alignment horizontal="right" vertical="top"/>
    </xf>
    <xf numFmtId="0" fontId="3" fillId="0" borderId="0" xfId="0" applyFont="1"/>
    <xf numFmtId="0" fontId="3" fillId="3" borderId="6" xfId="0" applyFont="1" applyFill="1" applyBorder="1" applyAlignment="1">
      <alignment horizontal="left"/>
    </xf>
    <xf numFmtId="3" fontId="3" fillId="6" borderId="6" xfId="0" applyNumberFormat="1" applyFont="1" applyFill="1" applyBorder="1"/>
    <xf numFmtId="3" fontId="3" fillId="3" borderId="6" xfId="0" applyNumberFormat="1" applyFont="1" applyFill="1" applyBorder="1"/>
    <xf numFmtId="3" fontId="3" fillId="0" borderId="0" xfId="0" applyNumberFormat="1" applyFont="1"/>
    <xf numFmtId="0" fontId="3" fillId="3" borderId="7" xfId="0" applyFont="1" applyFill="1" applyBorder="1" applyAlignment="1">
      <alignment horizontal="left"/>
    </xf>
    <xf numFmtId="0" fontId="3" fillId="3" borderId="7" xfId="0" applyFont="1" applyFill="1" applyBorder="1" applyAlignment="1">
      <alignment horizontal="left" vertical="center"/>
    </xf>
    <xf numFmtId="0" fontId="5" fillId="3" borderId="0" xfId="0" applyFont="1" applyFill="1" applyBorder="1" applyAlignment="1">
      <alignment horizontal="left" vertical="center"/>
    </xf>
    <xf numFmtId="3" fontId="5" fillId="6" borderId="6" xfId="0" applyNumberFormat="1" applyFont="1" applyFill="1" applyBorder="1" applyAlignment="1">
      <alignment vertical="center"/>
    </xf>
    <xf numFmtId="3" fontId="5" fillId="3" borderId="6" xfId="0" applyNumberFormat="1" applyFont="1" applyFill="1" applyBorder="1" applyAlignment="1">
      <alignment vertical="center"/>
    </xf>
    <xf numFmtId="0" fontId="4" fillId="0" borderId="8" xfId="0" applyFont="1" applyBorder="1"/>
    <xf numFmtId="0" fontId="4" fillId="0" borderId="0" xfId="0" applyFont="1" applyBorder="1"/>
    <xf numFmtId="0" fontId="50" fillId="0" borderId="0" xfId="0" applyFont="1"/>
    <xf numFmtId="0" fontId="4" fillId="8" borderId="0" xfId="0" applyFont="1" applyFill="1" applyBorder="1" applyProtection="1"/>
    <xf numFmtId="3" fontId="1" fillId="0" borderId="0" xfId="0" applyNumberFormat="1" applyFont="1"/>
    <xf numFmtId="0" fontId="1" fillId="0" borderId="0" xfId="0" applyFont="1" applyAlignment="1">
      <alignment horizontal="right"/>
    </xf>
    <xf numFmtId="0" fontId="2" fillId="0" borderId="0" xfId="0" applyFont="1" applyAlignment="1">
      <alignment horizontal="right" vertical="top"/>
    </xf>
    <xf numFmtId="3" fontId="3" fillId="6" borderId="2" xfId="0" applyNumberFormat="1" applyFont="1" applyFill="1" applyBorder="1" applyAlignment="1">
      <alignment horizontal="right"/>
    </xf>
    <xf numFmtId="3" fontId="3" fillId="3" borderId="2" xfId="0" applyNumberFormat="1" applyFont="1" applyFill="1" applyBorder="1" applyAlignment="1">
      <alignment horizontal="right"/>
    </xf>
    <xf numFmtId="3" fontId="3" fillId="6" borderId="0" xfId="0" applyNumberFormat="1" applyFont="1" applyFill="1" applyBorder="1" applyAlignment="1">
      <alignment horizontal="right"/>
    </xf>
    <xf numFmtId="3" fontId="3" fillId="3" borderId="0" xfId="0" applyNumberFormat="1" applyFont="1" applyFill="1" applyBorder="1" applyAlignment="1">
      <alignment horizontal="right"/>
    </xf>
    <xf numFmtId="3" fontId="3" fillId="6" borderId="3" xfId="0" applyNumberFormat="1" applyFont="1" applyFill="1" applyBorder="1" applyAlignment="1">
      <alignment horizontal="center" vertical="top"/>
    </xf>
    <xf numFmtId="3" fontId="3" fillId="3" borderId="3" xfId="0" applyNumberFormat="1" applyFont="1" applyFill="1" applyBorder="1" applyAlignment="1">
      <alignment horizontal="center" vertical="top"/>
    </xf>
    <xf numFmtId="3" fontId="3" fillId="3" borderId="3" xfId="0" applyNumberFormat="1" applyFont="1" applyFill="1" applyBorder="1" applyAlignment="1">
      <alignment horizontal="right" vertical="top"/>
    </xf>
    <xf numFmtId="3" fontId="3" fillId="6" borderId="3" xfId="0" applyNumberFormat="1" applyFont="1" applyFill="1" applyBorder="1" applyAlignment="1">
      <alignment horizontal="right" vertical="top"/>
    </xf>
    <xf numFmtId="3" fontId="3" fillId="6" borderId="4" xfId="0" applyNumberFormat="1" applyFont="1" applyFill="1" applyBorder="1"/>
    <xf numFmtId="3" fontId="3" fillId="3" borderId="4" xfId="0" applyNumberFormat="1" applyFont="1" applyFill="1" applyBorder="1"/>
    <xf numFmtId="190" fontId="3" fillId="3" borderId="4" xfId="0" applyNumberFormat="1" applyFont="1" applyFill="1" applyBorder="1" applyAlignment="1">
      <alignment horizontal="right"/>
    </xf>
    <xf numFmtId="190" fontId="3" fillId="3" borderId="7" xfId="0" applyNumberFormat="1" applyFont="1" applyFill="1" applyBorder="1" applyAlignment="1">
      <alignment horizontal="right"/>
    </xf>
    <xf numFmtId="3" fontId="5" fillId="6" borderId="4" xfId="0" applyNumberFormat="1" applyFont="1" applyFill="1" applyBorder="1" applyAlignment="1">
      <alignment vertical="center"/>
    </xf>
    <xf numFmtId="3" fontId="5" fillId="3" borderId="4" xfId="0" applyNumberFormat="1" applyFont="1" applyFill="1" applyBorder="1" applyAlignment="1">
      <alignment vertical="center"/>
    </xf>
    <xf numFmtId="190" fontId="5" fillId="3" borderId="7" xfId="0" applyNumberFormat="1" applyFont="1" applyFill="1" applyBorder="1" applyAlignment="1">
      <alignment horizontal="right" vertical="center"/>
    </xf>
    <xf numFmtId="0" fontId="8" fillId="0" borderId="0" xfId="0" applyFont="1" applyAlignment="1">
      <alignment vertical="center"/>
    </xf>
    <xf numFmtId="3" fontId="5" fillId="0" borderId="0" xfId="0" applyNumberFormat="1" applyFont="1" applyAlignment="1">
      <alignment vertical="center"/>
    </xf>
    <xf numFmtId="3" fontId="4" fillId="0" borderId="8" xfId="0" applyNumberFormat="1" applyFont="1" applyBorder="1"/>
    <xf numFmtId="0" fontId="4" fillId="0" borderId="8" xfId="0" applyFont="1" applyBorder="1" applyAlignment="1">
      <alignment horizontal="right"/>
    </xf>
    <xf numFmtId="3" fontId="4" fillId="0" borderId="0" xfId="0" applyNumberFormat="1" applyFont="1" applyBorder="1"/>
    <xf numFmtId="0" fontId="4" fillId="0" borderId="0" xfId="0" applyFont="1" applyBorder="1" applyAlignment="1">
      <alignment horizontal="right"/>
    </xf>
    <xf numFmtId="0" fontId="4" fillId="0" borderId="0" xfId="0" applyFont="1" applyAlignment="1">
      <alignment horizontal="right"/>
    </xf>
    <xf numFmtId="3" fontId="1" fillId="0" borderId="0" xfId="0" applyNumberFormat="1" applyFont="1" applyAlignment="1">
      <alignment horizontal="right"/>
    </xf>
    <xf numFmtId="3" fontId="3" fillId="6" borderId="4" xfId="0" applyNumberFormat="1" applyFont="1" applyFill="1" applyBorder="1" applyAlignment="1">
      <alignment horizontal="right"/>
    </xf>
    <xf numFmtId="3" fontId="3" fillId="3" borderId="4" xfId="0" applyNumberFormat="1" applyFont="1" applyFill="1" applyBorder="1" applyAlignment="1">
      <alignment horizontal="right"/>
    </xf>
    <xf numFmtId="3" fontId="5" fillId="6" borderId="4" xfId="0" applyNumberFormat="1" applyFont="1" applyFill="1" applyBorder="1" applyAlignment="1">
      <alignment horizontal="right" vertical="center"/>
    </xf>
    <xf numFmtId="3" fontId="5" fillId="3" borderId="4" xfId="0" applyNumberFormat="1" applyFont="1" applyFill="1" applyBorder="1" applyAlignment="1">
      <alignment horizontal="right" vertical="center"/>
    </xf>
    <xf numFmtId="3" fontId="4" fillId="0" borderId="8" xfId="0" applyNumberFormat="1" applyFont="1" applyBorder="1" applyAlignment="1">
      <alignment horizontal="right"/>
    </xf>
    <xf numFmtId="3" fontId="4" fillId="0" borderId="0" xfId="0" applyNumberFormat="1" applyFont="1" applyBorder="1" applyAlignment="1">
      <alignment horizontal="right"/>
    </xf>
    <xf numFmtId="3" fontId="4" fillId="0" borderId="0" xfId="0" applyNumberFormat="1" applyFont="1" applyAlignment="1">
      <alignment horizontal="right"/>
    </xf>
    <xf numFmtId="0" fontId="2" fillId="0" borderId="3" xfId="0" applyFont="1" applyBorder="1" applyAlignment="1">
      <alignment vertical="top"/>
    </xf>
    <xf numFmtId="0" fontId="3" fillId="6" borderId="2" xfId="0" applyFont="1" applyFill="1" applyBorder="1" applyAlignment="1">
      <alignment horizontal="left"/>
    </xf>
    <xf numFmtId="0" fontId="3" fillId="6" borderId="0" xfId="0" applyNumberFormat="1" applyFont="1" applyFill="1" applyBorder="1" applyAlignment="1">
      <alignment horizontal="right"/>
    </xf>
    <xf numFmtId="0" fontId="3" fillId="3" borderId="0" xfId="0" applyNumberFormat="1" applyFont="1" applyFill="1" applyBorder="1" applyAlignment="1">
      <alignment horizontal="right"/>
    </xf>
    <xf numFmtId="0" fontId="3" fillId="6" borderId="0" xfId="0" applyFont="1" applyFill="1" applyBorder="1" applyAlignment="1">
      <alignment horizontal="left"/>
    </xf>
    <xf numFmtId="0" fontId="3" fillId="6" borderId="3" xfId="0" applyFont="1" applyFill="1" applyBorder="1" applyAlignment="1">
      <alignment horizontal="left" vertical="top"/>
    </xf>
    <xf numFmtId="188" fontId="3" fillId="6" borderId="6" xfId="0" applyNumberFormat="1" applyFont="1" applyFill="1" applyBorder="1" applyAlignment="1">
      <alignment horizontal="left"/>
    </xf>
    <xf numFmtId="3" fontId="3" fillId="3" borderId="6" xfId="0" applyNumberFormat="1" applyFont="1" applyFill="1" applyBorder="1" applyAlignment="1">
      <alignment horizontal="right"/>
    </xf>
    <xf numFmtId="3" fontId="3" fillId="6" borderId="6" xfId="0" applyNumberFormat="1" applyFont="1" applyFill="1" applyBorder="1" applyAlignment="1">
      <alignment horizontal="right"/>
    </xf>
    <xf numFmtId="188" fontId="3" fillId="6" borderId="7" xfId="0" applyNumberFormat="1" applyFont="1" applyFill="1" applyBorder="1" applyAlignment="1">
      <alignment horizontal="left"/>
    </xf>
    <xf numFmtId="3" fontId="3" fillId="3" borderId="7" xfId="0" applyNumberFormat="1" applyFont="1" applyFill="1" applyBorder="1" applyAlignment="1">
      <alignment horizontal="right"/>
    </xf>
    <xf numFmtId="3" fontId="3" fillId="6" borderId="7" xfId="0" applyNumberFormat="1" applyFont="1" applyFill="1" applyBorder="1" applyAlignment="1">
      <alignment horizontal="right"/>
    </xf>
    <xf numFmtId="0" fontId="5" fillId="6" borderId="0" xfId="0" applyFont="1" applyFill="1" applyBorder="1" applyAlignment="1">
      <alignment horizontal="left" vertical="center"/>
    </xf>
    <xf numFmtId="3" fontId="5" fillId="3" borderId="0" xfId="0" applyNumberFormat="1" applyFont="1" applyFill="1" applyBorder="1" applyAlignment="1">
      <alignment horizontal="right" vertical="center"/>
    </xf>
    <xf numFmtId="3" fontId="5" fillId="6" borderId="0" xfId="0" applyNumberFormat="1" applyFont="1" applyFill="1" applyBorder="1" applyAlignment="1">
      <alignment horizontal="right" vertical="center"/>
    </xf>
    <xf numFmtId="3" fontId="5" fillId="6" borderId="5" xfId="0" applyNumberFormat="1" applyFont="1" applyFill="1" applyBorder="1" applyAlignment="1">
      <alignment horizontal="right" vertical="center"/>
    </xf>
    <xf numFmtId="3" fontId="5" fillId="3" borderId="5" xfId="0" applyNumberFormat="1" applyFont="1" applyFill="1" applyBorder="1" applyAlignment="1">
      <alignment horizontal="right" vertical="center"/>
    </xf>
    <xf numFmtId="3" fontId="3" fillId="0" borderId="8" xfId="0" applyNumberFormat="1" applyFont="1" applyBorder="1" applyAlignment="1">
      <alignment horizontal="right" vertical="top"/>
    </xf>
    <xf numFmtId="188" fontId="3" fillId="0" borderId="8" xfId="0" applyNumberFormat="1" applyFont="1" applyBorder="1" applyAlignment="1">
      <alignment horizontal="right" vertical="top"/>
    </xf>
    <xf numFmtId="3" fontId="3" fillId="0" borderId="0" xfId="0" applyNumberFormat="1" applyFont="1" applyBorder="1" applyAlignment="1">
      <alignment horizontal="right" vertical="top"/>
    </xf>
    <xf numFmtId="188" fontId="3" fillId="0" borderId="0" xfId="0" applyNumberFormat="1" applyFont="1" applyBorder="1" applyAlignment="1">
      <alignment horizontal="right" vertical="top"/>
    </xf>
    <xf numFmtId="0" fontId="0" fillId="0" borderId="3" xfId="0" applyBorder="1" applyAlignment="1">
      <alignment wrapText="1"/>
    </xf>
    <xf numFmtId="0" fontId="52" fillId="8" borderId="0" xfId="0" applyFont="1" applyFill="1" applyAlignment="1">
      <alignment vertical="top"/>
    </xf>
    <xf numFmtId="0" fontId="18" fillId="8" borderId="0" xfId="0" applyFont="1" applyFill="1"/>
    <xf numFmtId="0" fontId="4" fillId="8" borderId="0" xfId="0" applyFont="1" applyFill="1"/>
    <xf numFmtId="0" fontId="8" fillId="8" borderId="0" xfId="0" applyFont="1" applyFill="1"/>
    <xf numFmtId="0" fontId="52" fillId="8" borderId="3" xfId="0" applyFont="1" applyFill="1" applyBorder="1" applyAlignment="1">
      <alignment vertical="top"/>
    </xf>
    <xf numFmtId="0" fontId="18" fillId="8" borderId="3" xfId="0" applyFont="1" applyFill="1" applyBorder="1" applyAlignment="1">
      <alignment vertical="center"/>
    </xf>
    <xf numFmtId="0" fontId="4" fillId="8" borderId="3" xfId="0" applyFont="1" applyFill="1" applyBorder="1" applyAlignment="1">
      <alignment vertical="center"/>
    </xf>
    <xf numFmtId="0" fontId="8" fillId="8" borderId="3" xfId="0" applyFont="1" applyFill="1" applyBorder="1" applyAlignment="1">
      <alignment vertical="center"/>
    </xf>
    <xf numFmtId="0" fontId="8" fillId="0" borderId="3" xfId="0" applyFont="1" applyFill="1" applyBorder="1" applyAlignment="1">
      <alignment vertical="center"/>
    </xf>
    <xf numFmtId="0" fontId="4" fillId="0" borderId="3" xfId="0" applyFont="1" applyBorder="1"/>
    <xf numFmtId="0" fontId="32" fillId="6" borderId="0" xfId="0" applyFont="1" applyFill="1" applyBorder="1" applyAlignment="1">
      <alignment horizontal="center"/>
    </xf>
    <xf numFmtId="0" fontId="5" fillId="6" borderId="0" xfId="0" applyFont="1" applyFill="1" applyBorder="1"/>
    <xf numFmtId="0" fontId="5" fillId="3" borderId="0" xfId="0" applyFont="1" applyFill="1" applyBorder="1"/>
    <xf numFmtId="0" fontId="5" fillId="6" borderId="0" xfId="0" applyFont="1" applyFill="1" applyBorder="1" applyAlignment="1">
      <alignment horizontal="right"/>
    </xf>
    <xf numFmtId="0" fontId="5" fillId="3" borderId="0" xfId="0" applyFont="1" applyFill="1" applyBorder="1" applyAlignment="1">
      <alignment horizontal="right"/>
    </xf>
    <xf numFmtId="0" fontId="5" fillId="0" borderId="0" xfId="0" applyFont="1" applyFill="1" applyBorder="1" applyAlignment="1">
      <alignment horizontal="right"/>
    </xf>
    <xf numFmtId="0" fontId="18" fillId="6" borderId="0" xfId="0" applyFont="1" applyFill="1" applyBorder="1" applyAlignment="1">
      <alignment horizontal="center" wrapText="1"/>
    </xf>
    <xf numFmtId="0" fontId="18" fillId="3" borderId="0" xfId="0" applyFont="1" applyFill="1" applyBorder="1" applyAlignment="1">
      <alignment horizontal="center" wrapText="1"/>
    </xf>
    <xf numFmtId="0" fontId="18" fillId="0" borderId="0" xfId="0" applyFont="1" applyFill="1" applyBorder="1" applyAlignment="1">
      <alignment horizontal="right" wrapText="1"/>
    </xf>
    <xf numFmtId="0" fontId="38" fillId="3" borderId="0" xfId="0" applyFont="1" applyFill="1" applyBorder="1"/>
    <xf numFmtId="0" fontId="5" fillId="0" borderId="0" xfId="0" applyFont="1" applyFill="1" applyBorder="1"/>
    <xf numFmtId="0" fontId="32" fillId="6" borderId="3" xfId="0" applyFont="1" applyFill="1" applyBorder="1" applyAlignment="1">
      <alignment horizontal="center"/>
    </xf>
    <xf numFmtId="0" fontId="5" fillId="6" borderId="3" xfId="0" applyFont="1" applyFill="1" applyBorder="1" applyAlignment="1">
      <alignment vertical="top"/>
    </xf>
    <xf numFmtId="0" fontId="5" fillId="3" borderId="3" xfId="0" applyFont="1" applyFill="1" applyBorder="1" applyAlignment="1">
      <alignment vertical="top"/>
    </xf>
    <xf numFmtId="0" fontId="5" fillId="6" borderId="3" xfId="0" applyFont="1" applyFill="1" applyBorder="1" applyAlignment="1">
      <alignment horizontal="right" vertical="top"/>
    </xf>
    <xf numFmtId="0" fontId="5" fillId="3" borderId="3" xfId="0" applyFont="1" applyFill="1" applyBorder="1"/>
    <xf numFmtId="0" fontId="5" fillId="3" borderId="3" xfId="0" applyFont="1" applyFill="1" applyBorder="1" applyAlignment="1">
      <alignment horizontal="right" vertical="top"/>
    </xf>
    <xf numFmtId="0" fontId="5" fillId="0" borderId="3" xfId="0" applyFont="1" applyFill="1" applyBorder="1" applyAlignment="1">
      <alignment horizontal="right" vertical="top"/>
    </xf>
    <xf numFmtId="0" fontId="5" fillId="6" borderId="3" xfId="0" applyFont="1" applyFill="1" applyBorder="1"/>
    <xf numFmtId="0" fontId="23" fillId="6" borderId="4" xfId="0" applyFont="1" applyFill="1" applyBorder="1" applyAlignment="1">
      <alignment horizontal="center"/>
    </xf>
    <xf numFmtId="0" fontId="3" fillId="6" borderId="4" xfId="0" applyFont="1" applyFill="1" applyBorder="1" applyAlignment="1"/>
    <xf numFmtId="3" fontId="3" fillId="3" borderId="4" xfId="0" applyNumberFormat="1" applyFont="1" applyFill="1" applyBorder="1" applyAlignment="1"/>
    <xf numFmtId="3" fontId="3" fillId="6" borderId="4" xfId="0" applyNumberFormat="1" applyFont="1" applyFill="1" applyBorder="1" applyAlignment="1"/>
    <xf numFmtId="3" fontId="5" fillId="3" borderId="4" xfId="0" applyNumberFormat="1" applyFont="1" applyFill="1" applyBorder="1" applyAlignment="1"/>
    <xf numFmtId="3" fontId="5" fillId="6" borderId="4" xfId="0" applyNumberFormat="1" applyFont="1" applyFill="1" applyBorder="1" applyAlignment="1"/>
    <xf numFmtId="3" fontId="3" fillId="0" borderId="4" xfId="0" applyNumberFormat="1" applyFont="1" applyFill="1" applyBorder="1" applyAlignment="1"/>
    <xf numFmtId="190" fontId="4" fillId="6" borderId="4" xfId="0" applyNumberFormat="1" applyFont="1" applyFill="1" applyBorder="1" applyAlignment="1">
      <alignment horizontal="center"/>
    </xf>
    <xf numFmtId="190" fontId="4" fillId="3" borderId="4" xfId="0" applyNumberFormat="1" applyFont="1" applyFill="1" applyBorder="1" applyAlignment="1">
      <alignment horizontal="center"/>
    </xf>
    <xf numFmtId="190" fontId="4" fillId="0" borderId="0" xfId="0" applyNumberFormat="1" applyFont="1" applyFill="1" applyBorder="1" applyAlignment="1">
      <alignment horizontal="center"/>
    </xf>
    <xf numFmtId="0" fontId="23" fillId="6" borderId="7" xfId="0" applyFont="1" applyFill="1" applyBorder="1" applyAlignment="1">
      <alignment horizontal="center"/>
    </xf>
    <xf numFmtId="0" fontId="3" fillId="6" borderId="7" xfId="0" applyFont="1" applyFill="1" applyBorder="1" applyAlignment="1"/>
    <xf numFmtId="3" fontId="3" fillId="3" borderId="7" xfId="0" applyNumberFormat="1" applyFont="1" applyFill="1" applyBorder="1" applyAlignment="1"/>
    <xf numFmtId="3" fontId="3" fillId="6" borderId="7" xfId="0" applyNumberFormat="1" applyFont="1" applyFill="1" applyBorder="1" applyAlignment="1"/>
    <xf numFmtId="3" fontId="5" fillId="3" borderId="7" xfId="0" applyNumberFormat="1" applyFont="1" applyFill="1" applyBorder="1" applyAlignment="1"/>
    <xf numFmtId="3" fontId="5" fillId="6" borderId="7" xfId="0" applyNumberFormat="1" applyFont="1" applyFill="1" applyBorder="1" applyAlignment="1"/>
    <xf numFmtId="189" fontId="3" fillId="3" borderId="7" xfId="0" applyNumberFormat="1" applyFont="1" applyFill="1" applyBorder="1" applyAlignment="1"/>
    <xf numFmtId="189" fontId="3" fillId="6" borderId="7" xfId="0" applyNumberFormat="1" applyFont="1" applyFill="1" applyBorder="1" applyAlignment="1"/>
    <xf numFmtId="188" fontId="3" fillId="3" borderId="7" xfId="0" applyNumberFormat="1" applyFont="1" applyFill="1" applyBorder="1" applyAlignment="1">
      <alignment horizontal="right"/>
    </xf>
    <xf numFmtId="189" fontId="5" fillId="3" borderId="7" xfId="0" applyNumberFormat="1" applyFont="1" applyFill="1" applyBorder="1" applyAlignment="1"/>
    <xf numFmtId="189" fontId="5" fillId="6" borderId="7" xfId="0" applyNumberFormat="1" applyFont="1" applyFill="1" applyBorder="1" applyAlignment="1"/>
    <xf numFmtId="189" fontId="3" fillId="0" borderId="4" xfId="0" applyNumberFormat="1" applyFont="1" applyFill="1" applyBorder="1" applyAlignment="1"/>
    <xf numFmtId="0" fontId="4" fillId="6" borderId="7" xfId="0" applyFont="1" applyFill="1" applyBorder="1" applyAlignment="1"/>
    <xf numFmtId="190" fontId="3" fillId="3" borderId="7" xfId="0" applyNumberFormat="1" applyFont="1" applyFill="1" applyBorder="1" applyAlignment="1"/>
    <xf numFmtId="190" fontId="3" fillId="6" borderId="7" xfId="0" applyNumberFormat="1" applyFont="1" applyFill="1" applyBorder="1" applyAlignment="1"/>
    <xf numFmtId="190" fontId="5" fillId="3" borderId="7" xfId="0" applyNumberFormat="1" applyFont="1" applyFill="1" applyBorder="1" applyAlignment="1"/>
    <xf numFmtId="190" fontId="5" fillId="6" borderId="7" xfId="0" applyNumberFormat="1" applyFont="1" applyFill="1" applyBorder="1" applyAlignment="1"/>
    <xf numFmtId="0" fontId="23" fillId="6" borderId="5" xfId="0" applyFont="1" applyFill="1" applyBorder="1" applyAlignment="1">
      <alignment horizontal="center" vertical="center"/>
    </xf>
    <xf numFmtId="0" fontId="3" fillId="6" borderId="5" xfId="0" applyFont="1" applyFill="1" applyBorder="1" applyAlignment="1">
      <alignment vertical="center"/>
    </xf>
    <xf numFmtId="190" fontId="3" fillId="3" borderId="5" xfId="0" applyNumberFormat="1" applyFont="1" applyFill="1" applyBorder="1" applyAlignment="1">
      <alignment vertical="center"/>
    </xf>
    <xf numFmtId="190" fontId="3" fillId="6" borderId="5" xfId="0" applyNumberFormat="1" applyFont="1" applyFill="1" applyBorder="1" applyAlignment="1">
      <alignment vertical="center"/>
    </xf>
    <xf numFmtId="190" fontId="5" fillId="3" borderId="5" xfId="0" applyNumberFormat="1" applyFont="1" applyFill="1" applyBorder="1" applyAlignment="1">
      <alignment vertical="center"/>
    </xf>
    <xf numFmtId="190" fontId="5" fillId="6" borderId="5" xfId="0" applyNumberFormat="1" applyFont="1" applyFill="1" applyBorder="1" applyAlignment="1">
      <alignment vertical="center"/>
    </xf>
    <xf numFmtId="190" fontId="3" fillId="0" borderId="5" xfId="0" applyNumberFormat="1" applyFont="1" applyFill="1" applyBorder="1" applyAlignment="1">
      <alignment vertical="center"/>
    </xf>
    <xf numFmtId="190" fontId="4" fillId="6" borderId="5" xfId="0" applyNumberFormat="1" applyFont="1" applyFill="1" applyBorder="1" applyAlignment="1">
      <alignment horizontal="center" vertical="center"/>
    </xf>
    <xf numFmtId="190" fontId="4" fillId="3" borderId="5" xfId="0" applyNumberFormat="1" applyFont="1" applyFill="1" applyBorder="1" applyAlignment="1">
      <alignment horizontal="center" vertical="center"/>
    </xf>
    <xf numFmtId="190" fontId="4" fillId="0" borderId="0" xfId="0" applyNumberFormat="1" applyFont="1" applyFill="1" applyBorder="1" applyAlignment="1">
      <alignment horizontal="center" vertical="center"/>
    </xf>
    <xf numFmtId="0" fontId="4" fillId="0" borderId="0" xfId="0" applyFont="1" applyAlignment="1">
      <alignment vertical="center"/>
    </xf>
    <xf numFmtId="0" fontId="4" fillId="0" borderId="8" xfId="0" applyFont="1" applyFill="1" applyBorder="1" applyAlignment="1"/>
    <xf numFmtId="190" fontId="3" fillId="0" borderId="8" xfId="0" applyNumberFormat="1" applyFont="1" applyFill="1" applyBorder="1" applyAlignment="1"/>
    <xf numFmtId="190" fontId="5" fillId="0" borderId="8" xfId="0" applyNumberFormat="1" applyFont="1" applyFill="1" applyBorder="1" applyAlignment="1"/>
    <xf numFmtId="190" fontId="5" fillId="0" borderId="0" xfId="0" applyNumberFormat="1" applyFont="1" applyFill="1" applyBorder="1" applyAlignment="1"/>
    <xf numFmtId="0" fontId="8" fillId="0" borderId="0" xfId="0" applyFont="1" applyBorder="1"/>
    <xf numFmtId="0" fontId="1" fillId="8" borderId="0" xfId="0" applyFont="1" applyFill="1"/>
    <xf numFmtId="0" fontId="2" fillId="8" borderId="0" xfId="0" applyFont="1" applyFill="1"/>
    <xf numFmtId="0" fontId="3" fillId="0" borderId="0" xfId="0" applyFont="1" applyFill="1" applyBorder="1"/>
    <xf numFmtId="3" fontId="1" fillId="0" borderId="0" xfId="0" applyNumberFormat="1" applyFont="1" applyFill="1" applyBorder="1"/>
    <xf numFmtId="0" fontId="1" fillId="0" borderId="0" xfId="0" applyFont="1" applyBorder="1"/>
    <xf numFmtId="0" fontId="2" fillId="0" borderId="0" xfId="0" applyFont="1" applyBorder="1"/>
    <xf numFmtId="0" fontId="8" fillId="0" borderId="0" xfId="0" applyFont="1"/>
    <xf numFmtId="0" fontId="4" fillId="0" borderId="9" xfId="0" applyFont="1" applyBorder="1" applyAlignment="1">
      <alignment horizontal="center"/>
    </xf>
    <xf numFmtId="0" fontId="4" fillId="0" borderId="9" xfId="0" applyFont="1" applyFill="1" applyBorder="1"/>
    <xf numFmtId="0" fontId="18" fillId="0" borderId="9" xfId="0" applyFont="1" applyFill="1" applyBorder="1"/>
    <xf numFmtId="0" fontId="4" fillId="0" borderId="9" xfId="0" applyFont="1" applyFill="1" applyBorder="1" applyAlignment="1">
      <alignment horizontal="right"/>
    </xf>
    <xf numFmtId="0" fontId="4" fillId="0" borderId="9" xfId="0" quotePrefix="1" applyFont="1" applyBorder="1"/>
    <xf numFmtId="0" fontId="4" fillId="0" borderId="9" xfId="0" applyFont="1" applyBorder="1"/>
    <xf numFmtId="0" fontId="8" fillId="0" borderId="9" xfId="0" applyFont="1" applyBorder="1"/>
    <xf numFmtId="0" fontId="4" fillId="0" borderId="10" xfId="15" applyFont="1" applyFill="1" applyBorder="1"/>
    <xf numFmtId="0" fontId="4" fillId="0" borderId="9" xfId="0" applyFont="1" applyBorder="1" applyAlignment="1">
      <alignment horizontal="right"/>
    </xf>
    <xf numFmtId="0" fontId="18" fillId="0" borderId="9" xfId="0" applyFont="1" applyBorder="1"/>
    <xf numFmtId="0" fontId="18" fillId="0" borderId="0" xfId="0" applyFont="1"/>
    <xf numFmtId="0" fontId="1" fillId="0" borderId="0" xfId="0" applyFont="1" applyAlignment="1">
      <alignment horizontal="center"/>
    </xf>
    <xf numFmtId="3" fontId="5" fillId="6" borderId="2" xfId="0" applyNumberFormat="1" applyFont="1" applyFill="1" applyBorder="1" applyAlignment="1">
      <alignment horizontal="right"/>
    </xf>
    <xf numFmtId="0" fontId="3" fillId="3" borderId="3" xfId="0" applyFont="1" applyFill="1" applyBorder="1" applyAlignment="1">
      <alignment horizontal="left"/>
    </xf>
    <xf numFmtId="0" fontId="3" fillId="3" borderId="3" xfId="0" applyFont="1" applyFill="1" applyBorder="1" applyAlignment="1">
      <alignment horizontal="center"/>
    </xf>
    <xf numFmtId="3" fontId="5" fillId="6" borderId="3" xfId="0" applyNumberFormat="1" applyFont="1" applyFill="1" applyBorder="1" applyAlignment="1">
      <alignment horizontal="right" vertical="top"/>
    </xf>
    <xf numFmtId="3" fontId="5" fillId="6" borderId="6" xfId="0" applyNumberFormat="1" applyFont="1" applyFill="1" applyBorder="1" applyAlignment="1">
      <alignment horizontal="right"/>
    </xf>
    <xf numFmtId="3" fontId="5" fillId="6" borderId="7" xfId="0" applyNumberFormat="1" applyFont="1" applyFill="1" applyBorder="1" applyAlignment="1">
      <alignment horizontal="right"/>
    </xf>
    <xf numFmtId="3" fontId="3" fillId="6" borderId="7" xfId="0" applyNumberFormat="1" applyFont="1" applyFill="1" applyBorder="1" applyAlignment="1">
      <alignment horizontal="right" vertical="center"/>
    </xf>
    <xf numFmtId="3" fontId="3" fillId="3" borderId="7" xfId="0" applyNumberFormat="1" applyFont="1" applyFill="1" applyBorder="1" applyAlignment="1">
      <alignment horizontal="right" vertical="center"/>
    </xf>
    <xf numFmtId="3" fontId="5" fillId="6" borderId="7" xfId="0" applyNumberFormat="1" applyFont="1" applyFill="1" applyBorder="1" applyAlignment="1">
      <alignment horizontal="right" vertical="center"/>
    </xf>
    <xf numFmtId="0" fontId="3" fillId="3" borderId="11" xfId="0" applyFont="1" applyFill="1" applyBorder="1" applyAlignment="1">
      <alignment horizontal="left" vertical="center"/>
    </xf>
    <xf numFmtId="3" fontId="3" fillId="6" borderId="11" xfId="0" applyNumberFormat="1" applyFont="1" applyFill="1" applyBorder="1" applyAlignment="1">
      <alignment horizontal="right" vertical="center"/>
    </xf>
    <xf numFmtId="3" fontId="3" fillId="3" borderId="11" xfId="0" applyNumberFormat="1" applyFont="1" applyFill="1" applyBorder="1" applyAlignment="1">
      <alignment horizontal="right" vertical="center"/>
    </xf>
    <xf numFmtId="3" fontId="5" fillId="6" borderId="11" xfId="0" applyNumberFormat="1" applyFont="1" applyFill="1" applyBorder="1" applyAlignment="1">
      <alignment horizontal="right" vertical="center"/>
    </xf>
    <xf numFmtId="0" fontId="18" fillId="8" borderId="0" xfId="0" applyFont="1" applyFill="1" applyBorder="1" applyProtection="1"/>
    <xf numFmtId="0" fontId="23" fillId="8" borderId="0" xfId="0" applyFont="1" applyFill="1" applyBorder="1"/>
    <xf numFmtId="0" fontId="5" fillId="3" borderId="2" xfId="0" applyFont="1" applyFill="1" applyBorder="1" applyAlignment="1">
      <alignment horizontal="left"/>
    </xf>
    <xf numFmtId="0" fontId="3" fillId="3" borderId="2" xfId="0" applyFont="1" applyFill="1" applyBorder="1" applyAlignment="1">
      <alignment horizontal="center"/>
    </xf>
    <xf numFmtId="3" fontId="5" fillId="6" borderId="4" xfId="0" applyNumberFormat="1" applyFont="1" applyFill="1" applyBorder="1" applyAlignment="1">
      <alignment horizontal="right"/>
    </xf>
    <xf numFmtId="0" fontId="3" fillId="3" borderId="4" xfId="0" applyFont="1" applyFill="1" applyBorder="1" applyAlignment="1">
      <alignment horizontal="left"/>
    </xf>
    <xf numFmtId="0" fontId="3" fillId="3" borderId="5" xfId="0" applyFont="1" applyFill="1" applyBorder="1" applyAlignment="1">
      <alignment horizontal="left" vertical="center"/>
    </xf>
    <xf numFmtId="3" fontId="3" fillId="6" borderId="5" xfId="0" applyNumberFormat="1" applyFont="1" applyFill="1" applyBorder="1" applyAlignment="1">
      <alignment horizontal="right"/>
    </xf>
    <xf numFmtId="3" fontId="3" fillId="3" borderId="5" xfId="0" applyNumberFormat="1" applyFont="1" applyFill="1" applyBorder="1" applyAlignment="1">
      <alignment horizontal="right"/>
    </xf>
    <xf numFmtId="3" fontId="5" fillId="6" borderId="5" xfId="0" applyNumberFormat="1" applyFont="1" applyFill="1" applyBorder="1" applyAlignment="1">
      <alignment horizontal="right"/>
    </xf>
    <xf numFmtId="0" fontId="3" fillId="0" borderId="0" xfId="0" applyFont="1" applyFill="1" applyBorder="1" applyAlignment="1">
      <alignment horizontal="left" vertical="center"/>
    </xf>
    <xf numFmtId="3" fontId="3" fillId="0" borderId="0" xfId="0" applyNumberFormat="1" applyFont="1" applyFill="1" applyBorder="1" applyAlignment="1">
      <alignment horizontal="right" vertical="center"/>
    </xf>
    <xf numFmtId="3" fontId="5" fillId="0" borderId="0" xfId="0" applyNumberFormat="1" applyFont="1" applyFill="1" applyBorder="1" applyAlignment="1">
      <alignment horizontal="right" vertical="center"/>
    </xf>
    <xf numFmtId="0" fontId="2" fillId="0" borderId="3" xfId="0" applyFont="1" applyBorder="1" applyAlignment="1">
      <alignment vertical="center"/>
    </xf>
    <xf numFmtId="0" fontId="0" fillId="0" borderId="3" xfId="0" applyBorder="1" applyAlignment="1">
      <alignment vertical="center"/>
    </xf>
    <xf numFmtId="0" fontId="3" fillId="3" borderId="4" xfId="0" applyFont="1" applyFill="1" applyBorder="1" applyAlignment="1">
      <alignment horizontal="left" vertical="center"/>
    </xf>
    <xf numFmtId="3" fontId="3" fillId="6" borderId="4" xfId="0" applyNumberFormat="1" applyFont="1" applyFill="1" applyBorder="1" applyAlignment="1">
      <alignment horizontal="right" vertical="center"/>
    </xf>
    <xf numFmtId="3" fontId="3" fillId="3" borderId="4" xfId="0" applyNumberFormat="1" applyFont="1" applyFill="1" applyBorder="1" applyAlignment="1">
      <alignment horizontal="right" vertical="center"/>
    </xf>
    <xf numFmtId="0" fontId="4" fillId="0" borderId="8" xfId="0" applyFont="1" applyBorder="1" applyAlignment="1">
      <alignment horizontal="center"/>
    </xf>
    <xf numFmtId="3" fontId="8" fillId="0" borderId="8" xfId="0" applyNumberFormat="1" applyFont="1" applyBorder="1"/>
    <xf numFmtId="3" fontId="8" fillId="0" borderId="0" xfId="0" applyNumberFormat="1" applyFont="1"/>
    <xf numFmtId="0" fontId="18" fillId="0" borderId="0" xfId="24" applyFont="1"/>
    <xf numFmtId="0" fontId="3" fillId="3" borderId="0" xfId="0" applyFont="1" applyFill="1" applyBorder="1" applyAlignment="1">
      <alignment horizontal="left"/>
    </xf>
    <xf numFmtId="0" fontId="3" fillId="3" borderId="3" xfId="0" applyFont="1" applyFill="1" applyBorder="1" applyAlignment="1">
      <alignment horizontal="left" vertical="top"/>
    </xf>
    <xf numFmtId="0" fontId="3" fillId="3" borderId="4" xfId="0" quotePrefix="1" applyFont="1" applyFill="1" applyBorder="1" applyAlignment="1">
      <alignment horizontal="left"/>
    </xf>
    <xf numFmtId="0" fontId="3" fillId="3" borderId="7" xfId="0" quotePrefix="1" applyFont="1" applyFill="1" applyBorder="1" applyAlignment="1">
      <alignment horizontal="left"/>
    </xf>
    <xf numFmtId="0" fontId="5" fillId="3" borderId="0" xfId="0" quotePrefix="1" applyFont="1" applyFill="1" applyBorder="1" applyAlignment="1">
      <alignment horizontal="left" vertical="center"/>
    </xf>
    <xf numFmtId="0" fontId="4" fillId="0" borderId="0" xfId="0" applyFont="1" applyAlignment="1">
      <alignment vertical="top"/>
    </xf>
    <xf numFmtId="0" fontId="2" fillId="0" borderId="0" xfId="19" applyFont="1"/>
    <xf numFmtId="0" fontId="30" fillId="0" borderId="0" xfId="19"/>
    <xf numFmtId="2" fontId="18" fillId="0" borderId="0" xfId="19" applyNumberFormat="1" applyFont="1"/>
    <xf numFmtId="0" fontId="18" fillId="0" borderId="0" xfId="19" applyFont="1" applyAlignment="1"/>
    <xf numFmtId="0" fontId="48" fillId="0" borderId="0" xfId="19" applyFont="1"/>
    <xf numFmtId="0" fontId="18" fillId="0" borderId="0" xfId="19" applyFont="1"/>
    <xf numFmtId="0" fontId="18" fillId="0" borderId="0" xfId="2" applyFont="1"/>
    <xf numFmtId="0" fontId="18" fillId="0" borderId="0" xfId="19" applyFont="1" applyFill="1" applyBorder="1"/>
    <xf numFmtId="0" fontId="22" fillId="0" borderId="0" xfId="18" applyFont="1"/>
    <xf numFmtId="0" fontId="30" fillId="0" borderId="0" xfId="18"/>
    <xf numFmtId="0" fontId="2" fillId="0" borderId="0" xfId="18" applyFont="1"/>
    <xf numFmtId="0" fontId="4" fillId="0" borderId="0" xfId="18" applyFont="1"/>
    <xf numFmtId="0" fontId="4" fillId="0" borderId="0" xfId="18" applyFont="1" applyAlignment="1"/>
    <xf numFmtId="0" fontId="18" fillId="0" borderId="0" xfId="18" applyFont="1"/>
    <xf numFmtId="0" fontId="22" fillId="0" borderId="0" xfId="17" applyFont="1"/>
    <xf numFmtId="0" fontId="30" fillId="0" borderId="0" xfId="17"/>
    <xf numFmtId="0" fontId="2" fillId="0" borderId="0" xfId="17" applyFont="1"/>
    <xf numFmtId="0" fontId="4" fillId="0" borderId="0" xfId="17" applyFont="1" applyAlignment="1"/>
    <xf numFmtId="0" fontId="18" fillId="0" borderId="0" xfId="17" applyFont="1"/>
    <xf numFmtId="3" fontId="2" fillId="0" borderId="0" xfId="0" applyNumberFormat="1" applyFont="1"/>
    <xf numFmtId="0" fontId="3" fillId="3" borderId="0" xfId="0" applyFont="1" applyFill="1" applyBorder="1" applyAlignment="1">
      <alignment horizontal="left" vertical="center"/>
    </xf>
    <xf numFmtId="0" fontId="3" fillId="3" borderId="6" xfId="0" applyFont="1" applyFill="1" applyBorder="1" applyAlignment="1">
      <alignment horizontal="left" vertical="center"/>
    </xf>
    <xf numFmtId="0" fontId="4" fillId="0" borderId="0" xfId="0" applyFont="1" applyBorder="1" applyAlignment="1">
      <alignment horizontal="center"/>
    </xf>
    <xf numFmtId="3" fontId="8" fillId="0" borderId="0" xfId="0" applyNumberFormat="1" applyFont="1" applyBorder="1"/>
    <xf numFmtId="190" fontId="1" fillId="0" borderId="0" xfId="0" applyNumberFormat="1" applyFont="1" applyAlignment="1">
      <alignment horizontal="center"/>
    </xf>
    <xf numFmtId="0" fontId="5" fillId="6" borderId="2" xfId="0" applyFont="1" applyFill="1" applyBorder="1" applyAlignment="1">
      <alignment horizontal="right"/>
    </xf>
    <xf numFmtId="190" fontId="3" fillId="3" borderId="2" xfId="0" applyNumberFormat="1" applyFont="1" applyFill="1" applyBorder="1" applyAlignment="1">
      <alignment horizontal="center"/>
    </xf>
    <xf numFmtId="190" fontId="3" fillId="3" borderId="0" xfId="0" applyNumberFormat="1" applyFont="1" applyFill="1" applyBorder="1" applyAlignment="1">
      <alignment horizontal="center"/>
    </xf>
    <xf numFmtId="190" fontId="3" fillId="3" borderId="3" xfId="0" applyNumberFormat="1" applyFont="1" applyFill="1" applyBorder="1" applyAlignment="1">
      <alignment horizontal="center" vertical="top"/>
    </xf>
    <xf numFmtId="0" fontId="3" fillId="0" borderId="0" xfId="0" applyFont="1" applyAlignment="1">
      <alignment horizontal="right"/>
    </xf>
    <xf numFmtId="0" fontId="5" fillId="3" borderId="6" xfId="0" quotePrefix="1" applyFont="1" applyFill="1" applyBorder="1" applyAlignment="1"/>
    <xf numFmtId="190" fontId="5" fillId="3" borderId="4" xfId="0" applyNumberFormat="1" applyFont="1" applyFill="1" applyBorder="1" applyAlignment="1">
      <alignment horizontal="center"/>
    </xf>
    <xf numFmtId="0" fontId="5" fillId="3" borderId="7" xfId="0" quotePrefix="1" applyFont="1" applyFill="1" applyBorder="1" applyAlignment="1"/>
    <xf numFmtId="190" fontId="3" fillId="3" borderId="7" xfId="0" applyNumberFormat="1" applyFont="1" applyFill="1" applyBorder="1" applyAlignment="1">
      <alignment horizontal="center"/>
    </xf>
    <xf numFmtId="190" fontId="5" fillId="3" borderId="7" xfId="0" applyNumberFormat="1" applyFont="1" applyFill="1" applyBorder="1" applyAlignment="1">
      <alignment horizontal="center"/>
    </xf>
    <xf numFmtId="0" fontId="5" fillId="3" borderId="7" xfId="0" quotePrefix="1" applyFont="1" applyFill="1" applyBorder="1" applyAlignment="1">
      <alignment wrapText="1"/>
    </xf>
    <xf numFmtId="3" fontId="3" fillId="3" borderId="7" xfId="0" applyNumberFormat="1" applyFont="1" applyFill="1" applyBorder="1" applyAlignment="1">
      <alignment vertical="center"/>
    </xf>
    <xf numFmtId="0" fontId="3" fillId="3" borderId="0" xfId="0" quotePrefix="1" applyFont="1" applyFill="1" applyBorder="1" applyAlignment="1">
      <alignment vertical="center"/>
    </xf>
    <xf numFmtId="190" fontId="3" fillId="3" borderId="7" xfId="0" applyNumberFormat="1" applyFont="1" applyFill="1" applyBorder="1" applyAlignment="1">
      <alignment horizontal="center" vertical="center"/>
    </xf>
    <xf numFmtId="3" fontId="3" fillId="6" borderId="0" xfId="0" applyNumberFormat="1" applyFont="1" applyFill="1" applyBorder="1" applyAlignment="1">
      <alignment horizontal="right" vertical="center"/>
    </xf>
    <xf numFmtId="0" fontId="8" fillId="0" borderId="8" xfId="0" applyFont="1" applyBorder="1"/>
    <xf numFmtId="190" fontId="4" fillId="0" borderId="8" xfId="0" applyNumberFormat="1" applyFont="1" applyBorder="1" applyAlignment="1">
      <alignment horizontal="center"/>
    </xf>
    <xf numFmtId="190" fontId="4" fillId="0" borderId="0" xfId="0" applyNumberFormat="1" applyFont="1" applyBorder="1" applyAlignment="1">
      <alignment horizontal="center"/>
    </xf>
    <xf numFmtId="190" fontId="4" fillId="0" borderId="0" xfId="0" applyNumberFormat="1" applyFont="1" applyAlignment="1">
      <alignment horizontal="center"/>
    </xf>
    <xf numFmtId="190" fontId="3" fillId="3" borderId="4" xfId="0" applyNumberFormat="1" applyFont="1" applyFill="1" applyBorder="1" applyAlignment="1">
      <alignment horizontal="center"/>
    </xf>
    <xf numFmtId="0" fontId="5" fillId="3" borderId="7" xfId="0" quotePrefix="1" applyFont="1" applyFill="1" applyBorder="1" applyAlignment="1">
      <alignment horizontal="left" vertical="center"/>
    </xf>
    <xf numFmtId="190" fontId="5" fillId="3" borderId="7" xfId="0" applyNumberFormat="1" applyFont="1" applyFill="1" applyBorder="1" applyAlignment="1">
      <alignment horizontal="center" vertical="center"/>
    </xf>
    <xf numFmtId="189" fontId="3" fillId="6" borderId="4" xfId="0" applyNumberFormat="1" applyFont="1" applyFill="1" applyBorder="1" applyAlignment="1"/>
    <xf numFmtId="0" fontId="3" fillId="3" borderId="4" xfId="0" applyNumberFormat="1" applyFont="1" applyFill="1" applyBorder="1" applyAlignment="1">
      <alignment horizontal="center"/>
    </xf>
    <xf numFmtId="0" fontId="3" fillId="3" borderId="7" xfId="0" applyNumberFormat="1" applyFont="1" applyFill="1" applyBorder="1" applyAlignment="1">
      <alignment horizontal="center"/>
    </xf>
    <xf numFmtId="189" fontId="5" fillId="6" borderId="7" xfId="0" applyNumberFormat="1" applyFont="1" applyFill="1" applyBorder="1" applyAlignment="1">
      <alignment vertical="center"/>
    </xf>
    <xf numFmtId="3" fontId="5" fillId="3" borderId="7" xfId="0" applyNumberFormat="1" applyFont="1" applyFill="1" applyBorder="1" applyAlignment="1">
      <alignment vertical="center"/>
    </xf>
    <xf numFmtId="3" fontId="5" fillId="6" borderId="7" xfId="0" applyNumberFormat="1" applyFont="1" applyFill="1" applyBorder="1" applyAlignment="1">
      <alignment vertical="center"/>
    </xf>
    <xf numFmtId="0" fontId="5" fillId="3" borderId="7" xfId="0" applyNumberFormat="1" applyFont="1" applyFill="1" applyBorder="1" applyAlignment="1">
      <alignment horizontal="center" vertical="center"/>
    </xf>
    <xf numFmtId="3" fontId="4" fillId="0" borderId="0" xfId="0" applyNumberFormat="1" applyFont="1" applyFill="1" applyAlignment="1">
      <alignment horizontal="center"/>
    </xf>
    <xf numFmtId="3" fontId="4" fillId="0" borderId="0" xfId="0" applyNumberFormat="1" applyFont="1" applyFill="1"/>
    <xf numFmtId="0" fontId="4" fillId="0" borderId="0" xfId="0" quotePrefix="1" applyFont="1" applyFill="1" applyAlignment="1">
      <alignment horizontal="center"/>
    </xf>
    <xf numFmtId="0" fontId="18" fillId="8" borderId="0" xfId="0" applyFont="1" applyFill="1" applyBorder="1"/>
    <xf numFmtId="0" fontId="5" fillId="3" borderId="2" xfId="0" applyFont="1" applyFill="1" applyBorder="1" applyAlignment="1">
      <alignment horizontal="right"/>
    </xf>
    <xf numFmtId="0" fontId="3" fillId="6" borderId="2" xfId="0" applyFont="1" applyFill="1" applyBorder="1" applyAlignment="1">
      <alignment horizontal="center"/>
    </xf>
    <xf numFmtId="0" fontId="53" fillId="6" borderId="0" xfId="0" applyFont="1" applyFill="1" applyBorder="1" applyAlignment="1">
      <alignment horizontal="center"/>
    </xf>
    <xf numFmtId="0" fontId="3" fillId="6" borderId="0" xfId="0" applyFont="1" applyFill="1" applyBorder="1" applyAlignment="1">
      <alignment horizontal="right" vertical="top"/>
    </xf>
    <xf numFmtId="0" fontId="3" fillId="3" borderId="6" xfId="0" quotePrefix="1" applyFont="1" applyFill="1" applyBorder="1" applyAlignment="1">
      <alignment horizontal="left" vertical="center"/>
    </xf>
    <xf numFmtId="190" fontId="3" fillId="6" borderId="4" xfId="0" applyNumberFormat="1" applyFont="1" applyFill="1" applyBorder="1" applyAlignment="1">
      <alignment horizontal="center" vertical="center"/>
    </xf>
    <xf numFmtId="3" fontId="5" fillId="3" borderId="7" xfId="0" applyNumberFormat="1" applyFont="1" applyFill="1" applyBorder="1" applyAlignment="1">
      <alignment horizontal="right" vertical="center"/>
    </xf>
    <xf numFmtId="190" fontId="3" fillId="6" borderId="7" xfId="0" applyNumberFormat="1" applyFont="1" applyFill="1" applyBorder="1" applyAlignment="1">
      <alignment horizontal="center" vertical="center"/>
    </xf>
    <xf numFmtId="0" fontId="3" fillId="3" borderId="0" xfId="0" quotePrefix="1" applyFont="1" applyFill="1" applyBorder="1" applyAlignment="1">
      <alignment horizontal="left" vertical="center"/>
    </xf>
    <xf numFmtId="0" fontId="2" fillId="0" borderId="0" xfId="0" applyFont="1" applyFill="1" applyAlignment="1">
      <alignment horizontal="right" vertical="top"/>
    </xf>
    <xf numFmtId="3" fontId="3" fillId="6" borderId="2" xfId="0" applyNumberFormat="1" applyFont="1" applyFill="1" applyBorder="1" applyAlignment="1">
      <alignment horizontal="center"/>
    </xf>
    <xf numFmtId="0" fontId="51" fillId="3" borderId="6" xfId="0" applyFont="1" applyFill="1" applyBorder="1" applyAlignment="1">
      <alignment horizontal="left"/>
    </xf>
    <xf numFmtId="3" fontId="5" fillId="6" borderId="6" xfId="0" applyNumberFormat="1" applyFont="1" applyFill="1" applyBorder="1" applyAlignment="1">
      <alignment horizontal="left"/>
    </xf>
    <xf numFmtId="190" fontId="5" fillId="3" borderId="6" xfId="0" applyNumberFormat="1" applyFont="1" applyFill="1" applyBorder="1" applyAlignment="1">
      <alignment horizontal="center"/>
    </xf>
    <xf numFmtId="0" fontId="3" fillId="3" borderId="7" xfId="0" applyFont="1" applyFill="1" applyBorder="1" applyAlignment="1">
      <alignment horizontal="center"/>
    </xf>
    <xf numFmtId="3" fontId="3" fillId="3" borderId="6" xfId="0" applyNumberFormat="1" applyFont="1" applyFill="1" applyBorder="1" applyAlignment="1">
      <alignment horizontal="center"/>
    </xf>
    <xf numFmtId="0" fontId="3" fillId="3" borderId="7" xfId="0" applyFont="1" applyFill="1" applyBorder="1" applyAlignment="1">
      <alignment horizontal="left" wrapText="1"/>
    </xf>
    <xf numFmtId="3" fontId="58" fillId="6" borderId="7" xfId="0" applyNumberFormat="1" applyFont="1" applyFill="1" applyBorder="1" applyAlignment="1">
      <alignment horizontal="center" wrapText="1"/>
    </xf>
    <xf numFmtId="190" fontId="58" fillId="3" borderId="6" xfId="0" applyNumberFormat="1" applyFont="1" applyFill="1" applyBorder="1" applyAlignment="1">
      <alignment horizontal="center" wrapText="1"/>
    </xf>
    <xf numFmtId="0" fontId="51" fillId="3" borderId="7" xfId="0" applyFont="1" applyFill="1" applyBorder="1" applyAlignment="1">
      <alignment horizontal="left"/>
    </xf>
    <xf numFmtId="0" fontId="3" fillId="3" borderId="7" xfId="0" applyFont="1" applyFill="1" applyBorder="1" applyAlignment="1">
      <alignment horizontal="center" wrapText="1"/>
    </xf>
    <xf numFmtId="0" fontId="51" fillId="3" borderId="7" xfId="0" applyFont="1" applyFill="1" applyBorder="1" applyAlignment="1">
      <alignment horizontal="left" wrapText="1"/>
    </xf>
    <xf numFmtId="0" fontId="4" fillId="0" borderId="0" xfId="0" applyFont="1" applyAlignment="1">
      <alignment wrapText="1"/>
    </xf>
    <xf numFmtId="0" fontId="5" fillId="3" borderId="7" xfId="0" applyFont="1" applyFill="1" applyBorder="1" applyAlignment="1">
      <alignment horizontal="center"/>
    </xf>
    <xf numFmtId="0" fontId="5" fillId="3" borderId="7" xfId="0" applyFont="1" applyFill="1" applyBorder="1" applyAlignment="1">
      <alignment horizontal="left"/>
    </xf>
    <xf numFmtId="3" fontId="5" fillId="3" borderId="6" xfId="0" applyNumberFormat="1" applyFont="1" applyFill="1" applyBorder="1" applyAlignment="1">
      <alignment horizontal="right"/>
    </xf>
    <xf numFmtId="0" fontId="5" fillId="3" borderId="7" xfId="0" applyFont="1" applyFill="1" applyBorder="1" applyAlignment="1">
      <alignment horizontal="left" vertical="center"/>
    </xf>
    <xf numFmtId="0" fontId="5" fillId="3" borderId="7" xfId="0" applyFont="1" applyFill="1" applyBorder="1" applyAlignment="1">
      <alignment horizontal="left" vertical="center" wrapText="1"/>
    </xf>
    <xf numFmtId="190" fontId="5" fillId="3" borderId="6" xfId="0" applyNumberFormat="1" applyFont="1" applyFill="1" applyBorder="1" applyAlignment="1">
      <alignment horizontal="center" vertical="center"/>
    </xf>
    <xf numFmtId="0" fontId="4" fillId="0" borderId="0" xfId="0" applyFont="1" applyFill="1" applyBorder="1"/>
    <xf numFmtId="0" fontId="51" fillId="3" borderId="6" xfId="0" applyFont="1" applyFill="1" applyBorder="1" applyAlignment="1">
      <alignment horizontal="left" wrapText="1"/>
    </xf>
    <xf numFmtId="0" fontId="44" fillId="3" borderId="7" xfId="0" applyFont="1" applyFill="1" applyBorder="1" applyAlignment="1">
      <alignment horizontal="center"/>
    </xf>
    <xf numFmtId="0" fontId="44" fillId="3" borderId="7" xfId="0" applyFont="1" applyFill="1" applyBorder="1" applyAlignment="1">
      <alignment horizontal="left"/>
    </xf>
    <xf numFmtId="190" fontId="3" fillId="3" borderId="6" xfId="0" applyNumberFormat="1" applyFont="1" applyFill="1" applyBorder="1" applyAlignment="1">
      <alignment horizontal="center"/>
    </xf>
    <xf numFmtId="3" fontId="3" fillId="6" borderId="7" xfId="0" applyNumberFormat="1" applyFont="1" applyFill="1" applyBorder="1" applyAlignment="1">
      <alignment horizontal="right" wrapText="1"/>
    </xf>
    <xf numFmtId="0" fontId="5" fillId="3" borderId="6" xfId="0" applyFont="1" applyFill="1" applyBorder="1" applyAlignment="1">
      <alignment horizontal="left"/>
    </xf>
    <xf numFmtId="0" fontId="44" fillId="3" borderId="7" xfId="0" applyFont="1" applyFill="1" applyBorder="1" applyAlignment="1">
      <alignment horizontal="center" wrapText="1"/>
    </xf>
    <xf numFmtId="190" fontId="5" fillId="3" borderId="4" xfId="0" applyNumberFormat="1" applyFont="1" applyFill="1" applyBorder="1" applyAlignment="1">
      <alignment horizontal="center" vertical="center"/>
    </xf>
    <xf numFmtId="3" fontId="44" fillId="6" borderId="4" xfId="0" applyNumberFormat="1" applyFont="1" applyFill="1" applyBorder="1" applyAlignment="1">
      <alignment horizontal="right"/>
    </xf>
    <xf numFmtId="0" fontId="44" fillId="3" borderId="7" xfId="0" applyFont="1" applyFill="1" applyBorder="1" applyAlignment="1">
      <alignment horizontal="left" vertical="center"/>
    </xf>
    <xf numFmtId="3" fontId="1" fillId="0" borderId="0" xfId="0" applyNumberFormat="1" applyFont="1" applyAlignment="1">
      <alignment horizontal="center"/>
    </xf>
    <xf numFmtId="3" fontId="3" fillId="3" borderId="2" xfId="0" applyNumberFormat="1" applyFont="1" applyFill="1" applyBorder="1" applyAlignment="1">
      <alignment horizontal="center"/>
    </xf>
    <xf numFmtId="0" fontId="3" fillId="3" borderId="7" xfId="0" applyFont="1" applyFill="1" applyBorder="1" applyAlignment="1">
      <alignment horizontal="left" vertical="center" wrapText="1"/>
    </xf>
    <xf numFmtId="190" fontId="3" fillId="3" borderId="4" xfId="0" applyNumberFormat="1" applyFont="1" applyFill="1" applyBorder="1" applyAlignment="1">
      <alignment horizontal="center" vertical="center"/>
    </xf>
    <xf numFmtId="189" fontId="3" fillId="3" borderId="7" xfId="0" applyNumberFormat="1" applyFont="1" applyFill="1" applyBorder="1" applyAlignment="1">
      <alignment horizontal="center" vertical="center"/>
    </xf>
    <xf numFmtId="189" fontId="3" fillId="3" borderId="0" xfId="0" applyNumberFormat="1" applyFont="1" applyFill="1" applyBorder="1" applyAlignment="1">
      <alignment horizontal="center" vertical="center"/>
    </xf>
    <xf numFmtId="3" fontId="4" fillId="0" borderId="8" xfId="0" applyNumberFormat="1" applyFont="1" applyBorder="1" applyAlignment="1">
      <alignment horizontal="center"/>
    </xf>
    <xf numFmtId="3" fontId="4" fillId="0" borderId="0" xfId="0" applyNumberFormat="1" applyFont="1" applyBorder="1" applyAlignment="1">
      <alignment horizontal="center"/>
    </xf>
    <xf numFmtId="3" fontId="4" fillId="0" borderId="0" xfId="0" applyNumberFormat="1" applyFont="1" applyAlignment="1">
      <alignment horizontal="center"/>
    </xf>
    <xf numFmtId="3" fontId="4" fillId="0" borderId="0" xfId="0" applyNumberFormat="1" applyFont="1" applyAlignment="1">
      <alignment vertical="center"/>
    </xf>
    <xf numFmtId="189" fontId="3" fillId="6" borderId="4" xfId="0" applyNumberFormat="1" applyFont="1" applyFill="1" applyBorder="1" applyAlignment="1">
      <alignment horizontal="right"/>
    </xf>
    <xf numFmtId="189" fontId="3" fillId="3" borderId="4" xfId="0" applyNumberFormat="1" applyFont="1" applyFill="1" applyBorder="1" applyAlignment="1">
      <alignment horizontal="right"/>
    </xf>
    <xf numFmtId="189" fontId="3" fillId="6" borderId="7" xfId="0" applyNumberFormat="1" applyFont="1" applyFill="1" applyBorder="1" applyAlignment="1">
      <alignment horizontal="right"/>
    </xf>
    <xf numFmtId="189" fontId="3" fillId="3" borderId="7" xfId="0" applyNumberFormat="1" applyFont="1" applyFill="1" applyBorder="1" applyAlignment="1">
      <alignment horizontal="right"/>
    </xf>
    <xf numFmtId="189" fontId="5" fillId="6" borderId="7" xfId="0" applyNumberFormat="1" applyFont="1" applyFill="1" applyBorder="1" applyAlignment="1">
      <alignment horizontal="right" vertical="center"/>
    </xf>
    <xf numFmtId="189" fontId="5" fillId="3" borderId="7" xfId="0" applyNumberFormat="1" applyFont="1" applyFill="1" applyBorder="1" applyAlignment="1">
      <alignment horizontal="right" vertical="center"/>
    </xf>
    <xf numFmtId="190" fontId="3" fillId="6" borderId="2" xfId="0" applyNumberFormat="1" applyFont="1" applyFill="1" applyBorder="1" applyAlignment="1">
      <alignment horizontal="center"/>
    </xf>
    <xf numFmtId="190" fontId="3" fillId="6" borderId="0" xfId="0" applyNumberFormat="1" applyFont="1" applyFill="1" applyBorder="1" applyAlignment="1">
      <alignment horizontal="center"/>
    </xf>
    <xf numFmtId="190" fontId="3" fillId="6" borderId="3" xfId="0" applyNumberFormat="1" applyFont="1" applyFill="1" applyBorder="1" applyAlignment="1">
      <alignment horizontal="center" vertical="top"/>
    </xf>
    <xf numFmtId="190" fontId="3" fillId="6" borderId="4" xfId="0" applyNumberFormat="1" applyFont="1" applyFill="1" applyBorder="1" applyAlignment="1">
      <alignment horizontal="center"/>
    </xf>
    <xf numFmtId="190" fontId="3" fillId="6" borderId="7" xfId="0" applyNumberFormat="1" applyFont="1" applyFill="1" applyBorder="1" applyAlignment="1">
      <alignment horizontal="center"/>
    </xf>
    <xf numFmtId="190" fontId="5" fillId="6" borderId="7" xfId="0" applyNumberFormat="1" applyFont="1" applyFill="1" applyBorder="1" applyAlignment="1">
      <alignment horizontal="center" vertical="center"/>
    </xf>
    <xf numFmtId="190" fontId="5" fillId="6" borderId="5" xfId="0" applyNumberFormat="1" applyFont="1" applyFill="1" applyBorder="1" applyAlignment="1">
      <alignment horizontal="center" vertical="center"/>
    </xf>
    <xf numFmtId="189" fontId="5" fillId="3" borderId="5" xfId="0" applyNumberFormat="1" applyFont="1" applyFill="1" applyBorder="1" applyAlignment="1">
      <alignment horizontal="right" vertical="center"/>
    </xf>
    <xf numFmtId="0" fontId="3" fillId="3" borderId="6" xfId="0" quotePrefix="1" applyFont="1" applyFill="1" applyBorder="1" applyAlignment="1">
      <alignment horizontal="left"/>
    </xf>
    <xf numFmtId="190" fontId="3" fillId="6" borderId="6" xfId="0" applyNumberFormat="1" applyFont="1" applyFill="1" applyBorder="1" applyAlignment="1">
      <alignment horizontal="right"/>
    </xf>
    <xf numFmtId="3" fontId="3" fillId="6" borderId="7" xfId="0" applyNumberFormat="1" applyFont="1" applyFill="1" applyBorder="1"/>
    <xf numFmtId="3" fontId="5" fillId="3" borderId="7" xfId="0" applyNumberFormat="1" applyFont="1" applyFill="1" applyBorder="1" applyAlignment="1">
      <alignment horizontal="right"/>
    </xf>
    <xf numFmtId="190" fontId="3" fillId="6" borderId="7" xfId="0" applyNumberFormat="1" applyFont="1" applyFill="1" applyBorder="1" applyAlignment="1">
      <alignment horizontal="right"/>
    </xf>
    <xf numFmtId="0" fontId="3" fillId="3" borderId="5" xfId="0" quotePrefix="1" applyFont="1" applyFill="1" applyBorder="1" applyAlignment="1">
      <alignment horizontal="left" vertical="center"/>
    </xf>
    <xf numFmtId="3" fontId="3" fillId="6" borderId="5" xfId="0" applyNumberFormat="1" applyFont="1" applyFill="1" applyBorder="1" applyAlignment="1">
      <alignment horizontal="right" vertical="center"/>
    </xf>
    <xf numFmtId="3" fontId="3" fillId="3" borderId="5" xfId="0" applyNumberFormat="1" applyFont="1" applyFill="1" applyBorder="1" applyAlignment="1">
      <alignment horizontal="right" vertical="center"/>
    </xf>
    <xf numFmtId="190" fontId="3" fillId="6" borderId="5" xfId="0" applyNumberFormat="1" applyFont="1" applyFill="1" applyBorder="1" applyAlignment="1">
      <alignment horizontal="right" vertical="center"/>
    </xf>
    <xf numFmtId="0" fontId="3" fillId="0" borderId="0" xfId="0" quotePrefix="1" applyFont="1" applyFill="1" applyBorder="1" applyAlignment="1">
      <alignment horizontal="left" vertical="center"/>
    </xf>
    <xf numFmtId="190" fontId="3" fillId="0" borderId="0" xfId="0" applyNumberFormat="1" applyFont="1" applyFill="1" applyBorder="1" applyAlignment="1">
      <alignment horizontal="right" vertical="center"/>
    </xf>
    <xf numFmtId="0" fontId="44" fillId="3" borderId="6" xfId="0" quotePrefix="1" applyFont="1" applyFill="1" applyBorder="1" applyAlignment="1">
      <alignment horizontal="left" vertical="center"/>
    </xf>
    <xf numFmtId="3" fontId="44" fillId="6" borderId="6" xfId="0" applyNumberFormat="1" applyFont="1" applyFill="1" applyBorder="1" applyAlignment="1">
      <alignment horizontal="right" vertical="center"/>
    </xf>
    <xf numFmtId="3" fontId="44" fillId="3" borderId="6" xfId="0" applyNumberFormat="1" applyFont="1" applyFill="1" applyBorder="1" applyAlignment="1">
      <alignment horizontal="right" vertical="center"/>
    </xf>
    <xf numFmtId="3" fontId="51" fillId="3" borderId="6" xfId="0" applyNumberFormat="1" applyFont="1" applyFill="1" applyBorder="1" applyAlignment="1">
      <alignment horizontal="right" vertical="center"/>
    </xf>
    <xf numFmtId="190" fontId="44" fillId="6" borderId="6" xfId="0" applyNumberFormat="1" applyFont="1" applyFill="1" applyBorder="1" applyAlignment="1">
      <alignment horizontal="right" vertical="center"/>
    </xf>
    <xf numFmtId="0" fontId="44" fillId="3" borderId="11" xfId="0" quotePrefix="1" applyFont="1" applyFill="1" applyBorder="1" applyAlignment="1">
      <alignment horizontal="left" vertical="center" wrapText="1"/>
    </xf>
    <xf numFmtId="3" fontId="44" fillId="6" borderId="11" xfId="0" applyNumberFormat="1" applyFont="1" applyFill="1" applyBorder="1" applyAlignment="1">
      <alignment horizontal="right" vertical="center"/>
    </xf>
    <xf numFmtId="3" fontId="44" fillId="3" borderId="11" xfId="0" applyNumberFormat="1" applyFont="1" applyFill="1" applyBorder="1" applyAlignment="1">
      <alignment horizontal="right" vertical="center"/>
    </xf>
    <xf numFmtId="3" fontId="51" fillId="3" borderId="11" xfId="0" applyNumberFormat="1" applyFont="1" applyFill="1" applyBorder="1" applyAlignment="1">
      <alignment horizontal="right" vertical="center"/>
    </xf>
    <xf numFmtId="190" fontId="44" fillId="6" borderId="11" xfId="0" applyNumberFormat="1" applyFont="1" applyFill="1" applyBorder="1" applyAlignment="1">
      <alignment horizontal="right" vertical="center"/>
    </xf>
    <xf numFmtId="0" fontId="4" fillId="8" borderId="0" xfId="0" applyFont="1" applyFill="1" applyBorder="1"/>
    <xf numFmtId="0" fontId="3" fillId="0" borderId="0" xfId="0" applyFont="1" applyFill="1" applyBorder="1" applyAlignment="1">
      <alignment horizontal="left"/>
    </xf>
    <xf numFmtId="3" fontId="44" fillId="3" borderId="6" xfId="0" quotePrefix="1" applyNumberFormat="1" applyFont="1" applyFill="1" applyBorder="1" applyAlignment="1">
      <alignment horizontal="right" vertical="center"/>
    </xf>
    <xf numFmtId="3" fontId="44" fillId="3" borderId="11" xfId="0" quotePrefix="1" applyNumberFormat="1" applyFont="1" applyFill="1" applyBorder="1" applyAlignment="1">
      <alignment horizontal="right" vertical="center"/>
    </xf>
    <xf numFmtId="0" fontId="0" fillId="0" borderId="3" xfId="0" applyBorder="1" applyAlignment="1"/>
    <xf numFmtId="3" fontId="5" fillId="3" borderId="0" xfId="0" applyNumberFormat="1" applyFont="1" applyFill="1" applyBorder="1" applyAlignment="1">
      <alignment horizontal="right"/>
    </xf>
    <xf numFmtId="3" fontId="5" fillId="3" borderId="3" xfId="0" applyNumberFormat="1" applyFont="1" applyFill="1" applyBorder="1" applyAlignment="1">
      <alignment horizontal="right" vertical="top"/>
    </xf>
    <xf numFmtId="3" fontId="5" fillId="0" borderId="8" xfId="0" applyNumberFormat="1" applyFont="1" applyBorder="1" applyAlignment="1">
      <alignment horizontal="right" vertical="top"/>
    </xf>
    <xf numFmtId="3" fontId="5" fillId="0" borderId="0" xfId="0" applyNumberFormat="1" applyFont="1" applyBorder="1" applyAlignment="1">
      <alignment horizontal="right" vertical="top"/>
    </xf>
    <xf numFmtId="0" fontId="31" fillId="7" borderId="0" xfId="0" applyFont="1" applyFill="1" applyAlignment="1">
      <alignment horizontal="left"/>
    </xf>
    <xf numFmtId="2" fontId="15" fillId="7" borderId="0" xfId="0" applyNumberFormat="1" applyFont="1" applyFill="1" applyAlignment="1">
      <alignment horizontal="center"/>
    </xf>
    <xf numFmtId="0" fontId="16" fillId="7" borderId="0" xfId="0" applyFont="1" applyFill="1" applyAlignment="1"/>
    <xf numFmtId="0" fontId="4" fillId="7" borderId="0" xfId="0" applyFont="1" applyFill="1"/>
    <xf numFmtId="0" fontId="4" fillId="0" borderId="0" xfId="0" applyFont="1" applyBorder="1" applyAlignment="1"/>
    <xf numFmtId="190" fontId="4" fillId="0" borderId="0" xfId="0" applyNumberFormat="1" applyFont="1"/>
    <xf numFmtId="0" fontId="2" fillId="0" borderId="0" xfId="0" applyFont="1" applyAlignment="1">
      <alignment vertical="center"/>
    </xf>
    <xf numFmtId="3" fontId="2" fillId="0" borderId="0" xfId="0" applyNumberFormat="1" applyFont="1" applyAlignment="1">
      <alignment horizontal="left" vertical="center"/>
    </xf>
    <xf numFmtId="0" fontId="2" fillId="8" borderId="0" xfId="0" applyFont="1" applyFill="1" applyAlignment="1">
      <alignment horizontal="right" vertical="top"/>
    </xf>
    <xf numFmtId="1" fontId="8" fillId="0" borderId="0" xfId="0" applyNumberFormat="1" applyFont="1"/>
    <xf numFmtId="0" fontId="2" fillId="8" borderId="0" xfId="0" applyFont="1" applyFill="1" applyAlignment="1">
      <alignment vertical="center"/>
    </xf>
    <xf numFmtId="14" fontId="60" fillId="5" borderId="0" xfId="0" applyNumberFormat="1" applyFont="1" applyFill="1"/>
    <xf numFmtId="0" fontId="47" fillId="0" borderId="0" xfId="0" applyFont="1" applyBorder="1"/>
    <xf numFmtId="3" fontId="61" fillId="6" borderId="6" xfId="0" applyNumberFormat="1" applyFont="1" applyFill="1" applyBorder="1"/>
    <xf numFmtId="3" fontId="61" fillId="3" borderId="6" xfId="0" applyNumberFormat="1" applyFont="1" applyFill="1" applyBorder="1"/>
    <xf numFmtId="190" fontId="61" fillId="6" borderId="6" xfId="0" applyNumberFormat="1" applyFont="1" applyFill="1" applyBorder="1" applyAlignment="1">
      <alignment horizontal="center"/>
    </xf>
    <xf numFmtId="3" fontId="45" fillId="6" borderId="6" xfId="0" applyNumberFormat="1" applyFont="1" applyFill="1" applyBorder="1" applyAlignment="1">
      <alignment vertical="center"/>
    </xf>
    <xf numFmtId="3" fontId="45" fillId="3" borderId="6" xfId="0" applyNumberFormat="1" applyFont="1" applyFill="1" applyBorder="1" applyAlignment="1">
      <alignment vertical="center"/>
    </xf>
    <xf numFmtId="190" fontId="45" fillId="6" borderId="6" xfId="0" applyNumberFormat="1" applyFont="1" applyFill="1" applyBorder="1" applyAlignment="1">
      <alignment horizontal="center" vertical="center"/>
    </xf>
    <xf numFmtId="0" fontId="61" fillId="3" borderId="4" xfId="0" applyFont="1" applyFill="1" applyBorder="1" applyAlignment="1">
      <alignment horizontal="left" vertical="center"/>
    </xf>
    <xf numFmtId="0" fontId="61" fillId="3" borderId="7" xfId="0" applyFont="1" applyFill="1" applyBorder="1" applyAlignment="1">
      <alignment horizontal="left" vertical="center"/>
    </xf>
    <xf numFmtId="0" fontId="1" fillId="0" borderId="0" xfId="0" applyNumberFormat="1" applyFont="1" applyAlignment="1">
      <alignment horizontal="center"/>
    </xf>
    <xf numFmtId="0" fontId="2" fillId="0" borderId="0" xfId="0" applyNumberFormat="1" applyFont="1" applyAlignment="1">
      <alignment horizontal="right"/>
    </xf>
    <xf numFmtId="0" fontId="1" fillId="0" borderId="3" xfId="0" applyNumberFormat="1" applyFont="1" applyBorder="1" applyAlignment="1">
      <alignment horizontal="center"/>
    </xf>
    <xf numFmtId="0" fontId="1" fillId="0" borderId="3" xfId="0" applyFont="1" applyBorder="1"/>
    <xf numFmtId="0" fontId="18" fillId="6" borderId="0" xfId="0" applyFont="1" applyFill="1" applyBorder="1" applyAlignment="1">
      <alignment horizontal="center"/>
    </xf>
    <xf numFmtId="0" fontId="4" fillId="6" borderId="0" xfId="0" applyFont="1" applyFill="1" applyBorder="1" applyAlignment="1">
      <alignment horizontal="right"/>
    </xf>
    <xf numFmtId="0" fontId="4" fillId="3" borderId="3" xfId="0" applyFont="1" applyFill="1" applyBorder="1" applyAlignment="1">
      <alignment horizontal="center" vertical="center"/>
    </xf>
    <xf numFmtId="0" fontId="4" fillId="6" borderId="3" xfId="0" applyFont="1" applyFill="1" applyBorder="1" applyAlignment="1">
      <alignment horizontal="right" vertical="center"/>
    </xf>
    <xf numFmtId="0" fontId="4" fillId="3" borderId="3" xfId="0" applyFont="1" applyFill="1" applyBorder="1" applyAlignment="1">
      <alignment horizontal="right" vertical="center"/>
    </xf>
    <xf numFmtId="3" fontId="4" fillId="3" borderId="3" xfId="0" applyNumberFormat="1" applyFont="1" applyFill="1" applyBorder="1" applyAlignment="1">
      <alignment horizontal="right" vertical="center"/>
    </xf>
    <xf numFmtId="3" fontId="4" fillId="6" borderId="3" xfId="0" applyNumberFormat="1" applyFont="1" applyFill="1" applyBorder="1" applyAlignment="1">
      <alignment horizontal="right" vertical="center"/>
    </xf>
    <xf numFmtId="3" fontId="4" fillId="6" borderId="4" xfId="0" applyNumberFormat="1" applyFont="1" applyFill="1" applyBorder="1" applyAlignment="1">
      <alignment vertical="center"/>
    </xf>
    <xf numFmtId="3" fontId="4" fillId="3" borderId="4" xfId="0" applyNumberFormat="1" applyFont="1" applyFill="1" applyBorder="1" applyAlignment="1">
      <alignment horizontal="right" vertical="center"/>
    </xf>
    <xf numFmtId="3" fontId="4" fillId="3" borderId="4" xfId="0" applyNumberFormat="1" applyFont="1" applyFill="1" applyBorder="1" applyAlignment="1">
      <alignment vertical="center"/>
    </xf>
    <xf numFmtId="190" fontId="4" fillId="6" borderId="4" xfId="0" applyNumberFormat="1" applyFont="1" applyFill="1" applyBorder="1" applyAlignment="1">
      <alignment horizontal="right" vertical="center"/>
    </xf>
    <xf numFmtId="189" fontId="4" fillId="3" borderId="4" xfId="0" applyNumberFormat="1" applyFont="1" applyFill="1" applyBorder="1" applyAlignment="1">
      <alignment horizontal="right" vertical="center"/>
    </xf>
    <xf numFmtId="189" fontId="4" fillId="3" borderId="7" xfId="0" applyNumberFormat="1" applyFont="1" applyFill="1" applyBorder="1" applyAlignment="1">
      <alignment horizontal="right" vertical="center"/>
    </xf>
    <xf numFmtId="189" fontId="4" fillId="3" borderId="12" xfId="0" applyNumberFormat="1" applyFont="1" applyFill="1" applyBorder="1" applyAlignment="1">
      <alignment horizontal="right" vertical="center"/>
    </xf>
    <xf numFmtId="1" fontId="38" fillId="3" borderId="5" xfId="0" applyNumberFormat="1" applyFont="1" applyFill="1" applyBorder="1" applyAlignment="1">
      <alignment horizontal="left" vertical="center"/>
    </xf>
    <xf numFmtId="1" fontId="8" fillId="3" borderId="5" xfId="0" applyNumberFormat="1" applyFont="1" applyFill="1" applyBorder="1" applyAlignment="1">
      <alignment horizontal="left" vertical="center"/>
    </xf>
    <xf numFmtId="3" fontId="8" fillId="6" borderId="5" xfId="0" applyNumberFormat="1" applyFont="1" applyFill="1" applyBorder="1" applyAlignment="1">
      <alignment vertical="center"/>
    </xf>
    <xf numFmtId="3" fontId="8" fillId="3" borderId="5" xfId="0" applyNumberFormat="1" applyFont="1" applyFill="1" applyBorder="1" applyAlignment="1">
      <alignment horizontal="right" vertical="center"/>
    </xf>
    <xf numFmtId="3" fontId="8" fillId="3" borderId="5" xfId="0" quotePrefix="1" applyNumberFormat="1" applyFont="1" applyFill="1" applyBorder="1" applyAlignment="1">
      <alignment horizontal="right" vertical="center"/>
    </xf>
    <xf numFmtId="3" fontId="8" fillId="3" borderId="5" xfId="0" applyNumberFormat="1" applyFont="1" applyFill="1" applyBorder="1" applyAlignment="1">
      <alignment vertical="center"/>
    </xf>
    <xf numFmtId="190" fontId="8" fillId="6" borderId="5" xfId="0" applyNumberFormat="1" applyFont="1" applyFill="1" applyBorder="1" applyAlignment="1">
      <alignment horizontal="right" vertical="center"/>
    </xf>
    <xf numFmtId="189" fontId="8" fillId="3" borderId="5" xfId="0" applyNumberFormat="1" applyFont="1" applyFill="1" applyBorder="1" applyAlignment="1">
      <alignment horizontal="right" vertical="center"/>
    </xf>
    <xf numFmtId="3" fontId="4" fillId="0" borderId="7" xfId="0" applyNumberFormat="1" applyFont="1" applyFill="1" applyBorder="1" applyAlignment="1"/>
    <xf numFmtId="189" fontId="4" fillId="0" borderId="7" xfId="0" applyNumberFormat="1" applyFont="1" applyFill="1" applyBorder="1" applyAlignment="1">
      <alignment horizontal="right"/>
    </xf>
    <xf numFmtId="190" fontId="4" fillId="0" borderId="7" xfId="0" applyNumberFormat="1" applyFont="1" applyFill="1" applyBorder="1" applyAlignment="1">
      <alignment horizontal="right"/>
    </xf>
    <xf numFmtId="3" fontId="4" fillId="0" borderId="7" xfId="0" applyNumberFormat="1" applyFont="1" applyFill="1" applyBorder="1" applyAlignment="1">
      <alignment horizontal="left"/>
    </xf>
    <xf numFmtId="190" fontId="4" fillId="0" borderId="7" xfId="0" applyNumberFormat="1" applyFont="1" applyFill="1" applyBorder="1" applyAlignment="1"/>
    <xf numFmtId="3" fontId="4" fillId="0" borderId="7" xfId="0" applyNumberFormat="1" applyFont="1" applyFill="1" applyBorder="1" applyAlignment="1">
      <alignment horizontal="right"/>
    </xf>
    <xf numFmtId="0" fontId="4" fillId="0" borderId="0" xfId="0" applyNumberFormat="1" applyFont="1" applyAlignment="1">
      <alignment horizontal="center"/>
    </xf>
    <xf numFmtId="0" fontId="0" fillId="0" borderId="0" xfId="0" applyAlignment="1">
      <alignment vertical="top"/>
    </xf>
    <xf numFmtId="0" fontId="22" fillId="0" borderId="0" xfId="0" applyFont="1" applyAlignment="1">
      <alignment vertical="top"/>
    </xf>
    <xf numFmtId="0" fontId="63" fillId="0" borderId="0" xfId="0" applyFont="1" applyAlignment="1"/>
    <xf numFmtId="0" fontId="64" fillId="0" borderId="0" xfId="0" applyFont="1" applyAlignment="1"/>
    <xf numFmtId="0" fontId="65" fillId="0" borderId="0" xfId="0" applyFont="1" applyFill="1" applyAlignment="1">
      <alignment horizontal="left"/>
    </xf>
    <xf numFmtId="0" fontId="65" fillId="0" borderId="0" xfId="0" applyFont="1" applyAlignment="1"/>
    <xf numFmtId="0" fontId="0" fillId="0" borderId="0" xfId="0" applyAlignment="1"/>
    <xf numFmtId="0" fontId="4" fillId="0" borderId="13" xfId="0" applyFont="1" applyBorder="1" applyAlignment="1">
      <alignment horizontal="center" vertical="top" wrapText="1"/>
    </xf>
    <xf numFmtId="0" fontId="65" fillId="0" borderId="14" xfId="0" applyFont="1" applyBorder="1" applyAlignment="1">
      <alignment horizontal="justify" vertical="top" wrapText="1"/>
    </xf>
    <xf numFmtId="0" fontId="65" fillId="0" borderId="13" xfId="0" applyFont="1" applyBorder="1" applyAlignment="1">
      <alignment horizontal="justify" vertical="top" wrapText="1"/>
    </xf>
    <xf numFmtId="0" fontId="66" fillId="0" borderId="15" xfId="0" applyFont="1" applyBorder="1" applyAlignment="1">
      <alignment horizontal="center" vertical="top" wrapText="1"/>
    </xf>
    <xf numFmtId="9" fontId="66" fillId="0" borderId="16" xfId="0" applyNumberFormat="1" applyFont="1" applyBorder="1" applyAlignment="1">
      <alignment horizontal="justify" vertical="top" wrapText="1"/>
    </xf>
    <xf numFmtId="0" fontId="4" fillId="0" borderId="13" xfId="0" applyFont="1" applyBorder="1" applyAlignment="1">
      <alignment horizontal="right" vertical="top" wrapText="1"/>
    </xf>
    <xf numFmtId="0" fontId="26" fillId="0" borderId="13" xfId="0" applyFont="1" applyBorder="1" applyAlignment="1">
      <alignment horizontal="center" vertical="top" wrapText="1"/>
    </xf>
    <xf numFmtId="0" fontId="26" fillId="0" borderId="13" xfId="0" applyFont="1" applyBorder="1" applyAlignment="1">
      <alignment horizontal="right" vertical="top" wrapText="1"/>
    </xf>
    <xf numFmtId="9" fontId="26" fillId="0" borderId="13" xfId="0" applyNumberFormat="1" applyFont="1" applyBorder="1" applyAlignment="1">
      <alignment horizontal="right" vertical="top" wrapText="1"/>
    </xf>
    <xf numFmtId="0" fontId="26" fillId="0" borderId="13" xfId="0" applyFont="1" applyFill="1" applyBorder="1" applyAlignment="1">
      <alignment horizontal="center" vertical="top" wrapText="1"/>
    </xf>
    <xf numFmtId="0" fontId="26" fillId="0" borderId="13" xfId="0" applyFont="1" applyFill="1" applyBorder="1" applyAlignment="1">
      <alignment horizontal="right" vertical="top" wrapText="1"/>
    </xf>
    <xf numFmtId="9" fontId="26" fillId="0" borderId="13" xfId="0" applyNumberFormat="1" applyFont="1" applyFill="1" applyBorder="1" applyAlignment="1">
      <alignment horizontal="right" vertical="top" wrapText="1"/>
    </xf>
    <xf numFmtId="0" fontId="8" fillId="0" borderId="13" xfId="0" applyFont="1" applyFill="1" applyBorder="1" applyAlignment="1">
      <alignment horizontal="center" vertical="top" wrapText="1"/>
    </xf>
    <xf numFmtId="0" fontId="8" fillId="0" borderId="13" xfId="0" applyFont="1" applyFill="1" applyBorder="1" applyAlignment="1">
      <alignment horizontal="right" vertical="top" wrapText="1"/>
    </xf>
    <xf numFmtId="9" fontId="8" fillId="0" borderId="13" xfId="0" applyNumberFormat="1" applyFont="1" applyFill="1" applyBorder="1" applyAlignment="1">
      <alignment horizontal="right" vertical="top" wrapText="1"/>
    </xf>
    <xf numFmtId="0" fontId="65" fillId="0" borderId="0" xfId="0" applyFont="1"/>
    <xf numFmtId="0" fontId="64" fillId="0" borderId="0" xfId="0" applyFont="1"/>
    <xf numFmtId="0" fontId="65" fillId="0" borderId="0" xfId="0" applyNumberFormat="1" applyFont="1" applyAlignment="1"/>
    <xf numFmtId="0" fontId="4" fillId="0" borderId="0" xfId="0" applyFont="1" applyAlignment="1"/>
    <xf numFmtId="1" fontId="58" fillId="0" borderId="0" xfId="0" applyNumberFormat="1" applyFont="1" applyFill="1" applyBorder="1" applyAlignment="1"/>
    <xf numFmtId="0" fontId="8" fillId="0" borderId="0" xfId="0" applyFont="1" applyFill="1" applyBorder="1" applyAlignment="1">
      <alignment horizontal="center"/>
    </xf>
    <xf numFmtId="0" fontId="18" fillId="0" borderId="0" xfId="0" applyFont="1" applyFill="1" applyBorder="1"/>
    <xf numFmtId="0" fontId="8" fillId="0" borderId="0" xfId="0" quotePrefix="1" applyFont="1" applyFill="1" applyBorder="1" applyAlignment="1">
      <alignment horizontal="center"/>
    </xf>
    <xf numFmtId="0" fontId="18" fillId="0" borderId="0" xfId="0" quotePrefix="1" applyFont="1" applyFill="1" applyBorder="1"/>
    <xf numFmtId="16" fontId="8" fillId="0" borderId="0" xfId="0" quotePrefix="1" applyNumberFormat="1" applyFont="1" applyFill="1" applyBorder="1" applyAlignment="1">
      <alignment horizontal="center"/>
    </xf>
    <xf numFmtId="0" fontId="8" fillId="0" borderId="0" xfId="0" applyFont="1" applyBorder="1" applyAlignment="1">
      <alignment horizontal="center"/>
    </xf>
    <xf numFmtId="0" fontId="18" fillId="0" borderId="0" xfId="0" applyFont="1" applyBorder="1"/>
    <xf numFmtId="18" fontId="8" fillId="0" borderId="0" xfId="0" quotePrefix="1" applyNumberFormat="1" applyFont="1" applyFill="1" applyBorder="1" applyAlignment="1">
      <alignment horizontal="center"/>
    </xf>
    <xf numFmtId="1" fontId="4" fillId="0" borderId="0" xfId="0" applyNumberFormat="1" applyFont="1" applyBorder="1" applyAlignment="1">
      <alignment horizontal="left"/>
    </xf>
    <xf numFmtId="0" fontId="4" fillId="0" borderId="0" xfId="0" applyFont="1" applyBorder="1" applyAlignment="1">
      <alignment horizontal="left"/>
    </xf>
    <xf numFmtId="0" fontId="2" fillId="0" borderId="0" xfId="0" applyFont="1" applyBorder="1" applyAlignment="1">
      <alignment vertical="top" wrapText="1"/>
    </xf>
    <xf numFmtId="0" fontId="0" fillId="0" borderId="0" xfId="0" applyAlignment="1">
      <alignment wrapText="1"/>
    </xf>
    <xf numFmtId="190" fontId="3" fillId="6" borderId="4" xfId="0" applyNumberFormat="1" applyFont="1" applyFill="1" applyBorder="1" applyAlignment="1">
      <alignment horizontal="right"/>
    </xf>
    <xf numFmtId="190" fontId="5" fillId="6" borderId="7" xfId="0" applyNumberFormat="1" applyFont="1" applyFill="1" applyBorder="1" applyAlignment="1">
      <alignment horizontal="right" vertical="center"/>
    </xf>
    <xf numFmtId="3" fontId="3" fillId="3" borderId="7" xfId="0" applyNumberFormat="1" applyFont="1" applyFill="1" applyBorder="1"/>
    <xf numFmtId="0" fontId="0" fillId="0" borderId="0" xfId="0" applyBorder="1"/>
    <xf numFmtId="3" fontId="4" fillId="0" borderId="0" xfId="0" applyNumberFormat="1" applyFont="1" applyFill="1" applyBorder="1" applyAlignment="1">
      <alignment horizontal="right"/>
    </xf>
    <xf numFmtId="190" fontId="3" fillId="6" borderId="6" xfId="0" applyNumberFormat="1" applyFont="1" applyFill="1" applyBorder="1" applyAlignment="1">
      <alignment horizontal="center"/>
    </xf>
    <xf numFmtId="190" fontId="5" fillId="6" borderId="6" xfId="0" applyNumberFormat="1" applyFont="1" applyFill="1" applyBorder="1" applyAlignment="1">
      <alignment horizontal="center" vertical="center"/>
    </xf>
    <xf numFmtId="0" fontId="4" fillId="0" borderId="0" xfId="0" applyFont="1" applyFill="1" applyBorder="1" applyAlignment="1">
      <alignment vertical="top"/>
    </xf>
    <xf numFmtId="189" fontId="47" fillId="3" borderId="4" xfId="0" applyNumberFormat="1" applyFont="1" applyFill="1" applyBorder="1" applyAlignment="1">
      <alignment horizontal="right" vertical="center"/>
    </xf>
    <xf numFmtId="189" fontId="47" fillId="3" borderId="7" xfId="0" applyNumberFormat="1" applyFont="1" applyFill="1" applyBorder="1" applyAlignment="1">
      <alignment horizontal="right" vertical="center"/>
    </xf>
    <xf numFmtId="189" fontId="47" fillId="3" borderId="12" xfId="0" applyNumberFormat="1" applyFont="1" applyFill="1" applyBorder="1" applyAlignment="1">
      <alignment horizontal="right" vertical="center"/>
    </xf>
    <xf numFmtId="190" fontId="1" fillId="0" borderId="0" xfId="0" applyNumberFormat="1" applyFont="1"/>
    <xf numFmtId="190" fontId="3" fillId="6" borderId="2" xfId="0" applyNumberFormat="1" applyFont="1" applyFill="1" applyBorder="1" applyAlignment="1">
      <alignment horizontal="right"/>
    </xf>
    <xf numFmtId="190" fontId="3" fillId="6" borderId="0" xfId="0" applyNumberFormat="1" applyFont="1" applyFill="1" applyBorder="1" applyAlignment="1">
      <alignment horizontal="right"/>
    </xf>
    <xf numFmtId="190" fontId="3" fillId="6" borderId="3" xfId="0" applyNumberFormat="1" applyFont="1" applyFill="1" applyBorder="1" applyAlignment="1">
      <alignment horizontal="right" vertical="top"/>
    </xf>
    <xf numFmtId="190" fontId="3" fillId="6" borderId="6" xfId="0" applyNumberFormat="1" applyFont="1" applyFill="1" applyBorder="1"/>
    <xf numFmtId="190" fontId="3" fillId="6" borderId="7" xfId="0" applyNumberFormat="1" applyFont="1" applyFill="1" applyBorder="1"/>
    <xf numFmtId="3" fontId="3" fillId="6" borderId="7" xfId="0" applyNumberFormat="1" applyFont="1" applyFill="1" applyBorder="1" applyAlignment="1">
      <alignment vertical="center"/>
    </xf>
    <xf numFmtId="190" fontId="3" fillId="6" borderId="7" xfId="0" applyNumberFormat="1" applyFont="1" applyFill="1" applyBorder="1" applyAlignment="1">
      <alignment vertical="center"/>
    </xf>
    <xf numFmtId="190" fontId="3" fillId="6" borderId="7" xfId="0" applyNumberFormat="1" applyFont="1" applyFill="1" applyBorder="1" applyAlignment="1">
      <alignment horizontal="right" vertical="center"/>
    </xf>
    <xf numFmtId="0" fontId="5" fillId="3" borderId="5" xfId="0" applyFont="1" applyFill="1" applyBorder="1" applyAlignment="1">
      <alignment horizontal="left" vertical="center"/>
    </xf>
    <xf numFmtId="3" fontId="5" fillId="3" borderId="5" xfId="0" applyNumberFormat="1" applyFont="1" applyFill="1" applyBorder="1" applyAlignment="1">
      <alignment vertical="center"/>
    </xf>
    <xf numFmtId="190" fontId="5" fillId="6" borderId="5" xfId="0" applyNumberFormat="1" applyFont="1" applyFill="1" applyBorder="1" applyAlignment="1">
      <alignment horizontal="right" vertical="center"/>
    </xf>
    <xf numFmtId="0" fontId="3" fillId="6" borderId="3" xfId="0" applyFont="1" applyFill="1" applyBorder="1" applyAlignment="1">
      <alignment horizontal="right"/>
    </xf>
    <xf numFmtId="0" fontId="3" fillId="3" borderId="3" xfId="0" applyFont="1" applyFill="1" applyBorder="1" applyAlignment="1">
      <alignment horizontal="right"/>
    </xf>
    <xf numFmtId="0" fontId="3" fillId="3" borderId="4" xfId="0" applyFont="1" applyFill="1" applyBorder="1" applyAlignment="1">
      <alignment vertical="top" wrapText="1"/>
    </xf>
    <xf numFmtId="190" fontId="3" fillId="6" borderId="4" xfId="0" applyNumberFormat="1" applyFont="1" applyFill="1" applyBorder="1"/>
    <xf numFmtId="190" fontId="3" fillId="3" borderId="4" xfId="0" applyNumberFormat="1" applyFont="1" applyFill="1" applyBorder="1"/>
    <xf numFmtId="0" fontId="44" fillId="3" borderId="4" xfId="0" applyFont="1" applyFill="1" applyBorder="1" applyAlignment="1">
      <alignment vertical="top" wrapText="1"/>
    </xf>
    <xf numFmtId="3" fontId="44" fillId="3" borderId="4" xfId="0" applyNumberFormat="1" applyFont="1" applyFill="1" applyBorder="1" applyAlignment="1">
      <alignment horizontal="right"/>
    </xf>
    <xf numFmtId="3" fontId="44" fillId="3" borderId="4" xfId="0" applyNumberFormat="1" applyFont="1" applyFill="1" applyBorder="1"/>
    <xf numFmtId="190" fontId="44" fillId="6" borderId="4" xfId="0" applyNumberFormat="1" applyFont="1" applyFill="1" applyBorder="1"/>
    <xf numFmtId="190" fontId="44" fillId="3" borderId="4" xfId="0" applyNumberFormat="1" applyFont="1" applyFill="1" applyBorder="1" applyAlignment="1">
      <alignment horizontal="right"/>
    </xf>
    <xf numFmtId="0" fontId="5" fillId="3" borderId="0" xfId="0" applyFont="1" applyFill="1" applyBorder="1" applyAlignment="1">
      <alignment vertical="center"/>
    </xf>
    <xf numFmtId="3" fontId="5" fillId="6" borderId="0" xfId="0" applyNumberFormat="1" applyFont="1" applyFill="1" applyBorder="1" applyAlignment="1">
      <alignment vertical="center"/>
    </xf>
    <xf numFmtId="3" fontId="5" fillId="3" borderId="0" xfId="0" applyNumberFormat="1" applyFont="1" applyFill="1" applyBorder="1" applyAlignment="1">
      <alignment vertical="center"/>
    </xf>
    <xf numFmtId="190" fontId="5" fillId="6" borderId="4" xfId="0" applyNumberFormat="1" applyFont="1" applyFill="1" applyBorder="1" applyAlignment="1">
      <alignment vertical="center"/>
    </xf>
    <xf numFmtId="190" fontId="5" fillId="3" borderId="4" xfId="0" applyNumberFormat="1" applyFont="1" applyFill="1" applyBorder="1" applyAlignment="1">
      <alignment vertical="center"/>
    </xf>
    <xf numFmtId="190" fontId="5" fillId="6" borderId="0" xfId="0" applyNumberFormat="1" applyFont="1" applyFill="1" applyBorder="1" applyAlignment="1">
      <alignment horizontal="right" vertical="center"/>
    </xf>
    <xf numFmtId="190" fontId="5" fillId="3" borderId="0" xfId="0" applyNumberFormat="1" applyFont="1" applyFill="1" applyBorder="1" applyAlignment="1">
      <alignment horizontal="right" vertical="center"/>
    </xf>
    <xf numFmtId="0" fontId="3" fillId="9" borderId="2" xfId="0" applyFont="1" applyFill="1" applyBorder="1" applyAlignment="1">
      <alignment horizontal="left"/>
    </xf>
    <xf numFmtId="0" fontId="3" fillId="10" borderId="2" xfId="0" applyFont="1" applyFill="1" applyBorder="1" applyAlignment="1">
      <alignment horizontal="right"/>
    </xf>
    <xf numFmtId="0" fontId="3" fillId="9" borderId="2" xfId="0" applyFont="1" applyFill="1" applyBorder="1" applyAlignment="1">
      <alignment horizontal="right"/>
    </xf>
    <xf numFmtId="0" fontId="4" fillId="0" borderId="0" xfId="0" applyFont="1" applyFill="1" applyBorder="1" applyAlignment="1">
      <alignment horizontal="center"/>
    </xf>
    <xf numFmtId="0" fontId="3" fillId="9" borderId="0" xfId="0" applyFont="1" applyFill="1" applyBorder="1" applyAlignment="1">
      <alignment horizontal="left"/>
    </xf>
    <xf numFmtId="0" fontId="3" fillId="10" borderId="0" xfId="0" applyFont="1" applyFill="1" applyBorder="1" applyAlignment="1">
      <alignment horizontal="right"/>
    </xf>
    <xf numFmtId="3" fontId="3" fillId="9" borderId="0" xfId="0" applyNumberFormat="1" applyFont="1" applyFill="1" applyBorder="1" applyAlignment="1">
      <alignment horizontal="right"/>
    </xf>
    <xf numFmtId="0" fontId="3" fillId="6" borderId="0" xfId="0" quotePrefix="1" applyFont="1" applyFill="1" applyBorder="1" applyAlignment="1">
      <alignment horizontal="right"/>
    </xf>
    <xf numFmtId="0" fontId="4" fillId="9" borderId="0" xfId="0" applyFont="1" applyFill="1" applyBorder="1" applyAlignment="1">
      <alignment horizontal="right"/>
    </xf>
    <xf numFmtId="0" fontId="3" fillId="9" borderId="0" xfId="0" applyFont="1" applyFill="1" applyBorder="1" applyAlignment="1">
      <alignment horizontal="right"/>
    </xf>
    <xf numFmtId="0" fontId="3" fillId="9" borderId="3" xfId="0" applyFont="1" applyFill="1" applyBorder="1" applyAlignment="1">
      <alignment horizontal="left" vertical="top"/>
    </xf>
    <xf numFmtId="0" fontId="3" fillId="10" borderId="3" xfId="0" applyFont="1" applyFill="1" applyBorder="1" applyAlignment="1">
      <alignment horizontal="right" vertical="top"/>
    </xf>
    <xf numFmtId="0" fontId="3" fillId="9" borderId="3" xfId="0" applyFont="1" applyFill="1" applyBorder="1" applyAlignment="1">
      <alignment horizontal="right" vertical="top"/>
    </xf>
    <xf numFmtId="0" fontId="18" fillId="0" borderId="0" xfId="0" applyFont="1" applyFill="1" applyBorder="1" applyAlignment="1">
      <alignment horizontal="center"/>
    </xf>
    <xf numFmtId="0" fontId="3" fillId="9" borderId="4" xfId="0" quotePrefix="1" applyFont="1" applyFill="1" applyBorder="1" applyAlignment="1">
      <alignment horizontal="left"/>
    </xf>
    <xf numFmtId="190" fontId="3" fillId="10" borderId="4" xfId="0" applyNumberFormat="1" applyFont="1" applyFill="1" applyBorder="1" applyAlignment="1">
      <alignment horizontal="right"/>
    </xf>
    <xf numFmtId="190" fontId="3" fillId="9" borderId="4" xfId="0" quotePrefix="1" applyNumberFormat="1" applyFont="1" applyFill="1" applyBorder="1" applyAlignment="1">
      <alignment horizontal="right"/>
    </xf>
    <xf numFmtId="3" fontId="3" fillId="9" borderId="4" xfId="0" quotePrefix="1" applyNumberFormat="1" applyFont="1" applyFill="1" applyBorder="1" applyAlignment="1">
      <alignment horizontal="right"/>
    </xf>
    <xf numFmtId="0" fontId="3" fillId="9" borderId="7" xfId="0" quotePrefix="1" applyFont="1" applyFill="1" applyBorder="1" applyAlignment="1">
      <alignment horizontal="left"/>
    </xf>
    <xf numFmtId="190" fontId="3" fillId="10" borderId="7" xfId="0" applyNumberFormat="1" applyFont="1" applyFill="1" applyBorder="1" applyAlignment="1">
      <alignment horizontal="right"/>
    </xf>
    <xf numFmtId="190" fontId="3" fillId="9" borderId="7" xfId="0" quotePrefix="1" applyNumberFormat="1" applyFont="1" applyFill="1" applyBorder="1" applyAlignment="1">
      <alignment horizontal="right"/>
    </xf>
    <xf numFmtId="3" fontId="3" fillId="9" borderId="7" xfId="0" quotePrefix="1" applyNumberFormat="1" applyFont="1" applyFill="1" applyBorder="1" applyAlignment="1">
      <alignment horizontal="right"/>
    </xf>
    <xf numFmtId="0" fontId="5" fillId="9" borderId="0" xfId="0" quotePrefix="1" applyFont="1" applyFill="1" applyBorder="1" applyAlignment="1">
      <alignment horizontal="left" vertical="center"/>
    </xf>
    <xf numFmtId="190" fontId="5" fillId="10" borderId="0" xfId="0" applyNumberFormat="1" applyFont="1" applyFill="1" applyBorder="1" applyAlignment="1">
      <alignment horizontal="right" vertical="center"/>
    </xf>
    <xf numFmtId="190" fontId="5" fillId="9" borderId="0" xfId="0" quotePrefix="1" applyNumberFormat="1" applyFont="1" applyFill="1" applyBorder="1" applyAlignment="1">
      <alignment horizontal="right" vertical="center"/>
    </xf>
    <xf numFmtId="3" fontId="5" fillId="9" borderId="7" xfId="0" quotePrefix="1" applyNumberFormat="1" applyFont="1" applyFill="1" applyBorder="1" applyAlignment="1">
      <alignment horizontal="right" vertical="center"/>
    </xf>
    <xf numFmtId="0" fontId="22" fillId="0" borderId="3" xfId="0" applyFont="1" applyBorder="1" applyAlignment="1"/>
    <xf numFmtId="0" fontId="0" fillId="0" borderId="0" xfId="0" applyBorder="1" applyAlignment="1">
      <alignment wrapText="1"/>
    </xf>
    <xf numFmtId="190" fontId="3" fillId="3" borderId="2" xfId="0" applyNumberFormat="1" applyFont="1" applyFill="1" applyBorder="1" applyAlignment="1">
      <alignment horizontal="right"/>
    </xf>
    <xf numFmtId="190" fontId="3" fillId="3" borderId="0" xfId="0" applyNumberFormat="1" applyFont="1" applyFill="1" applyBorder="1" applyAlignment="1">
      <alignment horizontal="right"/>
    </xf>
    <xf numFmtId="190" fontId="3" fillId="3" borderId="3" xfId="0" applyNumberFormat="1" applyFont="1" applyFill="1" applyBorder="1" applyAlignment="1">
      <alignment horizontal="right" vertical="top"/>
    </xf>
    <xf numFmtId="0" fontId="3" fillId="3" borderId="4" xfId="0" applyFont="1" applyFill="1" applyBorder="1" applyAlignment="1">
      <alignment vertical="center" wrapText="1"/>
    </xf>
    <xf numFmtId="3" fontId="3" fillId="6" borderId="4" xfId="0" applyNumberFormat="1" applyFont="1" applyFill="1" applyBorder="1" applyAlignment="1">
      <alignment vertical="center"/>
    </xf>
    <xf numFmtId="3" fontId="3" fillId="3" borderId="4" xfId="0" applyNumberFormat="1" applyFont="1" applyFill="1" applyBorder="1" applyAlignment="1">
      <alignment vertical="center"/>
    </xf>
    <xf numFmtId="190" fontId="3" fillId="3" borderId="4" xfId="0" applyNumberFormat="1" applyFont="1" applyFill="1" applyBorder="1" applyAlignment="1">
      <alignment vertical="center"/>
    </xf>
    <xf numFmtId="0" fontId="5" fillId="3" borderId="5" xfId="0" applyFont="1" applyFill="1" applyBorder="1" applyAlignment="1">
      <alignment vertical="center"/>
    </xf>
    <xf numFmtId="190" fontId="5" fillId="3" borderId="0" xfId="0" applyNumberFormat="1" applyFont="1" applyFill="1" applyBorder="1" applyAlignment="1">
      <alignment vertical="center"/>
    </xf>
    <xf numFmtId="190" fontId="4" fillId="0" borderId="8" xfId="0" applyNumberFormat="1" applyFont="1" applyBorder="1"/>
    <xf numFmtId="190" fontId="4" fillId="0" borderId="0" xfId="0" applyNumberFormat="1" applyFont="1" applyBorder="1"/>
    <xf numFmtId="0" fontId="3" fillId="3" borderId="17" xfId="0" applyFont="1" applyFill="1" applyBorder="1" applyAlignment="1">
      <alignment vertical="center"/>
    </xf>
    <xf numFmtId="4" fontId="3" fillId="6" borderId="17" xfId="0" applyNumberFormat="1" applyFont="1" applyFill="1" applyBorder="1" applyAlignment="1">
      <alignment vertical="center"/>
    </xf>
    <xf numFmtId="4" fontId="3" fillId="3" borderId="17" xfId="0" applyNumberFormat="1" applyFont="1" applyFill="1" applyBorder="1" applyAlignment="1">
      <alignment vertical="center"/>
    </xf>
    <xf numFmtId="190" fontId="44" fillId="3" borderId="17" xfId="0" applyNumberFormat="1" applyFont="1" applyFill="1" applyBorder="1" applyAlignment="1">
      <alignment horizontal="right" vertical="center"/>
    </xf>
    <xf numFmtId="0" fontId="44" fillId="3" borderId="17" xfId="0" applyFont="1" applyFill="1" applyBorder="1" applyAlignment="1">
      <alignment vertical="center"/>
    </xf>
    <xf numFmtId="3" fontId="44" fillId="6" borderId="17" xfId="0" applyNumberFormat="1" applyFont="1" applyFill="1" applyBorder="1" applyAlignment="1">
      <alignment vertical="center"/>
    </xf>
    <xf numFmtId="3" fontId="44" fillId="3" borderId="17" xfId="0" applyNumberFormat="1" applyFont="1" applyFill="1" applyBorder="1" applyAlignment="1">
      <alignment vertical="center"/>
    </xf>
    <xf numFmtId="190" fontId="44" fillId="3" borderId="17" xfId="0" applyNumberFormat="1" applyFont="1" applyFill="1" applyBorder="1" applyAlignment="1">
      <alignment vertical="center"/>
    </xf>
    <xf numFmtId="0" fontId="2" fillId="0" borderId="0" xfId="0" applyFont="1" applyAlignment="1">
      <alignment wrapText="1"/>
    </xf>
    <xf numFmtId="0" fontId="5" fillId="3" borderId="2" xfId="0" applyFont="1" applyFill="1" applyBorder="1" applyAlignment="1">
      <alignment horizontal="left" vertical="center"/>
    </xf>
    <xf numFmtId="0" fontId="5" fillId="6" borderId="2" xfId="0" applyFont="1" applyFill="1" applyBorder="1" applyAlignment="1">
      <alignment horizontal="right" vertical="center"/>
    </xf>
    <xf numFmtId="0" fontId="5" fillId="3" borderId="2" xfId="0" applyFont="1" applyFill="1" applyBorder="1" applyAlignment="1">
      <alignment horizontal="right" vertical="center"/>
    </xf>
    <xf numFmtId="0" fontId="5" fillId="3" borderId="17" xfId="0" applyFont="1" applyFill="1" applyBorder="1" applyAlignment="1">
      <alignment vertical="center"/>
    </xf>
    <xf numFmtId="3" fontId="3" fillId="6" borderId="17" xfId="0" applyNumberFormat="1" applyFont="1" applyFill="1" applyBorder="1" applyAlignment="1">
      <alignment vertical="center"/>
    </xf>
    <xf numFmtId="3" fontId="3" fillId="3" borderId="17" xfId="0" applyNumberFormat="1" applyFont="1" applyFill="1" applyBorder="1" applyAlignment="1">
      <alignment vertical="center"/>
    </xf>
    <xf numFmtId="3" fontId="5" fillId="3" borderId="17" xfId="0" applyNumberFormat="1" applyFont="1" applyFill="1" applyBorder="1" applyAlignment="1">
      <alignment vertical="center"/>
    </xf>
    <xf numFmtId="0" fontId="37" fillId="0" borderId="0" xfId="0" applyFont="1"/>
    <xf numFmtId="0" fontId="47" fillId="0" borderId="8" xfId="0" applyFont="1" applyBorder="1"/>
    <xf numFmtId="0" fontId="45" fillId="6" borderId="0" xfId="0" applyFont="1" applyFill="1" applyBorder="1" applyAlignment="1">
      <alignment horizontal="left" vertical="center"/>
    </xf>
    <xf numFmtId="3" fontId="45" fillId="3" borderId="0" xfId="0" applyNumberFormat="1" applyFont="1" applyFill="1" applyBorder="1" applyAlignment="1">
      <alignment horizontal="right" vertical="center"/>
    </xf>
    <xf numFmtId="3" fontId="45" fillId="6" borderId="0" xfId="0" applyNumberFormat="1" applyFont="1" applyFill="1" applyBorder="1" applyAlignment="1">
      <alignment horizontal="right" vertical="center"/>
    </xf>
    <xf numFmtId="3" fontId="45" fillId="3" borderId="4" xfId="0" applyNumberFormat="1" applyFont="1" applyFill="1" applyBorder="1" applyAlignment="1">
      <alignment horizontal="right" vertical="center"/>
    </xf>
    <xf numFmtId="0" fontId="3" fillId="3" borderId="7" xfId="0" quotePrefix="1" applyFont="1" applyFill="1" applyBorder="1" applyAlignment="1">
      <alignment horizontal="left" vertical="center"/>
    </xf>
    <xf numFmtId="189" fontId="3" fillId="6" borderId="7" xfId="0" applyNumberFormat="1" applyFont="1" applyFill="1" applyBorder="1" applyAlignment="1">
      <alignment horizontal="right" vertical="center"/>
    </xf>
    <xf numFmtId="3" fontId="3" fillId="6" borderId="6" xfId="0" applyNumberFormat="1" applyFont="1" applyFill="1" applyBorder="1" applyAlignment="1">
      <alignment horizontal="right" vertical="center"/>
    </xf>
    <xf numFmtId="3" fontId="45" fillId="6" borderId="5" xfId="0" applyNumberFormat="1" applyFont="1" applyFill="1" applyBorder="1" applyAlignment="1">
      <alignment horizontal="right" vertical="center"/>
    </xf>
    <xf numFmtId="3" fontId="45" fillId="3" borderId="5" xfId="0" applyNumberFormat="1" applyFont="1" applyFill="1" applyBorder="1" applyAlignment="1">
      <alignment horizontal="right" vertical="center"/>
    </xf>
    <xf numFmtId="0" fontId="2" fillId="0" borderId="0" xfId="14" applyFont="1"/>
    <xf numFmtId="0" fontId="30" fillId="0" borderId="0" xfId="14"/>
    <xf numFmtId="0" fontId="30" fillId="0" borderId="0" xfId="14" applyFont="1"/>
    <xf numFmtId="0" fontId="30" fillId="0" borderId="0" xfId="14" applyFont="1" applyAlignment="1"/>
    <xf numFmtId="0" fontId="23" fillId="0" borderId="0" xfId="14" applyFont="1"/>
    <xf numFmtId="3" fontId="44" fillId="3" borderId="0" xfId="0" applyNumberFormat="1" applyFont="1" applyFill="1" applyBorder="1" applyAlignment="1">
      <alignment horizontal="center"/>
    </xf>
    <xf numFmtId="3" fontId="44" fillId="3" borderId="0" xfId="0" applyNumberFormat="1" applyFont="1" applyFill="1" applyBorder="1" applyAlignment="1">
      <alignment horizontal="center" vertical="top"/>
    </xf>
    <xf numFmtId="189" fontId="3" fillId="6" borderId="6" xfId="0" applyNumberFormat="1" applyFont="1" applyFill="1" applyBorder="1" applyAlignment="1">
      <alignment horizontal="right"/>
    </xf>
    <xf numFmtId="189" fontId="5" fillId="6" borderId="0" xfId="0" applyNumberFormat="1" applyFont="1" applyFill="1" applyBorder="1" applyAlignment="1">
      <alignment horizontal="right" vertical="center"/>
    </xf>
    <xf numFmtId="190" fontId="5" fillId="3" borderId="0" xfId="0" applyNumberFormat="1" applyFont="1" applyFill="1" applyBorder="1" applyAlignment="1">
      <alignment horizontal="center" vertical="center"/>
    </xf>
    <xf numFmtId="2" fontId="4" fillId="0" borderId="8" xfId="0" applyNumberFormat="1" applyFont="1" applyBorder="1"/>
    <xf numFmtId="2" fontId="4" fillId="0" borderId="0" xfId="0" applyNumberFormat="1" applyFont="1" applyBorder="1"/>
    <xf numFmtId="188" fontId="4" fillId="0" borderId="0" xfId="0" applyNumberFormat="1" applyFont="1"/>
    <xf numFmtId="0" fontId="1" fillId="0" borderId="0" xfId="0" applyFont="1" applyAlignment="1"/>
    <xf numFmtId="0" fontId="4" fillId="0" borderId="0" xfId="0" applyFont="1" applyBorder="1" applyAlignment="1">
      <alignment vertical="top"/>
    </xf>
    <xf numFmtId="0" fontId="1" fillId="0" borderId="0" xfId="0" applyFont="1" applyFill="1" applyBorder="1"/>
    <xf numFmtId="0" fontId="2" fillId="0" borderId="0" xfId="0" applyFont="1" applyFill="1" applyBorder="1" applyAlignment="1">
      <alignment horizontal="right" vertical="top"/>
    </xf>
    <xf numFmtId="0" fontId="0" fillId="3" borderId="2" xfId="0" applyFill="1" applyBorder="1" applyAlignment="1">
      <alignment horizontal="right"/>
    </xf>
    <xf numFmtId="0" fontId="3" fillId="0" borderId="0" xfId="0" applyFont="1" applyFill="1" applyBorder="1" applyAlignment="1">
      <alignment horizontal="right"/>
    </xf>
    <xf numFmtId="3" fontId="3" fillId="3" borderId="0" xfId="0" applyNumberFormat="1" applyFont="1" applyFill="1" applyBorder="1" applyAlignment="1">
      <alignment horizontal="center"/>
    </xf>
    <xf numFmtId="3" fontId="3" fillId="0" borderId="0" xfId="0" applyNumberFormat="1" applyFont="1" applyFill="1" applyBorder="1" applyAlignment="1">
      <alignment horizontal="right"/>
    </xf>
    <xf numFmtId="3" fontId="3" fillId="3" borderId="3" xfId="0" applyNumberFormat="1" applyFont="1" applyFill="1" applyBorder="1" applyAlignment="1">
      <alignment horizontal="right" vertical="center"/>
    </xf>
    <xf numFmtId="188" fontId="3" fillId="3" borderId="6" xfId="0" applyNumberFormat="1" applyFont="1" applyFill="1" applyBorder="1" applyAlignment="1">
      <alignment horizontal="left"/>
    </xf>
    <xf numFmtId="188" fontId="3" fillId="3" borderId="7" xfId="0" applyNumberFormat="1" applyFont="1" applyFill="1" applyBorder="1" applyAlignment="1">
      <alignment horizontal="left"/>
    </xf>
    <xf numFmtId="189" fontId="3" fillId="3" borderId="6" xfId="0" applyNumberFormat="1" applyFont="1" applyFill="1" applyBorder="1" applyAlignment="1">
      <alignment horizontal="right"/>
    </xf>
    <xf numFmtId="188" fontId="5" fillId="3" borderId="0" xfId="0" applyNumberFormat="1" applyFont="1" applyFill="1" applyBorder="1" applyAlignment="1">
      <alignment horizontal="left" vertical="center"/>
    </xf>
    <xf numFmtId="3" fontId="44" fillId="6" borderId="5" xfId="0" applyNumberFormat="1" applyFont="1" applyFill="1" applyBorder="1" applyAlignment="1">
      <alignment horizontal="right" vertical="center"/>
    </xf>
    <xf numFmtId="3" fontId="3" fillId="0" borderId="8" xfId="0" applyNumberFormat="1" applyFont="1" applyBorder="1" applyAlignment="1">
      <alignment horizontal="center" vertical="top"/>
    </xf>
    <xf numFmtId="3" fontId="3" fillId="0" borderId="0" xfId="0" applyNumberFormat="1" applyFont="1" applyBorder="1" applyAlignment="1">
      <alignment horizontal="center" vertical="top"/>
    </xf>
    <xf numFmtId="0" fontId="0" fillId="0" borderId="0" xfId="0" applyFill="1" applyBorder="1" applyAlignment="1">
      <alignment horizontal="right"/>
    </xf>
    <xf numFmtId="3" fontId="3" fillId="0" borderId="0" xfId="0" applyNumberFormat="1" applyFont="1" applyFill="1" applyBorder="1" applyAlignment="1">
      <alignment horizontal="right" vertical="top"/>
    </xf>
    <xf numFmtId="189" fontId="3" fillId="0" borderId="0" xfId="0" applyNumberFormat="1" applyFont="1" applyFill="1" applyBorder="1" applyAlignment="1">
      <alignment horizontal="right"/>
    </xf>
    <xf numFmtId="189" fontId="5" fillId="0" borderId="0" xfId="0" applyNumberFormat="1" applyFont="1" applyFill="1" applyBorder="1" applyAlignment="1">
      <alignment horizontal="right" vertical="center"/>
    </xf>
    <xf numFmtId="0" fontId="2" fillId="0" borderId="3" xfId="0" applyFont="1" applyFill="1" applyBorder="1" applyAlignment="1">
      <alignment horizontal="right" vertical="top"/>
    </xf>
    <xf numFmtId="3" fontId="3" fillId="6" borderId="0" xfId="0" applyNumberFormat="1" applyFont="1" applyFill="1" applyBorder="1" applyAlignment="1">
      <alignment horizontal="right" vertical="top"/>
    </xf>
    <xf numFmtId="190" fontId="44" fillId="3" borderId="6" xfId="0" applyNumberFormat="1" applyFont="1" applyFill="1" applyBorder="1" applyAlignment="1">
      <alignment horizontal="center"/>
    </xf>
    <xf numFmtId="189" fontId="44" fillId="6" borderId="6" xfId="0" applyNumberFormat="1" applyFont="1" applyFill="1" applyBorder="1" applyAlignment="1">
      <alignment horizontal="right"/>
    </xf>
    <xf numFmtId="189" fontId="51" fillId="6" borderId="5" xfId="0" applyNumberFormat="1" applyFont="1" applyFill="1" applyBorder="1" applyAlignment="1">
      <alignment horizontal="right" vertical="center"/>
    </xf>
    <xf numFmtId="0" fontId="3" fillId="3" borderId="18" xfId="0" applyFont="1" applyFill="1" applyBorder="1" applyAlignment="1">
      <alignment horizontal="left"/>
    </xf>
    <xf numFmtId="0" fontId="3" fillId="6" borderId="2" xfId="0" applyFont="1" applyFill="1" applyBorder="1" applyAlignment="1"/>
    <xf numFmtId="0" fontId="0" fillId="3" borderId="2" xfId="0" applyFill="1" applyBorder="1" applyAlignment="1"/>
    <xf numFmtId="0" fontId="0" fillId="6" borderId="2" xfId="0" applyFill="1" applyBorder="1" applyAlignment="1"/>
    <xf numFmtId="0" fontId="5" fillId="3" borderId="2" xfId="0" applyFont="1" applyFill="1" applyBorder="1" applyAlignment="1"/>
    <xf numFmtId="0" fontId="3" fillId="3" borderId="2" xfId="0" applyFont="1" applyFill="1" applyBorder="1" applyAlignment="1"/>
    <xf numFmtId="0" fontId="3" fillId="6" borderId="18" xfId="0" applyFont="1" applyFill="1" applyBorder="1" applyAlignment="1"/>
    <xf numFmtId="0" fontId="5" fillId="3" borderId="0" xfId="0" applyFont="1" applyFill="1" applyBorder="1" applyAlignment="1"/>
    <xf numFmtId="0" fontId="4" fillId="6" borderId="0" xfId="0" applyFont="1" applyFill="1"/>
    <xf numFmtId="0" fontId="3" fillId="3" borderId="19" xfId="0" applyFont="1" applyFill="1" applyBorder="1" applyAlignment="1">
      <alignment horizontal="left"/>
    </xf>
    <xf numFmtId="0" fontId="3" fillId="6" borderId="0" xfId="0" applyFont="1" applyFill="1" applyBorder="1" applyAlignment="1"/>
    <xf numFmtId="0" fontId="3" fillId="3" borderId="0" xfId="0" applyFont="1" applyFill="1" applyBorder="1" applyAlignment="1"/>
    <xf numFmtId="3" fontId="3" fillId="6" borderId="0" xfId="0" applyNumberFormat="1" applyFont="1" applyFill="1" applyBorder="1" applyAlignment="1"/>
    <xf numFmtId="3" fontId="5" fillId="3" borderId="0" xfId="0" applyNumberFormat="1" applyFont="1" applyFill="1" applyBorder="1" applyAlignment="1"/>
    <xf numFmtId="3" fontId="3" fillId="3" borderId="0" xfId="0" applyNumberFormat="1" applyFont="1" applyFill="1" applyBorder="1" applyAlignment="1"/>
    <xf numFmtId="0" fontId="3" fillId="6" borderId="19" xfId="0" applyFont="1" applyFill="1" applyBorder="1" applyAlignment="1"/>
    <xf numFmtId="0" fontId="3" fillId="6" borderId="0" xfId="0" applyFont="1" applyFill="1" applyAlignment="1">
      <alignment horizontal="center"/>
    </xf>
    <xf numFmtId="0" fontId="31" fillId="3" borderId="0" xfId="0" applyFont="1" applyFill="1" applyBorder="1" applyAlignment="1"/>
    <xf numFmtId="0" fontId="31" fillId="6" borderId="0" xfId="0" applyFont="1" applyFill="1" applyBorder="1" applyAlignment="1"/>
    <xf numFmtId="0" fontId="3" fillId="6" borderId="16" xfId="0" applyFont="1" applyFill="1" applyBorder="1" applyAlignment="1"/>
    <xf numFmtId="0" fontId="3" fillId="6" borderId="20" xfId="0" applyFont="1" applyFill="1" applyBorder="1" applyAlignment="1"/>
    <xf numFmtId="0" fontId="31" fillId="3" borderId="21" xfId="0" applyFont="1" applyFill="1" applyBorder="1" applyAlignment="1"/>
    <xf numFmtId="0" fontId="31" fillId="6" borderId="18" xfId="0" applyFont="1" applyFill="1" applyBorder="1" applyAlignment="1"/>
    <xf numFmtId="0" fontId="3" fillId="3" borderId="21" xfId="0" applyFont="1" applyFill="1" applyBorder="1" applyAlignment="1"/>
    <xf numFmtId="0" fontId="3" fillId="6" borderId="21" xfId="0" applyFont="1" applyFill="1" applyBorder="1" applyAlignment="1"/>
    <xf numFmtId="0" fontId="3" fillId="3" borderId="18" xfId="0" applyFont="1" applyFill="1" applyBorder="1" applyAlignment="1"/>
    <xf numFmtId="0" fontId="3" fillId="6" borderId="1" xfId="0" applyFont="1" applyFill="1" applyBorder="1" applyAlignment="1"/>
    <xf numFmtId="3" fontId="3" fillId="3" borderId="22" xfId="0" applyNumberFormat="1" applyFont="1" applyFill="1" applyBorder="1" applyAlignment="1"/>
    <xf numFmtId="3" fontId="3" fillId="6" borderId="19" xfId="0" applyNumberFormat="1" applyFont="1" applyFill="1" applyBorder="1" applyAlignment="1"/>
    <xf numFmtId="3" fontId="5" fillId="3" borderId="22" xfId="0" applyNumberFormat="1" applyFont="1" applyFill="1" applyBorder="1" applyAlignment="1"/>
    <xf numFmtId="0" fontId="3" fillId="6" borderId="22" xfId="0" applyFont="1" applyFill="1" applyBorder="1" applyAlignment="1"/>
    <xf numFmtId="3" fontId="3" fillId="3" borderId="19" xfId="0" applyNumberFormat="1" applyFont="1" applyFill="1" applyBorder="1" applyAlignment="1"/>
    <xf numFmtId="0" fontId="3" fillId="3" borderId="22" xfId="0" applyFont="1" applyFill="1" applyBorder="1" applyAlignment="1"/>
    <xf numFmtId="0" fontId="3" fillId="6" borderId="23" xfId="0" applyFont="1" applyFill="1" applyBorder="1" applyAlignment="1">
      <alignment vertical="top"/>
    </xf>
    <xf numFmtId="0" fontId="3" fillId="3" borderId="15" xfId="0" applyFont="1" applyFill="1" applyBorder="1" applyAlignment="1">
      <alignment vertical="top"/>
    </xf>
    <xf numFmtId="0" fontId="3" fillId="6" borderId="16" xfId="0" applyFont="1" applyFill="1" applyBorder="1" applyAlignment="1">
      <alignment vertical="top"/>
    </xf>
    <xf numFmtId="3" fontId="3" fillId="6" borderId="16" xfId="0" applyNumberFormat="1" applyFont="1" applyFill="1" applyBorder="1" applyAlignment="1">
      <alignment vertical="top"/>
    </xf>
    <xf numFmtId="3" fontId="5" fillId="3" borderId="15" xfId="0" applyNumberFormat="1" applyFont="1" applyFill="1" applyBorder="1" applyAlignment="1">
      <alignment vertical="top"/>
    </xf>
    <xf numFmtId="0" fontId="3" fillId="6" borderId="15" xfId="0" applyFont="1" applyFill="1" applyBorder="1" applyAlignment="1">
      <alignment vertical="top"/>
    </xf>
    <xf numFmtId="3" fontId="3" fillId="3" borderId="16" xfId="0" applyNumberFormat="1" applyFont="1" applyFill="1" applyBorder="1" applyAlignment="1">
      <alignment vertical="top"/>
    </xf>
    <xf numFmtId="3" fontId="5" fillId="3" borderId="3" xfId="0" applyNumberFormat="1" applyFont="1" applyFill="1" applyBorder="1" applyAlignment="1">
      <alignment vertical="top"/>
    </xf>
    <xf numFmtId="3" fontId="5" fillId="3" borderId="4" xfId="0" applyNumberFormat="1" applyFont="1" applyFill="1" applyBorder="1" applyAlignment="1">
      <alignment horizontal="right"/>
    </xf>
    <xf numFmtId="3" fontId="5" fillId="3" borderId="24" xfId="0" applyNumberFormat="1" applyFont="1" applyFill="1" applyBorder="1" applyAlignment="1">
      <alignment vertical="center"/>
    </xf>
    <xf numFmtId="3" fontId="44" fillId="6" borderId="0" xfId="0" applyNumberFormat="1" applyFont="1" applyFill="1" applyBorder="1" applyAlignment="1">
      <alignment horizontal="right" vertical="center"/>
    </xf>
    <xf numFmtId="3" fontId="44" fillId="3" borderId="0" xfId="0" applyNumberFormat="1" applyFont="1" applyFill="1" applyBorder="1" applyAlignment="1">
      <alignment horizontal="right" vertical="center"/>
    </xf>
    <xf numFmtId="3" fontId="3" fillId="3" borderId="17" xfId="0" applyNumberFormat="1" applyFont="1" applyFill="1" applyBorder="1" applyAlignment="1">
      <alignment vertical="center" wrapText="1"/>
    </xf>
    <xf numFmtId="189" fontId="44" fillId="6" borderId="17" xfId="0" applyNumberFormat="1" applyFont="1" applyFill="1" applyBorder="1" applyAlignment="1">
      <alignment horizontal="right" vertical="center"/>
    </xf>
    <xf numFmtId="189" fontId="51" fillId="6" borderId="17" xfId="0" applyNumberFormat="1" applyFont="1" applyFill="1" applyBorder="1" applyAlignment="1">
      <alignment horizontal="right" vertical="center"/>
    </xf>
    <xf numFmtId="190" fontId="5" fillId="6" borderId="17" xfId="0" applyNumberFormat="1" applyFont="1" applyFill="1" applyBorder="1" applyAlignment="1">
      <alignment horizontal="center" vertical="center"/>
    </xf>
    <xf numFmtId="3" fontId="5" fillId="3" borderId="6" xfId="0" applyNumberFormat="1" applyFont="1" applyFill="1" applyBorder="1"/>
    <xf numFmtId="3" fontId="5" fillId="6" borderId="5" xfId="0" applyNumberFormat="1" applyFont="1" applyFill="1" applyBorder="1" applyAlignment="1">
      <alignment vertical="center"/>
    </xf>
    <xf numFmtId="0" fontId="1" fillId="0" borderId="0" xfId="0" applyFont="1" applyFill="1" applyAlignment="1">
      <alignment horizontal="right"/>
    </xf>
    <xf numFmtId="0" fontId="2" fillId="0" borderId="0" xfId="0" applyFont="1" applyFill="1" applyAlignment="1">
      <alignment vertical="top"/>
    </xf>
    <xf numFmtId="0" fontId="1" fillId="0" borderId="0" xfId="0" applyFont="1" applyFill="1" applyAlignment="1">
      <alignment horizontal="left"/>
    </xf>
    <xf numFmtId="0" fontId="37" fillId="3" borderId="2" xfId="0" applyFont="1" applyFill="1" applyBorder="1" applyAlignment="1">
      <alignment horizontal="center"/>
    </xf>
    <xf numFmtId="0" fontId="37" fillId="6" borderId="2" xfId="0" applyFont="1" applyFill="1" applyBorder="1" applyAlignment="1">
      <alignment horizontal="center"/>
    </xf>
    <xf numFmtId="0" fontId="37" fillId="6" borderId="2" xfId="0" applyFont="1" applyFill="1" applyBorder="1" applyAlignment="1">
      <alignment horizontal="right"/>
    </xf>
    <xf numFmtId="0" fontId="0" fillId="6" borderId="2" xfId="0" applyFill="1" applyBorder="1" applyAlignment="1">
      <alignment horizontal="right"/>
    </xf>
    <xf numFmtId="3" fontId="3" fillId="3" borderId="0" xfId="0" applyNumberFormat="1" applyFont="1" applyFill="1" applyBorder="1" applyAlignment="1">
      <alignment horizontal="right" vertical="center"/>
    </xf>
    <xf numFmtId="3" fontId="3" fillId="6" borderId="3" xfId="0" applyNumberFormat="1" applyFont="1" applyFill="1" applyBorder="1" applyAlignment="1">
      <alignment horizontal="right" vertical="center"/>
    </xf>
    <xf numFmtId="189" fontId="3" fillId="6" borderId="6" xfId="0" applyNumberFormat="1" applyFont="1" applyFill="1" applyBorder="1"/>
    <xf numFmtId="189" fontId="3" fillId="3" borderId="6" xfId="0" applyNumberFormat="1" applyFont="1" applyFill="1" applyBorder="1"/>
    <xf numFmtId="189" fontId="44" fillId="6" borderId="6" xfId="0" applyNumberFormat="1" applyFont="1" applyFill="1" applyBorder="1" applyAlignment="1">
      <alignment vertical="center"/>
    </xf>
    <xf numFmtId="189" fontId="44" fillId="3" borderId="6" xfId="0" applyNumberFormat="1" applyFont="1" applyFill="1" applyBorder="1" applyAlignment="1">
      <alignment vertical="center"/>
    </xf>
    <xf numFmtId="189" fontId="44" fillId="3" borderId="6" xfId="0" applyNumberFormat="1" applyFont="1" applyFill="1" applyBorder="1" applyAlignment="1">
      <alignment horizontal="right" vertical="center"/>
    </xf>
    <xf numFmtId="189" fontId="51" fillId="6" borderId="6" xfId="0" applyNumberFormat="1" applyFont="1" applyFill="1" applyBorder="1" applyAlignment="1">
      <alignment horizontal="right" vertical="center"/>
    </xf>
    <xf numFmtId="189" fontId="44" fillId="6" borderId="6" xfId="0" applyNumberFormat="1" applyFont="1" applyFill="1" applyBorder="1" applyAlignment="1">
      <alignment horizontal="right" vertical="center"/>
    </xf>
    <xf numFmtId="189" fontId="44" fillId="3" borderId="5" xfId="0" applyNumberFormat="1" applyFont="1" applyFill="1" applyBorder="1" applyAlignment="1">
      <alignment horizontal="right" vertical="center"/>
    </xf>
    <xf numFmtId="3" fontId="3" fillId="6" borderId="0" xfId="0" applyNumberFormat="1" applyFont="1" applyFill="1" applyBorder="1" applyAlignment="1">
      <alignment horizontal="center"/>
    </xf>
    <xf numFmtId="0" fontId="3" fillId="0" borderId="0" xfId="0" applyFont="1" applyFill="1" applyBorder="1" applyAlignment="1">
      <alignment horizontal="center"/>
    </xf>
    <xf numFmtId="0" fontId="3" fillId="0" borderId="0" xfId="0" applyFont="1" applyFill="1" applyBorder="1" applyAlignment="1">
      <alignment horizontal="right" vertical="top"/>
    </xf>
    <xf numFmtId="3" fontId="3" fillId="6" borderId="6" xfId="0" applyNumberFormat="1" applyFont="1" applyFill="1" applyBorder="1" applyAlignment="1">
      <alignment horizontal="center"/>
    </xf>
    <xf numFmtId="190" fontId="3" fillId="0" borderId="0" xfId="0" applyNumberFormat="1" applyFont="1" applyFill="1" applyBorder="1" applyAlignment="1">
      <alignment horizontal="center"/>
    </xf>
    <xf numFmtId="3" fontId="3" fillId="6" borderId="7" xfId="0" applyNumberFormat="1" applyFont="1" applyFill="1" applyBorder="1" applyAlignment="1">
      <alignment horizontal="center"/>
    </xf>
    <xf numFmtId="3" fontId="5" fillId="3" borderId="7" xfId="0" applyNumberFormat="1" applyFont="1" applyFill="1" applyBorder="1"/>
    <xf numFmtId="3" fontId="5" fillId="6" borderId="0" xfId="0" applyNumberFormat="1" applyFont="1" applyFill="1" applyBorder="1" applyAlignment="1">
      <alignment horizontal="center" vertical="center"/>
    </xf>
    <xf numFmtId="190" fontId="5" fillId="0" borderId="0" xfId="0" applyNumberFormat="1" applyFont="1" applyFill="1" applyBorder="1" applyAlignment="1">
      <alignment horizontal="center" vertical="center"/>
    </xf>
    <xf numFmtId="188" fontId="4" fillId="0" borderId="0" xfId="0" applyNumberFormat="1" applyFont="1" applyBorder="1"/>
    <xf numFmtId="0" fontId="44" fillId="6" borderId="2" xfId="0" applyFont="1" applyFill="1" applyBorder="1" applyAlignment="1">
      <alignment horizontal="center"/>
    </xf>
    <xf numFmtId="3" fontId="5" fillId="6" borderId="0" xfId="0" applyNumberFormat="1" applyFont="1" applyFill="1" applyBorder="1" applyAlignment="1">
      <alignment horizontal="right"/>
    </xf>
    <xf numFmtId="3" fontId="5" fillId="6" borderId="6" xfId="0" applyNumberFormat="1" applyFont="1" applyFill="1" applyBorder="1"/>
    <xf numFmtId="3" fontId="5" fillId="6" borderId="7" xfId="0" applyNumberFormat="1" applyFont="1" applyFill="1" applyBorder="1"/>
    <xf numFmtId="0" fontId="5" fillId="6" borderId="2" xfId="0" applyFont="1" applyFill="1" applyBorder="1" applyAlignment="1">
      <alignment horizontal="left"/>
    </xf>
    <xf numFmtId="0" fontId="5" fillId="6" borderId="2" xfId="0" applyFont="1" applyFill="1" applyBorder="1" applyAlignment="1">
      <alignment horizontal="center"/>
    </xf>
    <xf numFmtId="0" fontId="5" fillId="0" borderId="0" xfId="0" applyFont="1" applyFill="1" applyBorder="1" applyAlignment="1">
      <alignment horizontal="center"/>
    </xf>
    <xf numFmtId="0" fontId="51" fillId="3" borderId="2" xfId="0" applyFont="1" applyFill="1" applyBorder="1" applyAlignment="1">
      <alignment horizontal="left"/>
    </xf>
    <xf numFmtId="0" fontId="5" fillId="3" borderId="2" xfId="0" applyFont="1" applyFill="1" applyBorder="1" applyAlignment="1">
      <alignment horizontal="center"/>
    </xf>
    <xf numFmtId="0" fontId="5" fillId="6" borderId="0" xfId="0" applyNumberFormat="1" applyFont="1" applyFill="1" applyBorder="1" applyAlignment="1">
      <alignment horizontal="right"/>
    </xf>
    <xf numFmtId="0" fontId="5" fillId="3" borderId="0" xfId="0" applyNumberFormat="1" applyFont="1" applyFill="1" applyBorder="1" applyAlignment="1">
      <alignment horizontal="right"/>
    </xf>
    <xf numFmtId="0" fontId="5" fillId="0" borderId="0" xfId="0" applyNumberFormat="1" applyFont="1" applyFill="1" applyBorder="1" applyAlignment="1">
      <alignment horizontal="right"/>
    </xf>
    <xf numFmtId="0" fontId="3" fillId="0" borderId="0" xfId="0" applyFont="1" applyFill="1" applyBorder="1" applyAlignment="1">
      <alignment horizontal="center" vertical="top"/>
    </xf>
    <xf numFmtId="0" fontId="3" fillId="3" borderId="3" xfId="0" applyFont="1" applyFill="1" applyBorder="1" applyAlignment="1">
      <alignment horizontal="right" vertical="center"/>
    </xf>
    <xf numFmtId="0" fontId="15" fillId="7" borderId="0" xfId="0" applyNumberFormat="1" applyFont="1" applyFill="1" applyAlignment="1">
      <alignment horizontal="center"/>
    </xf>
    <xf numFmtId="0" fontId="3" fillId="7" borderId="0" xfId="0" applyFont="1" applyFill="1" applyAlignment="1">
      <alignment horizontal="left"/>
    </xf>
    <xf numFmtId="0" fontId="3" fillId="7" borderId="0" xfId="0" applyFont="1" applyFill="1"/>
    <xf numFmtId="0" fontId="1" fillId="0" borderId="11" xfId="0" applyFont="1" applyBorder="1"/>
    <xf numFmtId="0" fontId="1" fillId="0" borderId="11" xfId="0" applyFont="1" applyBorder="1" applyAlignment="1">
      <alignment horizontal="center"/>
    </xf>
    <xf numFmtId="3" fontId="1" fillId="0" borderId="11" xfId="0" applyNumberFormat="1" applyFont="1" applyBorder="1"/>
    <xf numFmtId="3" fontId="4" fillId="6" borderId="4" xfId="0" applyNumberFormat="1" applyFont="1" applyFill="1" applyBorder="1" applyAlignment="1">
      <alignment horizontal="center" vertical="center"/>
    </xf>
    <xf numFmtId="189" fontId="4" fillId="6" borderId="4" xfId="0" applyNumberFormat="1" applyFont="1" applyFill="1" applyBorder="1" applyAlignment="1">
      <alignment horizontal="right" vertical="center"/>
    </xf>
    <xf numFmtId="189" fontId="4" fillId="6" borderId="4" xfId="0" applyNumberFormat="1" applyFont="1" applyFill="1" applyBorder="1" applyAlignment="1">
      <alignment vertical="center"/>
    </xf>
    <xf numFmtId="0" fontId="4" fillId="3" borderId="4" xfId="0" applyFont="1" applyFill="1" applyBorder="1" applyAlignment="1">
      <alignment horizontal="left" vertical="center"/>
    </xf>
    <xf numFmtId="1" fontId="4" fillId="3" borderId="7" xfId="0" applyNumberFormat="1" applyFont="1" applyFill="1" applyBorder="1" applyAlignment="1">
      <alignment horizontal="center" vertical="center"/>
    </xf>
    <xf numFmtId="0" fontId="4" fillId="3" borderId="7" xfId="0" applyFont="1" applyFill="1" applyBorder="1" applyAlignment="1">
      <alignment horizontal="left" vertical="center"/>
    </xf>
    <xf numFmtId="1" fontId="8" fillId="3" borderId="5" xfId="0" applyNumberFormat="1" applyFont="1" applyFill="1" applyBorder="1" applyAlignment="1">
      <alignment horizontal="right" vertical="center"/>
    </xf>
    <xf numFmtId="0" fontId="8" fillId="3" borderId="5" xfId="0" applyFont="1" applyFill="1" applyBorder="1" applyAlignment="1">
      <alignment horizontal="left" vertical="center"/>
    </xf>
    <xf numFmtId="3" fontId="8" fillId="6" borderId="5" xfId="0" applyNumberFormat="1" applyFont="1" applyFill="1" applyBorder="1" applyAlignment="1">
      <alignment horizontal="center" vertical="center"/>
    </xf>
    <xf numFmtId="189" fontId="8" fillId="6" borderId="5" xfId="0" applyNumberFormat="1" applyFont="1" applyFill="1" applyBorder="1" applyAlignment="1">
      <alignment horizontal="right" vertical="center"/>
    </xf>
    <xf numFmtId="189" fontId="8" fillId="6" borderId="5" xfId="0" applyNumberFormat="1" applyFont="1" applyFill="1" applyBorder="1" applyAlignment="1">
      <alignment vertical="center"/>
    </xf>
    <xf numFmtId="3" fontId="4" fillId="0" borderId="7" xfId="0" applyNumberFormat="1" applyFont="1" applyFill="1" applyBorder="1" applyAlignment="1">
      <alignment horizontal="center"/>
    </xf>
    <xf numFmtId="0" fontId="2" fillId="0" borderId="0" xfId="0" applyNumberFormat="1" applyFont="1" applyAlignment="1"/>
    <xf numFmtId="0" fontId="4" fillId="3" borderId="0" xfId="0" applyFont="1" applyFill="1" applyAlignment="1">
      <alignment horizontal="center"/>
    </xf>
    <xf numFmtId="3" fontId="4" fillId="6" borderId="4" xfId="0" applyNumberFormat="1" applyFont="1" applyFill="1" applyBorder="1" applyAlignment="1">
      <alignment horizontal="right" vertical="center"/>
    </xf>
    <xf numFmtId="3" fontId="4" fillId="3" borderId="7" xfId="0" applyNumberFormat="1" applyFont="1" applyFill="1" applyBorder="1" applyAlignment="1">
      <alignment horizontal="right" vertical="center"/>
    </xf>
    <xf numFmtId="3" fontId="4" fillId="3" borderId="12" xfId="0" applyNumberFormat="1" applyFont="1" applyFill="1" applyBorder="1" applyAlignment="1">
      <alignment horizontal="right" vertical="center"/>
    </xf>
    <xf numFmtId="3" fontId="4" fillId="0" borderId="0" xfId="0" applyNumberFormat="1" applyFont="1" applyFill="1" applyBorder="1" applyAlignment="1"/>
    <xf numFmtId="189" fontId="4" fillId="0" borderId="0" xfId="0" applyNumberFormat="1" applyFont="1" applyFill="1" applyBorder="1" applyAlignment="1">
      <alignment horizontal="right"/>
    </xf>
    <xf numFmtId="190" fontId="4" fillId="0" borderId="0" xfId="0" applyNumberFormat="1" applyFont="1" applyFill="1" applyBorder="1" applyAlignment="1">
      <alignment horizontal="right"/>
    </xf>
    <xf numFmtId="3" fontId="4" fillId="0" borderId="0" xfId="0" applyNumberFormat="1" applyFont="1" applyFill="1" applyBorder="1" applyAlignment="1">
      <alignment horizontal="left"/>
    </xf>
    <xf numFmtId="190" fontId="4" fillId="0" borderId="0" xfId="0" applyNumberFormat="1" applyFont="1" applyFill="1" applyBorder="1" applyAlignment="1"/>
    <xf numFmtId="0" fontId="30" fillId="0" borderId="0" xfId="8"/>
    <xf numFmtId="0" fontId="32" fillId="0" borderId="0" xfId="8" applyFont="1"/>
    <xf numFmtId="0" fontId="4" fillId="0" borderId="0" xfId="8" applyFont="1"/>
    <xf numFmtId="0" fontId="18" fillId="0" borderId="0" xfId="8" applyFont="1" applyAlignment="1">
      <alignment horizontal="center"/>
    </xf>
    <xf numFmtId="0" fontId="68" fillId="0" borderId="0" xfId="8" applyFont="1" applyAlignment="1">
      <alignment horizontal="center"/>
    </xf>
    <xf numFmtId="0" fontId="68" fillId="0" borderId="0" xfId="8" applyFont="1"/>
    <xf numFmtId="0" fontId="69" fillId="0" borderId="0" xfId="8" applyFont="1"/>
    <xf numFmtId="0" fontId="70" fillId="0" borderId="0" xfId="8" applyFont="1" applyAlignment="1">
      <alignment horizontal="center"/>
    </xf>
    <xf numFmtId="0" fontId="30" fillId="11" borderId="0" xfId="8" applyFont="1" applyFill="1"/>
    <xf numFmtId="0" fontId="4" fillId="11" borderId="0" xfId="8" applyFont="1" applyFill="1"/>
    <xf numFmtId="0" fontId="26" fillId="11" borderId="0" xfId="8" applyFont="1" applyFill="1"/>
    <xf numFmtId="0" fontId="38" fillId="11" borderId="0" xfId="8" applyFont="1" applyFill="1" applyAlignment="1">
      <alignment horizontal="center" wrapText="1"/>
    </xf>
    <xf numFmtId="0" fontId="8" fillId="0" borderId="0" xfId="8" applyFont="1"/>
    <xf numFmtId="3" fontId="18" fillId="0" borderId="0" xfId="8" applyNumberFormat="1" applyFont="1" applyAlignment="1">
      <alignment horizontal="right"/>
    </xf>
    <xf numFmtId="3" fontId="18" fillId="0" borderId="0" xfId="8" applyNumberFormat="1" applyFont="1"/>
    <xf numFmtId="3" fontId="71" fillId="0" borderId="0" xfId="8" applyNumberFormat="1" applyFont="1" applyAlignment="1">
      <alignment horizontal="right"/>
    </xf>
    <xf numFmtId="10" fontId="18" fillId="0" borderId="0" xfId="8" applyNumberFormat="1" applyFont="1" applyAlignment="1">
      <alignment horizontal="center"/>
    </xf>
    <xf numFmtId="0" fontId="72" fillId="0" borderId="0" xfId="8" applyFont="1"/>
    <xf numFmtId="3" fontId="71" fillId="0" borderId="0" xfId="8" applyNumberFormat="1" applyFont="1"/>
    <xf numFmtId="10" fontId="71" fillId="0" borderId="0" xfId="8" applyNumberFormat="1" applyFont="1" applyAlignment="1">
      <alignment horizontal="center"/>
    </xf>
    <xf numFmtId="10" fontId="71" fillId="0" borderId="0" xfId="8" applyNumberFormat="1" applyFont="1" applyAlignment="1">
      <alignment horizontal="right"/>
    </xf>
    <xf numFmtId="10" fontId="71" fillId="0" borderId="0" xfId="8" applyNumberFormat="1" applyFont="1"/>
    <xf numFmtId="0" fontId="30" fillId="0" borderId="0" xfId="8" applyAlignment="1">
      <alignment horizontal="right"/>
    </xf>
    <xf numFmtId="3" fontId="71" fillId="0" borderId="0" xfId="8" applyNumberFormat="1" applyFont="1" applyFill="1" applyAlignment="1">
      <alignment horizontal="right"/>
    </xf>
    <xf numFmtId="3" fontId="18" fillId="0" borderId="0" xfId="8" applyNumberFormat="1" applyFont="1" applyFill="1" applyAlignment="1">
      <alignment horizontal="right"/>
    </xf>
    <xf numFmtId="3" fontId="18" fillId="0" borderId="0" xfId="8" applyNumberFormat="1" applyFont="1" applyFill="1"/>
    <xf numFmtId="10" fontId="18" fillId="0" borderId="0" xfId="8" applyNumberFormat="1" applyFont="1"/>
    <xf numFmtId="3" fontId="71" fillId="0" borderId="0" xfId="8" applyNumberFormat="1" applyFont="1" applyFill="1"/>
    <xf numFmtId="10" fontId="71" fillId="0" borderId="0" xfId="8" applyNumberFormat="1" applyFont="1" applyFill="1"/>
    <xf numFmtId="0" fontId="23" fillId="0" borderId="0" xfId="8" quotePrefix="1" applyFont="1"/>
    <xf numFmtId="0" fontId="23" fillId="0" borderId="0" xfId="8" applyFont="1"/>
    <xf numFmtId="0" fontId="68" fillId="0" borderId="0" xfId="8" quotePrefix="1" applyFont="1"/>
    <xf numFmtId="0" fontId="30" fillId="0" borderId="0" xfId="8" applyFont="1"/>
    <xf numFmtId="0" fontId="73" fillId="0" borderId="0" xfId="8" applyFont="1"/>
    <xf numFmtId="0" fontId="74" fillId="0" borderId="0" xfId="8" applyFont="1" applyAlignment="1">
      <alignment horizontal="center"/>
    </xf>
    <xf numFmtId="0" fontId="68" fillId="0" borderId="0" xfId="8" applyFont="1" applyAlignment="1">
      <alignment vertical="center"/>
    </xf>
    <xf numFmtId="0" fontId="75" fillId="0" borderId="20" xfId="8" applyFont="1" applyBorder="1"/>
    <xf numFmtId="0" fontId="30" fillId="0" borderId="18" xfId="8" applyFont="1" applyBorder="1"/>
    <xf numFmtId="0" fontId="30" fillId="0" borderId="2" xfId="8" applyFont="1" applyBorder="1"/>
    <xf numFmtId="0" fontId="30" fillId="0" borderId="14" xfId="8" applyFont="1" applyBorder="1" applyAlignment="1">
      <alignment horizontal="center"/>
    </xf>
    <xf numFmtId="0" fontId="30" fillId="0" borderId="13" xfId="8" applyFont="1" applyBorder="1" applyAlignment="1">
      <alignment horizontal="center"/>
    </xf>
    <xf numFmtId="0" fontId="4" fillId="0" borderId="13" xfId="8" applyFont="1" applyBorder="1" applyAlignment="1">
      <alignment horizontal="center"/>
    </xf>
    <xf numFmtId="0" fontId="74" fillId="0" borderId="0" xfId="8" applyFont="1" applyBorder="1" applyAlignment="1">
      <alignment horizontal="center"/>
    </xf>
    <xf numFmtId="0" fontId="75" fillId="0" borderId="1" xfId="8" applyFont="1" applyBorder="1"/>
    <xf numFmtId="0" fontId="30" fillId="0" borderId="0" xfId="8" applyFont="1" applyBorder="1" applyAlignment="1">
      <alignment horizontal="center"/>
    </xf>
    <xf numFmtId="0" fontId="30" fillId="0" borderId="0" xfId="8" applyFont="1" applyBorder="1"/>
    <xf numFmtId="0" fontId="30" fillId="0" borderId="19" xfId="8" applyFont="1" applyBorder="1"/>
    <xf numFmtId="0" fontId="76" fillId="0" borderId="23" xfId="8" applyFont="1" applyBorder="1"/>
    <xf numFmtId="0" fontId="73" fillId="0" borderId="3" xfId="8" applyFont="1" applyBorder="1"/>
    <xf numFmtId="0" fontId="73" fillId="0" borderId="16" xfId="8" applyFont="1" applyBorder="1"/>
    <xf numFmtId="0" fontId="73" fillId="0" borderId="13" xfId="8" applyFont="1" applyBorder="1" applyAlignment="1">
      <alignment horizontal="center"/>
    </xf>
    <xf numFmtId="0" fontId="23" fillId="0" borderId="7" xfId="8" applyFont="1" applyFill="1" applyBorder="1" applyAlignment="1"/>
    <xf numFmtId="0" fontId="47" fillId="0" borderId="0" xfId="0" applyNumberFormat="1" applyFont="1" applyBorder="1"/>
    <xf numFmtId="0" fontId="47" fillId="8" borderId="0" xfId="0" applyFont="1" applyFill="1" applyBorder="1"/>
    <xf numFmtId="0" fontId="2" fillId="8" borderId="0" xfId="0" applyFont="1" applyFill="1" applyAlignment="1">
      <alignment vertical="top"/>
    </xf>
    <xf numFmtId="9" fontId="5" fillId="6" borderId="2" xfId="0" applyNumberFormat="1" applyFont="1" applyFill="1" applyBorder="1" applyAlignment="1">
      <alignment horizontal="right" wrapText="1"/>
    </xf>
    <xf numFmtId="9" fontId="5" fillId="3" borderId="2" xfId="0" applyNumberFormat="1" applyFont="1" applyFill="1" applyBorder="1" applyAlignment="1">
      <alignment horizontal="right" wrapText="1"/>
    </xf>
    <xf numFmtId="9" fontId="3" fillId="3" borderId="2" xfId="0" applyNumberFormat="1" applyFont="1" applyFill="1" applyBorder="1" applyAlignment="1">
      <alignment horizontal="center" vertical="center" wrapText="1"/>
    </xf>
    <xf numFmtId="9" fontId="3" fillId="6" borderId="2" xfId="0" applyNumberFormat="1" applyFont="1" applyFill="1" applyBorder="1" applyAlignment="1">
      <alignment horizontal="center" vertical="center" wrapText="1"/>
    </xf>
    <xf numFmtId="9" fontId="3" fillId="6" borderId="0" xfId="0" applyNumberFormat="1" applyFont="1" applyFill="1" applyBorder="1" applyAlignment="1">
      <alignment horizontal="right" wrapText="1"/>
    </xf>
    <xf numFmtId="9" fontId="3" fillId="3" borderId="0" xfId="0" applyNumberFormat="1" applyFont="1" applyFill="1" applyBorder="1" applyAlignment="1">
      <alignment horizontal="right" wrapText="1"/>
    </xf>
    <xf numFmtId="9" fontId="3" fillId="3" borderId="0" xfId="0" applyNumberFormat="1" applyFont="1" applyFill="1" applyBorder="1" applyAlignment="1">
      <alignment horizontal="center" vertical="center" wrapText="1"/>
    </xf>
    <xf numFmtId="9" fontId="3" fillId="6" borderId="0" xfId="0" applyNumberFormat="1" applyFont="1" applyFill="1" applyBorder="1" applyAlignment="1">
      <alignment horizontal="center" vertical="center" wrapText="1"/>
    </xf>
    <xf numFmtId="0" fontId="3" fillId="3" borderId="0" xfId="0" applyFont="1" applyFill="1" applyBorder="1" applyAlignment="1">
      <alignment horizontal="center" vertical="center"/>
    </xf>
    <xf numFmtId="3" fontId="3" fillId="6" borderId="0" xfId="0" applyNumberFormat="1" applyFont="1" applyFill="1" applyBorder="1" applyAlignment="1">
      <alignment horizontal="center" vertical="center"/>
    </xf>
    <xf numFmtId="0" fontId="3" fillId="3" borderId="3" xfId="0" applyFont="1" applyFill="1" applyBorder="1" applyAlignment="1">
      <alignment horizontal="center" vertical="center"/>
    </xf>
    <xf numFmtId="3" fontId="3" fillId="6" borderId="3" xfId="0" applyNumberFormat="1" applyFont="1" applyFill="1" applyBorder="1" applyAlignment="1">
      <alignment horizontal="center" vertical="center"/>
    </xf>
    <xf numFmtId="189" fontId="5" fillId="6" borderId="4" xfId="0" applyNumberFormat="1" applyFont="1" applyFill="1" applyBorder="1" applyAlignment="1">
      <alignment horizontal="right"/>
    </xf>
    <xf numFmtId="189" fontId="5" fillId="6" borderId="7" xfId="0" applyNumberFormat="1" applyFont="1" applyFill="1" applyBorder="1" applyAlignment="1">
      <alignment horizontal="right"/>
    </xf>
    <xf numFmtId="190" fontId="5" fillId="3" borderId="5" xfId="0" applyNumberFormat="1" applyFont="1" applyFill="1" applyBorder="1" applyAlignment="1">
      <alignment horizontal="center" vertical="center"/>
    </xf>
    <xf numFmtId="3" fontId="3" fillId="8" borderId="8" xfId="0" applyNumberFormat="1" applyFont="1" applyFill="1" applyBorder="1" applyAlignment="1">
      <alignment horizontal="right" vertical="top"/>
    </xf>
    <xf numFmtId="3" fontId="3" fillId="8" borderId="0" xfId="0" applyNumberFormat="1" applyFont="1" applyFill="1" applyBorder="1" applyAlignment="1">
      <alignment horizontal="right" vertical="top"/>
    </xf>
    <xf numFmtId="0" fontId="3" fillId="3" borderId="0" xfId="0" applyFont="1" applyFill="1" applyBorder="1" applyAlignment="1">
      <alignment horizontal="left" vertical="top"/>
    </xf>
    <xf numFmtId="0" fontId="3" fillId="3" borderId="0" xfId="0" applyFont="1" applyFill="1" applyBorder="1" applyAlignment="1">
      <alignment horizontal="right" vertical="top"/>
    </xf>
    <xf numFmtId="188" fontId="3" fillId="6" borderId="4" xfId="0" applyNumberFormat="1" applyFont="1" applyFill="1" applyBorder="1" applyAlignment="1">
      <alignment horizontal="right"/>
    </xf>
    <xf numFmtId="188" fontId="3" fillId="6" borderId="7" xfId="0" applyNumberFormat="1" applyFont="1" applyFill="1" applyBorder="1" applyAlignment="1">
      <alignment horizontal="right"/>
    </xf>
    <xf numFmtId="188" fontId="5" fillId="6" borderId="0" xfId="0" applyNumberFormat="1" applyFont="1" applyFill="1" applyBorder="1" applyAlignment="1">
      <alignment horizontal="right" vertical="center"/>
    </xf>
    <xf numFmtId="188" fontId="29" fillId="0" borderId="0" xfId="0" applyNumberFormat="1" applyFont="1"/>
    <xf numFmtId="0" fontId="2" fillId="0" borderId="0" xfId="0" applyFont="1" applyFill="1" applyBorder="1" applyAlignment="1">
      <alignment vertical="center"/>
    </xf>
    <xf numFmtId="0" fontId="5" fillId="3" borderId="0" xfId="0" applyFont="1" applyFill="1" applyBorder="1" applyAlignment="1">
      <alignment horizontal="left"/>
    </xf>
    <xf numFmtId="3" fontId="3" fillId="3" borderId="4" xfId="0" applyNumberFormat="1" applyFont="1" applyFill="1" applyBorder="1" applyAlignment="1">
      <alignment horizontal="center"/>
    </xf>
    <xf numFmtId="0" fontId="5" fillId="3" borderId="5" xfId="0" quotePrefix="1" applyFont="1" applyFill="1" applyBorder="1" applyAlignment="1">
      <alignment horizontal="left" vertical="center"/>
    </xf>
    <xf numFmtId="0" fontId="8" fillId="0" borderId="0" xfId="0" applyFont="1" applyAlignment="1">
      <alignment horizontal="center"/>
    </xf>
    <xf numFmtId="190" fontId="3" fillId="6" borderId="4" xfId="0" applyNumberFormat="1" applyFont="1" applyFill="1" applyBorder="1" applyAlignment="1">
      <alignment vertical="center"/>
    </xf>
    <xf numFmtId="3" fontId="3" fillId="3" borderId="0" xfId="0" applyNumberFormat="1" applyFont="1" applyFill="1" applyBorder="1"/>
    <xf numFmtId="190" fontId="5" fillId="6" borderId="0" xfId="0" applyNumberFormat="1" applyFont="1" applyFill="1" applyBorder="1" applyAlignment="1">
      <alignment vertical="center"/>
    </xf>
    <xf numFmtId="3" fontId="3" fillId="3" borderId="0" xfId="0" applyNumberFormat="1" applyFont="1" applyFill="1" applyBorder="1" applyAlignment="1">
      <alignment vertical="center"/>
    </xf>
    <xf numFmtId="0" fontId="5" fillId="3" borderId="12" xfId="0" quotePrefix="1" applyFont="1" applyFill="1" applyBorder="1" applyAlignment="1">
      <alignment horizontal="left" vertical="center"/>
    </xf>
    <xf numFmtId="189" fontId="5" fillId="6" borderId="12" xfId="0" applyNumberFormat="1" applyFont="1" applyFill="1" applyBorder="1" applyAlignment="1">
      <alignment horizontal="right" vertical="center"/>
    </xf>
    <xf numFmtId="189" fontId="5" fillId="3" borderId="12" xfId="0" applyNumberFormat="1" applyFont="1" applyFill="1" applyBorder="1" applyAlignment="1">
      <alignment horizontal="right" vertical="center"/>
    </xf>
    <xf numFmtId="0" fontId="48" fillId="0" borderId="0" xfId="9" applyFont="1" applyAlignment="1"/>
    <xf numFmtId="0" fontId="4" fillId="0" borderId="0" xfId="9" quotePrefix="1" applyFont="1" applyAlignment="1">
      <alignment horizontal="right"/>
    </xf>
    <xf numFmtId="0" fontId="4" fillId="0" borderId="0" xfId="9" applyFont="1" applyAlignment="1"/>
    <xf numFmtId="0" fontId="23" fillId="0" borderId="0" xfId="9" applyFont="1"/>
    <xf numFmtId="0" fontId="3" fillId="6" borderId="0" xfId="0" applyFont="1" applyFill="1" applyBorder="1" applyAlignment="1">
      <alignment horizontal="right" wrapText="1"/>
    </xf>
    <xf numFmtId="189" fontId="5" fillId="3" borderId="0" xfId="0" applyNumberFormat="1" applyFont="1" applyFill="1" applyBorder="1" applyAlignment="1">
      <alignment horizontal="right" vertical="center"/>
    </xf>
    <xf numFmtId="0" fontId="2" fillId="0" borderId="0" xfId="9" applyFont="1"/>
    <xf numFmtId="0" fontId="30" fillId="0" borderId="0" xfId="9"/>
    <xf numFmtId="2" fontId="48" fillId="0" borderId="0" xfId="9" applyNumberFormat="1" applyFont="1"/>
    <xf numFmtId="0" fontId="48" fillId="0" borderId="0" xfId="9" applyFont="1"/>
    <xf numFmtId="0" fontId="3" fillId="3" borderId="0" xfId="0" applyFont="1" applyFill="1" applyBorder="1" applyAlignment="1">
      <alignment horizontal="right" wrapText="1"/>
    </xf>
    <xf numFmtId="1" fontId="3" fillId="3" borderId="4" xfId="0" applyNumberFormat="1" applyFont="1" applyFill="1" applyBorder="1" applyAlignment="1">
      <alignment horizontal="left"/>
    </xf>
    <xf numFmtId="211" fontId="3" fillId="6" borderId="4" xfId="0" applyNumberFormat="1" applyFont="1" applyFill="1" applyBorder="1" applyAlignment="1">
      <alignment horizontal="right"/>
    </xf>
    <xf numFmtId="1" fontId="3" fillId="3" borderId="7" xfId="0" applyNumberFormat="1" applyFont="1" applyFill="1" applyBorder="1" applyAlignment="1">
      <alignment horizontal="left"/>
    </xf>
    <xf numFmtId="211" fontId="3" fillId="6" borderId="7" xfId="0" applyNumberFormat="1" applyFont="1" applyFill="1" applyBorder="1" applyAlignment="1">
      <alignment horizontal="right"/>
    </xf>
    <xf numFmtId="190" fontId="3" fillId="3" borderId="6" xfId="0" applyNumberFormat="1" applyFont="1" applyFill="1" applyBorder="1" applyAlignment="1">
      <alignment horizontal="right"/>
    </xf>
    <xf numFmtId="1" fontId="5" fillId="3" borderId="0" xfId="0" applyNumberFormat="1" applyFont="1" applyFill="1" applyBorder="1" applyAlignment="1">
      <alignment horizontal="left" vertical="center"/>
    </xf>
    <xf numFmtId="211" fontId="5" fillId="6" borderId="0" xfId="0" applyNumberFormat="1" applyFont="1" applyFill="1" applyBorder="1" applyAlignment="1">
      <alignment horizontal="right" vertical="center"/>
    </xf>
    <xf numFmtId="190" fontId="5" fillId="3" borderId="6" xfId="0" applyNumberFormat="1" applyFont="1" applyFill="1" applyBorder="1" applyAlignment="1">
      <alignment horizontal="right" vertical="center"/>
    </xf>
    <xf numFmtId="189" fontId="5" fillId="6" borderId="5" xfId="0" applyNumberFormat="1" applyFont="1" applyFill="1" applyBorder="1" applyAlignment="1">
      <alignment horizontal="right" vertical="center"/>
    </xf>
    <xf numFmtId="3" fontId="0" fillId="0" borderId="0" xfId="0" applyNumberFormat="1"/>
    <xf numFmtId="190" fontId="3" fillId="0" borderId="0" xfId="0" applyNumberFormat="1" applyFont="1" applyFill="1" applyBorder="1" applyAlignment="1">
      <alignment horizontal="right"/>
    </xf>
    <xf numFmtId="190" fontId="5" fillId="0" borderId="0" xfId="0" applyNumberFormat="1" applyFont="1" applyFill="1" applyBorder="1" applyAlignment="1">
      <alignment horizontal="right" vertical="center"/>
    </xf>
    <xf numFmtId="0" fontId="5" fillId="0" borderId="0" xfId="0" applyFont="1" applyFill="1"/>
    <xf numFmtId="3" fontId="5" fillId="0" borderId="0" xfId="0" applyNumberFormat="1" applyFont="1" applyFill="1"/>
    <xf numFmtId="190" fontId="1" fillId="8" borderId="0" xfId="0" applyNumberFormat="1" applyFont="1" applyFill="1"/>
    <xf numFmtId="0" fontId="23" fillId="0" borderId="0" xfId="0" applyFont="1" applyAlignment="1">
      <alignment horizontal="left" wrapText="1"/>
    </xf>
    <xf numFmtId="0" fontId="26" fillId="6" borderId="0" xfId="0" applyFont="1" applyFill="1" applyBorder="1" applyAlignment="1">
      <alignment horizontal="right"/>
    </xf>
    <xf numFmtId="190" fontId="26" fillId="3" borderId="0" xfId="0" applyNumberFormat="1" applyFont="1" applyFill="1" applyBorder="1" applyAlignment="1">
      <alignment horizontal="right"/>
    </xf>
    <xf numFmtId="190" fontId="3" fillId="3" borderId="0" xfId="0" applyNumberFormat="1" applyFont="1" applyFill="1" applyBorder="1" applyAlignment="1">
      <alignment horizontal="right" vertical="top"/>
    </xf>
    <xf numFmtId="0" fontId="26" fillId="6" borderId="0" xfId="0" applyFont="1" applyFill="1" applyBorder="1" applyAlignment="1">
      <alignment horizontal="right" vertical="top"/>
    </xf>
    <xf numFmtId="190" fontId="26" fillId="3" borderId="0" xfId="0" applyNumberFormat="1" applyFont="1" applyFill="1" applyBorder="1" applyAlignment="1">
      <alignment horizontal="right" vertical="top"/>
    </xf>
    <xf numFmtId="190" fontId="5" fillId="3" borderId="12" xfId="0" applyNumberFormat="1" applyFont="1" applyFill="1" applyBorder="1" applyAlignment="1">
      <alignment horizontal="right" vertical="center"/>
    </xf>
    <xf numFmtId="3" fontId="5" fillId="3" borderId="12" xfId="0" applyNumberFormat="1" applyFont="1" applyFill="1" applyBorder="1" applyAlignment="1">
      <alignment horizontal="right" vertical="center"/>
    </xf>
    <xf numFmtId="3" fontId="5" fillId="6" borderId="12" xfId="0" applyNumberFormat="1" applyFont="1" applyFill="1" applyBorder="1" applyAlignment="1">
      <alignment horizontal="right" vertical="center"/>
    </xf>
    <xf numFmtId="0" fontId="4" fillId="0" borderId="0" xfId="0" applyFont="1" applyFill="1" applyAlignment="1">
      <alignment vertical="center"/>
    </xf>
    <xf numFmtId="0" fontId="8" fillId="0" borderId="0" xfId="0" applyFont="1" applyFill="1" applyAlignment="1">
      <alignment vertical="center"/>
    </xf>
    <xf numFmtId="190" fontId="3" fillId="0" borderId="0" xfId="0" applyNumberFormat="1" applyFont="1" applyFill="1" applyBorder="1" applyAlignment="1">
      <alignment horizontal="right" vertical="top"/>
    </xf>
    <xf numFmtId="0" fontId="18" fillId="3" borderId="5" xfId="0" applyFont="1" applyFill="1" applyBorder="1" applyAlignment="1">
      <alignment horizontal="left" vertical="center" wrapText="1"/>
    </xf>
    <xf numFmtId="190" fontId="3" fillId="6" borderId="11" xfId="0" applyNumberFormat="1" applyFont="1" applyFill="1" applyBorder="1" applyAlignment="1">
      <alignment horizontal="right" vertical="center"/>
    </xf>
    <xf numFmtId="190" fontId="3" fillId="3" borderId="5" xfId="0" applyNumberFormat="1" applyFont="1" applyFill="1" applyBorder="1" applyAlignment="1">
      <alignment horizontal="right" vertical="center"/>
    </xf>
    <xf numFmtId="3" fontId="3" fillId="0" borderId="3" xfId="0" applyNumberFormat="1" applyFont="1" applyFill="1" applyBorder="1" applyAlignment="1">
      <alignment horizontal="right" vertical="top"/>
    </xf>
    <xf numFmtId="0" fontId="26" fillId="6" borderId="0" xfId="0" applyFont="1" applyFill="1" applyBorder="1" applyAlignment="1">
      <alignment horizontal="right" vertical="center"/>
    </xf>
    <xf numFmtId="190" fontId="26" fillId="3" borderId="0" xfId="0" applyNumberFormat="1" applyFont="1" applyFill="1" applyBorder="1" applyAlignment="1">
      <alignment horizontal="right" vertical="center"/>
    </xf>
    <xf numFmtId="0" fontId="71" fillId="6" borderId="0" xfId="0" applyFont="1" applyFill="1" applyBorder="1" applyAlignment="1">
      <alignment horizontal="right" vertical="top"/>
    </xf>
    <xf numFmtId="190" fontId="71" fillId="3" borderId="0" xfId="0" applyNumberFormat="1" applyFont="1" applyFill="1" applyBorder="1" applyAlignment="1">
      <alignment horizontal="right" vertical="top"/>
    </xf>
    <xf numFmtId="190" fontId="4" fillId="0" borderId="0" xfId="0" applyNumberFormat="1" applyFont="1" applyFill="1"/>
    <xf numFmtId="0" fontId="4" fillId="8" borderId="8" xfId="0" applyFont="1" applyFill="1" applyBorder="1"/>
    <xf numFmtId="0" fontId="2" fillId="0" borderId="0" xfId="10" applyFont="1"/>
    <xf numFmtId="0" fontId="30" fillId="0" borderId="0" xfId="10"/>
    <xf numFmtId="0" fontId="18" fillId="0" borderId="0" xfId="10" quotePrefix="1" applyFont="1" applyAlignment="1"/>
    <xf numFmtId="0" fontId="18" fillId="0" borderId="0" xfId="10" applyFont="1" applyAlignment="1"/>
    <xf numFmtId="0" fontId="30" fillId="0" borderId="0" xfId="10" applyAlignment="1"/>
    <xf numFmtId="0" fontId="23" fillId="0" borderId="0" xfId="10" applyFont="1"/>
    <xf numFmtId="0" fontId="44" fillId="3" borderId="2" xfId="0" applyFont="1" applyFill="1" applyBorder="1" applyAlignment="1">
      <alignment horizontal="right"/>
    </xf>
    <xf numFmtId="0" fontId="44" fillId="3" borderId="0" xfId="0" applyFont="1" applyFill="1" applyBorder="1" applyAlignment="1">
      <alignment horizontal="right"/>
    </xf>
    <xf numFmtId="0" fontId="44" fillId="3" borderId="3" xfId="0" applyFont="1" applyFill="1" applyBorder="1" applyAlignment="1">
      <alignment horizontal="right" vertical="top"/>
    </xf>
    <xf numFmtId="3" fontId="44" fillId="3" borderId="6" xfId="0" applyNumberFormat="1" applyFont="1" applyFill="1" applyBorder="1"/>
    <xf numFmtId="3" fontId="51" fillId="3" borderId="5" xfId="0" applyNumberFormat="1" applyFont="1" applyFill="1" applyBorder="1" applyAlignment="1">
      <alignment vertical="center"/>
    </xf>
    <xf numFmtId="0" fontId="0" fillId="0" borderId="0" xfId="0" applyNumberFormat="1"/>
    <xf numFmtId="0" fontId="4" fillId="0" borderId="0" xfId="0" applyNumberFormat="1" applyFont="1" applyBorder="1"/>
    <xf numFmtId="0" fontId="4" fillId="0" borderId="0" xfId="0" quotePrefix="1" applyFont="1"/>
    <xf numFmtId="0" fontId="4" fillId="0" borderId="0" xfId="0" applyNumberFormat="1" applyFont="1" applyFill="1"/>
    <xf numFmtId="0" fontId="1" fillId="0" borderId="0" xfId="0" applyFont="1" applyAlignment="1">
      <alignment horizontal="right" vertical="center"/>
    </xf>
    <xf numFmtId="3" fontId="1" fillId="0" borderId="0" xfId="0" applyNumberFormat="1" applyFont="1" applyAlignment="1">
      <alignment horizontal="right" vertical="center"/>
    </xf>
    <xf numFmtId="2" fontId="4" fillId="0" borderId="0" xfId="0" applyNumberFormat="1" applyFont="1"/>
    <xf numFmtId="1" fontId="3" fillId="3" borderId="6" xfId="0" quotePrefix="1" applyNumberFormat="1" applyFont="1" applyFill="1" applyBorder="1" applyAlignment="1">
      <alignment horizontal="right"/>
    </xf>
    <xf numFmtId="1" fontId="3" fillId="3" borderId="6" xfId="0" quotePrefix="1" applyNumberFormat="1" applyFont="1" applyFill="1" applyBorder="1" applyAlignment="1">
      <alignment horizontal="right" vertical="center"/>
    </xf>
    <xf numFmtId="0" fontId="3" fillId="6" borderId="25" xfId="0" applyFont="1" applyFill="1" applyBorder="1" applyAlignment="1">
      <alignment horizontal="left"/>
    </xf>
    <xf numFmtId="0" fontId="3" fillId="3" borderId="25" xfId="0" applyFont="1" applyFill="1" applyBorder="1" applyAlignment="1">
      <alignment horizontal="right"/>
    </xf>
    <xf numFmtId="0" fontId="3" fillId="6" borderId="25" xfId="0" applyFont="1" applyFill="1" applyBorder="1" applyAlignment="1">
      <alignment horizontal="right"/>
    </xf>
    <xf numFmtId="0" fontId="3" fillId="6" borderId="26" xfId="0" applyFont="1" applyFill="1" applyBorder="1" applyAlignment="1">
      <alignment horizontal="left"/>
    </xf>
    <xf numFmtId="0" fontId="3" fillId="3" borderId="26" xfId="0" applyFont="1" applyFill="1" applyBorder="1" applyAlignment="1">
      <alignment horizontal="right"/>
    </xf>
    <xf numFmtId="0" fontId="5" fillId="3" borderId="7" xfId="0" quotePrefix="1" applyFont="1" applyFill="1" applyBorder="1" applyAlignment="1">
      <alignment horizontal="left"/>
    </xf>
    <xf numFmtId="190" fontId="5" fillId="3" borderId="7" xfId="0" applyNumberFormat="1" applyFont="1" applyFill="1" applyBorder="1" applyAlignment="1">
      <alignment horizontal="right"/>
    </xf>
    <xf numFmtId="3" fontId="8" fillId="6" borderId="5" xfId="0" applyNumberFormat="1" applyFont="1" applyFill="1" applyBorder="1" applyAlignment="1">
      <alignment horizontal="right" vertical="center"/>
    </xf>
    <xf numFmtId="3" fontId="4" fillId="6" borderId="7" xfId="0" applyNumberFormat="1" applyFont="1" applyFill="1" applyBorder="1" applyAlignment="1">
      <alignment horizontal="right" vertical="center"/>
    </xf>
    <xf numFmtId="3" fontId="4" fillId="6" borderId="12" xfId="0" applyNumberFormat="1" applyFont="1" applyFill="1" applyBorder="1" applyAlignment="1">
      <alignment horizontal="right" vertical="center"/>
    </xf>
    <xf numFmtId="0" fontId="4" fillId="6" borderId="0" xfId="0" applyFont="1" applyFill="1" applyAlignment="1">
      <alignment horizontal="center"/>
    </xf>
    <xf numFmtId="0" fontId="1" fillId="8" borderId="0" xfId="0" applyFont="1" applyFill="1" applyAlignment="1">
      <alignment horizontal="right"/>
    </xf>
    <xf numFmtId="1" fontId="44" fillId="3" borderId="0" xfId="0" applyNumberFormat="1" applyFont="1" applyFill="1" applyBorder="1" applyAlignment="1">
      <alignment horizontal="left" vertical="center"/>
    </xf>
    <xf numFmtId="1" fontId="4" fillId="8" borderId="8" xfId="0" applyNumberFormat="1" applyFont="1" applyFill="1" applyBorder="1" applyAlignment="1">
      <alignment horizontal="left"/>
    </xf>
    <xf numFmtId="189" fontId="3" fillId="8" borderId="8" xfId="0" applyNumberFormat="1" applyFont="1" applyFill="1" applyBorder="1" applyAlignment="1">
      <alignment horizontal="right"/>
    </xf>
    <xf numFmtId="1" fontId="4" fillId="0" borderId="0" xfId="0" applyNumberFormat="1" applyFont="1" applyFill="1" applyBorder="1" applyAlignment="1">
      <alignment horizontal="left"/>
    </xf>
    <xf numFmtId="0" fontId="4" fillId="0" borderId="0" xfId="0" applyFont="1" applyFill="1" applyAlignment="1">
      <alignment horizontal="right"/>
    </xf>
    <xf numFmtId="0" fontId="2" fillId="0" borderId="0" xfId="0" applyFont="1" applyFill="1" applyAlignment="1">
      <alignment vertical="center"/>
    </xf>
    <xf numFmtId="0" fontId="4" fillId="8" borderId="0" xfId="0" applyFont="1" applyFill="1" applyAlignment="1">
      <alignment horizontal="right"/>
    </xf>
    <xf numFmtId="0" fontId="3" fillId="3" borderId="4" xfId="0" applyNumberFormat="1" applyFont="1" applyFill="1" applyBorder="1" applyAlignment="1">
      <alignment horizontal="left"/>
    </xf>
    <xf numFmtId="0" fontId="3" fillId="3" borderId="7" xfId="0" applyNumberFormat="1" applyFont="1" applyFill="1" applyBorder="1" applyAlignment="1">
      <alignment horizontal="left"/>
    </xf>
    <xf numFmtId="1" fontId="4" fillId="0" borderId="8" xfId="0" applyNumberFormat="1" applyFont="1" applyFill="1" applyBorder="1" applyAlignment="1">
      <alignment horizontal="left"/>
    </xf>
    <xf numFmtId="189" fontId="3" fillId="0" borderId="8" xfId="0" applyNumberFormat="1" applyFont="1" applyFill="1" applyBorder="1" applyAlignment="1">
      <alignment horizontal="right"/>
    </xf>
    <xf numFmtId="3" fontId="44" fillId="6" borderId="7" xfId="0" applyNumberFormat="1" applyFont="1" applyFill="1" applyBorder="1" applyAlignment="1">
      <alignment horizontal="right" vertical="center"/>
    </xf>
    <xf numFmtId="3" fontId="44" fillId="3" borderId="7" xfId="0" applyNumberFormat="1" applyFont="1" applyFill="1" applyBorder="1" applyAlignment="1">
      <alignment horizontal="right" vertical="center"/>
    </xf>
    <xf numFmtId="0" fontId="79" fillId="0" borderId="0" xfId="0" applyFont="1" applyAlignment="1">
      <alignment vertical="center"/>
    </xf>
    <xf numFmtId="1" fontId="4" fillId="8" borderId="0" xfId="0" applyNumberFormat="1" applyFont="1" applyFill="1" applyBorder="1" applyAlignment="1">
      <alignment horizontal="left"/>
    </xf>
    <xf numFmtId="189" fontId="3" fillId="8" borderId="0" xfId="0" applyNumberFormat="1" applyFont="1" applyFill="1" applyBorder="1" applyAlignment="1">
      <alignment horizontal="right"/>
    </xf>
    <xf numFmtId="1" fontId="44" fillId="3" borderId="7" xfId="0" applyNumberFormat="1" applyFont="1" applyFill="1" applyBorder="1" applyAlignment="1">
      <alignment horizontal="left"/>
    </xf>
    <xf numFmtId="189" fontId="44" fillId="6" borderId="7" xfId="0" applyNumberFormat="1" applyFont="1" applyFill="1" applyBorder="1" applyAlignment="1">
      <alignment horizontal="right"/>
    </xf>
    <xf numFmtId="189" fontId="44" fillId="3" borderId="7" xfId="0" applyNumberFormat="1" applyFont="1" applyFill="1" applyBorder="1" applyAlignment="1">
      <alignment horizontal="right"/>
    </xf>
    <xf numFmtId="3" fontId="44" fillId="3" borderId="7" xfId="0" applyNumberFormat="1" applyFont="1" applyFill="1" applyBorder="1" applyAlignment="1">
      <alignment horizontal="right"/>
    </xf>
    <xf numFmtId="190" fontId="44" fillId="6" borderId="7" xfId="0" applyNumberFormat="1" applyFont="1" applyFill="1" applyBorder="1" applyAlignment="1">
      <alignment horizontal="right"/>
    </xf>
    <xf numFmtId="189" fontId="44" fillId="3" borderId="5" xfId="0" applyNumberFormat="1" applyFont="1" applyFill="1" applyBorder="1" applyAlignment="1">
      <alignment horizontal="right"/>
    </xf>
    <xf numFmtId="190" fontId="44" fillId="6" borderId="5" xfId="0" applyNumberFormat="1" applyFont="1" applyFill="1" applyBorder="1" applyAlignment="1">
      <alignment horizontal="right"/>
    </xf>
    <xf numFmtId="0" fontId="4" fillId="4" borderId="0" xfId="0" applyFont="1" applyFill="1"/>
    <xf numFmtId="0" fontId="22" fillId="0" borderId="0" xfId="20" applyFont="1"/>
    <xf numFmtId="0" fontId="30" fillId="0" borderId="0" xfId="20"/>
    <xf numFmtId="0" fontId="2" fillId="0" borderId="0" xfId="20" applyFont="1"/>
    <xf numFmtId="2" fontId="48" fillId="0" borderId="0" xfId="20" applyNumberFormat="1" applyFont="1"/>
    <xf numFmtId="0" fontId="48" fillId="0" borderId="0" xfId="20" applyFont="1" applyAlignment="1"/>
    <xf numFmtId="0" fontId="48" fillId="0" borderId="0" xfId="20" applyFont="1"/>
    <xf numFmtId="0" fontId="23" fillId="0" borderId="0" xfId="20" applyFont="1"/>
    <xf numFmtId="0" fontId="18" fillId="0" borderId="0" xfId="20" applyFont="1" applyAlignment="1"/>
    <xf numFmtId="0" fontId="80" fillId="3" borderId="7" xfId="0" applyFont="1" applyFill="1" applyBorder="1" applyAlignment="1">
      <alignment horizontal="left"/>
    </xf>
    <xf numFmtId="0" fontId="80" fillId="3" borderId="7" xfId="0" applyFont="1" applyFill="1" applyBorder="1" applyAlignment="1">
      <alignment horizontal="left" wrapText="1"/>
    </xf>
    <xf numFmtId="0" fontId="1" fillId="8" borderId="0" xfId="0" applyFont="1" applyFill="1" applyAlignment="1">
      <alignment horizontal="center"/>
    </xf>
    <xf numFmtId="0" fontId="3" fillId="3" borderId="2" xfId="0" applyFont="1" applyFill="1" applyBorder="1" applyAlignment="1">
      <alignment horizontal="left" vertical="center"/>
    </xf>
    <xf numFmtId="0" fontId="3" fillId="6" borderId="2" xfId="0" applyFont="1" applyFill="1" applyBorder="1" applyAlignment="1">
      <alignment horizontal="right" vertical="center"/>
    </xf>
    <xf numFmtId="0" fontId="3" fillId="3" borderId="2" xfId="0" applyFont="1" applyFill="1" applyBorder="1" applyAlignment="1">
      <alignment horizontal="right" vertical="center"/>
    </xf>
    <xf numFmtId="0" fontId="3" fillId="6" borderId="2" xfId="0" applyFont="1" applyFill="1" applyBorder="1" applyAlignment="1">
      <alignment horizontal="center" vertical="center"/>
    </xf>
    <xf numFmtId="0" fontId="3" fillId="6" borderId="0" xfId="0" applyFont="1" applyFill="1" applyBorder="1" applyAlignment="1">
      <alignment horizontal="right" vertical="center"/>
    </xf>
    <xf numFmtId="0" fontId="3" fillId="3" borderId="0" xfId="0" applyFont="1" applyFill="1" applyBorder="1" applyAlignment="1">
      <alignment horizontal="right" vertical="center"/>
    </xf>
    <xf numFmtId="0" fontId="3" fillId="6" borderId="0" xfId="0" applyFont="1" applyFill="1" applyBorder="1" applyAlignment="1">
      <alignment horizontal="center" vertical="center"/>
    </xf>
    <xf numFmtId="1" fontId="3" fillId="3" borderId="6" xfId="0" applyNumberFormat="1" applyFont="1" applyFill="1" applyBorder="1" applyAlignment="1">
      <alignment horizontal="left"/>
    </xf>
    <xf numFmtId="4" fontId="3" fillId="6" borderId="6" xfId="0" applyNumberFormat="1" applyFont="1" applyFill="1" applyBorder="1" applyAlignment="1">
      <alignment horizontal="right"/>
    </xf>
    <xf numFmtId="0" fontId="3" fillId="6" borderId="6" xfId="0" applyNumberFormat="1" applyFont="1" applyFill="1" applyBorder="1" applyAlignment="1">
      <alignment horizontal="center"/>
    </xf>
    <xf numFmtId="4" fontId="3" fillId="3" borderId="6" xfId="0" applyNumberFormat="1" applyFont="1" applyFill="1" applyBorder="1" applyAlignment="1">
      <alignment horizontal="right"/>
    </xf>
    <xf numFmtId="4" fontId="5" fillId="6" borderId="6" xfId="0" applyNumberFormat="1" applyFont="1" applyFill="1" applyBorder="1" applyAlignment="1">
      <alignment horizontal="right" vertical="center"/>
    </xf>
    <xf numFmtId="4" fontId="5" fillId="6" borderId="5" xfId="0" applyNumberFormat="1" applyFont="1" applyFill="1" applyBorder="1" applyAlignment="1">
      <alignment horizontal="center" vertical="center"/>
    </xf>
    <xf numFmtId="4" fontId="5" fillId="3" borderId="5" xfId="0" applyNumberFormat="1" applyFont="1" applyFill="1" applyBorder="1" applyAlignment="1">
      <alignment horizontal="right" vertical="center"/>
    </xf>
    <xf numFmtId="189" fontId="3" fillId="8" borderId="8" xfId="0" applyNumberFormat="1" applyFont="1" applyFill="1" applyBorder="1" applyAlignment="1">
      <alignment horizontal="center"/>
    </xf>
    <xf numFmtId="189" fontId="3" fillId="8" borderId="0" xfId="0" applyNumberFormat="1" applyFont="1" applyFill="1" applyBorder="1" applyAlignment="1">
      <alignment horizontal="center"/>
    </xf>
    <xf numFmtId="189" fontId="3" fillId="0" borderId="0" xfId="0" applyNumberFormat="1" applyFont="1" applyFill="1" applyBorder="1" applyAlignment="1">
      <alignment horizontal="center"/>
    </xf>
    <xf numFmtId="0" fontId="4" fillId="0" borderId="0" xfId="0" applyFont="1" applyFill="1" applyBorder="1" applyAlignment="1">
      <alignment horizontal="right"/>
    </xf>
    <xf numFmtId="4" fontId="3" fillId="3" borderId="4" xfId="0" applyNumberFormat="1" applyFont="1" applyFill="1" applyBorder="1" applyAlignment="1">
      <alignment horizontal="right"/>
    </xf>
    <xf numFmtId="4" fontId="3" fillId="6" borderId="4" xfId="0" applyNumberFormat="1" applyFont="1" applyFill="1" applyBorder="1" applyAlignment="1">
      <alignment horizontal="right"/>
    </xf>
    <xf numFmtId="4" fontId="3" fillId="3" borderId="7" xfId="0" applyNumberFormat="1" applyFont="1" applyFill="1" applyBorder="1" applyAlignment="1">
      <alignment horizontal="right"/>
    </xf>
    <xf numFmtId="2" fontId="5" fillId="3" borderId="0" xfId="0" applyNumberFormat="1" applyFont="1" applyFill="1" applyBorder="1" applyAlignment="1">
      <alignment horizontal="right" vertical="center"/>
    </xf>
    <xf numFmtId="2" fontId="5" fillId="6" borderId="0" xfId="0" applyNumberFormat="1" applyFont="1" applyFill="1" applyBorder="1" applyAlignment="1">
      <alignment horizontal="right" vertical="center"/>
    </xf>
    <xf numFmtId="3" fontId="51" fillId="6" borderId="4" xfId="0" applyNumberFormat="1" applyFont="1" applyFill="1" applyBorder="1" applyAlignment="1">
      <alignment horizontal="right"/>
    </xf>
    <xf numFmtId="190" fontId="51" fillId="3" borderId="4" xfId="0" applyNumberFormat="1" applyFont="1" applyFill="1" applyBorder="1" applyAlignment="1">
      <alignment horizontal="center"/>
    </xf>
    <xf numFmtId="3" fontId="5" fillId="6" borderId="5" xfId="0" quotePrefix="1" applyNumberFormat="1" applyFont="1" applyFill="1" applyBorder="1" applyAlignment="1">
      <alignment horizontal="right" vertical="center"/>
    </xf>
    <xf numFmtId="0" fontId="81" fillId="0" borderId="0" xfId="0" applyFont="1" applyBorder="1"/>
    <xf numFmtId="3" fontId="2" fillId="8" borderId="3" xfId="0" applyNumberFormat="1" applyFont="1" applyFill="1" applyBorder="1" applyAlignment="1">
      <alignment horizontal="left" vertical="top"/>
    </xf>
    <xf numFmtId="189" fontId="51" fillId="6" borderId="4" xfId="0" applyNumberFormat="1" applyFont="1" applyFill="1" applyBorder="1" applyAlignment="1">
      <alignment horizontal="right"/>
    </xf>
    <xf numFmtId="0" fontId="2" fillId="8" borderId="3" xfId="0" applyFont="1" applyFill="1" applyBorder="1" applyAlignment="1">
      <alignment vertical="top"/>
    </xf>
    <xf numFmtId="0" fontId="1" fillId="8" borderId="3" xfId="0" applyFont="1" applyFill="1" applyBorder="1"/>
    <xf numFmtId="0" fontId="5" fillId="3" borderId="0" xfId="0" applyFont="1" applyFill="1" applyBorder="1" applyAlignment="1">
      <alignment vertical="center" wrapText="1"/>
    </xf>
    <xf numFmtId="0" fontId="5" fillId="6" borderId="0" xfId="0" applyFont="1" applyFill="1" applyBorder="1" applyAlignment="1">
      <alignment vertical="center" wrapText="1"/>
    </xf>
    <xf numFmtId="0" fontId="3" fillId="3" borderId="0" xfId="0" applyFont="1" applyFill="1" applyBorder="1" applyAlignment="1">
      <alignment horizontal="center" vertical="center" wrapText="1"/>
    </xf>
    <xf numFmtId="0" fontId="3" fillId="6" borderId="0" xfId="0" applyFont="1" applyFill="1" applyBorder="1" applyAlignment="1">
      <alignment horizontal="center" vertical="center" wrapText="1"/>
    </xf>
    <xf numFmtId="0" fontId="3" fillId="6" borderId="0" xfId="0" applyFont="1" applyFill="1" applyBorder="1" applyAlignment="1">
      <alignment horizontal="right" vertical="center" wrapText="1"/>
    </xf>
    <xf numFmtId="0" fontId="5" fillId="3" borderId="3" xfId="0" applyFont="1" applyFill="1" applyBorder="1" applyAlignment="1">
      <alignment horizontal="left"/>
    </xf>
    <xf numFmtId="0" fontId="5" fillId="6" borderId="3" xfId="0" applyFont="1" applyFill="1" applyBorder="1" applyAlignment="1">
      <alignment horizontal="left"/>
    </xf>
    <xf numFmtId="0" fontId="5" fillId="3" borderId="0" xfId="0" applyFont="1" applyFill="1" applyBorder="1" applyAlignment="1">
      <alignment horizontal="left" vertical="center" wrapText="1"/>
    </xf>
    <xf numFmtId="0" fontId="5" fillId="6" borderId="6" xfId="0" applyFont="1" applyFill="1" applyBorder="1" applyAlignment="1">
      <alignment horizontal="left" vertical="center"/>
    </xf>
    <xf numFmtId="0" fontId="3" fillId="6" borderId="7" xfId="0" applyFont="1" applyFill="1" applyBorder="1" applyAlignment="1">
      <alignment horizontal="left" vertical="center"/>
    </xf>
    <xf numFmtId="0" fontId="5" fillId="3" borderId="12" xfId="0" applyFont="1" applyFill="1" applyBorder="1" applyAlignment="1">
      <alignment horizontal="left" vertical="center" wrapText="1"/>
    </xf>
    <xf numFmtId="0" fontId="5" fillId="6" borderId="27" xfId="0" applyFont="1" applyFill="1" applyBorder="1" applyAlignment="1">
      <alignment horizontal="left" vertical="center"/>
    </xf>
    <xf numFmtId="0" fontId="5" fillId="3" borderId="19" xfId="0" applyFont="1" applyFill="1" applyBorder="1" applyAlignment="1">
      <alignment horizontal="left" vertical="center"/>
    </xf>
    <xf numFmtId="0" fontId="5" fillId="3" borderId="4" xfId="0" applyFont="1" applyFill="1" applyBorder="1" applyAlignment="1">
      <alignment horizontal="left" vertical="center"/>
    </xf>
    <xf numFmtId="0" fontId="5" fillId="6" borderId="7" xfId="0" applyFont="1" applyFill="1" applyBorder="1" applyAlignment="1">
      <alignment horizontal="left" vertical="center"/>
    </xf>
    <xf numFmtId="0" fontId="44" fillId="3" borderId="0" xfId="0" applyFont="1" applyFill="1" applyBorder="1" applyAlignment="1">
      <alignment horizontal="left" vertical="center" wrapText="1"/>
    </xf>
    <xf numFmtId="0" fontId="44" fillId="6" borderId="27" xfId="0" applyFont="1" applyFill="1" applyBorder="1" applyAlignment="1">
      <alignment horizontal="left" vertical="center" wrapText="1"/>
    </xf>
    <xf numFmtId="3" fontId="44" fillId="3" borderId="7" xfId="0" applyNumberFormat="1" applyFont="1" applyFill="1" applyBorder="1" applyAlignment="1">
      <alignment vertical="center"/>
    </xf>
    <xf numFmtId="3" fontId="44" fillId="6" borderId="7" xfId="0" applyNumberFormat="1" applyFont="1" applyFill="1" applyBorder="1" applyAlignment="1">
      <alignment vertical="center"/>
    </xf>
    <xf numFmtId="0" fontId="44" fillId="6" borderId="27" xfId="0" applyFont="1" applyFill="1" applyBorder="1" applyAlignment="1">
      <alignment vertical="center" wrapText="1"/>
    </xf>
    <xf numFmtId="0" fontId="44" fillId="3" borderId="4" xfId="0" applyFont="1" applyFill="1" applyBorder="1" applyAlignment="1">
      <alignment vertical="center" wrapText="1"/>
    </xf>
    <xf numFmtId="0" fontId="5" fillId="3" borderId="7" xfId="0" applyFont="1" applyFill="1" applyBorder="1" applyAlignment="1">
      <alignment vertical="center"/>
    </xf>
    <xf numFmtId="0" fontId="5" fillId="6" borderId="7" xfId="0" applyFont="1" applyFill="1" applyBorder="1" applyAlignment="1">
      <alignment vertical="center"/>
    </xf>
    <xf numFmtId="0" fontId="5" fillId="6" borderId="5" xfId="0" applyFont="1" applyFill="1" applyBorder="1" applyAlignment="1">
      <alignment vertical="center"/>
    </xf>
    <xf numFmtId="3" fontId="8" fillId="0" borderId="0" xfId="0" quotePrefix="1" applyNumberFormat="1" applyFont="1" applyFill="1"/>
    <xf numFmtId="3" fontId="8" fillId="0" borderId="0" xfId="0" applyNumberFormat="1" applyFont="1" applyFill="1"/>
    <xf numFmtId="3" fontId="8" fillId="0" borderId="0" xfId="0" applyNumberFormat="1" applyFont="1" applyFill="1" applyAlignment="1">
      <alignment horizontal="center"/>
    </xf>
    <xf numFmtId="3" fontId="3" fillId="3" borderId="7" xfId="0" applyNumberFormat="1" applyFont="1" applyFill="1" applyBorder="1" applyAlignment="1">
      <alignment horizontal="center"/>
    </xf>
    <xf numFmtId="0" fontId="47" fillId="0" borderId="0" xfId="0" applyFont="1"/>
    <xf numFmtId="0" fontId="77" fillId="8" borderId="0" xfId="0" applyFont="1" applyFill="1" applyAlignment="1">
      <alignment vertical="top"/>
    </xf>
    <xf numFmtId="0" fontId="2" fillId="0" borderId="0" xfId="13" applyFont="1"/>
    <xf numFmtId="0" fontId="30" fillId="0" borderId="0" xfId="13"/>
    <xf numFmtId="0" fontId="18" fillId="0" borderId="0" xfId="13" applyFont="1"/>
    <xf numFmtId="0" fontId="18" fillId="0" borderId="0" xfId="13" applyFont="1" applyAlignment="1"/>
    <xf numFmtId="0" fontId="18" fillId="0" borderId="0" xfId="13" quotePrefix="1" applyFont="1" applyAlignment="1">
      <alignment horizontal="right"/>
    </xf>
    <xf numFmtId="0" fontId="23" fillId="0" borderId="0" xfId="13" applyFont="1"/>
    <xf numFmtId="0" fontId="2" fillId="0" borderId="0" xfId="12" applyFont="1"/>
    <xf numFmtId="0" fontId="30" fillId="0" borderId="0" xfId="12"/>
    <xf numFmtId="0" fontId="18" fillId="0" borderId="0" xfId="12" applyFont="1" applyAlignment="1"/>
    <xf numFmtId="0" fontId="18" fillId="0" borderId="0" xfId="12" applyFont="1"/>
    <xf numFmtId="0" fontId="30" fillId="0" borderId="0" xfId="12" applyAlignment="1"/>
    <xf numFmtId="2" fontId="18" fillId="0" borderId="0" xfId="12" quotePrefix="1" applyNumberFormat="1" applyFont="1"/>
    <xf numFmtId="0" fontId="18" fillId="0" borderId="0" xfId="12" quotePrefix="1" applyFont="1" applyAlignment="1">
      <alignment horizontal="right"/>
    </xf>
    <xf numFmtId="0" fontId="23" fillId="0" borderId="0" xfId="12" applyFont="1"/>
    <xf numFmtId="0" fontId="2" fillId="8" borderId="0" xfId="0" applyFont="1" applyFill="1" applyAlignment="1">
      <alignment horizontal="center"/>
    </xf>
    <xf numFmtId="0" fontId="2" fillId="0" borderId="3" xfId="0" applyFont="1" applyBorder="1"/>
    <xf numFmtId="0" fontId="5" fillId="6" borderId="25" xfId="0" applyFont="1" applyFill="1" applyBorder="1" applyAlignment="1" applyProtection="1">
      <alignment vertical="center"/>
    </xf>
    <xf numFmtId="0" fontId="3" fillId="6" borderId="25" xfId="0" applyFont="1" applyFill="1" applyBorder="1" applyProtection="1"/>
    <xf numFmtId="0" fontId="3" fillId="6" borderId="25" xfId="0" applyFont="1" applyFill="1" applyBorder="1" applyAlignment="1" applyProtection="1">
      <alignment horizontal="center"/>
    </xf>
    <xf numFmtId="0" fontId="5" fillId="3" borderId="0" xfId="0" applyFont="1" applyFill="1" applyBorder="1" applyAlignment="1">
      <alignment horizontal="center" vertical="center" wrapText="1"/>
    </xf>
    <xf numFmtId="0" fontId="5" fillId="6" borderId="25" xfId="0" applyFont="1" applyFill="1" applyBorder="1" applyAlignment="1">
      <alignment horizontal="left" vertical="center"/>
    </xf>
    <xf numFmtId="0" fontId="3" fillId="6" borderId="28" xfId="0" applyFont="1" applyFill="1" applyBorder="1" applyProtection="1"/>
    <xf numFmtId="0" fontId="3" fillId="3" borderId="2" xfId="0" applyFont="1" applyFill="1" applyBorder="1" applyProtection="1"/>
    <xf numFmtId="0" fontId="8" fillId="6" borderId="0"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44" fillId="3" borderId="0" xfId="0" applyFont="1" applyFill="1" applyBorder="1" applyAlignment="1">
      <alignment horizontal="center" vertical="center" wrapText="1"/>
    </xf>
    <xf numFmtId="0" fontId="44" fillId="6" borderId="0" xfId="0" applyFont="1" applyFill="1" applyBorder="1" applyAlignment="1">
      <alignment horizontal="center" vertical="center" wrapText="1"/>
    </xf>
    <xf numFmtId="0" fontId="5" fillId="3" borderId="0" xfId="0" applyFont="1" applyFill="1" applyBorder="1" applyAlignment="1" applyProtection="1">
      <alignment horizontal="center" vertical="center"/>
    </xf>
    <xf numFmtId="0" fontId="5" fillId="3" borderId="3" xfId="0" applyFont="1" applyFill="1" applyBorder="1" applyAlignment="1">
      <alignment horizontal="center" vertical="top"/>
    </xf>
    <xf numFmtId="0" fontId="5" fillId="6" borderId="3" xfId="0" applyFont="1" applyFill="1" applyBorder="1" applyAlignment="1">
      <alignment horizontal="center" vertical="top"/>
    </xf>
    <xf numFmtId="0" fontId="3" fillId="6" borderId="6" xfId="0" applyFont="1" applyFill="1" applyBorder="1" applyAlignment="1">
      <alignment horizontal="left"/>
    </xf>
    <xf numFmtId="190" fontId="5" fillId="3" borderId="6" xfId="0" applyNumberFormat="1" applyFont="1" applyFill="1" applyBorder="1" applyAlignment="1">
      <alignment horizontal="right"/>
    </xf>
    <xf numFmtId="190" fontId="5" fillId="6" borderId="6" xfId="0" applyNumberFormat="1" applyFont="1" applyFill="1" applyBorder="1" applyAlignment="1">
      <alignment horizontal="right"/>
    </xf>
    <xf numFmtId="190" fontId="44" fillId="3" borderId="6" xfId="0" applyNumberFormat="1" applyFont="1" applyFill="1" applyBorder="1" applyAlignment="1">
      <alignment horizontal="right"/>
    </xf>
    <xf numFmtId="190" fontId="44" fillId="6" borderId="6" xfId="0" applyNumberFormat="1" applyFont="1" applyFill="1" applyBorder="1" applyAlignment="1">
      <alignment horizontal="right"/>
    </xf>
    <xf numFmtId="0" fontId="3" fillId="6" borderId="7" xfId="0" applyFont="1" applyFill="1" applyBorder="1" applyAlignment="1">
      <alignment horizontal="left"/>
    </xf>
    <xf numFmtId="0" fontId="5" fillId="6" borderId="5" xfId="0" applyFont="1" applyFill="1" applyBorder="1" applyAlignment="1">
      <alignment horizontal="left" vertical="center"/>
    </xf>
    <xf numFmtId="190" fontId="3" fillId="6" borderId="6" xfId="0" applyNumberFormat="1" applyFont="1" applyFill="1" applyBorder="1" applyAlignment="1">
      <alignment horizontal="right" vertical="center"/>
    </xf>
    <xf numFmtId="190" fontId="3" fillId="3" borderId="6" xfId="0" applyNumberFormat="1" applyFont="1" applyFill="1" applyBorder="1" applyAlignment="1">
      <alignment horizontal="right" vertical="center"/>
    </xf>
    <xf numFmtId="190" fontId="3" fillId="3" borderId="6" xfId="0" applyNumberFormat="1" applyFont="1" applyFill="1" applyBorder="1" applyAlignment="1">
      <alignment horizontal="center" vertical="center"/>
    </xf>
    <xf numFmtId="190" fontId="5" fillId="6" borderId="6" xfId="0" applyNumberFormat="1" applyFont="1" applyFill="1" applyBorder="1" applyAlignment="1">
      <alignment horizontal="right" vertical="center"/>
    </xf>
    <xf numFmtId="190" fontId="5" fillId="3" borderId="5" xfId="0" applyNumberFormat="1" applyFont="1" applyFill="1" applyBorder="1" applyAlignment="1">
      <alignment horizontal="right" vertical="center"/>
    </xf>
    <xf numFmtId="190" fontId="44" fillId="3" borderId="5" xfId="0" applyNumberFormat="1" applyFont="1" applyFill="1" applyBorder="1" applyAlignment="1">
      <alignment horizontal="right" vertical="center"/>
    </xf>
    <xf numFmtId="190" fontId="44" fillId="6" borderId="5" xfId="0" applyNumberFormat="1" applyFont="1" applyFill="1" applyBorder="1" applyAlignment="1">
      <alignment horizontal="right" vertical="center"/>
    </xf>
    <xf numFmtId="0" fontId="8" fillId="8" borderId="8" xfId="0" applyFont="1" applyFill="1" applyBorder="1"/>
    <xf numFmtId="0" fontId="8" fillId="8" borderId="8" xfId="0" applyFont="1" applyFill="1" applyBorder="1" applyAlignment="1">
      <alignment horizontal="center"/>
    </xf>
    <xf numFmtId="0" fontId="8" fillId="8" borderId="0" xfId="0" applyFont="1" applyFill="1" applyBorder="1"/>
    <xf numFmtId="0" fontId="8" fillId="8" borderId="0" xfId="0" applyFont="1" applyFill="1" applyBorder="1" applyAlignment="1">
      <alignment horizontal="center"/>
    </xf>
    <xf numFmtId="0" fontId="8" fillId="8" borderId="0" xfId="0" applyFont="1" applyFill="1" applyAlignment="1">
      <alignment horizontal="center"/>
    </xf>
    <xf numFmtId="3" fontId="4" fillId="0" borderId="0" xfId="0" applyNumberFormat="1" applyFont="1" applyFill="1" applyAlignment="1">
      <alignment horizontal="right"/>
    </xf>
    <xf numFmtId="0" fontId="8" fillId="0" borderId="0" xfId="0" applyFont="1" applyFill="1" applyAlignment="1">
      <alignment horizontal="center"/>
    </xf>
    <xf numFmtId="0" fontId="2" fillId="8" borderId="3" xfId="0" applyFont="1" applyFill="1" applyBorder="1" applyAlignment="1">
      <alignment horizontal="right" vertical="top"/>
    </xf>
    <xf numFmtId="0" fontId="44" fillId="3" borderId="0" xfId="0" applyFont="1" applyFill="1" applyBorder="1" applyAlignment="1">
      <alignment horizontal="right" vertical="center" wrapText="1"/>
    </xf>
    <xf numFmtId="0" fontId="44" fillId="6" borderId="0" xfId="0" applyFont="1" applyFill="1" applyBorder="1" applyAlignment="1">
      <alignment horizontal="right" vertical="center" wrapText="1"/>
    </xf>
    <xf numFmtId="0" fontId="44" fillId="3" borderId="3" xfId="0" applyFont="1" applyFill="1" applyBorder="1" applyAlignment="1">
      <alignment horizontal="right"/>
    </xf>
    <xf numFmtId="0" fontId="3" fillId="6" borderId="3" xfId="0" applyFont="1" applyFill="1" applyBorder="1"/>
    <xf numFmtId="3" fontId="44" fillId="3" borderId="4" xfId="0" applyNumberFormat="1" applyFont="1" applyFill="1" applyBorder="1" applyAlignment="1">
      <alignment horizontal="right" vertical="center"/>
    </xf>
    <xf numFmtId="3" fontId="44" fillId="6" borderId="4" xfId="0" applyNumberFormat="1" applyFont="1" applyFill="1" applyBorder="1" applyAlignment="1">
      <alignment vertical="center"/>
    </xf>
    <xf numFmtId="3" fontId="51" fillId="6" borderId="5" xfId="0" applyNumberFormat="1" applyFont="1" applyFill="1" applyBorder="1" applyAlignment="1">
      <alignment vertical="center"/>
    </xf>
    <xf numFmtId="190" fontId="44" fillId="6" borderId="17" xfId="0" applyNumberFormat="1" applyFont="1" applyFill="1" applyBorder="1" applyAlignment="1">
      <alignment vertical="center"/>
    </xf>
    <xf numFmtId="3" fontId="80" fillId="6" borderId="17" xfId="0" applyNumberFormat="1" applyFont="1" applyFill="1" applyBorder="1" applyAlignment="1">
      <alignment vertical="center"/>
    </xf>
    <xf numFmtId="3" fontId="80" fillId="3" borderId="17" xfId="0" applyNumberFormat="1" applyFont="1" applyFill="1" applyBorder="1" applyAlignment="1">
      <alignment vertical="center"/>
    </xf>
    <xf numFmtId="190" fontId="80" fillId="3" borderId="17" xfId="0" applyNumberFormat="1" applyFont="1" applyFill="1" applyBorder="1" applyAlignment="1">
      <alignment vertical="center"/>
    </xf>
    <xf numFmtId="0" fontId="71" fillId="2" borderId="0" xfId="0" applyFont="1" applyFill="1" applyAlignment="1">
      <alignment horizontal="right"/>
    </xf>
    <xf numFmtId="0" fontId="1" fillId="0" borderId="3" xfId="0" applyFont="1" applyBorder="1" applyAlignment="1">
      <alignment horizontal="center"/>
    </xf>
    <xf numFmtId="0" fontId="3" fillId="6" borderId="4" xfId="0" applyFont="1" applyFill="1" applyBorder="1" applyAlignment="1">
      <alignment horizontal="left"/>
    </xf>
    <xf numFmtId="3" fontId="3" fillId="3" borderId="4" xfId="0" applyNumberFormat="1" applyFont="1" applyFill="1" applyBorder="1" applyAlignment="1">
      <alignment horizontal="center" vertical="center"/>
    </xf>
    <xf numFmtId="3" fontId="3" fillId="6" borderId="4" xfId="0" applyNumberFormat="1" applyFont="1" applyFill="1" applyBorder="1" applyAlignment="1">
      <alignment horizontal="center" vertical="center"/>
    </xf>
    <xf numFmtId="3" fontId="3" fillId="3" borderId="7" xfId="0" applyNumberFormat="1" applyFont="1" applyFill="1" applyBorder="1" applyAlignment="1">
      <alignment horizontal="center" vertical="center"/>
    </xf>
    <xf numFmtId="3" fontId="3" fillId="6" borderId="7" xfId="0" applyNumberFormat="1" applyFont="1" applyFill="1" applyBorder="1" applyAlignment="1">
      <alignment horizontal="center" vertical="center"/>
    </xf>
    <xf numFmtId="3" fontId="5" fillId="3" borderId="0" xfId="0" applyNumberFormat="1" applyFont="1" applyFill="1" applyBorder="1" applyAlignment="1">
      <alignment horizontal="center" vertical="center"/>
    </xf>
    <xf numFmtId="3" fontId="5" fillId="3" borderId="4" xfId="0" applyNumberFormat="1" applyFont="1" applyFill="1" applyBorder="1" applyAlignment="1">
      <alignment horizontal="center" vertical="center"/>
    </xf>
    <xf numFmtId="3" fontId="5" fillId="6" borderId="5" xfId="0" applyNumberFormat="1" applyFont="1" applyFill="1" applyBorder="1" applyAlignment="1">
      <alignment horizontal="center" vertical="center"/>
    </xf>
    <xf numFmtId="3" fontId="3" fillId="10" borderId="4" xfId="0" applyNumberFormat="1" applyFont="1" applyFill="1" applyBorder="1" applyAlignment="1">
      <alignment horizontal="right"/>
    </xf>
    <xf numFmtId="0" fontId="3" fillId="9" borderId="4" xfId="0" quotePrefix="1" applyFont="1" applyFill="1" applyBorder="1" applyAlignment="1">
      <alignment horizontal="right"/>
    </xf>
    <xf numFmtId="3" fontId="3" fillId="10" borderId="7" xfId="0" applyNumberFormat="1" applyFont="1" applyFill="1" applyBorder="1" applyAlignment="1">
      <alignment horizontal="right"/>
    </xf>
    <xf numFmtId="0" fontId="3" fillId="9" borderId="7" xfId="0" quotePrefix="1" applyFont="1" applyFill="1" applyBorder="1" applyAlignment="1">
      <alignment horizontal="right"/>
    </xf>
    <xf numFmtId="3" fontId="5" fillId="10" borderId="0" xfId="0" applyNumberFormat="1" applyFont="1" applyFill="1" applyBorder="1" applyAlignment="1">
      <alignment horizontal="right" vertical="center"/>
    </xf>
    <xf numFmtId="0" fontId="5" fillId="9" borderId="0" xfId="0" quotePrefix="1" applyFont="1" applyFill="1" applyBorder="1" applyAlignment="1">
      <alignment horizontal="right" vertical="center"/>
    </xf>
    <xf numFmtId="190" fontId="5" fillId="9" borderId="7" xfId="0" quotePrefix="1" applyNumberFormat="1" applyFont="1" applyFill="1" applyBorder="1" applyAlignment="1">
      <alignment horizontal="right" vertical="center"/>
    </xf>
    <xf numFmtId="190" fontId="1" fillId="8" borderId="0" xfId="0" applyNumberFormat="1" applyFont="1" applyFill="1" applyAlignment="1">
      <alignment horizontal="center"/>
    </xf>
    <xf numFmtId="0" fontId="2" fillId="8" borderId="0" xfId="0" applyFont="1" applyFill="1" applyBorder="1" applyAlignment="1">
      <alignment vertical="top"/>
    </xf>
    <xf numFmtId="0" fontId="18" fillId="3" borderId="0" xfId="0" applyFont="1" applyFill="1" applyBorder="1" applyAlignment="1">
      <alignment horizontal="center"/>
    </xf>
    <xf numFmtId="0" fontId="71" fillId="3" borderId="0" xfId="0" applyFont="1" applyFill="1" applyBorder="1" applyAlignment="1">
      <alignment horizontal="right"/>
    </xf>
    <xf numFmtId="190" fontId="18" fillId="6" borderId="0" xfId="0" applyNumberFormat="1" applyFont="1" applyFill="1" applyBorder="1" applyAlignment="1">
      <alignment horizontal="center"/>
    </xf>
    <xf numFmtId="190" fontId="18" fillId="6" borderId="3" xfId="0" applyNumberFormat="1" applyFont="1" applyFill="1" applyBorder="1" applyAlignment="1">
      <alignment horizontal="center" vertical="top"/>
    </xf>
    <xf numFmtId="0" fontId="18" fillId="6" borderId="3" xfId="0" applyFont="1" applyFill="1" applyBorder="1" applyAlignment="1">
      <alignment horizontal="center" vertical="top"/>
    </xf>
    <xf numFmtId="190" fontId="71" fillId="6" borderId="3" xfId="0" applyNumberFormat="1" applyFont="1" applyFill="1" applyBorder="1" applyAlignment="1">
      <alignment horizontal="center" vertical="top"/>
    </xf>
    <xf numFmtId="3" fontId="3" fillId="6" borderId="4" xfId="0" quotePrefix="1" applyNumberFormat="1" applyFont="1" applyFill="1" applyBorder="1" applyAlignment="1">
      <alignment horizontal="right"/>
    </xf>
    <xf numFmtId="3" fontId="3" fillId="3" borderId="4" xfId="0" quotePrefix="1" applyNumberFormat="1" applyFont="1" applyFill="1" applyBorder="1" applyAlignment="1">
      <alignment horizontal="right"/>
    </xf>
    <xf numFmtId="3" fontId="44" fillId="6" borderId="4" xfId="0" quotePrefix="1" applyNumberFormat="1" applyFont="1" applyFill="1" applyBorder="1" applyAlignment="1">
      <alignment horizontal="right"/>
    </xf>
    <xf numFmtId="3" fontId="44" fillId="3" borderId="4" xfId="0" quotePrefix="1" applyNumberFormat="1" applyFont="1" applyFill="1" applyBorder="1" applyAlignment="1">
      <alignment horizontal="right"/>
    </xf>
    <xf numFmtId="3" fontId="3" fillId="6" borderId="7" xfId="0" quotePrefix="1" applyNumberFormat="1" applyFont="1" applyFill="1" applyBorder="1" applyAlignment="1">
      <alignment horizontal="right"/>
    </xf>
    <xf numFmtId="3" fontId="3" fillId="3" borderId="7" xfId="0" quotePrefix="1" applyNumberFormat="1" applyFont="1" applyFill="1" applyBorder="1" applyAlignment="1">
      <alignment horizontal="right"/>
    </xf>
    <xf numFmtId="3" fontId="44" fillId="6" borderId="7" xfId="0" quotePrefix="1" applyNumberFormat="1" applyFont="1" applyFill="1" applyBorder="1" applyAlignment="1">
      <alignment horizontal="right"/>
    </xf>
    <xf numFmtId="3" fontId="44" fillId="3" borderId="7" xfId="0" quotePrefix="1" applyNumberFormat="1" applyFont="1" applyFill="1" applyBorder="1" applyAlignment="1">
      <alignment horizontal="right"/>
    </xf>
    <xf numFmtId="3" fontId="44" fillId="6" borderId="7" xfId="0" applyNumberFormat="1" applyFont="1" applyFill="1" applyBorder="1" applyAlignment="1">
      <alignment horizontal="right"/>
    </xf>
    <xf numFmtId="3" fontId="5" fillId="6" borderId="0" xfId="0" quotePrefix="1" applyNumberFormat="1" applyFont="1" applyFill="1" applyBorder="1" applyAlignment="1">
      <alignment horizontal="right" vertical="center"/>
    </xf>
    <xf numFmtId="3" fontId="51" fillId="6" borderId="5" xfId="0" applyNumberFormat="1" applyFont="1" applyFill="1" applyBorder="1" applyAlignment="1">
      <alignment horizontal="right" vertical="center"/>
    </xf>
    <xf numFmtId="3" fontId="51" fillId="3" borderId="5" xfId="0" applyNumberFormat="1" applyFont="1" applyFill="1" applyBorder="1" applyAlignment="1">
      <alignment horizontal="right" vertical="center"/>
    </xf>
    <xf numFmtId="190" fontId="4" fillId="8" borderId="8" xfId="0" applyNumberFormat="1" applyFont="1" applyFill="1" applyBorder="1" applyAlignment="1">
      <alignment horizontal="center"/>
    </xf>
    <xf numFmtId="190" fontId="4" fillId="8" borderId="0" xfId="0" applyNumberFormat="1" applyFont="1" applyFill="1" applyBorder="1" applyAlignment="1">
      <alignment horizontal="center"/>
    </xf>
    <xf numFmtId="3" fontId="51" fillId="3" borderId="0" xfId="0" applyNumberFormat="1" applyFont="1" applyFill="1" applyBorder="1" applyAlignment="1">
      <alignment horizontal="right" vertical="center"/>
    </xf>
    <xf numFmtId="0" fontId="2" fillId="0" borderId="0" xfId="11" applyFont="1"/>
    <xf numFmtId="0" fontId="30" fillId="0" borderId="0" xfId="11"/>
    <xf numFmtId="2" fontId="48" fillId="0" borderId="0" xfId="11" applyNumberFormat="1" applyFont="1"/>
    <xf numFmtId="0" fontId="48" fillId="0" borderId="0" xfId="11" applyFont="1"/>
    <xf numFmtId="0" fontId="30" fillId="0" borderId="0" xfId="1" applyFont="1"/>
    <xf numFmtId="0" fontId="48" fillId="0" borderId="0" xfId="11" applyFont="1" applyFill="1"/>
    <xf numFmtId="0" fontId="18" fillId="0" borderId="0" xfId="11" applyFont="1" applyAlignment="1"/>
    <xf numFmtId="0" fontId="48" fillId="0" borderId="0" xfId="11" applyFont="1" applyAlignment="1"/>
    <xf numFmtId="0" fontId="4" fillId="0" borderId="0" xfId="11" applyFont="1" applyAlignment="1"/>
    <xf numFmtId="0" fontId="23" fillId="0" borderId="0" xfId="11" applyFont="1"/>
    <xf numFmtId="0" fontId="4" fillId="0" borderId="0" xfId="23" applyFont="1"/>
    <xf numFmtId="0" fontId="2" fillId="0" borderId="0" xfId="23" applyFont="1"/>
    <xf numFmtId="0" fontId="87" fillId="0" borderId="0" xfId="23"/>
    <xf numFmtId="0" fontId="4" fillId="0" borderId="11" xfId="23" applyFont="1" applyBorder="1"/>
    <xf numFmtId="0" fontId="4" fillId="6" borderId="8" xfId="23" applyFont="1" applyFill="1" applyBorder="1" applyAlignment="1">
      <alignment horizontal="right"/>
    </xf>
    <xf numFmtId="0" fontId="4" fillId="3" borderId="8" xfId="23" applyFont="1" applyFill="1" applyBorder="1" applyAlignment="1">
      <alignment horizontal="right"/>
    </xf>
    <xf numFmtId="190" fontId="23" fillId="6" borderId="0" xfId="23" applyNumberFormat="1" applyFont="1" applyFill="1" applyBorder="1" applyAlignment="1">
      <alignment horizontal="center"/>
    </xf>
    <xf numFmtId="190" fontId="23" fillId="3" borderId="0" xfId="23" applyNumberFormat="1" applyFont="1" applyFill="1" applyBorder="1" applyAlignment="1">
      <alignment horizontal="center"/>
    </xf>
    <xf numFmtId="190" fontId="23" fillId="0" borderId="0" xfId="23" applyNumberFormat="1" applyFont="1" applyFill="1" applyBorder="1" applyAlignment="1">
      <alignment horizontal="center"/>
    </xf>
    <xf numFmtId="0" fontId="23" fillId="6" borderId="8" xfId="23" applyFont="1" applyFill="1" applyBorder="1" applyAlignment="1">
      <alignment horizontal="center"/>
    </xf>
    <xf numFmtId="0" fontId="23" fillId="0" borderId="8" xfId="23" applyFont="1" applyFill="1" applyBorder="1" applyAlignment="1">
      <alignment horizontal="center"/>
    </xf>
    <xf numFmtId="0" fontId="79" fillId="3" borderId="8" xfId="23" applyFont="1" applyFill="1" applyBorder="1" applyAlignment="1">
      <alignment horizontal="center"/>
    </xf>
    <xf numFmtId="0" fontId="79" fillId="6" borderId="0" xfId="23" applyFont="1" applyFill="1" applyBorder="1" applyAlignment="1">
      <alignment horizontal="left"/>
    </xf>
    <xf numFmtId="0" fontId="4" fillId="6" borderId="0" xfId="23" applyFont="1" applyFill="1" applyBorder="1" applyAlignment="1">
      <alignment horizontal="right"/>
    </xf>
    <xf numFmtId="0" fontId="8" fillId="3" borderId="0" xfId="23" applyFont="1" applyFill="1" applyBorder="1" applyAlignment="1">
      <alignment horizontal="center"/>
    </xf>
    <xf numFmtId="0" fontId="8" fillId="6" borderId="0" xfId="23" applyFont="1" applyFill="1" applyBorder="1" applyAlignment="1">
      <alignment horizontal="center"/>
    </xf>
    <xf numFmtId="0" fontId="8" fillId="0" borderId="0" xfId="23" applyFont="1" applyFill="1" applyBorder="1" applyAlignment="1">
      <alignment horizontal="center"/>
    </xf>
    <xf numFmtId="0" fontId="23" fillId="6" borderId="0" xfId="23" applyFont="1" applyFill="1" applyBorder="1" applyAlignment="1">
      <alignment horizontal="center"/>
    </xf>
    <xf numFmtId="0" fontId="23" fillId="0" borderId="0" xfId="23" applyFont="1" applyFill="1" applyBorder="1" applyAlignment="1">
      <alignment horizontal="center"/>
    </xf>
    <xf numFmtId="0" fontId="79" fillId="3" borderId="0" xfId="23" applyFont="1" applyFill="1" applyBorder="1" applyAlignment="1">
      <alignment horizontal="center"/>
    </xf>
    <xf numFmtId="0" fontId="4" fillId="3" borderId="0" xfId="23" applyFont="1" applyFill="1" applyBorder="1" applyAlignment="1">
      <alignment horizontal="center"/>
    </xf>
    <xf numFmtId="0" fontId="4" fillId="6" borderId="0" xfId="23" applyFont="1" applyFill="1" applyBorder="1" applyAlignment="1">
      <alignment horizontal="center"/>
    </xf>
    <xf numFmtId="190" fontId="23" fillId="6" borderId="0" xfId="23" applyNumberFormat="1" applyFont="1" applyFill="1" applyBorder="1" applyAlignment="1">
      <alignment horizontal="center" vertical="top"/>
    </xf>
    <xf numFmtId="190" fontId="23" fillId="3" borderId="0" xfId="23" applyNumberFormat="1" applyFont="1" applyFill="1" applyBorder="1" applyAlignment="1">
      <alignment horizontal="center" vertical="top"/>
    </xf>
    <xf numFmtId="190" fontId="23" fillId="0" borderId="0" xfId="23" applyNumberFormat="1" applyFont="1" applyFill="1" applyBorder="1" applyAlignment="1">
      <alignment horizontal="center" vertical="top"/>
    </xf>
    <xf numFmtId="0" fontId="79" fillId="6" borderId="3" xfId="23" applyFont="1" applyFill="1" applyBorder="1" applyAlignment="1">
      <alignment horizontal="left"/>
    </xf>
    <xf numFmtId="0" fontId="4" fillId="6" borderId="3" xfId="23" applyFont="1" applyFill="1" applyBorder="1"/>
    <xf numFmtId="0" fontId="4" fillId="3" borderId="3" xfId="23" applyFont="1" applyFill="1" applyBorder="1" applyAlignment="1">
      <alignment horizontal="center"/>
    </xf>
    <xf numFmtId="0" fontId="4" fillId="6" borderId="3" xfId="23" applyFont="1" applyFill="1" applyBorder="1" applyAlignment="1">
      <alignment horizontal="center"/>
    </xf>
    <xf numFmtId="190" fontId="23" fillId="6" borderId="3" xfId="23" applyNumberFormat="1" applyFont="1" applyFill="1" applyBorder="1" applyAlignment="1">
      <alignment horizontal="center" vertical="top"/>
    </xf>
    <xf numFmtId="190" fontId="23" fillId="3" borderId="3" xfId="23" applyNumberFormat="1" applyFont="1" applyFill="1" applyBorder="1" applyAlignment="1">
      <alignment horizontal="center" vertical="top"/>
    </xf>
    <xf numFmtId="190" fontId="23" fillId="0" borderId="3" xfId="23" applyNumberFormat="1" applyFont="1" applyFill="1" applyBorder="1" applyAlignment="1">
      <alignment horizontal="center" vertical="top"/>
    </xf>
    <xf numFmtId="0" fontId="23" fillId="6" borderId="3" xfId="23" applyFont="1" applyFill="1" applyBorder="1" applyAlignment="1">
      <alignment horizontal="center"/>
    </xf>
    <xf numFmtId="0" fontId="23" fillId="0" borderId="3" xfId="23" applyFont="1" applyFill="1" applyBorder="1" applyAlignment="1">
      <alignment horizontal="center"/>
    </xf>
    <xf numFmtId="0" fontId="8" fillId="6" borderId="4" xfId="23" applyFont="1" applyFill="1" applyBorder="1"/>
    <xf numFmtId="0" fontId="4" fillId="6" borderId="4" xfId="23" applyFont="1" applyFill="1" applyBorder="1"/>
    <xf numFmtId="189" fontId="4" fillId="3" borderId="4" xfId="23" applyNumberFormat="1" applyFont="1" applyFill="1" applyBorder="1" applyAlignment="1">
      <alignment horizontal="center"/>
    </xf>
    <xf numFmtId="189" fontId="4" fillId="6" borderId="4" xfId="23" applyNumberFormat="1" applyFont="1" applyFill="1" applyBorder="1" applyAlignment="1">
      <alignment horizontal="center"/>
    </xf>
    <xf numFmtId="189" fontId="4" fillId="0" borderId="4" xfId="23" applyNumberFormat="1" applyFont="1" applyFill="1" applyBorder="1" applyAlignment="1">
      <alignment horizontal="center"/>
    </xf>
    <xf numFmtId="190" fontId="4" fillId="3" borderId="4" xfId="23" applyNumberFormat="1" applyFont="1" applyFill="1" applyBorder="1" applyAlignment="1">
      <alignment horizontal="center"/>
    </xf>
    <xf numFmtId="190" fontId="4" fillId="6" borderId="4" xfId="23" applyNumberFormat="1" applyFont="1" applyFill="1" applyBorder="1" applyAlignment="1">
      <alignment horizontal="center"/>
    </xf>
    <xf numFmtId="190" fontId="4" fillId="0" borderId="4" xfId="23" applyNumberFormat="1" applyFont="1" applyFill="1" applyBorder="1" applyAlignment="1">
      <alignment horizontal="center"/>
    </xf>
    <xf numFmtId="0" fontId="4" fillId="6" borderId="7" xfId="23" applyFont="1" applyFill="1" applyBorder="1"/>
    <xf numFmtId="0" fontId="23" fillId="6" borderId="7" xfId="23" applyFont="1" applyFill="1" applyBorder="1"/>
    <xf numFmtId="189" fontId="23" fillId="3" borderId="7" xfId="23" applyNumberFormat="1" applyFont="1" applyFill="1" applyBorder="1" applyAlignment="1">
      <alignment horizontal="right"/>
    </xf>
    <xf numFmtId="189" fontId="23" fillId="6" borderId="7" xfId="23" applyNumberFormat="1" applyFont="1" applyFill="1" applyBorder="1" applyAlignment="1">
      <alignment horizontal="right"/>
    </xf>
    <xf numFmtId="189" fontId="23" fillId="0" borderId="7" xfId="23" applyNumberFormat="1" applyFont="1" applyFill="1" applyBorder="1" applyAlignment="1">
      <alignment horizontal="right"/>
    </xf>
    <xf numFmtId="190" fontId="23" fillId="3" borderId="7" xfId="23" applyNumberFormat="1" applyFont="1" applyFill="1" applyBorder="1" applyAlignment="1">
      <alignment horizontal="right"/>
    </xf>
    <xf numFmtId="190" fontId="23" fillId="6" borderId="7" xfId="23" applyNumberFormat="1" applyFont="1" applyFill="1" applyBorder="1" applyAlignment="1">
      <alignment horizontal="right"/>
    </xf>
    <xf numFmtId="190" fontId="23" fillId="0" borderId="7" xfId="23" applyNumberFormat="1" applyFont="1" applyFill="1" applyBorder="1" applyAlignment="1">
      <alignment horizontal="right"/>
    </xf>
    <xf numFmtId="189" fontId="4" fillId="3" borderId="7" xfId="23" applyNumberFormat="1" applyFont="1" applyFill="1" applyBorder="1"/>
    <xf numFmtId="189" fontId="4" fillId="6" borderId="7" xfId="23" applyNumberFormat="1" applyFont="1" applyFill="1" applyBorder="1"/>
    <xf numFmtId="189" fontId="4" fillId="0" borderId="7" xfId="23" applyNumberFormat="1" applyFont="1" applyFill="1" applyBorder="1"/>
    <xf numFmtId="190" fontId="4" fillId="3" borderId="7" xfId="23" applyNumberFormat="1" applyFont="1" applyFill="1" applyBorder="1"/>
    <xf numFmtId="190" fontId="4" fillId="6" borderId="7" xfId="23" applyNumberFormat="1" applyFont="1" applyFill="1" applyBorder="1"/>
    <xf numFmtId="190" fontId="4" fillId="0" borderId="7" xfId="23" applyNumberFormat="1" applyFont="1" applyFill="1" applyBorder="1"/>
    <xf numFmtId="3" fontId="26" fillId="3" borderId="7" xfId="23" applyNumberFormat="1" applyFont="1" applyFill="1" applyBorder="1"/>
    <xf numFmtId="0" fontId="8" fillId="6" borderId="7" xfId="23" applyFont="1" applyFill="1" applyBorder="1"/>
    <xf numFmtId="189" fontId="4" fillId="3" borderId="7" xfId="23" applyNumberFormat="1" applyFont="1" applyFill="1" applyBorder="1" applyAlignment="1">
      <alignment horizontal="center"/>
    </xf>
    <xf numFmtId="189" fontId="4" fillId="6" borderId="7" xfId="23" applyNumberFormat="1" applyFont="1" applyFill="1" applyBorder="1" applyAlignment="1">
      <alignment horizontal="center"/>
    </xf>
    <xf numFmtId="190" fontId="4" fillId="0" borderId="7" xfId="23" applyNumberFormat="1" applyFont="1" applyFill="1" applyBorder="1" applyAlignment="1">
      <alignment horizontal="center"/>
    </xf>
    <xf numFmtId="190" fontId="4" fillId="3" borderId="7" xfId="23" applyNumberFormat="1" applyFont="1" applyFill="1" applyBorder="1" applyAlignment="1">
      <alignment horizontal="center"/>
    </xf>
    <xf numFmtId="190" fontId="4" fillId="6" borderId="7" xfId="23" applyNumberFormat="1" applyFont="1" applyFill="1" applyBorder="1" applyAlignment="1">
      <alignment horizontal="center"/>
    </xf>
    <xf numFmtId="3" fontId="26" fillId="0" borderId="7" xfId="23" applyNumberFormat="1" applyFont="1" applyFill="1" applyBorder="1" applyAlignment="1">
      <alignment horizontal="center"/>
    </xf>
    <xf numFmtId="3" fontId="26" fillId="3" borderId="7" xfId="23" applyNumberFormat="1" applyFont="1" applyFill="1" applyBorder="1" applyAlignment="1">
      <alignment horizontal="center"/>
    </xf>
    <xf numFmtId="0" fontId="87" fillId="0" borderId="0" xfId="23" applyFill="1"/>
    <xf numFmtId="0" fontId="4" fillId="3" borderId="7" xfId="23" applyFont="1" applyFill="1" applyBorder="1"/>
    <xf numFmtId="0" fontId="4" fillId="0" borderId="7" xfId="23" applyFont="1" applyFill="1" applyBorder="1"/>
    <xf numFmtId="189" fontId="4" fillId="0" borderId="7" xfId="23" applyNumberFormat="1" applyFont="1" applyFill="1" applyBorder="1" applyAlignment="1">
      <alignment horizontal="center"/>
    </xf>
    <xf numFmtId="3" fontId="72" fillId="3" borderId="7" xfId="23" applyNumberFormat="1" applyFont="1" applyFill="1" applyBorder="1" applyAlignment="1">
      <alignment horizontal="right"/>
    </xf>
    <xf numFmtId="189" fontId="8" fillId="3" borderId="7" xfId="23" applyNumberFormat="1" applyFont="1" applyFill="1" applyBorder="1"/>
    <xf numFmtId="189" fontId="8" fillId="6" borderId="7" xfId="23" applyNumberFormat="1" applyFont="1" applyFill="1" applyBorder="1"/>
    <xf numFmtId="189" fontId="8" fillId="0" borderId="7" xfId="23" applyNumberFormat="1" applyFont="1" applyFill="1" applyBorder="1"/>
    <xf numFmtId="190" fontId="8" fillId="3" borderId="7" xfId="23" applyNumberFormat="1" applyFont="1" applyFill="1" applyBorder="1"/>
    <xf numFmtId="190" fontId="8" fillId="6" borderId="7" xfId="23" applyNumberFormat="1" applyFont="1" applyFill="1" applyBorder="1"/>
    <xf numFmtId="190" fontId="8" fillId="0" borderId="7" xfId="23" applyNumberFormat="1" applyFont="1" applyFill="1" applyBorder="1"/>
    <xf numFmtId="3" fontId="79" fillId="3" borderId="7" xfId="23" applyNumberFormat="1" applyFont="1" applyFill="1" applyBorder="1"/>
    <xf numFmtId="189" fontId="8" fillId="3" borderId="7" xfId="23" applyNumberFormat="1" applyFont="1" applyFill="1" applyBorder="1" applyAlignment="1">
      <alignment horizontal="left"/>
    </xf>
    <xf numFmtId="189" fontId="8" fillId="6" borderId="7" xfId="23" applyNumberFormat="1" applyFont="1" applyFill="1" applyBorder="1" applyAlignment="1">
      <alignment horizontal="left"/>
    </xf>
    <xf numFmtId="189" fontId="8" fillId="0" borderId="7" xfId="23" applyNumberFormat="1" applyFont="1" applyFill="1" applyBorder="1" applyAlignment="1">
      <alignment horizontal="left"/>
    </xf>
    <xf numFmtId="190" fontId="8" fillId="3" borderId="7" xfId="23" applyNumberFormat="1" applyFont="1" applyFill="1" applyBorder="1" applyAlignment="1">
      <alignment horizontal="left"/>
    </xf>
    <xf numFmtId="190" fontId="8" fillId="6" borderId="7" xfId="23" applyNumberFormat="1" applyFont="1" applyFill="1" applyBorder="1" applyAlignment="1">
      <alignment horizontal="left"/>
    </xf>
    <xf numFmtId="190" fontId="8" fillId="0" borderId="7" xfId="23" applyNumberFormat="1" applyFont="1" applyFill="1" applyBorder="1" applyAlignment="1">
      <alignment horizontal="left"/>
    </xf>
    <xf numFmtId="3" fontId="79" fillId="3" borderId="7" xfId="23" applyNumberFormat="1" applyFont="1" applyFill="1" applyBorder="1" applyAlignment="1">
      <alignment horizontal="left"/>
    </xf>
    <xf numFmtId="189" fontId="32" fillId="3" borderId="7" xfId="23" applyNumberFormat="1" applyFont="1" applyFill="1" applyBorder="1" applyAlignment="1">
      <alignment horizontal="center"/>
    </xf>
    <xf numFmtId="189" fontId="32" fillId="6" borderId="7" xfId="23" applyNumberFormat="1" applyFont="1" applyFill="1" applyBorder="1" applyAlignment="1">
      <alignment horizontal="center"/>
    </xf>
    <xf numFmtId="189" fontId="32" fillId="0" borderId="7" xfId="23" applyNumberFormat="1" applyFont="1" applyFill="1" applyBorder="1" applyAlignment="1">
      <alignment horizontal="center"/>
    </xf>
    <xf numFmtId="190" fontId="32" fillId="3" borderId="7" xfId="23" applyNumberFormat="1" applyFont="1" applyFill="1" applyBorder="1" applyAlignment="1">
      <alignment horizontal="center"/>
    </xf>
    <xf numFmtId="190" fontId="32" fillId="6" borderId="7" xfId="23" applyNumberFormat="1" applyFont="1" applyFill="1" applyBorder="1" applyAlignment="1">
      <alignment horizontal="center"/>
    </xf>
    <xf numFmtId="190" fontId="32" fillId="0" borderId="7" xfId="23" applyNumberFormat="1" applyFont="1" applyFill="1" applyBorder="1" applyAlignment="1">
      <alignment horizontal="center"/>
    </xf>
    <xf numFmtId="3" fontId="91" fillId="3" borderId="7" xfId="23" applyNumberFormat="1" applyFont="1" applyFill="1" applyBorder="1" applyAlignment="1">
      <alignment horizontal="center"/>
    </xf>
    <xf numFmtId="0" fontId="4" fillId="6" borderId="12" xfId="23" applyFont="1" applyFill="1" applyBorder="1"/>
    <xf numFmtId="0" fontId="23" fillId="6" borderId="12" xfId="23" applyFont="1" applyFill="1" applyBorder="1"/>
    <xf numFmtId="189" fontId="32" fillId="3" borderId="12" xfId="23" applyNumberFormat="1" applyFont="1" applyFill="1" applyBorder="1" applyAlignment="1">
      <alignment horizontal="center"/>
    </xf>
    <xf numFmtId="189" fontId="32" fillId="6" borderId="12" xfId="23" applyNumberFormat="1" applyFont="1" applyFill="1" applyBorder="1" applyAlignment="1">
      <alignment horizontal="center"/>
    </xf>
    <xf numFmtId="189" fontId="32" fillId="0" borderId="12" xfId="23" applyNumberFormat="1" applyFont="1" applyFill="1" applyBorder="1" applyAlignment="1">
      <alignment horizontal="center"/>
    </xf>
    <xf numFmtId="190" fontId="32" fillId="3" borderId="12" xfId="23" applyNumberFormat="1" applyFont="1" applyFill="1" applyBorder="1" applyAlignment="1">
      <alignment horizontal="center"/>
    </xf>
    <xf numFmtId="190" fontId="32" fillId="6" borderId="12" xfId="23" applyNumberFormat="1" applyFont="1" applyFill="1" applyBorder="1" applyAlignment="1">
      <alignment horizontal="center"/>
    </xf>
    <xf numFmtId="190" fontId="32" fillId="0" borderId="12" xfId="23" applyNumberFormat="1" applyFont="1" applyFill="1" applyBorder="1" applyAlignment="1">
      <alignment horizontal="center"/>
    </xf>
    <xf numFmtId="3" fontId="91" fillId="3" borderId="12" xfId="23" applyNumberFormat="1" applyFont="1" applyFill="1" applyBorder="1" applyAlignment="1">
      <alignment horizontal="center"/>
    </xf>
    <xf numFmtId="0" fontId="4" fillId="0" borderId="3" xfId="23" applyFont="1" applyBorder="1"/>
    <xf numFmtId="0" fontId="23" fillId="0" borderId="3" xfId="23" applyFont="1" applyBorder="1"/>
    <xf numFmtId="189" fontId="23" fillId="0" borderId="3" xfId="23" applyNumberFormat="1" applyFont="1" applyBorder="1" applyAlignment="1">
      <alignment horizontal="right"/>
    </xf>
    <xf numFmtId="189" fontId="23" fillId="0" borderId="3" xfId="23" applyNumberFormat="1" applyFont="1" applyFill="1" applyBorder="1" applyAlignment="1">
      <alignment horizontal="right"/>
    </xf>
    <xf numFmtId="190" fontId="23" fillId="0" borderId="3" xfId="23" applyNumberFormat="1" applyFont="1" applyFill="1" applyBorder="1" applyAlignment="1">
      <alignment horizontal="right"/>
    </xf>
    <xf numFmtId="190" fontId="23" fillId="0" borderId="3" xfId="23" applyNumberFormat="1" applyFont="1" applyBorder="1" applyAlignment="1">
      <alignment horizontal="right"/>
    </xf>
    <xf numFmtId="3" fontId="72" fillId="0" borderId="3" xfId="23" applyNumberFormat="1" applyFont="1" applyBorder="1" applyAlignment="1">
      <alignment horizontal="right"/>
    </xf>
    <xf numFmtId="0" fontId="4" fillId="0" borderId="0" xfId="23" applyFont="1" applyBorder="1"/>
    <xf numFmtId="0" fontId="23" fillId="0" borderId="0" xfId="23" applyFont="1" applyBorder="1"/>
    <xf numFmtId="189" fontId="23" fillId="0" borderId="0" xfId="23" applyNumberFormat="1" applyFont="1" applyBorder="1" applyAlignment="1">
      <alignment horizontal="right"/>
    </xf>
    <xf numFmtId="189" fontId="23" fillId="0" borderId="0" xfId="23" applyNumberFormat="1" applyFont="1" applyFill="1" applyBorder="1" applyAlignment="1">
      <alignment horizontal="right"/>
    </xf>
    <xf numFmtId="190" fontId="23" fillId="0" borderId="0" xfId="23" applyNumberFormat="1" applyFont="1" applyFill="1" applyBorder="1" applyAlignment="1">
      <alignment horizontal="right"/>
    </xf>
    <xf numFmtId="190" fontId="23" fillId="0" borderId="0" xfId="23" applyNumberFormat="1" applyFont="1" applyBorder="1" applyAlignment="1">
      <alignment horizontal="right"/>
    </xf>
    <xf numFmtId="3" fontId="72" fillId="0" borderId="0" xfId="23" applyNumberFormat="1" applyFont="1" applyBorder="1" applyAlignment="1">
      <alignment horizontal="right"/>
    </xf>
    <xf numFmtId="3" fontId="23" fillId="3" borderId="7" xfId="23" applyNumberFormat="1" applyFont="1" applyFill="1" applyBorder="1" applyAlignment="1">
      <alignment horizontal="right"/>
    </xf>
    <xf numFmtId="0" fontId="4" fillId="5" borderId="0" xfId="23" applyFont="1" applyFill="1"/>
    <xf numFmtId="3" fontId="4" fillId="3" borderId="7" xfId="23" applyNumberFormat="1" applyFont="1" applyFill="1" applyBorder="1"/>
    <xf numFmtId="189" fontId="4" fillId="3" borderId="7" xfId="23" applyNumberFormat="1" applyFont="1" applyFill="1" applyBorder="1" applyAlignment="1">
      <alignment horizontal="left"/>
    </xf>
    <xf numFmtId="189" fontId="23" fillId="3" borderId="7" xfId="23" applyNumberFormat="1" applyFont="1" applyFill="1" applyBorder="1" applyAlignment="1">
      <alignment horizontal="center"/>
    </xf>
    <xf numFmtId="189" fontId="23" fillId="3" borderId="12" xfId="23" applyNumberFormat="1" applyFont="1" applyFill="1" applyBorder="1" applyAlignment="1">
      <alignment horizontal="center"/>
    </xf>
    <xf numFmtId="0" fontId="4" fillId="0" borderId="0" xfId="23" applyFont="1" applyFill="1"/>
    <xf numFmtId="3" fontId="72" fillId="0" borderId="3" xfId="23" applyNumberFormat="1" applyFont="1" applyFill="1" applyBorder="1" applyAlignment="1">
      <alignment horizontal="right"/>
    </xf>
    <xf numFmtId="189" fontId="4" fillId="0" borderId="0" xfId="23" applyNumberFormat="1" applyFont="1" applyBorder="1"/>
    <xf numFmtId="189" fontId="4" fillId="0" borderId="0" xfId="23" applyNumberFormat="1" applyFont="1" applyFill="1" applyBorder="1"/>
    <xf numFmtId="190" fontId="4" fillId="0" borderId="0" xfId="23" applyNumberFormat="1" applyFont="1" applyFill="1" applyBorder="1"/>
    <xf numFmtId="190" fontId="4" fillId="0" borderId="0" xfId="23" applyNumberFormat="1" applyFont="1" applyBorder="1"/>
    <xf numFmtId="3" fontId="26" fillId="0" borderId="0" xfId="23" applyNumberFormat="1" applyFont="1" applyBorder="1"/>
    <xf numFmtId="189" fontId="8" fillId="3" borderId="4" xfId="23" applyNumberFormat="1" applyFont="1" applyFill="1" applyBorder="1" applyAlignment="1">
      <alignment horizontal="left"/>
    </xf>
    <xf numFmtId="189" fontId="8" fillId="6" borderId="4" xfId="23" applyNumberFormat="1" applyFont="1" applyFill="1" applyBorder="1" applyAlignment="1">
      <alignment horizontal="left"/>
    </xf>
    <xf numFmtId="189" fontId="8" fillId="0" borderId="4" xfId="23" applyNumberFormat="1" applyFont="1" applyFill="1" applyBorder="1" applyAlignment="1">
      <alignment horizontal="left"/>
    </xf>
    <xf numFmtId="190" fontId="8" fillId="3" borderId="4" xfId="23" applyNumberFormat="1" applyFont="1" applyFill="1" applyBorder="1" applyAlignment="1">
      <alignment horizontal="left"/>
    </xf>
    <xf numFmtId="190" fontId="8" fillId="6" borderId="4" xfId="23" applyNumberFormat="1" applyFont="1" applyFill="1" applyBorder="1" applyAlignment="1">
      <alignment horizontal="left"/>
    </xf>
    <xf numFmtId="190" fontId="8" fillId="0" borderId="4" xfId="23" applyNumberFormat="1" applyFont="1" applyFill="1" applyBorder="1" applyAlignment="1">
      <alignment horizontal="left"/>
    </xf>
    <xf numFmtId="3" fontId="79" fillId="3" borderId="4" xfId="23" applyNumberFormat="1" applyFont="1" applyFill="1" applyBorder="1" applyAlignment="1">
      <alignment horizontal="left"/>
    </xf>
    <xf numFmtId="189" fontId="4" fillId="3" borderId="12" xfId="23" applyNumberFormat="1" applyFont="1" applyFill="1" applyBorder="1" applyAlignment="1">
      <alignment horizontal="center"/>
    </xf>
    <xf numFmtId="189" fontId="4" fillId="6" borderId="12" xfId="23" applyNumberFormat="1" applyFont="1" applyFill="1" applyBorder="1" applyAlignment="1">
      <alignment horizontal="center"/>
    </xf>
    <xf numFmtId="189" fontId="4" fillId="0" borderId="12" xfId="23" applyNumberFormat="1" applyFont="1" applyFill="1" applyBorder="1" applyAlignment="1">
      <alignment horizontal="center"/>
    </xf>
    <xf numFmtId="190" fontId="4" fillId="3" borderId="12" xfId="23" applyNumberFormat="1" applyFont="1" applyFill="1" applyBorder="1" applyAlignment="1">
      <alignment horizontal="center"/>
    </xf>
    <xf numFmtId="190" fontId="4" fillId="6" borderId="12" xfId="23" applyNumberFormat="1" applyFont="1" applyFill="1" applyBorder="1" applyAlignment="1">
      <alignment horizontal="center"/>
    </xf>
    <xf numFmtId="190" fontId="4" fillId="0" borderId="12" xfId="23" applyNumberFormat="1" applyFont="1" applyFill="1" applyBorder="1" applyAlignment="1">
      <alignment horizontal="center"/>
    </xf>
    <xf numFmtId="3" fontId="26" fillId="3" borderId="12" xfId="23" applyNumberFormat="1" applyFont="1" applyFill="1" applyBorder="1" applyAlignment="1">
      <alignment horizontal="center"/>
    </xf>
    <xf numFmtId="189" fontId="4" fillId="0" borderId="11" xfId="23" applyNumberFormat="1" applyFont="1" applyBorder="1"/>
    <xf numFmtId="189" fontId="4" fillId="0" borderId="11" xfId="23" applyNumberFormat="1" applyFont="1" applyFill="1" applyBorder="1"/>
    <xf numFmtId="0" fontId="18" fillId="0" borderId="0" xfId="23" applyFont="1" applyBorder="1"/>
    <xf numFmtId="0" fontId="93" fillId="0" borderId="0" xfId="23" applyFont="1"/>
    <xf numFmtId="0" fontId="94" fillId="0" borderId="0" xfId="23" applyFont="1" applyFill="1"/>
    <xf numFmtId="49" fontId="4" fillId="0" borderId="0" xfId="23" applyNumberFormat="1" applyFont="1" applyBorder="1"/>
    <xf numFmtId="0" fontId="18" fillId="0" borderId="0" xfId="23" applyFont="1"/>
    <xf numFmtId="0" fontId="4" fillId="0" borderId="0" xfId="23" applyFont="1" applyFill="1" applyBorder="1"/>
    <xf numFmtId="1" fontId="4" fillId="0" borderId="0" xfId="23" applyNumberFormat="1" applyFont="1" applyFill="1" applyBorder="1" applyAlignment="1">
      <alignment horizontal="left"/>
    </xf>
    <xf numFmtId="0" fontId="93" fillId="0" borderId="0" xfId="23" applyFont="1" applyFill="1"/>
    <xf numFmtId="0" fontId="47" fillId="0" borderId="0" xfId="23" applyFont="1"/>
    <xf numFmtId="0" fontId="2" fillId="0" borderId="0" xfId="21" applyFont="1"/>
    <xf numFmtId="0" fontId="4" fillId="0" borderId="0" xfId="21" applyFont="1"/>
    <xf numFmtId="0" fontId="87" fillId="0" borderId="0" xfId="21"/>
    <xf numFmtId="0" fontId="96" fillId="0" borderId="0" xfId="21" applyFont="1"/>
    <xf numFmtId="0" fontId="4" fillId="0" borderId="11" xfId="21" applyFont="1" applyBorder="1"/>
    <xf numFmtId="0" fontId="87" fillId="0" borderId="11" xfId="21" applyBorder="1"/>
    <xf numFmtId="0" fontId="4" fillId="6" borderId="0" xfId="21" applyFont="1" applyFill="1" applyAlignment="1">
      <alignment horizontal="right"/>
    </xf>
    <xf numFmtId="0" fontId="4" fillId="3" borderId="0" xfId="21" applyFont="1" applyFill="1" applyAlignment="1">
      <alignment horizontal="right"/>
    </xf>
    <xf numFmtId="0" fontId="4" fillId="0" borderId="0" xfId="21" applyFont="1" applyFill="1" applyAlignment="1">
      <alignment horizontal="right"/>
    </xf>
    <xf numFmtId="190" fontId="23" fillId="3" borderId="0" xfId="21" applyNumberFormat="1" applyFont="1" applyFill="1" applyBorder="1" applyAlignment="1">
      <alignment horizontal="center"/>
    </xf>
    <xf numFmtId="190" fontId="23" fillId="6" borderId="0" xfId="21" applyNumberFormat="1" applyFont="1" applyFill="1" applyBorder="1" applyAlignment="1">
      <alignment horizontal="center"/>
    </xf>
    <xf numFmtId="190" fontId="23" fillId="0" borderId="0" xfId="21" applyNumberFormat="1" applyFont="1" applyFill="1" applyBorder="1" applyAlignment="1">
      <alignment horizontal="center"/>
    </xf>
    <xf numFmtId="0" fontId="87" fillId="0" borderId="0" xfId="21" applyAlignment="1">
      <alignment horizontal="right"/>
    </xf>
    <xf numFmtId="2" fontId="87" fillId="0" borderId="0" xfId="21" applyNumberFormat="1"/>
    <xf numFmtId="189" fontId="87" fillId="0" borderId="0" xfId="21" applyNumberFormat="1" applyAlignment="1">
      <alignment horizontal="right"/>
    </xf>
    <xf numFmtId="2" fontId="87" fillId="0" borderId="0" xfId="21" applyNumberFormat="1" applyAlignment="1">
      <alignment horizontal="right"/>
    </xf>
    <xf numFmtId="0" fontId="79" fillId="6" borderId="0" xfId="21" applyFont="1" applyFill="1" applyBorder="1" applyAlignment="1">
      <alignment horizontal="left"/>
    </xf>
    <xf numFmtId="0" fontId="4" fillId="6" borderId="0" xfId="21" applyFont="1" applyFill="1" applyBorder="1" applyAlignment="1">
      <alignment horizontal="right"/>
    </xf>
    <xf numFmtId="0" fontId="8" fillId="3" borderId="0" xfId="21" applyFont="1" applyFill="1" applyAlignment="1">
      <alignment horizontal="center"/>
    </xf>
    <xf numFmtId="0" fontId="8" fillId="6" borderId="0" xfId="21" applyFont="1" applyFill="1" applyAlignment="1">
      <alignment horizontal="center"/>
    </xf>
    <xf numFmtId="0" fontId="8" fillId="0" borderId="0" xfId="21" applyFont="1" applyFill="1" applyAlignment="1">
      <alignment horizontal="center"/>
    </xf>
    <xf numFmtId="0" fontId="79" fillId="3" borderId="0" xfId="21" applyFont="1" applyFill="1" applyAlignment="1">
      <alignment horizontal="center"/>
    </xf>
    <xf numFmtId="189" fontId="87" fillId="0" borderId="0" xfId="21" applyNumberFormat="1"/>
    <xf numFmtId="0" fontId="4" fillId="6" borderId="0" xfId="21" applyFont="1" applyFill="1" applyBorder="1"/>
    <xf numFmtId="0" fontId="4" fillId="3" borderId="0" xfId="21" applyFont="1" applyFill="1" applyAlignment="1">
      <alignment horizontal="center"/>
    </xf>
    <xf numFmtId="0" fontId="4" fillId="6" borderId="0" xfId="21" applyFont="1" applyFill="1" applyAlignment="1">
      <alignment horizontal="center"/>
    </xf>
    <xf numFmtId="0" fontId="4" fillId="0" borderId="0" xfId="21" applyFont="1" applyFill="1" applyAlignment="1">
      <alignment horizontal="center"/>
    </xf>
    <xf numFmtId="0" fontId="8" fillId="6" borderId="0" xfId="21" applyFont="1" applyFill="1" applyBorder="1"/>
    <xf numFmtId="0" fontId="4" fillId="3" borderId="0" xfId="21" applyFont="1" applyFill="1" applyBorder="1" applyAlignment="1">
      <alignment horizontal="center"/>
    </xf>
    <xf numFmtId="0" fontId="4" fillId="6" borderId="0" xfId="21" applyFont="1" applyFill="1" applyBorder="1" applyAlignment="1">
      <alignment horizontal="center"/>
    </xf>
    <xf numFmtId="0" fontId="4" fillId="0" borderId="0" xfId="21" applyFont="1" applyFill="1" applyBorder="1" applyAlignment="1">
      <alignment horizontal="center"/>
    </xf>
    <xf numFmtId="190" fontId="23" fillId="3" borderId="0" xfId="21" applyNumberFormat="1" applyFont="1" applyFill="1" applyBorder="1" applyAlignment="1">
      <alignment horizontal="center" vertical="top"/>
    </xf>
    <xf numFmtId="190" fontId="23" fillId="6" borderId="0" xfId="21" applyNumberFormat="1" applyFont="1" applyFill="1" applyBorder="1" applyAlignment="1">
      <alignment horizontal="center" vertical="top"/>
    </xf>
    <xf numFmtId="190" fontId="23" fillId="0" borderId="0" xfId="21" applyNumberFormat="1" applyFont="1" applyFill="1" applyBorder="1" applyAlignment="1">
      <alignment horizontal="center" vertical="top"/>
    </xf>
    <xf numFmtId="189" fontId="96" fillId="0" borderId="0" xfId="21" applyNumberFormat="1" applyFont="1"/>
    <xf numFmtId="0" fontId="8" fillId="6" borderId="3" xfId="21" applyFont="1" applyFill="1" applyBorder="1"/>
    <xf numFmtId="0" fontId="4" fillId="6" borderId="3" xfId="21" applyFont="1" applyFill="1" applyBorder="1"/>
    <xf numFmtId="0" fontId="4" fillId="3" borderId="3" xfId="21" applyFont="1" applyFill="1" applyBorder="1"/>
    <xf numFmtId="0" fontId="4" fillId="0" borderId="3" xfId="21" applyFont="1" applyFill="1" applyBorder="1"/>
    <xf numFmtId="0" fontId="23" fillId="6" borderId="3" xfId="21" applyFont="1" applyFill="1" applyBorder="1" applyAlignment="1">
      <alignment horizontal="center"/>
    </xf>
    <xf numFmtId="0" fontId="23" fillId="0" borderId="3" xfId="21" applyFont="1" applyFill="1" applyBorder="1" applyAlignment="1">
      <alignment horizontal="center"/>
    </xf>
    <xf numFmtId="0" fontId="8" fillId="6" borderId="6" xfId="21" applyFont="1" applyFill="1" applyBorder="1"/>
    <xf numFmtId="0" fontId="4" fillId="6" borderId="6" xfId="21" applyFont="1" applyFill="1" applyBorder="1"/>
    <xf numFmtId="189" fontId="8" fillId="3" borderId="6" xfId="21" applyNumberFormat="1" applyFont="1" applyFill="1" applyBorder="1" applyAlignment="1">
      <alignment horizontal="left"/>
    </xf>
    <xf numFmtId="189" fontId="8" fillId="6" borderId="6" xfId="21" applyNumberFormat="1" applyFont="1" applyFill="1" applyBorder="1" applyAlignment="1">
      <alignment horizontal="left"/>
    </xf>
    <xf numFmtId="189" fontId="8" fillId="0" borderId="6" xfId="21" applyNumberFormat="1" applyFont="1" applyFill="1" applyBorder="1" applyAlignment="1">
      <alignment horizontal="left"/>
    </xf>
    <xf numFmtId="190" fontId="8" fillId="3" borderId="6" xfId="21" applyNumberFormat="1" applyFont="1" applyFill="1" applyBorder="1" applyAlignment="1">
      <alignment horizontal="left"/>
    </xf>
    <xf numFmtId="190" fontId="8" fillId="6" borderId="6" xfId="21" applyNumberFormat="1" applyFont="1" applyFill="1" applyBorder="1" applyAlignment="1">
      <alignment horizontal="left"/>
    </xf>
    <xf numFmtId="190" fontId="8" fillId="0" borderId="6" xfId="21" applyNumberFormat="1" applyFont="1" applyFill="1" applyBorder="1" applyAlignment="1">
      <alignment horizontal="left"/>
    </xf>
    <xf numFmtId="3" fontId="79" fillId="3" borderId="6" xfId="21" applyNumberFormat="1" applyFont="1" applyFill="1" applyBorder="1" applyAlignment="1">
      <alignment horizontal="left"/>
    </xf>
    <xf numFmtId="0" fontId="8" fillId="6" borderId="7" xfId="21" applyFont="1" applyFill="1" applyBorder="1"/>
    <xf numFmtId="0" fontId="4" fillId="6" borderId="7" xfId="21" applyFont="1" applyFill="1" applyBorder="1"/>
    <xf numFmtId="189" fontId="18" fillId="3" borderId="7" xfId="21" applyNumberFormat="1" applyFont="1" applyFill="1" applyBorder="1" applyAlignment="1">
      <alignment horizontal="center"/>
    </xf>
    <xf numFmtId="189" fontId="18" fillId="6" borderId="7" xfId="21" applyNumberFormat="1" applyFont="1" applyFill="1" applyBorder="1" applyAlignment="1">
      <alignment horizontal="center"/>
    </xf>
    <xf numFmtId="189" fontId="18" fillId="0" borderId="7" xfId="21" applyNumberFormat="1" applyFont="1" applyFill="1" applyBorder="1" applyAlignment="1">
      <alignment horizontal="center"/>
    </xf>
    <xf numFmtId="190" fontId="18" fillId="3" borderId="7" xfId="21" applyNumberFormat="1" applyFont="1" applyFill="1" applyBorder="1" applyAlignment="1">
      <alignment horizontal="center"/>
    </xf>
    <xf numFmtId="190" fontId="18" fillId="6" borderId="7" xfId="21" applyNumberFormat="1" applyFont="1" applyFill="1" applyBorder="1" applyAlignment="1">
      <alignment horizontal="center"/>
    </xf>
    <xf numFmtId="190" fontId="18" fillId="0" borderId="7" xfId="21" applyNumberFormat="1" applyFont="1" applyFill="1" applyBorder="1" applyAlignment="1">
      <alignment horizontal="center"/>
    </xf>
    <xf numFmtId="3" fontId="71" fillId="3" borderId="7" xfId="21" applyNumberFormat="1" applyFont="1" applyFill="1" applyBorder="1" applyAlignment="1">
      <alignment horizontal="center"/>
    </xf>
    <xf numFmtId="0" fontId="97" fillId="6" borderId="7" xfId="21" applyFont="1" applyFill="1" applyBorder="1"/>
    <xf numFmtId="189" fontId="4" fillId="3" borderId="7" xfId="21" applyNumberFormat="1" applyFont="1" applyFill="1" applyBorder="1"/>
    <xf numFmtId="189" fontId="4" fillId="6" borderId="7" xfId="21" applyNumberFormat="1" applyFont="1" applyFill="1" applyBorder="1"/>
    <xf numFmtId="189" fontId="4" fillId="0" borderId="7" xfId="21" applyNumberFormat="1" applyFont="1" applyFill="1" applyBorder="1"/>
    <xf numFmtId="190" fontId="4" fillId="3" borderId="7" xfId="21" applyNumberFormat="1" applyFont="1" applyFill="1" applyBorder="1"/>
    <xf numFmtId="190" fontId="4" fillId="6" borderId="7" xfId="21" applyNumberFormat="1" applyFont="1" applyFill="1" applyBorder="1"/>
    <xf numFmtId="190" fontId="4" fillId="0" borderId="7" xfId="21" applyNumberFormat="1" applyFont="1" applyFill="1" applyBorder="1"/>
    <xf numFmtId="3" fontId="26" fillId="3" borderId="7" xfId="21" applyNumberFormat="1" applyFont="1" applyFill="1" applyBorder="1"/>
    <xf numFmtId="2" fontId="88" fillId="0" borderId="0" xfId="21" applyNumberFormat="1" applyFont="1"/>
    <xf numFmtId="0" fontId="88" fillId="0" borderId="0" xfId="21" applyFont="1"/>
    <xf numFmtId="189" fontId="8" fillId="3" borderId="7" xfId="21" applyNumberFormat="1" applyFont="1" applyFill="1" applyBorder="1" applyAlignment="1">
      <alignment horizontal="left"/>
    </xf>
    <xf numFmtId="189" fontId="8" fillId="6" borderId="7" xfId="21" applyNumberFormat="1" applyFont="1" applyFill="1" applyBorder="1" applyAlignment="1">
      <alignment horizontal="left"/>
    </xf>
    <xf numFmtId="189" fontId="8" fillId="0" borderId="7" xfId="21" applyNumberFormat="1" applyFont="1" applyFill="1" applyBorder="1" applyAlignment="1">
      <alignment horizontal="left"/>
    </xf>
    <xf numFmtId="190" fontId="8" fillId="3" borderId="7" xfId="21" applyNumberFormat="1" applyFont="1" applyFill="1" applyBorder="1" applyAlignment="1">
      <alignment horizontal="left"/>
    </xf>
    <xf numFmtId="190" fontId="8" fillId="6" borderId="7" xfId="21" applyNumberFormat="1" applyFont="1" applyFill="1" applyBorder="1" applyAlignment="1">
      <alignment horizontal="left"/>
    </xf>
    <xf numFmtId="190" fontId="8" fillId="0" borderId="7" xfId="21" applyNumberFormat="1" applyFont="1" applyFill="1" applyBorder="1" applyAlignment="1">
      <alignment horizontal="left"/>
    </xf>
    <xf numFmtId="3" fontId="79" fillId="3" borderId="7" xfId="21" applyNumberFormat="1" applyFont="1" applyFill="1" applyBorder="1" applyAlignment="1">
      <alignment horizontal="left"/>
    </xf>
    <xf numFmtId="0" fontId="23" fillId="6" borderId="7" xfId="21" applyFont="1" applyFill="1" applyBorder="1"/>
    <xf numFmtId="189" fontId="23" fillId="3" borderId="7" xfId="21" applyNumberFormat="1" applyFont="1" applyFill="1" applyBorder="1" applyAlignment="1">
      <alignment horizontal="right"/>
    </xf>
    <xf numFmtId="189" fontId="23" fillId="6" borderId="7" xfId="21" applyNumberFormat="1" applyFont="1" applyFill="1" applyBorder="1" applyAlignment="1">
      <alignment horizontal="right"/>
    </xf>
    <xf numFmtId="189" fontId="23" fillId="0" borderId="7" xfId="21" applyNumberFormat="1" applyFont="1" applyFill="1" applyBorder="1" applyAlignment="1">
      <alignment horizontal="right"/>
    </xf>
    <xf numFmtId="190" fontId="23" fillId="3" borderId="7" xfId="21" applyNumberFormat="1" applyFont="1" applyFill="1" applyBorder="1" applyAlignment="1">
      <alignment horizontal="right"/>
    </xf>
    <xf numFmtId="190" fontId="23" fillId="6" borderId="7" xfId="21" applyNumberFormat="1" applyFont="1" applyFill="1" applyBorder="1" applyAlignment="1">
      <alignment horizontal="right"/>
    </xf>
    <xf numFmtId="190" fontId="23" fillId="0" borderId="7" xfId="21" applyNumberFormat="1" applyFont="1" applyFill="1" applyBorder="1" applyAlignment="1">
      <alignment horizontal="right"/>
    </xf>
    <xf numFmtId="189" fontId="4" fillId="3" borderId="7" xfId="21" applyNumberFormat="1" applyFont="1" applyFill="1" applyBorder="1" applyAlignment="1">
      <alignment horizontal="center"/>
    </xf>
    <xf numFmtId="189" fontId="4" fillId="6" borderId="7" xfId="21" applyNumberFormat="1" applyFont="1" applyFill="1" applyBorder="1" applyAlignment="1">
      <alignment horizontal="center"/>
    </xf>
    <xf numFmtId="189" fontId="4" fillId="0" borderId="7" xfId="21" applyNumberFormat="1" applyFont="1" applyFill="1" applyBorder="1" applyAlignment="1">
      <alignment horizontal="center"/>
    </xf>
    <xf numFmtId="190" fontId="4" fillId="3" borderId="7" xfId="21" applyNumberFormat="1" applyFont="1" applyFill="1" applyBorder="1" applyAlignment="1">
      <alignment horizontal="center"/>
    </xf>
    <xf numFmtId="190" fontId="4" fillId="6" borderId="7" xfId="21" applyNumberFormat="1" applyFont="1" applyFill="1" applyBorder="1" applyAlignment="1">
      <alignment horizontal="center"/>
    </xf>
    <xf numFmtId="190" fontId="4" fillId="0" borderId="7" xfId="21" applyNumberFormat="1" applyFont="1" applyFill="1" applyBorder="1" applyAlignment="1">
      <alignment horizontal="center"/>
    </xf>
    <xf numFmtId="3" fontId="26" fillId="3" borderId="7" xfId="21" applyNumberFormat="1" applyFont="1" applyFill="1" applyBorder="1" applyAlignment="1">
      <alignment horizontal="center"/>
    </xf>
    <xf numFmtId="0" fontId="4" fillId="6" borderId="4" xfId="21" applyFont="1" applyFill="1" applyBorder="1"/>
    <xf numFmtId="189" fontId="4" fillId="3" borderId="4" xfId="21" applyNumberFormat="1" applyFont="1" applyFill="1" applyBorder="1"/>
    <xf numFmtId="189" fontId="4" fillId="6" borderId="4" xfId="21" applyNumberFormat="1" applyFont="1" applyFill="1" applyBorder="1"/>
    <xf numFmtId="189" fontId="4" fillId="0" borderId="4" xfId="21" applyNumberFormat="1" applyFont="1" applyFill="1" applyBorder="1"/>
    <xf numFmtId="190" fontId="4" fillId="3" borderId="4" xfId="21" applyNumberFormat="1" applyFont="1" applyFill="1" applyBorder="1"/>
    <xf numFmtId="190" fontId="4" fillId="6" borderId="4" xfId="21" applyNumberFormat="1" applyFont="1" applyFill="1" applyBorder="1"/>
    <xf numFmtId="190" fontId="4" fillId="0" borderId="4" xfId="21" applyNumberFormat="1" applyFont="1" applyFill="1" applyBorder="1"/>
    <xf numFmtId="3" fontId="26" fillId="3" borderId="4" xfId="21" applyNumberFormat="1" applyFont="1" applyFill="1" applyBorder="1"/>
    <xf numFmtId="189" fontId="23" fillId="3" borderId="7" xfId="21" applyNumberFormat="1" applyFont="1" applyFill="1" applyBorder="1"/>
    <xf numFmtId="189" fontId="23" fillId="6" borderId="7" xfId="21" applyNumberFormat="1" applyFont="1" applyFill="1" applyBorder="1"/>
    <xf numFmtId="189" fontId="23" fillId="0" borderId="7" xfId="21" applyNumberFormat="1" applyFont="1" applyFill="1" applyBorder="1"/>
    <xf numFmtId="190" fontId="23" fillId="3" borderId="7" xfId="21" applyNumberFormat="1" applyFont="1" applyFill="1" applyBorder="1"/>
    <xf numFmtId="190" fontId="23" fillId="6" borderId="7" xfId="21" applyNumberFormat="1" applyFont="1" applyFill="1" applyBorder="1"/>
    <xf numFmtId="190" fontId="23" fillId="0" borderId="7" xfId="21" applyNumberFormat="1" applyFont="1" applyFill="1" applyBorder="1"/>
    <xf numFmtId="0" fontId="87" fillId="0" borderId="0" xfId="21" applyFill="1"/>
    <xf numFmtId="189" fontId="8" fillId="3" borderId="7" xfId="21" applyNumberFormat="1" applyFont="1" applyFill="1" applyBorder="1"/>
    <xf numFmtId="189" fontId="8" fillId="6" borderId="7" xfId="21" applyNumberFormat="1" applyFont="1" applyFill="1" applyBorder="1"/>
    <xf numFmtId="3" fontId="79" fillId="3" borderId="7" xfId="21" applyNumberFormat="1" applyFont="1" applyFill="1" applyBorder="1"/>
    <xf numFmtId="0" fontId="8" fillId="6" borderId="5" xfId="21" applyFont="1" applyFill="1" applyBorder="1"/>
    <xf numFmtId="0" fontId="23" fillId="6" borderId="5" xfId="21" applyFont="1" applyFill="1" applyBorder="1"/>
    <xf numFmtId="189" fontId="8" fillId="3" borderId="5" xfId="21" applyNumberFormat="1" applyFont="1" applyFill="1" applyBorder="1" applyAlignment="1">
      <alignment horizontal="left"/>
    </xf>
    <xf numFmtId="189" fontId="8" fillId="6" borderId="5" xfId="21" applyNumberFormat="1" applyFont="1" applyFill="1" applyBorder="1" applyAlignment="1">
      <alignment horizontal="left"/>
    </xf>
    <xf numFmtId="189" fontId="8" fillId="0" borderId="5" xfId="21" applyNumberFormat="1" applyFont="1" applyFill="1" applyBorder="1" applyAlignment="1">
      <alignment horizontal="left"/>
    </xf>
    <xf numFmtId="190" fontId="8" fillId="3" borderId="5" xfId="21" applyNumberFormat="1" applyFont="1" applyFill="1" applyBorder="1" applyAlignment="1">
      <alignment horizontal="left"/>
    </xf>
    <xf numFmtId="190" fontId="8" fillId="6" borderId="5" xfId="21" applyNumberFormat="1" applyFont="1" applyFill="1" applyBorder="1" applyAlignment="1">
      <alignment horizontal="left"/>
    </xf>
    <xf numFmtId="190" fontId="8" fillId="0" borderId="5" xfId="21" applyNumberFormat="1" applyFont="1" applyFill="1" applyBorder="1" applyAlignment="1">
      <alignment horizontal="left"/>
    </xf>
    <xf numFmtId="3" fontId="79" fillId="3" borderId="5" xfId="21" applyNumberFormat="1" applyFont="1" applyFill="1" applyBorder="1" applyAlignment="1">
      <alignment horizontal="left"/>
    </xf>
    <xf numFmtId="0" fontId="18" fillId="0" borderId="0" xfId="21" applyFont="1" applyBorder="1"/>
    <xf numFmtId="0" fontId="4" fillId="0" borderId="0" xfId="21" applyFont="1" applyBorder="1"/>
    <xf numFmtId="10" fontId="87" fillId="0" borderId="0" xfId="21" applyNumberFormat="1"/>
    <xf numFmtId="189" fontId="4" fillId="0" borderId="0" xfId="21" applyNumberFormat="1" applyFont="1"/>
    <xf numFmtId="0" fontId="2" fillId="0" borderId="0" xfId="22" applyFont="1"/>
    <xf numFmtId="0" fontId="4" fillId="0" borderId="0" xfId="22" applyFont="1"/>
    <xf numFmtId="0" fontId="87" fillId="0" borderId="0" xfId="22"/>
    <xf numFmtId="0" fontId="96" fillId="0" borderId="0" xfId="22" applyFont="1"/>
    <xf numFmtId="0" fontId="4" fillId="0" borderId="11" xfId="22" applyFont="1" applyBorder="1"/>
    <xf numFmtId="0" fontId="87" fillId="0" borderId="11" xfId="22" applyBorder="1"/>
    <xf numFmtId="0" fontId="4" fillId="6" borderId="0" xfId="22" applyFont="1" applyFill="1" applyAlignment="1">
      <alignment horizontal="right"/>
    </xf>
    <xf numFmtId="0" fontId="4" fillId="3" borderId="0" xfId="22" applyFont="1" applyFill="1" applyAlignment="1">
      <alignment horizontal="right"/>
    </xf>
    <xf numFmtId="0" fontId="4" fillId="0" borderId="0" xfId="22" applyFont="1" applyFill="1" applyAlignment="1">
      <alignment horizontal="right"/>
    </xf>
    <xf numFmtId="190" fontId="23" fillId="3" borderId="0" xfId="22" applyNumberFormat="1" applyFont="1" applyFill="1" applyBorder="1" applyAlignment="1">
      <alignment horizontal="center"/>
    </xf>
    <xf numFmtId="190" fontId="23" fillId="6" borderId="0" xfId="22" applyNumberFormat="1" applyFont="1" applyFill="1" applyBorder="1" applyAlignment="1">
      <alignment horizontal="center"/>
    </xf>
    <xf numFmtId="190" fontId="23" fillId="0" borderId="0" xfId="22" applyNumberFormat="1" applyFont="1" applyFill="1" applyBorder="1" applyAlignment="1">
      <alignment horizontal="center"/>
    </xf>
    <xf numFmtId="2" fontId="87" fillId="0" borderId="0" xfId="22" applyNumberFormat="1"/>
    <xf numFmtId="189" fontId="87" fillId="0" borderId="0" xfId="22" applyNumberFormat="1" applyAlignment="1">
      <alignment horizontal="right"/>
    </xf>
    <xf numFmtId="0" fontId="87" fillId="0" borderId="0" xfId="22" applyAlignment="1">
      <alignment horizontal="right"/>
    </xf>
    <xf numFmtId="2" fontId="87" fillId="0" borderId="0" xfId="22" applyNumberFormat="1" applyAlignment="1">
      <alignment horizontal="right"/>
    </xf>
    <xf numFmtId="0" fontId="79" fillId="6" borderId="0" xfId="22" applyFont="1" applyFill="1" applyBorder="1" applyAlignment="1">
      <alignment horizontal="left"/>
    </xf>
    <xf numFmtId="0" fontId="4" fillId="6" borderId="0" xfId="22" applyFont="1" applyFill="1" applyBorder="1" applyAlignment="1">
      <alignment horizontal="right"/>
    </xf>
    <xf numFmtId="0" fontId="8" fillId="3" borderId="0" xfId="22" applyFont="1" applyFill="1" applyAlignment="1">
      <alignment horizontal="center"/>
    </xf>
    <xf numFmtId="0" fontId="8" fillId="6" borderId="0" xfId="22" applyFont="1" applyFill="1" applyAlignment="1">
      <alignment horizontal="center"/>
    </xf>
    <xf numFmtId="0" fontId="8" fillId="0" borderId="0" xfId="22" applyFont="1" applyFill="1" applyAlignment="1">
      <alignment horizontal="center"/>
    </xf>
    <xf numFmtId="0" fontId="79" fillId="3" borderId="0" xfId="22" applyFont="1" applyFill="1" applyAlignment="1">
      <alignment horizontal="center"/>
    </xf>
    <xf numFmtId="189" fontId="87" fillId="0" borderId="0" xfId="22" applyNumberFormat="1"/>
    <xf numFmtId="0" fontId="4" fillId="6" borderId="0" xfId="22" applyFont="1" applyFill="1" applyBorder="1"/>
    <xf numFmtId="0" fontId="4" fillId="3" borderId="0" xfId="22" applyFont="1" applyFill="1" applyAlignment="1">
      <alignment horizontal="center"/>
    </xf>
    <xf numFmtId="0" fontId="4" fillId="6" borderId="0" xfId="22" applyFont="1" applyFill="1" applyAlignment="1">
      <alignment horizontal="center"/>
    </xf>
    <xf numFmtId="0" fontId="4" fillId="0" borderId="0" xfId="22" applyFont="1" applyFill="1" applyAlignment="1">
      <alignment horizontal="center"/>
    </xf>
    <xf numFmtId="0" fontId="8" fillId="6" borderId="0" xfId="22" applyFont="1" applyFill="1" applyBorder="1"/>
    <xf numFmtId="0" fontId="4" fillId="3" borderId="0" xfId="22" applyFont="1" applyFill="1" applyBorder="1" applyAlignment="1">
      <alignment horizontal="center"/>
    </xf>
    <xf numFmtId="0" fontId="4" fillId="6" borderId="0" xfId="22" applyFont="1" applyFill="1" applyBorder="1" applyAlignment="1">
      <alignment horizontal="center"/>
    </xf>
    <xf numFmtId="0" fontId="4" fillId="0" borderId="0" xfId="22" applyFont="1" applyFill="1" applyBorder="1" applyAlignment="1">
      <alignment horizontal="center"/>
    </xf>
    <xf numFmtId="190" fontId="23" fillId="3" borderId="0" xfId="22" applyNumberFormat="1" applyFont="1" applyFill="1" applyBorder="1" applyAlignment="1">
      <alignment horizontal="center" vertical="top"/>
    </xf>
    <xf numFmtId="190" fontId="23" fillId="6" borderId="0" xfId="22" applyNumberFormat="1" applyFont="1" applyFill="1" applyBorder="1" applyAlignment="1">
      <alignment horizontal="center" vertical="top"/>
    </xf>
    <xf numFmtId="190" fontId="23" fillId="0" borderId="0" xfId="22" applyNumberFormat="1" applyFont="1" applyFill="1" applyBorder="1" applyAlignment="1">
      <alignment horizontal="center" vertical="top"/>
    </xf>
    <xf numFmtId="189" fontId="96" fillId="0" borderId="0" xfId="22" applyNumberFormat="1" applyFont="1"/>
    <xf numFmtId="0" fontId="8" fillId="6" borderId="3" xfId="22" applyFont="1" applyFill="1" applyBorder="1"/>
    <xf numFmtId="0" fontId="4" fillId="6" borderId="3" xfId="22" applyFont="1" applyFill="1" applyBorder="1"/>
    <xf numFmtId="0" fontId="4" fillId="3" borderId="3" xfId="22" applyFont="1" applyFill="1" applyBorder="1"/>
    <xf numFmtId="0" fontId="4" fillId="0" borderId="3" xfId="22" applyFont="1" applyFill="1" applyBorder="1"/>
    <xf numFmtId="0" fontId="23" fillId="6" borderId="3" xfId="22" applyFont="1" applyFill="1" applyBorder="1" applyAlignment="1">
      <alignment horizontal="center"/>
    </xf>
    <xf numFmtId="0" fontId="23" fillId="0" borderId="3" xfId="22" applyFont="1" applyFill="1" applyBorder="1" applyAlignment="1">
      <alignment horizontal="center"/>
    </xf>
    <xf numFmtId="0" fontId="8" fillId="6" borderId="6" xfId="22" applyFont="1" applyFill="1" applyBorder="1"/>
    <xf numFmtId="0" fontId="4" fillId="6" borderId="6" xfId="22" applyFont="1" applyFill="1" applyBorder="1"/>
    <xf numFmtId="189" fontId="8" fillId="3" borderId="4" xfId="22" applyNumberFormat="1" applyFont="1" applyFill="1" applyBorder="1" applyAlignment="1">
      <alignment horizontal="left"/>
    </xf>
    <xf numFmtId="189" fontId="8" fillId="6" borderId="4" xfId="22" applyNumberFormat="1" applyFont="1" applyFill="1" applyBorder="1" applyAlignment="1">
      <alignment horizontal="left"/>
    </xf>
    <xf numFmtId="189" fontId="8" fillId="0" borderId="4" xfId="22" applyNumberFormat="1" applyFont="1" applyFill="1" applyBorder="1" applyAlignment="1">
      <alignment horizontal="left"/>
    </xf>
    <xf numFmtId="190" fontId="8" fillId="3" borderId="4" xfId="22" applyNumberFormat="1" applyFont="1" applyFill="1" applyBorder="1" applyAlignment="1">
      <alignment horizontal="left"/>
    </xf>
    <xf numFmtId="190" fontId="8" fillId="6" borderId="4" xfId="22" applyNumberFormat="1" applyFont="1" applyFill="1" applyBorder="1" applyAlignment="1">
      <alignment horizontal="left"/>
    </xf>
    <xf numFmtId="190" fontId="8" fillId="0" borderId="4" xfId="22" applyNumberFormat="1" applyFont="1" applyFill="1" applyBorder="1" applyAlignment="1">
      <alignment horizontal="left"/>
    </xf>
    <xf numFmtId="3" fontId="79" fillId="3" borderId="4" xfId="22" applyNumberFormat="1" applyFont="1" applyFill="1" applyBorder="1" applyAlignment="1">
      <alignment horizontal="left"/>
    </xf>
    <xf numFmtId="0" fontId="4" fillId="6" borderId="7" xfId="22" applyFont="1" applyFill="1" applyBorder="1"/>
    <xf numFmtId="0" fontId="97" fillId="6" borderId="7" xfId="22" applyFont="1" applyFill="1" applyBorder="1"/>
    <xf numFmtId="189" fontId="4" fillId="3" borderId="7" xfId="22" applyNumberFormat="1" applyFont="1" applyFill="1" applyBorder="1"/>
    <xf numFmtId="189" fontId="4" fillId="6" borderId="7" xfId="22" applyNumberFormat="1" applyFont="1" applyFill="1" applyBorder="1"/>
    <xf numFmtId="189" fontId="4" fillId="0" borderId="7" xfId="22" applyNumberFormat="1" applyFont="1" applyFill="1" applyBorder="1"/>
    <xf numFmtId="190" fontId="4" fillId="3" borderId="7" xfId="22" applyNumberFormat="1" applyFont="1" applyFill="1" applyBorder="1"/>
    <xf numFmtId="190" fontId="4" fillId="6" borderId="7" xfId="22" applyNumberFormat="1" applyFont="1" applyFill="1" applyBorder="1"/>
    <xf numFmtId="190" fontId="4" fillId="0" borderId="7" xfId="22" applyNumberFormat="1" applyFont="1" applyFill="1" applyBorder="1"/>
    <xf numFmtId="3" fontId="26" fillId="3" borderId="7" xfId="22" applyNumberFormat="1" applyFont="1" applyFill="1" applyBorder="1"/>
    <xf numFmtId="0" fontId="88" fillId="0" borderId="0" xfId="22" applyFont="1"/>
    <xf numFmtId="0" fontId="8" fillId="6" borderId="7" xfId="22" applyFont="1" applyFill="1" applyBorder="1"/>
    <xf numFmtId="189" fontId="8" fillId="3" borderId="7" xfId="22" applyNumberFormat="1" applyFont="1" applyFill="1" applyBorder="1" applyAlignment="1">
      <alignment horizontal="left"/>
    </xf>
    <xf numFmtId="189" fontId="8" fillId="6" borderId="7" xfId="22" applyNumberFormat="1" applyFont="1" applyFill="1" applyBorder="1" applyAlignment="1">
      <alignment horizontal="left"/>
    </xf>
    <xf numFmtId="189" fontId="8" fillId="0" borderId="7" xfId="22" applyNumberFormat="1" applyFont="1" applyFill="1" applyBorder="1" applyAlignment="1">
      <alignment horizontal="left"/>
    </xf>
    <xf numFmtId="190" fontId="8" fillId="3" borderId="7" xfId="22" applyNumberFormat="1" applyFont="1" applyFill="1" applyBorder="1" applyAlignment="1">
      <alignment horizontal="left"/>
    </xf>
    <xf numFmtId="190" fontId="8" fillId="6" borderId="7" xfId="22" applyNumberFormat="1" applyFont="1" applyFill="1" applyBorder="1" applyAlignment="1">
      <alignment horizontal="left"/>
    </xf>
    <xf numFmtId="190" fontId="8" fillId="0" borderId="7" xfId="22" applyNumberFormat="1" applyFont="1" applyFill="1" applyBorder="1" applyAlignment="1">
      <alignment horizontal="left"/>
    </xf>
    <xf numFmtId="3" fontId="79" fillId="3" borderId="7" xfId="22" applyNumberFormat="1" applyFont="1" applyFill="1" applyBorder="1" applyAlignment="1">
      <alignment horizontal="left"/>
    </xf>
    <xf numFmtId="0" fontId="23" fillId="6" borderId="7" xfId="22" applyFont="1" applyFill="1" applyBorder="1"/>
    <xf numFmtId="0" fontId="18" fillId="6" borderId="7" xfId="22" applyFont="1" applyFill="1" applyBorder="1"/>
    <xf numFmtId="189" fontId="18" fillId="3" borderId="7" xfId="22" applyNumberFormat="1" applyFont="1" applyFill="1" applyBorder="1" applyAlignment="1">
      <alignment horizontal="center"/>
    </xf>
    <xf numFmtId="189" fontId="18" fillId="6" borderId="7" xfId="22" applyNumberFormat="1" applyFont="1" applyFill="1" applyBorder="1" applyAlignment="1">
      <alignment horizontal="center"/>
    </xf>
    <xf numFmtId="189" fontId="18" fillId="0" borderId="7" xfId="22" applyNumberFormat="1" applyFont="1" applyFill="1" applyBorder="1" applyAlignment="1">
      <alignment horizontal="center"/>
    </xf>
    <xf numFmtId="190" fontId="18" fillId="3" borderId="7" xfId="22" applyNumberFormat="1" applyFont="1" applyFill="1" applyBorder="1" applyAlignment="1">
      <alignment horizontal="center"/>
    </xf>
    <xf numFmtId="190" fontId="18" fillId="6" borderId="7" xfId="22" applyNumberFormat="1" applyFont="1" applyFill="1" applyBorder="1" applyAlignment="1">
      <alignment horizontal="center"/>
    </xf>
    <xf numFmtId="190" fontId="18" fillId="0" borderId="7" xfId="22" applyNumberFormat="1" applyFont="1" applyFill="1" applyBorder="1" applyAlignment="1">
      <alignment horizontal="center"/>
    </xf>
    <xf numFmtId="3" fontId="71" fillId="3" borderId="7" xfId="22" applyNumberFormat="1" applyFont="1" applyFill="1" applyBorder="1" applyAlignment="1">
      <alignment horizontal="center"/>
    </xf>
    <xf numFmtId="0" fontId="101" fillId="0" borderId="0" xfId="22" applyFont="1"/>
    <xf numFmtId="0" fontId="4" fillId="6" borderId="4" xfId="22" applyFont="1" applyFill="1" applyBorder="1"/>
    <xf numFmtId="189" fontId="4" fillId="3" borderId="4" xfId="22" applyNumberFormat="1" applyFont="1" applyFill="1" applyBorder="1"/>
    <xf numFmtId="189" fontId="4" fillId="6" borderId="4" xfId="22" applyNumberFormat="1" applyFont="1" applyFill="1" applyBorder="1"/>
    <xf numFmtId="189" fontId="4" fillId="0" borderId="4" xfId="22" applyNumberFormat="1" applyFont="1" applyFill="1" applyBorder="1"/>
    <xf numFmtId="190" fontId="4" fillId="3" borderId="4" xfId="22" applyNumberFormat="1" applyFont="1" applyFill="1" applyBorder="1"/>
    <xf numFmtId="190" fontId="4" fillId="6" borderId="4" xfId="22" applyNumberFormat="1" applyFont="1" applyFill="1" applyBorder="1"/>
    <xf numFmtId="190" fontId="4" fillId="0" borderId="4" xfId="22" applyNumberFormat="1" applyFont="1" applyFill="1" applyBorder="1"/>
    <xf numFmtId="3" fontId="26" fillId="3" borderId="4" xfId="22" applyNumberFormat="1" applyFont="1" applyFill="1" applyBorder="1"/>
    <xf numFmtId="0" fontId="8" fillId="6" borderId="7" xfId="22" applyFont="1" applyFill="1" applyBorder="1" applyAlignment="1">
      <alignment horizontal="left"/>
    </xf>
    <xf numFmtId="0" fontId="96" fillId="0" borderId="0" xfId="22" applyFont="1" applyAlignment="1">
      <alignment horizontal="left"/>
    </xf>
    <xf numFmtId="189" fontId="23" fillId="3" borderId="7" xfId="22" applyNumberFormat="1" applyFont="1" applyFill="1" applyBorder="1"/>
    <xf numFmtId="189" fontId="23" fillId="6" borderId="7" xfId="22" applyNumberFormat="1" applyFont="1" applyFill="1" applyBorder="1"/>
    <xf numFmtId="189" fontId="23" fillId="0" borderId="7" xfId="22" applyNumberFormat="1" applyFont="1" applyFill="1" applyBorder="1"/>
    <xf numFmtId="190" fontId="23" fillId="3" borderId="7" xfId="22" applyNumberFormat="1" applyFont="1" applyFill="1" applyBorder="1"/>
    <xf numFmtId="190" fontId="23" fillId="6" borderId="7" xfId="22" applyNumberFormat="1" applyFont="1" applyFill="1" applyBorder="1"/>
    <xf numFmtId="190" fontId="23" fillId="0" borderId="7" xfId="22" applyNumberFormat="1" applyFont="1" applyFill="1" applyBorder="1"/>
    <xf numFmtId="189" fontId="23" fillId="3" borderId="7" xfId="22" applyNumberFormat="1" applyFont="1" applyFill="1" applyBorder="1" applyAlignment="1">
      <alignment horizontal="right"/>
    </xf>
    <xf numFmtId="189" fontId="23" fillId="6" borderId="7" xfId="22" applyNumberFormat="1" applyFont="1" applyFill="1" applyBorder="1" applyAlignment="1">
      <alignment horizontal="right"/>
    </xf>
    <xf numFmtId="189" fontId="23" fillId="0" borderId="7" xfId="22" applyNumberFormat="1" applyFont="1" applyFill="1" applyBorder="1" applyAlignment="1">
      <alignment horizontal="right"/>
    </xf>
    <xf numFmtId="190" fontId="23" fillId="3" borderId="7" xfId="22" applyNumberFormat="1" applyFont="1" applyFill="1" applyBorder="1" applyAlignment="1">
      <alignment horizontal="right"/>
    </xf>
    <xf numFmtId="190" fontId="23" fillId="6" borderId="7" xfId="22" applyNumberFormat="1" applyFont="1" applyFill="1" applyBorder="1" applyAlignment="1">
      <alignment horizontal="right"/>
    </xf>
    <xf numFmtId="190" fontId="23" fillId="0" borderId="7" xfId="22" applyNumberFormat="1" applyFont="1" applyFill="1" applyBorder="1" applyAlignment="1">
      <alignment horizontal="right"/>
    </xf>
    <xf numFmtId="189" fontId="18" fillId="0" borderId="7" xfId="22" applyNumberFormat="1" applyFont="1" applyFill="1" applyBorder="1" applyAlignment="1">
      <alignment horizontal="right"/>
    </xf>
    <xf numFmtId="190" fontId="18" fillId="3" borderId="7" xfId="22" applyNumberFormat="1" applyFont="1" applyFill="1" applyBorder="1" applyAlignment="1">
      <alignment horizontal="right"/>
    </xf>
    <xf numFmtId="190" fontId="18" fillId="6" borderId="7" xfId="22" applyNumberFormat="1" applyFont="1" applyFill="1" applyBorder="1" applyAlignment="1">
      <alignment horizontal="right"/>
    </xf>
    <xf numFmtId="190" fontId="18" fillId="0" borderId="7" xfId="22" applyNumberFormat="1" applyFont="1" applyFill="1" applyBorder="1" applyAlignment="1">
      <alignment horizontal="right"/>
    </xf>
    <xf numFmtId="189" fontId="4" fillId="0" borderId="7" xfId="22" applyNumberFormat="1" applyFont="1" applyFill="1" applyBorder="1" applyAlignment="1">
      <alignment horizontal="center"/>
    </xf>
    <xf numFmtId="190" fontId="4" fillId="0" borderId="7" xfId="22" applyNumberFormat="1" applyFont="1" applyFill="1" applyBorder="1" applyAlignment="1">
      <alignment horizontal="center"/>
    </xf>
    <xf numFmtId="189" fontId="8" fillId="3" borderId="7" xfId="22" applyNumberFormat="1" applyFont="1" applyFill="1" applyBorder="1"/>
    <xf numFmtId="189" fontId="8" fillId="6" borderId="7" xfId="22" applyNumberFormat="1" applyFont="1" applyFill="1" applyBorder="1"/>
    <xf numFmtId="189" fontId="26" fillId="3" borderId="7" xfId="22" applyNumberFormat="1" applyFont="1" applyFill="1" applyBorder="1"/>
    <xf numFmtId="0" fontId="8" fillId="6" borderId="5" xfId="22" applyFont="1" applyFill="1" applyBorder="1"/>
    <xf numFmtId="0" fontId="23" fillId="6" borderId="5" xfId="22" applyFont="1" applyFill="1" applyBorder="1"/>
    <xf numFmtId="189" fontId="8" fillId="3" borderId="5" xfId="22" applyNumberFormat="1" applyFont="1" applyFill="1" applyBorder="1" applyAlignment="1">
      <alignment horizontal="left"/>
    </xf>
    <xf numFmtId="189" fontId="8" fillId="6" borderId="5" xfId="22" applyNumberFormat="1" applyFont="1" applyFill="1" applyBorder="1" applyAlignment="1">
      <alignment horizontal="left"/>
    </xf>
    <xf numFmtId="189" fontId="8" fillId="0" borderId="5" xfId="22" applyNumberFormat="1" applyFont="1" applyFill="1" applyBorder="1" applyAlignment="1">
      <alignment horizontal="left"/>
    </xf>
    <xf numFmtId="190" fontId="8" fillId="3" borderId="5" xfId="22" applyNumberFormat="1" applyFont="1" applyFill="1" applyBorder="1" applyAlignment="1">
      <alignment horizontal="left"/>
    </xf>
    <xf numFmtId="190" fontId="8" fillId="6" borderId="5" xfId="22" applyNumberFormat="1" applyFont="1" applyFill="1" applyBorder="1" applyAlignment="1">
      <alignment horizontal="left"/>
    </xf>
    <xf numFmtId="190" fontId="8" fillId="0" borderId="5" xfId="22" applyNumberFormat="1" applyFont="1" applyFill="1" applyBorder="1" applyAlignment="1">
      <alignment horizontal="left"/>
    </xf>
    <xf numFmtId="3" fontId="79" fillId="3" borderId="5" xfId="22" applyNumberFormat="1" applyFont="1" applyFill="1" applyBorder="1" applyAlignment="1">
      <alignment horizontal="left"/>
    </xf>
    <xf numFmtId="0" fontId="18" fillId="0" borderId="0" xfId="22" applyFont="1" applyBorder="1"/>
    <xf numFmtId="0" fontId="4" fillId="0" borderId="0" xfId="22" applyFont="1" applyBorder="1"/>
    <xf numFmtId="0" fontId="18" fillId="0" borderId="0" xfId="22" applyFont="1"/>
    <xf numFmtId="10" fontId="87" fillId="0" borderId="0" xfId="22" applyNumberFormat="1"/>
    <xf numFmtId="0" fontId="87" fillId="0" borderId="0" xfId="22" applyBorder="1"/>
    <xf numFmtId="0" fontId="102" fillId="0" borderId="0" xfId="22" applyFont="1"/>
    <xf numFmtId="0" fontId="2" fillId="0" borderId="3" xfId="0" applyFont="1" applyFill="1" applyBorder="1" applyAlignment="1">
      <alignment vertical="top"/>
    </xf>
    <xf numFmtId="0" fontId="0" fillId="0" borderId="3" xfId="0" applyFill="1" applyBorder="1" applyAlignment="1"/>
    <xf numFmtId="0" fontId="0" fillId="0" borderId="0" xfId="0" applyFill="1" applyBorder="1" applyAlignment="1"/>
    <xf numFmtId="0" fontId="5" fillId="12" borderId="29" xfId="0" applyFont="1" applyFill="1" applyBorder="1" applyAlignment="1">
      <alignment horizontal="left" vertical="top"/>
    </xf>
    <xf numFmtId="0" fontId="3" fillId="12" borderId="0" xfId="0" applyFont="1" applyFill="1" applyBorder="1" applyAlignment="1">
      <alignment horizontal="right" vertical="top"/>
    </xf>
    <xf numFmtId="0" fontId="3" fillId="12" borderId="0" xfId="0" applyFont="1" applyFill="1" applyBorder="1" applyAlignment="1">
      <alignment horizontal="right"/>
    </xf>
    <xf numFmtId="0" fontId="5" fillId="6" borderId="0" xfId="0" applyFont="1" applyFill="1" applyBorder="1" applyAlignment="1">
      <alignment horizontal="left"/>
    </xf>
    <xf numFmtId="0" fontId="5" fillId="3" borderId="30" xfId="0" applyFont="1" applyFill="1" applyBorder="1" applyAlignment="1">
      <alignment horizontal="left"/>
    </xf>
    <xf numFmtId="0" fontId="5" fillId="3" borderId="29" xfId="0" applyFont="1" applyFill="1" applyBorder="1" applyAlignment="1">
      <alignment horizontal="left" vertical="top"/>
    </xf>
    <xf numFmtId="0" fontId="5" fillId="6" borderId="0" xfId="0" applyFont="1" applyFill="1" applyBorder="1" applyAlignment="1">
      <alignment horizontal="left" vertical="top"/>
    </xf>
    <xf numFmtId="0" fontId="3" fillId="3" borderId="29" xfId="0" applyFont="1" applyFill="1" applyBorder="1" applyAlignment="1">
      <alignment horizontal="right" vertical="center"/>
    </xf>
    <xf numFmtId="0" fontId="3" fillId="6" borderId="0" xfId="0" quotePrefix="1" applyFont="1" applyFill="1" applyBorder="1" applyAlignment="1">
      <alignment horizontal="right" vertical="center"/>
    </xf>
    <xf numFmtId="0" fontId="18" fillId="6" borderId="0" xfId="0" applyFont="1" applyFill="1" applyBorder="1" applyAlignment="1">
      <alignment horizontal="right" vertical="center"/>
    </xf>
    <xf numFmtId="0" fontId="18" fillId="3" borderId="0" xfId="0" applyFont="1" applyFill="1" applyBorder="1" applyAlignment="1">
      <alignment horizontal="right" vertical="center"/>
    </xf>
    <xf numFmtId="0" fontId="4" fillId="6" borderId="0" xfId="0" applyFont="1" applyFill="1" applyAlignment="1">
      <alignment vertical="center"/>
    </xf>
    <xf numFmtId="0" fontId="3" fillId="3" borderId="29" xfId="0" applyFont="1" applyFill="1" applyBorder="1" applyAlignment="1">
      <alignment horizontal="left" vertical="center"/>
    </xf>
    <xf numFmtId="0" fontId="18" fillId="3" borderId="29" xfId="0" applyFont="1" applyFill="1" applyBorder="1" applyAlignment="1">
      <alignment horizontal="left" vertical="center"/>
    </xf>
    <xf numFmtId="1" fontId="3" fillId="3" borderId="31" xfId="0" applyNumberFormat="1" applyFont="1" applyFill="1" applyBorder="1" applyAlignment="1">
      <alignment horizontal="left"/>
    </xf>
    <xf numFmtId="3" fontId="3" fillId="6" borderId="31" xfId="0" applyNumberFormat="1" applyFont="1" applyFill="1" applyBorder="1" applyAlignment="1">
      <alignment horizontal="right"/>
    </xf>
    <xf numFmtId="190" fontId="3" fillId="3" borderId="32" xfId="0" applyNumberFormat="1" applyFont="1" applyFill="1" applyBorder="1" applyAlignment="1">
      <alignment horizontal="right"/>
    </xf>
    <xf numFmtId="190" fontId="3" fillId="6" borderId="31" xfId="0" applyNumberFormat="1" applyFont="1" applyFill="1" applyBorder="1" applyAlignment="1">
      <alignment horizontal="right"/>
    </xf>
    <xf numFmtId="190" fontId="3" fillId="3" borderId="31" xfId="0" applyNumberFormat="1" applyFont="1" applyFill="1" applyBorder="1" applyAlignment="1">
      <alignment horizontal="right"/>
    </xf>
    <xf numFmtId="190" fontId="3" fillId="6" borderId="33" xfId="0" applyNumberFormat="1" applyFont="1" applyFill="1" applyBorder="1" applyAlignment="1">
      <alignment horizontal="right"/>
    </xf>
    <xf numFmtId="190" fontId="3" fillId="6" borderId="34" xfId="0" applyNumberFormat="1" applyFont="1" applyFill="1" applyBorder="1" applyAlignment="1">
      <alignment horizontal="right"/>
    </xf>
    <xf numFmtId="190" fontId="5" fillId="3" borderId="35" xfId="0" applyNumberFormat="1" applyFont="1" applyFill="1" applyBorder="1" applyAlignment="1">
      <alignment horizontal="right" vertical="center"/>
    </xf>
    <xf numFmtId="190" fontId="5" fillId="6" borderId="31" xfId="0" applyNumberFormat="1" applyFont="1" applyFill="1" applyBorder="1" applyAlignment="1">
      <alignment horizontal="right" vertical="center"/>
    </xf>
    <xf numFmtId="190" fontId="5" fillId="3" borderId="31" xfId="0" applyNumberFormat="1" applyFont="1" applyFill="1" applyBorder="1" applyAlignment="1">
      <alignment horizontal="right" vertical="center"/>
    </xf>
    <xf numFmtId="0" fontId="8" fillId="0" borderId="0" xfId="0" applyFont="1" applyBorder="1" applyAlignment="1">
      <alignment vertical="center"/>
    </xf>
    <xf numFmtId="190" fontId="5" fillId="3" borderId="36" xfId="0" applyNumberFormat="1" applyFont="1" applyFill="1" applyBorder="1" applyAlignment="1">
      <alignment horizontal="right" vertical="center"/>
    </xf>
    <xf numFmtId="1" fontId="8" fillId="0" borderId="0" xfId="0" applyNumberFormat="1" applyFont="1" applyFill="1" applyBorder="1" applyAlignment="1">
      <alignment horizontal="left"/>
    </xf>
    <xf numFmtId="0" fontId="4" fillId="0" borderId="0" xfId="0" quotePrefix="1" applyFont="1" applyAlignment="1"/>
    <xf numFmtId="190" fontId="44" fillId="3" borderId="7" xfId="0" applyNumberFormat="1" applyFont="1" applyFill="1" applyBorder="1" applyAlignment="1">
      <alignment horizontal="right"/>
    </xf>
    <xf numFmtId="190" fontId="51" fillId="3" borderId="7" xfId="0" applyNumberFormat="1" applyFont="1" applyFill="1" applyBorder="1" applyAlignment="1">
      <alignment horizontal="right" vertical="center"/>
    </xf>
    <xf numFmtId="0" fontId="26" fillId="0" borderId="0" xfId="0" applyFont="1" applyBorder="1"/>
    <xf numFmtId="0" fontId="1" fillId="8" borderId="3" xfId="0" applyFont="1" applyFill="1" applyBorder="1" applyAlignment="1">
      <alignment horizontal="right"/>
    </xf>
    <xf numFmtId="0" fontId="1" fillId="8" borderId="0" xfId="0" applyFont="1" applyFill="1" applyBorder="1" applyAlignment="1">
      <alignment horizontal="right"/>
    </xf>
    <xf numFmtId="0" fontId="5" fillId="6" borderId="30" xfId="0" applyFont="1" applyFill="1" applyBorder="1" applyAlignment="1">
      <alignment horizontal="left"/>
    </xf>
    <xf numFmtId="0" fontId="5" fillId="3" borderId="3" xfId="0" applyFont="1" applyFill="1" applyBorder="1" applyAlignment="1">
      <alignment horizontal="right"/>
    </xf>
    <xf numFmtId="0" fontId="5" fillId="6" borderId="0" xfId="0" applyFont="1" applyFill="1" applyBorder="1" applyAlignment="1">
      <alignment horizontal="right" wrapText="1"/>
    </xf>
    <xf numFmtId="0" fontId="5" fillId="6" borderId="37" xfId="0" applyFont="1" applyFill="1" applyBorder="1" applyAlignment="1">
      <alignment horizontal="left"/>
    </xf>
    <xf numFmtId="0" fontId="3" fillId="6" borderId="29" xfId="0" applyFont="1" applyFill="1" applyBorder="1" applyAlignment="1">
      <alignment horizontal="right"/>
    </xf>
    <xf numFmtId="0" fontId="3" fillId="6" borderId="29" xfId="0" applyFont="1" applyFill="1" applyBorder="1" applyAlignment="1">
      <alignment horizontal="right" vertical="top"/>
    </xf>
    <xf numFmtId="0" fontId="3" fillId="6" borderId="37" xfId="0" applyFont="1" applyFill="1" applyBorder="1" applyAlignment="1">
      <alignment horizontal="right" vertical="top"/>
    </xf>
    <xf numFmtId="189" fontId="3" fillId="6" borderId="4" xfId="0" quotePrefix="1" applyNumberFormat="1" applyFont="1" applyFill="1" applyBorder="1" applyAlignment="1">
      <alignment horizontal="right"/>
    </xf>
    <xf numFmtId="189" fontId="3" fillId="3" borderId="4" xfId="0" quotePrefix="1" applyNumberFormat="1" applyFont="1" applyFill="1" applyBorder="1" applyAlignment="1">
      <alignment horizontal="right"/>
    </xf>
    <xf numFmtId="189" fontId="3" fillId="6" borderId="38" xfId="0" quotePrefix="1" applyNumberFormat="1" applyFont="1" applyFill="1" applyBorder="1" applyAlignment="1">
      <alignment horizontal="right"/>
    </xf>
    <xf numFmtId="189" fontId="3" fillId="6" borderId="6" xfId="0" quotePrefix="1" applyNumberFormat="1" applyFont="1" applyFill="1" applyBorder="1" applyAlignment="1">
      <alignment horizontal="right"/>
    </xf>
    <xf numFmtId="189" fontId="44" fillId="6" borderId="6" xfId="0" quotePrefix="1" applyNumberFormat="1" applyFont="1" applyFill="1" applyBorder="1" applyAlignment="1">
      <alignment horizontal="right"/>
    </xf>
    <xf numFmtId="189" fontId="3" fillId="6" borderId="39" xfId="0" quotePrefix="1" applyNumberFormat="1" applyFont="1" applyFill="1" applyBorder="1" applyAlignment="1">
      <alignment horizontal="right"/>
    </xf>
    <xf numFmtId="189" fontId="44" fillId="3" borderId="4" xfId="0" applyNumberFormat="1" applyFont="1" applyFill="1" applyBorder="1" applyAlignment="1">
      <alignment horizontal="right"/>
    </xf>
    <xf numFmtId="189" fontId="44" fillId="3" borderId="6" xfId="0" quotePrefix="1" applyNumberFormat="1" applyFont="1" applyFill="1" applyBorder="1" applyAlignment="1">
      <alignment horizontal="right"/>
    </xf>
    <xf numFmtId="189" fontId="5" fillId="6" borderId="6" xfId="0" quotePrefix="1" applyNumberFormat="1" applyFont="1" applyFill="1" applyBorder="1" applyAlignment="1">
      <alignment horizontal="right" vertical="center"/>
    </xf>
    <xf numFmtId="189" fontId="5" fillId="3" borderId="4" xfId="0" applyNumberFormat="1" applyFont="1" applyFill="1" applyBorder="1" applyAlignment="1">
      <alignment horizontal="right" vertical="center"/>
    </xf>
    <xf numFmtId="189" fontId="5" fillId="6" borderId="40" xfId="0" quotePrefix="1" applyNumberFormat="1" applyFont="1" applyFill="1" applyBorder="1" applyAlignment="1">
      <alignment horizontal="right" vertical="center"/>
    </xf>
    <xf numFmtId="0" fontId="13" fillId="0" borderId="0" xfId="0" applyFont="1" applyBorder="1" applyAlignment="1">
      <alignment vertical="center"/>
    </xf>
    <xf numFmtId="1" fontId="103" fillId="0" borderId="0" xfId="0" applyNumberFormat="1" applyFont="1" applyFill="1" applyBorder="1" applyAlignment="1">
      <alignment horizontal="left"/>
    </xf>
    <xf numFmtId="0" fontId="5" fillId="6" borderId="29" xfId="0" applyFont="1" applyFill="1" applyBorder="1" applyAlignment="1">
      <alignment horizontal="left"/>
    </xf>
    <xf numFmtId="0" fontId="5" fillId="3" borderId="0" xfId="0" applyFont="1" applyFill="1" applyBorder="1" applyAlignment="1">
      <alignment horizontal="right" wrapText="1"/>
    </xf>
    <xf numFmtId="189" fontId="3" fillId="6" borderId="41" xfId="0" applyNumberFormat="1" applyFont="1" applyFill="1" applyBorder="1" applyAlignment="1">
      <alignment horizontal="right"/>
    </xf>
    <xf numFmtId="189" fontId="5" fillId="6" borderId="42" xfId="0" applyNumberFormat="1" applyFont="1" applyFill="1" applyBorder="1" applyAlignment="1">
      <alignment horizontal="right" vertical="center"/>
    </xf>
    <xf numFmtId="0" fontId="3" fillId="3" borderId="2" xfId="0" applyFont="1" applyFill="1" applyBorder="1"/>
    <xf numFmtId="0" fontId="3" fillId="3" borderId="0" xfId="0" applyFont="1" applyFill="1" applyBorder="1"/>
    <xf numFmtId="0" fontId="3" fillId="3" borderId="3" xfId="0" applyFont="1" applyFill="1" applyBorder="1"/>
    <xf numFmtId="3" fontId="3" fillId="6" borderId="3" xfId="0" applyNumberFormat="1" applyFont="1" applyFill="1" applyBorder="1" applyAlignment="1">
      <alignment horizontal="right"/>
    </xf>
    <xf numFmtId="3" fontId="3" fillId="3" borderId="3" xfId="0" applyNumberFormat="1" applyFont="1" applyFill="1" applyBorder="1" applyAlignment="1">
      <alignment horizontal="right"/>
    </xf>
    <xf numFmtId="0" fontId="3" fillId="3" borderId="6" xfId="0" applyFont="1" applyFill="1" applyBorder="1"/>
    <xf numFmtId="190" fontId="3" fillId="3" borderId="6" xfId="0" applyNumberFormat="1" applyFont="1" applyFill="1" applyBorder="1"/>
    <xf numFmtId="0" fontId="3" fillId="3" borderId="7" xfId="0" applyFont="1" applyFill="1" applyBorder="1"/>
    <xf numFmtId="0" fontId="4" fillId="3" borderId="7" xfId="0" applyFont="1" applyFill="1" applyBorder="1"/>
    <xf numFmtId="0" fontId="3" fillId="3" borderId="0" xfId="0" applyFont="1" applyFill="1" applyBorder="1" applyAlignment="1">
      <alignment vertical="center"/>
    </xf>
    <xf numFmtId="189" fontId="3" fillId="6" borderId="0" xfId="0" applyNumberFormat="1" applyFont="1" applyFill="1" applyBorder="1" applyAlignment="1">
      <alignment horizontal="right" vertical="center"/>
    </xf>
    <xf numFmtId="189" fontId="3" fillId="3" borderId="0" xfId="0" applyNumberFormat="1" applyFont="1" applyFill="1" applyBorder="1" applyAlignment="1">
      <alignment horizontal="right" vertical="center"/>
    </xf>
    <xf numFmtId="190" fontId="3" fillId="3" borderId="6" xfId="0" applyNumberFormat="1" applyFont="1" applyFill="1" applyBorder="1" applyAlignment="1">
      <alignment vertical="center"/>
    </xf>
    <xf numFmtId="0" fontId="4" fillId="8" borderId="0" xfId="0" applyFont="1" applyFill="1" applyBorder="1" applyAlignment="1" applyProtection="1">
      <alignment vertical="center"/>
    </xf>
    <xf numFmtId="0" fontId="3" fillId="3" borderId="0" xfId="0" applyFont="1" applyFill="1" applyBorder="1" applyAlignment="1">
      <alignment horizontal="left" vertical="top" wrapText="1"/>
    </xf>
    <xf numFmtId="0" fontId="3" fillId="6" borderId="0" xfId="0" applyFont="1" applyFill="1" applyBorder="1" applyAlignment="1">
      <alignment horizontal="right" vertical="top" wrapText="1"/>
    </xf>
    <xf numFmtId="0" fontId="3" fillId="3" borderId="0" xfId="0" applyFont="1" applyFill="1" applyBorder="1" applyAlignment="1">
      <alignment horizontal="right" vertical="top" wrapText="1"/>
    </xf>
    <xf numFmtId="0" fontId="4" fillId="0" borderId="0" xfId="0" applyFont="1" applyAlignment="1">
      <alignment vertical="top" wrapText="1"/>
    </xf>
    <xf numFmtId="1" fontId="2" fillId="8" borderId="0" xfId="0" applyNumberFormat="1" applyFont="1" applyFill="1" applyBorder="1" applyAlignment="1">
      <alignment horizontal="left" vertical="center"/>
    </xf>
    <xf numFmtId="189" fontId="3" fillId="8" borderId="3" xfId="0" applyNumberFormat="1" applyFont="1" applyFill="1" applyBorder="1" applyAlignment="1">
      <alignment horizontal="right"/>
    </xf>
    <xf numFmtId="0" fontId="3" fillId="3" borderId="2" xfId="0" applyFont="1" applyFill="1" applyBorder="1" applyAlignment="1">
      <alignment horizontal="left" vertical="top" wrapText="1"/>
    </xf>
    <xf numFmtId="0" fontId="3" fillId="6" borderId="2" xfId="0" applyFont="1" applyFill="1" applyBorder="1" applyAlignment="1">
      <alignment horizontal="right" vertical="top" wrapText="1"/>
    </xf>
    <xf numFmtId="0" fontId="3" fillId="3" borderId="2" xfId="0" applyFont="1" applyFill="1" applyBorder="1" applyAlignment="1">
      <alignment horizontal="right" vertical="top" wrapText="1"/>
    </xf>
    <xf numFmtId="1" fontId="5" fillId="3" borderId="5" xfId="0" applyNumberFormat="1" applyFont="1" applyFill="1" applyBorder="1" applyAlignment="1">
      <alignment horizontal="left" vertical="center"/>
    </xf>
    <xf numFmtId="0" fontId="2" fillId="0" borderId="0" xfId="0" applyFont="1" applyFill="1" applyBorder="1" applyAlignment="1">
      <alignment vertical="top"/>
    </xf>
    <xf numFmtId="0" fontId="3" fillId="6" borderId="29" xfId="0" applyFont="1" applyFill="1" applyBorder="1" applyAlignment="1">
      <alignment horizontal="center"/>
    </xf>
    <xf numFmtId="0" fontId="3" fillId="0" borderId="0" xfId="0" applyFont="1" applyFill="1" applyBorder="1" applyAlignment="1">
      <alignment horizontal="right" vertical="center"/>
    </xf>
    <xf numFmtId="189" fontId="3" fillId="6" borderId="39" xfId="0" applyNumberFormat="1" applyFont="1" applyFill="1" applyBorder="1" applyAlignment="1">
      <alignment horizontal="right"/>
    </xf>
    <xf numFmtId="1" fontId="3" fillId="3" borderId="12" xfId="0" applyNumberFormat="1" applyFont="1" applyFill="1" applyBorder="1" applyAlignment="1">
      <alignment horizontal="left"/>
    </xf>
    <xf numFmtId="189" fontId="3" fillId="3" borderId="12" xfId="0" applyNumberFormat="1" applyFont="1" applyFill="1" applyBorder="1" applyAlignment="1">
      <alignment horizontal="right"/>
    </xf>
    <xf numFmtId="189" fontId="3" fillId="6" borderId="12" xfId="0" applyNumberFormat="1" applyFont="1" applyFill="1" applyBorder="1" applyAlignment="1">
      <alignment horizontal="right"/>
    </xf>
    <xf numFmtId="189" fontId="3" fillId="6" borderId="38" xfId="0" applyNumberFormat="1" applyFont="1" applyFill="1" applyBorder="1" applyAlignment="1">
      <alignment horizontal="right"/>
    </xf>
    <xf numFmtId="189" fontId="3" fillId="6" borderId="43" xfId="0" applyNumberFormat="1" applyFont="1" applyFill="1" applyBorder="1" applyAlignment="1">
      <alignment horizontal="right"/>
    </xf>
    <xf numFmtId="1" fontId="5" fillId="3" borderId="12" xfId="0" applyNumberFormat="1" applyFont="1" applyFill="1" applyBorder="1" applyAlignment="1">
      <alignment horizontal="left"/>
    </xf>
    <xf numFmtId="189" fontId="5" fillId="6" borderId="12" xfId="0" applyNumberFormat="1" applyFont="1" applyFill="1" applyBorder="1" applyAlignment="1">
      <alignment horizontal="right"/>
    </xf>
    <xf numFmtId="189" fontId="5" fillId="3" borderId="12" xfId="0" applyNumberFormat="1" applyFont="1" applyFill="1" applyBorder="1" applyAlignment="1">
      <alignment horizontal="right"/>
    </xf>
    <xf numFmtId="189" fontId="5" fillId="6" borderId="43" xfId="0" applyNumberFormat="1" applyFont="1" applyFill="1" applyBorder="1" applyAlignment="1">
      <alignment horizontal="right"/>
    </xf>
    <xf numFmtId="189" fontId="5" fillId="0" borderId="0" xfId="0" applyNumberFormat="1" applyFont="1" applyFill="1" applyBorder="1" applyAlignment="1">
      <alignment horizontal="right"/>
    </xf>
    <xf numFmtId="1" fontId="3" fillId="3" borderId="5" xfId="0" applyNumberFormat="1" applyFont="1" applyFill="1" applyBorder="1" applyAlignment="1">
      <alignment horizontal="left" vertical="center"/>
    </xf>
    <xf numFmtId="189" fontId="44" fillId="6" borderId="5" xfId="0" applyNumberFormat="1" applyFont="1" applyFill="1" applyBorder="1" applyAlignment="1">
      <alignment horizontal="right" vertical="center"/>
    </xf>
    <xf numFmtId="189" fontId="3" fillId="3" borderId="5" xfId="0" applyNumberFormat="1" applyFont="1" applyFill="1" applyBorder="1" applyAlignment="1">
      <alignment horizontal="right" vertical="center"/>
    </xf>
    <xf numFmtId="189" fontId="3" fillId="6" borderId="5" xfId="0" applyNumberFormat="1" applyFont="1" applyFill="1" applyBorder="1" applyAlignment="1">
      <alignment horizontal="right" vertical="center"/>
    </xf>
    <xf numFmtId="189" fontId="3" fillId="6" borderId="36" xfId="0" applyNumberFormat="1" applyFont="1" applyFill="1" applyBorder="1" applyAlignment="1">
      <alignment horizontal="right" vertical="center"/>
    </xf>
    <xf numFmtId="189" fontId="3" fillId="0" borderId="0" xfId="0" applyNumberFormat="1" applyFont="1" applyFill="1" applyBorder="1" applyAlignment="1">
      <alignment horizontal="right" vertical="center"/>
    </xf>
    <xf numFmtId="1" fontId="3" fillId="0" borderId="0" xfId="0" applyNumberFormat="1" applyFont="1" applyFill="1" applyBorder="1" applyAlignment="1">
      <alignment horizontal="left"/>
    </xf>
    <xf numFmtId="1" fontId="2" fillId="0" borderId="0" xfId="0" applyNumberFormat="1" applyFont="1" applyFill="1" applyBorder="1" applyAlignment="1">
      <alignment horizontal="left"/>
    </xf>
    <xf numFmtId="1" fontId="3" fillId="0" borderId="3" xfId="0" applyNumberFormat="1" applyFont="1" applyFill="1" applyBorder="1" applyAlignment="1">
      <alignment horizontal="left"/>
    </xf>
    <xf numFmtId="189" fontId="3" fillId="0" borderId="3" xfId="0" applyNumberFormat="1" applyFont="1" applyFill="1" applyBorder="1" applyAlignment="1">
      <alignment horizontal="right"/>
    </xf>
    <xf numFmtId="190" fontId="3" fillId="0" borderId="3" xfId="0" applyNumberFormat="1" applyFont="1" applyFill="1" applyBorder="1" applyAlignment="1">
      <alignment horizontal="right"/>
    </xf>
    <xf numFmtId="0" fontId="4" fillId="6" borderId="0" xfId="0" applyFont="1" applyFill="1" applyAlignment="1">
      <alignment horizontal="right"/>
    </xf>
    <xf numFmtId="0" fontId="4" fillId="6" borderId="0" xfId="0" applyFont="1" applyFill="1" applyBorder="1" applyAlignment="1">
      <alignment horizontal="right" vertical="center"/>
    </xf>
    <xf numFmtId="0" fontId="4" fillId="6" borderId="3" xfId="0" applyFont="1" applyFill="1" applyBorder="1" applyAlignment="1">
      <alignment horizontal="right" vertical="top"/>
    </xf>
    <xf numFmtId="190" fontId="3" fillId="6" borderId="38" xfId="0" applyNumberFormat="1" applyFont="1" applyFill="1" applyBorder="1" applyAlignment="1">
      <alignment horizontal="right"/>
    </xf>
    <xf numFmtId="190" fontId="3" fillId="6" borderId="41" xfId="0" applyNumberFormat="1" applyFont="1" applyFill="1" applyBorder="1" applyAlignment="1">
      <alignment horizontal="right"/>
    </xf>
    <xf numFmtId="190" fontId="3" fillId="6" borderId="12" xfId="0" applyNumberFormat="1" applyFont="1" applyFill="1" applyBorder="1" applyAlignment="1">
      <alignment horizontal="right"/>
    </xf>
    <xf numFmtId="0" fontId="37" fillId="0" borderId="0" xfId="0" applyFont="1" applyBorder="1"/>
    <xf numFmtId="190" fontId="5" fillId="6" borderId="4" xfId="0" applyNumberFormat="1" applyFont="1" applyFill="1" applyBorder="1" applyAlignment="1">
      <alignment horizontal="right"/>
    </xf>
    <xf numFmtId="190" fontId="5" fillId="6" borderId="7" xfId="0" applyNumberFormat="1" applyFont="1" applyFill="1" applyBorder="1" applyAlignment="1">
      <alignment horizontal="right"/>
    </xf>
    <xf numFmtId="190" fontId="5" fillId="6" borderId="41" xfId="0" applyNumberFormat="1" applyFont="1" applyFill="1" applyBorder="1" applyAlignment="1">
      <alignment horizontal="right"/>
    </xf>
    <xf numFmtId="0" fontId="13" fillId="0" borderId="0" xfId="0" applyFont="1" applyBorder="1"/>
    <xf numFmtId="190" fontId="5" fillId="6" borderId="12" xfId="0" applyNumberFormat="1" applyFont="1" applyFill="1" applyBorder="1" applyAlignment="1">
      <alignment horizontal="right"/>
    </xf>
    <xf numFmtId="190" fontId="44" fillId="6" borderId="7" xfId="0" applyNumberFormat="1" applyFont="1" applyFill="1" applyBorder="1" applyAlignment="1">
      <alignment horizontal="right" vertical="center"/>
    </xf>
    <xf numFmtId="190" fontId="3" fillId="3" borderId="7" xfId="0" applyNumberFormat="1" applyFont="1" applyFill="1" applyBorder="1" applyAlignment="1">
      <alignment horizontal="right" vertical="center"/>
    </xf>
    <xf numFmtId="190" fontId="3" fillId="6" borderId="41" xfId="0" applyNumberFormat="1" applyFont="1" applyFill="1" applyBorder="1" applyAlignment="1">
      <alignment horizontal="right" vertical="center"/>
    </xf>
    <xf numFmtId="0" fontId="0" fillId="0" borderId="0" xfId="0" applyBorder="1" applyAlignment="1">
      <alignment vertical="center"/>
    </xf>
    <xf numFmtId="188" fontId="0" fillId="0" borderId="0" xfId="0" applyNumberFormat="1" applyFill="1"/>
    <xf numFmtId="0" fontId="18" fillId="0" borderId="8" xfId="0" applyFont="1" applyBorder="1"/>
    <xf numFmtId="189" fontId="51" fillId="6" borderId="0" xfId="0" applyNumberFormat="1" applyFont="1" applyFill="1" applyBorder="1" applyAlignment="1">
      <alignment horizontal="right" vertical="center"/>
    </xf>
    <xf numFmtId="190" fontId="51" fillId="3" borderId="0" xfId="0" applyNumberFormat="1" applyFont="1" applyFill="1" applyBorder="1" applyAlignment="1">
      <alignment horizontal="right" vertical="center"/>
    </xf>
    <xf numFmtId="0" fontId="3" fillId="3" borderId="26" xfId="0" applyFont="1" applyFill="1" applyBorder="1" applyAlignment="1">
      <alignment horizontal="left" vertical="center"/>
    </xf>
    <xf numFmtId="0" fontId="3" fillId="6" borderId="26" xfId="0" applyFont="1" applyFill="1" applyBorder="1" applyAlignment="1">
      <alignment vertical="center"/>
    </xf>
    <xf numFmtId="0" fontId="3" fillId="3" borderId="26" xfId="0" applyFont="1" applyFill="1" applyBorder="1" applyAlignment="1">
      <alignment vertical="center"/>
    </xf>
    <xf numFmtId="190" fontId="51" fillId="3" borderId="5" xfId="0" applyNumberFormat="1" applyFont="1" applyFill="1" applyBorder="1" applyAlignment="1">
      <alignment horizontal="right" vertical="center"/>
    </xf>
    <xf numFmtId="1" fontId="3" fillId="8" borderId="44" xfId="0" applyNumberFormat="1" applyFont="1" applyFill="1" applyBorder="1" applyAlignment="1">
      <alignment horizontal="left"/>
    </xf>
    <xf numFmtId="0" fontId="4" fillId="8" borderId="44" xfId="0" applyFont="1" applyFill="1" applyBorder="1"/>
    <xf numFmtId="0" fontId="4" fillId="0" borderId="44" xfId="0" applyFont="1" applyBorder="1"/>
    <xf numFmtId="1" fontId="51" fillId="3" borderId="4" xfId="0" applyNumberFormat="1" applyFont="1" applyFill="1" applyBorder="1" applyAlignment="1">
      <alignment horizontal="left" vertical="center"/>
    </xf>
    <xf numFmtId="190" fontId="51" fillId="6" borderId="11" xfId="0" applyNumberFormat="1" applyFont="1" applyFill="1" applyBorder="1" applyAlignment="1">
      <alignment horizontal="right" vertical="center"/>
    </xf>
    <xf numFmtId="190" fontId="51" fillId="3" borderId="11" xfId="0" applyNumberFormat="1" applyFont="1" applyFill="1" applyBorder="1" applyAlignment="1">
      <alignment horizontal="right" vertical="center"/>
    </xf>
    <xf numFmtId="1" fontId="3" fillId="8" borderId="8" xfId="0" applyNumberFormat="1" applyFont="1" applyFill="1" applyBorder="1" applyAlignment="1">
      <alignment horizontal="left"/>
    </xf>
    <xf numFmtId="1" fontId="3" fillId="8" borderId="0" xfId="0" applyNumberFormat="1" applyFont="1" applyFill="1" applyBorder="1" applyAlignment="1">
      <alignment horizontal="left"/>
    </xf>
    <xf numFmtId="3" fontId="4" fillId="8" borderId="44" xfId="0" applyNumberFormat="1" applyFont="1" applyFill="1" applyBorder="1"/>
    <xf numFmtId="3" fontId="4" fillId="0" borderId="44" xfId="0" applyNumberFormat="1" applyFont="1" applyBorder="1"/>
    <xf numFmtId="1" fontId="51" fillId="3" borderId="17" xfId="0" applyNumberFormat="1" applyFont="1" applyFill="1" applyBorder="1" applyAlignment="1">
      <alignment horizontal="left" vertical="center"/>
    </xf>
    <xf numFmtId="3" fontId="51" fillId="6" borderId="17" xfId="0" applyNumberFormat="1" applyFont="1" applyFill="1" applyBorder="1" applyAlignment="1">
      <alignment horizontal="right" vertical="center"/>
    </xf>
    <xf numFmtId="3" fontId="51" fillId="3" borderId="17" xfId="0" applyNumberFormat="1" applyFont="1" applyFill="1" applyBorder="1" applyAlignment="1">
      <alignment horizontal="right" vertical="center"/>
    </xf>
    <xf numFmtId="3" fontId="51" fillId="6" borderId="11" xfId="0" applyNumberFormat="1" applyFont="1" applyFill="1" applyBorder="1" applyAlignment="1">
      <alignment horizontal="right" vertical="center"/>
    </xf>
    <xf numFmtId="2" fontId="106" fillId="0" borderId="0" xfId="20" applyNumberFormat="1" applyFont="1"/>
    <xf numFmtId="0" fontId="39" fillId="0" borderId="0" xfId="0" applyFont="1" applyFill="1"/>
    <xf numFmtId="0" fontId="2" fillId="0" borderId="0" xfId="5" applyFont="1" applyAlignment="1">
      <alignment horizontal="left"/>
    </xf>
    <xf numFmtId="0" fontId="34" fillId="0" borderId="0" xfId="5" applyFont="1"/>
    <xf numFmtId="0" fontId="34" fillId="0" borderId="0" xfId="5" applyFont="1" applyAlignment="1">
      <alignment horizontal="center"/>
    </xf>
    <xf numFmtId="0" fontId="33" fillId="0" borderId="0" xfId="5" applyFont="1" applyAlignment="1">
      <alignment horizontal="center"/>
    </xf>
    <xf numFmtId="0" fontId="35" fillId="0" borderId="0" xfId="5" applyFont="1" applyFill="1" applyAlignment="1">
      <alignment horizontal="center"/>
    </xf>
    <xf numFmtId="0" fontId="35" fillId="0" borderId="0" xfId="5" applyFont="1" applyAlignment="1">
      <alignment horizontal="center"/>
    </xf>
    <xf numFmtId="0" fontId="32" fillId="5" borderId="0" xfId="5" applyFont="1" applyFill="1" applyAlignment="1">
      <alignment horizontal="center" wrapText="1" shrinkToFit="1"/>
    </xf>
    <xf numFmtId="0" fontId="32" fillId="0" borderId="0" xfId="5" applyFont="1" applyFill="1" applyAlignment="1">
      <alignment horizontal="left" wrapText="1" shrinkToFit="1"/>
    </xf>
    <xf numFmtId="0" fontId="23" fillId="0" borderId="0" xfId="5" applyFont="1"/>
    <xf numFmtId="0" fontId="34" fillId="0" borderId="3" xfId="5" applyFont="1" applyBorder="1"/>
    <xf numFmtId="0" fontId="33" fillId="0" borderId="3" xfId="5" applyFont="1" applyBorder="1" applyAlignment="1">
      <alignment horizontal="center" wrapText="1" shrinkToFit="1"/>
    </xf>
    <xf numFmtId="2" fontId="34" fillId="0" borderId="3" xfId="5" applyNumberFormat="1" applyFont="1" applyFill="1" applyBorder="1" applyAlignment="1">
      <alignment horizontal="center"/>
    </xf>
    <xf numFmtId="2" fontId="34" fillId="0" borderId="3" xfId="5" applyNumberFormat="1" applyFont="1" applyBorder="1" applyAlignment="1">
      <alignment horizontal="center"/>
    </xf>
    <xf numFmtId="0" fontId="34" fillId="0" borderId="3" xfId="5" quotePrefix="1" applyFont="1" applyBorder="1" applyAlignment="1">
      <alignment horizontal="center"/>
    </xf>
    <xf numFmtId="2" fontId="34" fillId="0" borderId="26" xfId="5" applyNumberFormat="1" applyFont="1" applyFill="1" applyBorder="1" applyAlignment="1">
      <alignment horizontal="center"/>
    </xf>
    <xf numFmtId="0" fontId="34" fillId="0" borderId="3" xfId="5" applyFont="1" applyBorder="1" applyAlignment="1">
      <alignment horizontal="center"/>
    </xf>
    <xf numFmtId="2" fontId="34" fillId="0" borderId="26" xfId="5" applyNumberFormat="1" applyFont="1" applyBorder="1" applyAlignment="1">
      <alignment horizontal="center"/>
    </xf>
    <xf numFmtId="0" fontId="34" fillId="0" borderId="26" xfId="5" applyFont="1" applyBorder="1" applyAlignment="1">
      <alignment horizontal="center"/>
    </xf>
    <xf numFmtId="0" fontId="34" fillId="0" borderId="26" xfId="5" quotePrefix="1" applyFont="1" applyFill="1" applyBorder="1" applyAlignment="1">
      <alignment horizontal="center"/>
    </xf>
    <xf numFmtId="0" fontId="34" fillId="0" borderId="26" xfId="5" applyFont="1" applyFill="1" applyBorder="1" applyAlignment="1">
      <alignment horizontal="center"/>
    </xf>
    <xf numFmtId="0" fontId="34" fillId="0" borderId="26" xfId="5" quotePrefix="1" applyFont="1" applyBorder="1" applyAlignment="1">
      <alignment horizontal="center"/>
    </xf>
    <xf numFmtId="2" fontId="34" fillId="0" borderId="0" xfId="5" applyNumberFormat="1" applyFont="1" applyFill="1" applyAlignment="1">
      <alignment horizontal="center"/>
    </xf>
    <xf numFmtId="2" fontId="34" fillId="0" borderId="26" xfId="5" quotePrefix="1" applyNumberFormat="1" applyFont="1" applyFill="1" applyBorder="1" applyAlignment="1">
      <alignment horizontal="center"/>
    </xf>
    <xf numFmtId="0" fontId="34" fillId="0" borderId="2" xfId="5" quotePrefix="1" applyFont="1" applyFill="1" applyBorder="1" applyAlignment="1">
      <alignment horizontal="center"/>
    </xf>
    <xf numFmtId="0" fontId="34" fillId="0" borderId="3" xfId="5" applyFont="1" applyFill="1" applyBorder="1" applyAlignment="1">
      <alignment horizontal="center"/>
    </xf>
    <xf numFmtId="0" fontId="34" fillId="0" borderId="3" xfId="5" quotePrefix="1" applyFont="1" applyFill="1" applyBorder="1" applyAlignment="1">
      <alignment horizontal="center"/>
    </xf>
    <xf numFmtId="2" fontId="34" fillId="0" borderId="26" xfId="5" quotePrefix="1" applyNumberFormat="1" applyFont="1" applyBorder="1" applyAlignment="1">
      <alignment horizontal="center"/>
    </xf>
    <xf numFmtId="0" fontId="34" fillId="0" borderId="0" xfId="5" applyFont="1" applyFill="1" applyAlignment="1">
      <alignment horizontal="center"/>
    </xf>
    <xf numFmtId="0" fontId="33" fillId="3" borderId="0" xfId="5" applyFont="1" applyFill="1" applyAlignment="1">
      <alignment horizontal="center"/>
    </xf>
    <xf numFmtId="0" fontId="40" fillId="0" borderId="0" xfId="5" applyFont="1" applyFill="1" applyAlignment="1">
      <alignment horizontal="center"/>
    </xf>
    <xf numFmtId="0" fontId="30" fillId="0" borderId="0" xfId="5"/>
    <xf numFmtId="0" fontId="34" fillId="0" borderId="0" xfId="5" applyFont="1" applyFill="1"/>
    <xf numFmtId="0" fontId="30" fillId="0" borderId="0" xfId="5" applyAlignment="1">
      <alignment horizontal="center"/>
    </xf>
    <xf numFmtId="0" fontId="32" fillId="0" borderId="3" xfId="5" applyFont="1" applyBorder="1" applyAlignment="1">
      <alignment horizontal="center" wrapText="1" shrinkToFit="1"/>
    </xf>
    <xf numFmtId="0" fontId="30" fillId="0" borderId="3" xfId="5" applyBorder="1" applyAlignment="1">
      <alignment horizontal="center"/>
    </xf>
    <xf numFmtId="0" fontId="30" fillId="0" borderId="3" xfId="5" applyBorder="1"/>
    <xf numFmtId="2" fontId="4" fillId="0" borderId="3" xfId="5" applyNumberFormat="1" applyFont="1" applyFill="1" applyBorder="1" applyAlignment="1">
      <alignment horizontal="center"/>
    </xf>
    <xf numFmtId="0" fontId="4" fillId="0" borderId="3" xfId="5" quotePrefix="1" applyFont="1" applyFill="1" applyBorder="1" applyAlignment="1">
      <alignment horizontal="center"/>
    </xf>
    <xf numFmtId="0" fontId="30" fillId="0" borderId="0" xfId="5" applyFill="1"/>
    <xf numFmtId="0" fontId="4" fillId="0" borderId="26" xfId="5" applyFont="1" applyFill="1" applyBorder="1" applyAlignment="1">
      <alignment horizontal="center"/>
    </xf>
    <xf numFmtId="0" fontId="4" fillId="0" borderId="3" xfId="5" applyFont="1" applyFill="1" applyBorder="1" applyAlignment="1">
      <alignment horizontal="center"/>
    </xf>
    <xf numFmtId="2" fontId="4" fillId="0" borderId="26" xfId="5" applyNumberFormat="1" applyFont="1" applyFill="1" applyBorder="1" applyAlignment="1">
      <alignment horizontal="center"/>
    </xf>
    <xf numFmtId="0" fontId="4" fillId="0" borderId="26" xfId="5" quotePrefix="1" applyFont="1" applyFill="1" applyBorder="1" applyAlignment="1">
      <alignment horizontal="center"/>
    </xf>
    <xf numFmtId="0" fontId="4" fillId="0" borderId="0" xfId="5" quotePrefix="1" applyFont="1" applyFill="1" applyBorder="1" applyAlignment="1">
      <alignment horizontal="center"/>
    </xf>
    <xf numFmtId="0" fontId="4" fillId="0" borderId="0" xfId="5" applyFont="1" applyFill="1" applyBorder="1" applyAlignment="1">
      <alignment horizontal="center"/>
    </xf>
    <xf numFmtId="0" fontId="30" fillId="0" borderId="26" xfId="5" applyBorder="1" applyAlignment="1">
      <alignment horizontal="center"/>
    </xf>
    <xf numFmtId="2" fontId="30" fillId="0" borderId="26" xfId="5" applyNumberFormat="1" applyFill="1" applyBorder="1" applyAlignment="1">
      <alignment horizontal="center"/>
    </xf>
    <xf numFmtId="2" fontId="30" fillId="0" borderId="0" xfId="5" applyNumberFormat="1" applyBorder="1" applyAlignment="1">
      <alignment horizontal="center"/>
    </xf>
    <xf numFmtId="0" fontId="30" fillId="0" borderId="0" xfId="5" applyBorder="1"/>
    <xf numFmtId="2" fontId="30" fillId="0" borderId="3" xfId="5" applyNumberFormat="1" applyBorder="1" applyAlignment="1">
      <alignment horizontal="center"/>
    </xf>
    <xf numFmtId="0" fontId="72" fillId="0" borderId="0" xfId="5" applyFont="1"/>
    <xf numFmtId="0" fontId="30" fillId="11" borderId="3" xfId="5" applyFill="1" applyBorder="1"/>
    <xf numFmtId="0" fontId="23" fillId="0" borderId="0" xfId="5" applyFont="1" applyAlignment="1">
      <alignment horizontal="left"/>
    </xf>
    <xf numFmtId="0" fontId="30" fillId="0" borderId="26" xfId="5" quotePrefix="1" applyBorder="1" applyAlignment="1">
      <alignment horizontal="center"/>
    </xf>
    <xf numFmtId="0" fontId="72" fillId="0" borderId="0" xfId="5" applyFont="1" applyAlignment="1">
      <alignment horizontal="left"/>
    </xf>
    <xf numFmtId="0" fontId="91" fillId="0" borderId="0" xfId="5" applyFont="1" applyAlignment="1">
      <alignment horizontal="left"/>
    </xf>
    <xf numFmtId="0" fontId="30" fillId="0" borderId="0" xfId="5" applyBorder="1" applyAlignment="1">
      <alignment horizontal="center"/>
    </xf>
    <xf numFmtId="2" fontId="4" fillId="0" borderId="3" xfId="0" applyNumberFormat="1" applyFont="1" applyFill="1" applyBorder="1" applyAlignment="1">
      <alignment horizontal="center"/>
    </xf>
    <xf numFmtId="2" fontId="4" fillId="0" borderId="3" xfId="0" applyNumberFormat="1" applyFont="1" applyBorder="1" applyAlignment="1">
      <alignment horizontal="center"/>
    </xf>
    <xf numFmtId="0" fontId="4" fillId="0" borderId="26" xfId="0" applyFont="1" applyFill="1" applyBorder="1" applyAlignment="1">
      <alignment horizontal="center"/>
    </xf>
    <xf numFmtId="0" fontId="4" fillId="0" borderId="3" xfId="0" applyFont="1" applyFill="1" applyBorder="1" applyAlignment="1">
      <alignment horizontal="center"/>
    </xf>
    <xf numFmtId="0" fontId="4" fillId="0" borderId="3" xfId="0" quotePrefix="1" applyFont="1" applyFill="1" applyBorder="1" applyAlignment="1">
      <alignment horizontal="center"/>
    </xf>
    <xf numFmtId="2" fontId="4" fillId="0" borderId="26" xfId="0" applyNumberFormat="1" applyFont="1" applyFill="1" applyBorder="1" applyAlignment="1">
      <alignment horizontal="center"/>
    </xf>
    <xf numFmtId="0" fontId="4" fillId="0" borderId="26" xfId="0" quotePrefix="1" applyFont="1" applyFill="1" applyBorder="1" applyAlignment="1">
      <alignment horizontal="center"/>
    </xf>
    <xf numFmtId="0" fontId="0" fillId="0" borderId="3" xfId="0" applyFill="1" applyBorder="1" applyAlignment="1">
      <alignment horizontal="center"/>
    </xf>
    <xf numFmtId="2" fontId="4" fillId="11" borderId="26" xfId="0" applyNumberFormat="1" applyFont="1" applyFill="1" applyBorder="1" applyAlignment="1">
      <alignment horizontal="center"/>
    </xf>
    <xf numFmtId="0" fontId="4" fillId="11" borderId="3" xfId="0" quotePrefix="1" applyFont="1" applyFill="1" applyBorder="1" applyAlignment="1">
      <alignment horizontal="center"/>
    </xf>
    <xf numFmtId="0" fontId="4" fillId="11" borderId="26" xfId="0" applyFont="1" applyFill="1" applyBorder="1" applyAlignment="1">
      <alignment horizontal="center"/>
    </xf>
    <xf numFmtId="0" fontId="79" fillId="11" borderId="26" xfId="0" applyFont="1" applyFill="1" applyBorder="1" applyAlignment="1">
      <alignment horizontal="center"/>
    </xf>
    <xf numFmtId="2" fontId="4" fillId="0" borderId="3" xfId="0" quotePrefix="1" applyNumberFormat="1" applyFont="1" applyFill="1" applyBorder="1" applyAlignment="1">
      <alignment horizontal="center"/>
    </xf>
    <xf numFmtId="0" fontId="79" fillId="11" borderId="3" xfId="0" quotePrefix="1" applyFont="1" applyFill="1" applyBorder="1" applyAlignment="1">
      <alignment horizontal="center"/>
    </xf>
    <xf numFmtId="0" fontId="79" fillId="11" borderId="3" xfId="0" applyFont="1" applyFill="1" applyBorder="1" applyAlignment="1">
      <alignment horizontal="center"/>
    </xf>
    <xf numFmtId="0" fontId="4" fillId="11" borderId="3" xfId="0" applyFont="1" applyFill="1" applyBorder="1" applyAlignment="1">
      <alignment horizontal="center"/>
    </xf>
    <xf numFmtId="2" fontId="4" fillId="0" borderId="26" xfId="0" quotePrefix="1" applyNumberFormat="1" applyFont="1" applyFill="1" applyBorder="1" applyAlignment="1">
      <alignment horizontal="center"/>
    </xf>
    <xf numFmtId="0" fontId="4" fillId="0" borderId="2" xfId="0" quotePrefix="1" applyFont="1" applyFill="1" applyBorder="1" applyAlignment="1">
      <alignment horizontal="center"/>
    </xf>
    <xf numFmtId="2" fontId="4" fillId="0" borderId="2" xfId="0" quotePrefix="1" applyNumberFormat="1" applyFont="1" applyFill="1" applyBorder="1" applyAlignment="1">
      <alignment horizontal="center"/>
    </xf>
    <xf numFmtId="0" fontId="4" fillId="0" borderId="2" xfId="0" applyFont="1" applyFill="1" applyBorder="1" applyAlignment="1">
      <alignment horizontal="center"/>
    </xf>
    <xf numFmtId="0" fontId="4" fillId="0" borderId="0" xfId="0" quotePrefix="1" applyFont="1" applyFill="1" applyBorder="1" applyAlignment="1">
      <alignment horizontal="center"/>
    </xf>
    <xf numFmtId="2" fontId="4" fillId="0" borderId="0" xfId="0" applyNumberFormat="1" applyFont="1" applyFill="1" applyBorder="1" applyAlignment="1">
      <alignment horizontal="center"/>
    </xf>
    <xf numFmtId="0" fontId="23" fillId="0" borderId="0" xfId="0" applyFont="1" applyFill="1"/>
    <xf numFmtId="0" fontId="5" fillId="0" borderId="0" xfId="6" applyFont="1"/>
    <xf numFmtId="0" fontId="4" fillId="0" borderId="0" xfId="6" applyFont="1"/>
    <xf numFmtId="0" fontId="1" fillId="0" borderId="0" xfId="6" applyFont="1"/>
    <xf numFmtId="0" fontId="108" fillId="0" borderId="45" xfId="6" applyFont="1" applyBorder="1" applyAlignment="1">
      <alignment horizontal="justify" vertical="top" wrapText="1"/>
    </xf>
    <xf numFmtId="0" fontId="79" fillId="0" borderId="14" xfId="6" applyFont="1" applyBorder="1" applyAlignment="1">
      <alignment vertical="top" wrapText="1"/>
    </xf>
    <xf numFmtId="0" fontId="79" fillId="0" borderId="15" xfId="6" applyFont="1" applyBorder="1" applyAlignment="1">
      <alignment horizontal="right" vertical="top" wrapText="1"/>
    </xf>
    <xf numFmtId="0" fontId="4" fillId="0" borderId="16" xfId="6" applyFont="1" applyBorder="1" applyAlignment="1">
      <alignment vertical="top" wrapText="1"/>
    </xf>
    <xf numFmtId="0" fontId="79" fillId="0" borderId="15" xfId="6" applyFont="1" applyBorder="1" applyAlignment="1">
      <alignment horizontal="justify" vertical="top" wrapText="1"/>
    </xf>
    <xf numFmtId="0" fontId="79" fillId="0" borderId="16" xfId="6" applyFont="1" applyBorder="1" applyAlignment="1">
      <alignment vertical="top" wrapText="1"/>
    </xf>
    <xf numFmtId="0" fontId="4" fillId="0" borderId="15" xfId="6" applyFont="1" applyBorder="1" applyAlignment="1">
      <alignment horizontal="justify" vertical="top" wrapText="1"/>
    </xf>
    <xf numFmtId="0" fontId="4" fillId="0" borderId="16" xfId="6" applyFont="1" applyBorder="1" applyAlignment="1">
      <alignment horizontal="justify" vertical="top" wrapText="1"/>
    </xf>
    <xf numFmtId="9" fontId="4" fillId="0" borderId="16" xfId="6" applyNumberFormat="1" applyFont="1" applyBorder="1" applyAlignment="1">
      <alignment horizontal="justify" vertical="top" wrapText="1"/>
    </xf>
    <xf numFmtId="0" fontId="4" fillId="0" borderId="0" xfId="6" applyFont="1" applyAlignment="1">
      <alignment horizontal="justify"/>
    </xf>
    <xf numFmtId="0" fontId="79" fillId="0" borderId="18" xfId="6" applyFont="1" applyBorder="1" applyAlignment="1">
      <alignment vertical="top" wrapText="1"/>
    </xf>
    <xf numFmtId="0" fontId="79" fillId="0" borderId="13" xfId="6" applyFont="1" applyBorder="1" applyAlignment="1">
      <alignment horizontal="right" vertical="top" wrapText="1"/>
    </xf>
    <xf numFmtId="0" fontId="4" fillId="0" borderId="14" xfId="6" applyFont="1" applyBorder="1" applyAlignment="1">
      <alignment vertical="top" wrapText="1"/>
    </xf>
    <xf numFmtId="0" fontId="8" fillId="3" borderId="15" xfId="6" applyFont="1" applyFill="1" applyBorder="1" applyAlignment="1">
      <alignment horizontal="justify" vertical="top" wrapText="1"/>
    </xf>
    <xf numFmtId="0" fontId="4" fillId="3" borderId="15" xfId="6" applyFont="1" applyFill="1" applyBorder="1" applyAlignment="1">
      <alignment horizontal="justify" vertical="top" wrapText="1"/>
    </xf>
    <xf numFmtId="9" fontId="79" fillId="3" borderId="16" xfId="6" applyNumberFormat="1" applyFont="1" applyFill="1" applyBorder="1" applyAlignment="1">
      <alignment horizontal="justify" vertical="top" wrapText="1"/>
    </xf>
    <xf numFmtId="0" fontId="4" fillId="0" borderId="1" xfId="6" applyFont="1" applyBorder="1" applyAlignment="1">
      <alignment vertical="top" wrapText="1"/>
    </xf>
    <xf numFmtId="0" fontId="4" fillId="0" borderId="23" xfId="6" applyFont="1" applyBorder="1" applyAlignment="1">
      <alignment vertical="top" wrapText="1"/>
    </xf>
    <xf numFmtId="0" fontId="79" fillId="0" borderId="19" xfId="6" applyFont="1" applyBorder="1" applyAlignment="1">
      <alignment vertical="top" wrapText="1"/>
    </xf>
    <xf numFmtId="0" fontId="26" fillId="3" borderId="16" xfId="6" applyFont="1" applyFill="1" applyBorder="1" applyAlignment="1">
      <alignment vertical="top" wrapText="1"/>
    </xf>
    <xf numFmtId="0" fontId="4" fillId="0" borderId="15" xfId="6" applyFont="1" applyFill="1" applyBorder="1" applyAlignment="1">
      <alignment horizontal="justify" vertical="top" wrapText="1"/>
    </xf>
    <xf numFmtId="0" fontId="4" fillId="0" borderId="16" xfId="6" applyFont="1" applyBorder="1" applyAlignment="1">
      <alignment horizontal="right" vertical="top" wrapText="1"/>
    </xf>
    <xf numFmtId="0" fontId="79" fillId="3" borderId="16" xfId="6" applyFont="1" applyFill="1" applyBorder="1" applyAlignment="1">
      <alignment horizontal="right" vertical="top" wrapText="1"/>
    </xf>
    <xf numFmtId="0" fontId="79" fillId="0" borderId="18" xfId="6" applyFont="1" applyBorder="1" applyAlignment="1">
      <alignment horizontal="left" vertical="top" wrapText="1"/>
    </xf>
    <xf numFmtId="0" fontId="4" fillId="3" borderId="14" xfId="6" applyFont="1" applyFill="1" applyBorder="1" applyAlignment="1">
      <alignment vertical="top" wrapText="1"/>
    </xf>
    <xf numFmtId="0" fontId="26" fillId="0" borderId="16" xfId="6" applyFont="1" applyBorder="1" applyAlignment="1">
      <alignment vertical="top" wrapText="1"/>
    </xf>
    <xf numFmtId="0" fontId="79" fillId="3" borderId="15" xfId="6" applyFont="1" applyFill="1" applyBorder="1" applyAlignment="1">
      <alignment horizontal="justify" vertical="top" wrapText="1"/>
    </xf>
    <xf numFmtId="0" fontId="18" fillId="0" borderId="0" xfId="6" applyFont="1" applyAlignment="1">
      <alignment horizontal="justify"/>
    </xf>
    <xf numFmtId="0" fontId="79" fillId="3" borderId="14" xfId="6" applyFont="1" applyFill="1" applyBorder="1" applyAlignment="1">
      <alignment vertical="top" wrapText="1"/>
    </xf>
    <xf numFmtId="9" fontId="4" fillId="0" borderId="16" xfId="6" applyNumberFormat="1" applyFont="1" applyFill="1" applyBorder="1" applyAlignment="1">
      <alignment horizontal="justify" vertical="top" wrapText="1"/>
    </xf>
    <xf numFmtId="0" fontId="4" fillId="0" borderId="16" xfId="6" applyFont="1" applyFill="1" applyBorder="1" applyAlignment="1">
      <alignment horizontal="right" vertical="top" wrapText="1"/>
    </xf>
    <xf numFmtId="0" fontId="26" fillId="0" borderId="14" xfId="6" applyFont="1" applyFill="1" applyBorder="1" applyAlignment="1">
      <alignment vertical="top" wrapText="1"/>
    </xf>
    <xf numFmtId="0" fontId="79" fillId="3" borderId="16" xfId="6" applyFont="1" applyFill="1" applyBorder="1" applyAlignment="1">
      <alignment vertical="top" wrapText="1"/>
    </xf>
    <xf numFmtId="0" fontId="8" fillId="0" borderId="16" xfId="6" applyFont="1" applyBorder="1" applyAlignment="1">
      <alignment horizontal="right" vertical="top" wrapText="1"/>
    </xf>
    <xf numFmtId="0" fontId="23" fillId="0" borderId="0" xfId="6" applyFont="1" applyAlignment="1">
      <alignment horizontal="justify"/>
    </xf>
    <xf numFmtId="0" fontId="18" fillId="0" borderId="0" xfId="6" applyFont="1"/>
    <xf numFmtId="0" fontId="108" fillId="3" borderId="0" xfId="6" applyFont="1" applyFill="1"/>
    <xf numFmtId="0" fontId="5" fillId="0" borderId="0" xfId="7" applyFont="1"/>
    <xf numFmtId="0" fontId="4" fillId="0" borderId="0" xfId="7" applyFont="1"/>
    <xf numFmtId="0" fontId="3" fillId="0" borderId="0" xfId="7" applyFont="1"/>
    <xf numFmtId="0" fontId="79" fillId="0" borderId="45" xfId="7" applyFont="1" applyBorder="1" applyAlignment="1">
      <alignment vertical="top" wrapText="1"/>
    </xf>
    <xf numFmtId="0" fontId="79" fillId="0" borderId="14" xfId="7" applyFont="1" applyBorder="1" applyAlignment="1">
      <alignment vertical="top" wrapText="1"/>
    </xf>
    <xf numFmtId="0" fontId="79" fillId="0" borderId="15" xfId="7" applyFont="1" applyBorder="1" applyAlignment="1">
      <alignment horizontal="right" vertical="top" wrapText="1"/>
    </xf>
    <xf numFmtId="0" fontId="4" fillId="0" borderId="16" xfId="7" applyFont="1" applyBorder="1" applyAlignment="1">
      <alignment vertical="top" wrapText="1"/>
    </xf>
    <xf numFmtId="0" fontId="79" fillId="0" borderId="15" xfId="7" applyFont="1" applyBorder="1" applyAlignment="1">
      <alignment horizontal="justify" vertical="top" wrapText="1"/>
    </xf>
    <xf numFmtId="0" fontId="79" fillId="0" borderId="16" xfId="7" applyFont="1" applyBorder="1" applyAlignment="1">
      <alignment vertical="top" wrapText="1"/>
    </xf>
    <xf numFmtId="0" fontId="4" fillId="0" borderId="15" xfId="7" applyFont="1" applyBorder="1" applyAlignment="1">
      <alignment horizontal="justify" vertical="top" wrapText="1"/>
    </xf>
    <xf numFmtId="0" fontId="4" fillId="0" borderId="16" xfId="7" applyFont="1" applyBorder="1" applyAlignment="1">
      <alignment horizontal="justify" vertical="top" wrapText="1"/>
    </xf>
    <xf numFmtId="9" fontId="4" fillId="0" borderId="16" xfId="7" applyNumberFormat="1" applyFont="1" applyBorder="1" applyAlignment="1">
      <alignment horizontal="justify" vertical="top" wrapText="1"/>
    </xf>
    <xf numFmtId="0" fontId="4" fillId="0" borderId="0" xfId="7" applyFont="1" applyAlignment="1">
      <alignment horizontal="justify"/>
    </xf>
    <xf numFmtId="0" fontId="79" fillId="0" borderId="18" xfId="7" applyFont="1" applyBorder="1" applyAlignment="1">
      <alignment vertical="top" wrapText="1"/>
    </xf>
    <xf numFmtId="0" fontId="79" fillId="0" borderId="13" xfId="7" applyFont="1" applyBorder="1" applyAlignment="1">
      <alignment horizontal="right" vertical="top" wrapText="1"/>
    </xf>
    <xf numFmtId="0" fontId="4" fillId="0" borderId="14" xfId="7" applyFont="1" applyBorder="1" applyAlignment="1">
      <alignment vertical="top" wrapText="1"/>
    </xf>
    <xf numFmtId="9" fontId="79" fillId="3" borderId="16" xfId="7" applyNumberFormat="1" applyFont="1" applyFill="1" applyBorder="1" applyAlignment="1">
      <alignment horizontal="justify" vertical="top" wrapText="1"/>
    </xf>
    <xf numFmtId="0" fontId="4" fillId="0" borderId="1" xfId="7" applyFont="1" applyBorder="1" applyAlignment="1">
      <alignment vertical="top" wrapText="1"/>
    </xf>
    <xf numFmtId="0" fontId="4" fillId="0" borderId="23" xfId="7" applyFont="1" applyBorder="1" applyAlignment="1">
      <alignment vertical="top" wrapText="1"/>
    </xf>
    <xf numFmtId="0" fontId="79" fillId="3" borderId="19" xfId="7" applyFont="1" applyFill="1" applyBorder="1" applyAlignment="1">
      <alignment vertical="top" wrapText="1"/>
    </xf>
    <xf numFmtId="0" fontId="26" fillId="3" borderId="16" xfId="7" applyFont="1" applyFill="1" applyBorder="1" applyAlignment="1">
      <alignment vertical="top" wrapText="1"/>
    </xf>
    <xf numFmtId="0" fontId="4" fillId="0" borderId="16" xfId="7" applyFont="1" applyFill="1" applyBorder="1" applyAlignment="1">
      <alignment horizontal="right" vertical="top" wrapText="1"/>
    </xf>
    <xf numFmtId="0" fontId="79" fillId="3" borderId="16" xfId="7" applyFont="1" applyFill="1" applyBorder="1" applyAlignment="1">
      <alignment horizontal="right" vertical="top" wrapText="1"/>
    </xf>
    <xf numFmtId="0" fontId="79" fillId="0" borderId="18" xfId="7" applyFont="1" applyBorder="1" applyAlignment="1">
      <alignment horizontal="left" vertical="top" wrapText="1"/>
    </xf>
    <xf numFmtId="0" fontId="4" fillId="3" borderId="14" xfId="7" applyFont="1" applyFill="1" applyBorder="1" applyAlignment="1">
      <alignment vertical="top" wrapText="1"/>
    </xf>
    <xf numFmtId="0" fontId="79" fillId="0" borderId="19" xfId="7" applyFont="1" applyBorder="1" applyAlignment="1">
      <alignment vertical="top" wrapText="1"/>
    </xf>
    <xf numFmtId="0" fontId="4" fillId="0" borderId="16" xfId="7" applyFont="1" applyBorder="1" applyAlignment="1">
      <alignment horizontal="right" vertical="top" wrapText="1"/>
    </xf>
    <xf numFmtId="9" fontId="8" fillId="3" borderId="16" xfId="7" applyNumberFormat="1" applyFont="1" applyFill="1" applyBorder="1" applyAlignment="1">
      <alignment horizontal="justify" vertical="top" wrapText="1"/>
    </xf>
    <xf numFmtId="0" fontId="26" fillId="0" borderId="16" xfId="7" applyFont="1" applyBorder="1" applyAlignment="1">
      <alignment vertical="top" wrapText="1"/>
    </xf>
    <xf numFmtId="0" fontId="79" fillId="3" borderId="15" xfId="7" applyFont="1" applyFill="1" applyBorder="1" applyAlignment="1">
      <alignment horizontal="justify" vertical="top" wrapText="1"/>
    </xf>
    <xf numFmtId="0" fontId="18" fillId="0" borderId="0" xfId="7" applyFont="1"/>
    <xf numFmtId="0" fontId="79" fillId="3" borderId="14" xfId="7" applyFont="1" applyFill="1" applyBorder="1" applyAlignment="1">
      <alignment vertical="top" wrapText="1"/>
    </xf>
    <xf numFmtId="0" fontId="4" fillId="0" borderId="15" xfId="7" applyFont="1" applyFill="1" applyBorder="1" applyAlignment="1">
      <alignment horizontal="justify" vertical="top" wrapText="1"/>
    </xf>
    <xf numFmtId="9" fontId="4" fillId="0" borderId="16" xfId="7" applyNumberFormat="1" applyFont="1" applyFill="1" applyBorder="1" applyAlignment="1">
      <alignment horizontal="justify" vertical="top" wrapText="1"/>
    </xf>
    <xf numFmtId="0" fontId="26" fillId="0" borderId="14" xfId="7" applyFont="1" applyFill="1" applyBorder="1" applyAlignment="1">
      <alignment vertical="top" wrapText="1"/>
    </xf>
    <xf numFmtId="0" fontId="79" fillId="3" borderId="16" xfId="7" applyFont="1" applyFill="1" applyBorder="1" applyAlignment="1">
      <alignment vertical="top" wrapText="1"/>
    </xf>
    <xf numFmtId="0" fontId="79" fillId="0" borderId="16" xfId="7" applyFont="1" applyFill="1" applyBorder="1" applyAlignment="1">
      <alignment horizontal="right" vertical="top" wrapText="1"/>
    </xf>
    <xf numFmtId="0" fontId="18" fillId="0" borderId="0" xfId="7" applyFont="1" applyAlignment="1">
      <alignment horizontal="justify"/>
    </xf>
    <xf numFmtId="0" fontId="108" fillId="3" borderId="0" xfId="7" applyFont="1" applyFill="1"/>
    <xf numFmtId="0" fontId="5" fillId="0" borderId="0" xfId="0" applyFont="1"/>
    <xf numFmtId="0" fontId="109" fillId="0" borderId="0" xfId="0" applyFont="1" applyAlignment="1">
      <alignment wrapText="1"/>
    </xf>
    <xf numFmtId="0" fontId="73" fillId="0" borderId="0" xfId="0" applyFont="1" applyAlignment="1">
      <alignment wrapText="1"/>
    </xf>
    <xf numFmtId="0" fontId="110" fillId="0" borderId="0" xfId="0" applyFont="1" applyAlignment="1">
      <alignment wrapText="1"/>
    </xf>
    <xf numFmtId="0" fontId="30" fillId="0" borderId="0" xfId="0" applyFont="1" applyAlignment="1">
      <alignment wrapText="1"/>
    </xf>
    <xf numFmtId="0" fontId="79" fillId="0" borderId="13" xfId="0" applyFont="1" applyBorder="1" applyAlignment="1">
      <alignment horizontal="justify" vertical="top" wrapText="1"/>
    </xf>
    <xf numFmtId="0" fontId="108" fillId="6" borderId="13" xfId="0" applyFont="1" applyFill="1" applyBorder="1" applyAlignment="1">
      <alignment vertical="top" wrapText="1"/>
    </xf>
    <xf numFmtId="0" fontId="108" fillId="3" borderId="13" xfId="0" applyFont="1" applyFill="1" applyBorder="1" applyAlignment="1">
      <alignment vertical="top" wrapText="1"/>
    </xf>
    <xf numFmtId="0" fontId="108" fillId="3" borderId="15" xfId="0" applyFont="1" applyFill="1" applyBorder="1" applyAlignment="1">
      <alignment vertical="top" wrapText="1"/>
    </xf>
    <xf numFmtId="0" fontId="38" fillId="11" borderId="15" xfId="0" applyFont="1" applyFill="1" applyBorder="1" applyAlignment="1">
      <alignment horizontal="justify" vertical="top" wrapText="1"/>
    </xf>
    <xf numFmtId="190" fontId="38" fillId="11" borderId="16" xfId="0" applyNumberFormat="1" applyFont="1" applyFill="1" applyBorder="1" applyAlignment="1">
      <alignment horizontal="justify" vertical="top" wrapText="1"/>
    </xf>
    <xf numFmtId="190" fontId="18" fillId="3" borderId="16" xfId="0" applyNumberFormat="1" applyFont="1" applyFill="1" applyBorder="1" applyAlignment="1">
      <alignment horizontal="justify" vertical="top" wrapText="1"/>
    </xf>
    <xf numFmtId="3" fontId="18" fillId="6" borderId="16" xfId="0" applyNumberFormat="1" applyFont="1" applyFill="1" applyBorder="1" applyAlignment="1">
      <alignment horizontal="justify" vertical="top" wrapText="1"/>
    </xf>
    <xf numFmtId="3" fontId="18" fillId="3" borderId="16" xfId="0" applyNumberFormat="1" applyFont="1" applyFill="1" applyBorder="1" applyAlignment="1">
      <alignment horizontal="justify" vertical="top" wrapText="1"/>
    </xf>
    <xf numFmtId="0" fontId="18" fillId="0" borderId="15" xfId="0" applyFont="1" applyBorder="1" applyAlignment="1">
      <alignment horizontal="justify" vertical="top" wrapText="1"/>
    </xf>
    <xf numFmtId="190" fontId="18" fillId="6" borderId="16" xfId="0" applyNumberFormat="1" applyFont="1" applyFill="1" applyBorder="1" applyAlignment="1">
      <alignment horizontal="justify" vertical="top" wrapText="1"/>
    </xf>
    <xf numFmtId="0" fontId="111" fillId="0" borderId="0" xfId="0" applyFont="1" applyBorder="1" applyAlignment="1">
      <alignment horizontal="justify" vertical="top" wrapText="1"/>
    </xf>
    <xf numFmtId="190" fontId="111" fillId="0" borderId="0" xfId="0" applyNumberFormat="1" applyFont="1" applyBorder="1" applyAlignment="1">
      <alignment horizontal="justify" vertical="top" wrapText="1"/>
    </xf>
    <xf numFmtId="3" fontId="111" fillId="0" borderId="0" xfId="0" applyNumberFormat="1" applyFont="1" applyBorder="1" applyAlignment="1">
      <alignment horizontal="justify" vertical="top" wrapText="1"/>
    </xf>
    <xf numFmtId="0" fontId="23" fillId="0" borderId="0" xfId="0" applyFont="1" applyFill="1" applyBorder="1" applyAlignment="1">
      <alignment vertical="top"/>
    </xf>
    <xf numFmtId="0" fontId="112" fillId="0" borderId="0" xfId="0" applyFont="1" applyFill="1" applyBorder="1" applyAlignment="1">
      <alignment horizontal="justify" vertical="top"/>
    </xf>
    <xf numFmtId="0" fontId="23" fillId="0" borderId="0" xfId="0" quotePrefix="1" applyFont="1"/>
    <xf numFmtId="0" fontId="23" fillId="8" borderId="0" xfId="0" applyFont="1" applyFill="1"/>
    <xf numFmtId="0" fontId="8" fillId="2" borderId="0" xfId="0" applyFont="1" applyFill="1"/>
    <xf numFmtId="0" fontId="52" fillId="0" borderId="0" xfId="4" applyFont="1"/>
    <xf numFmtId="0" fontId="30" fillId="0" borderId="0" xfId="4"/>
    <xf numFmtId="0" fontId="30" fillId="0" borderId="0" xfId="4" applyBorder="1"/>
    <xf numFmtId="0" fontId="8" fillId="0" borderId="0" xfId="4" applyFont="1" applyBorder="1"/>
    <xf numFmtId="0" fontId="8" fillId="0" borderId="11" xfId="4" applyFont="1" applyBorder="1"/>
    <xf numFmtId="0" fontId="30" fillId="0" borderId="11" xfId="4" applyBorder="1"/>
    <xf numFmtId="0" fontId="8" fillId="0" borderId="0" xfId="4" applyFont="1" applyBorder="1" applyAlignment="1">
      <alignment horizontal="center"/>
    </xf>
    <xf numFmtId="0" fontId="30" fillId="0" borderId="0" xfId="4" applyAlignment="1">
      <alignment horizontal="center"/>
    </xf>
    <xf numFmtId="0" fontId="30" fillId="0" borderId="3" xfId="4" applyBorder="1"/>
    <xf numFmtId="0" fontId="30" fillId="0" borderId="3" xfId="4" applyBorder="1" applyAlignment="1">
      <alignment horizontal="center"/>
    </xf>
    <xf numFmtId="49" fontId="30" fillId="0" borderId="0" xfId="4" applyNumberFormat="1" applyBorder="1" applyAlignment="1">
      <alignment horizontal="center"/>
    </xf>
    <xf numFmtId="0" fontId="30" fillId="0" borderId="0" xfId="4" applyBorder="1" applyAlignment="1">
      <alignment horizontal="center"/>
    </xf>
    <xf numFmtId="49" fontId="30" fillId="0" borderId="0" xfId="4" applyNumberFormat="1" applyAlignment="1">
      <alignment horizontal="center"/>
    </xf>
    <xf numFmtId="49" fontId="30" fillId="0" borderId="3" xfId="4" applyNumberFormat="1" applyBorder="1" applyAlignment="1">
      <alignment horizontal="center"/>
    </xf>
    <xf numFmtId="49" fontId="26" fillId="0" borderId="11" xfId="4" applyNumberFormat="1" applyFont="1" applyBorder="1" applyAlignment="1">
      <alignment horizontal="center"/>
    </xf>
    <xf numFmtId="49" fontId="30" fillId="0" borderId="11" xfId="4" applyNumberFormat="1" applyBorder="1" applyAlignment="1">
      <alignment horizontal="center"/>
    </xf>
    <xf numFmtId="0" fontId="30" fillId="0" borderId="11" xfId="4" applyBorder="1" applyAlignment="1">
      <alignment horizontal="center"/>
    </xf>
    <xf numFmtId="0" fontId="79" fillId="0" borderId="0" xfId="4" applyFont="1"/>
    <xf numFmtId="0" fontId="30" fillId="0" borderId="0" xfId="4" applyAlignment="1">
      <alignment horizontal="left"/>
    </xf>
    <xf numFmtId="0" fontId="4" fillId="0" borderId="0" xfId="4" applyFont="1"/>
    <xf numFmtId="0" fontId="30" fillId="0" borderId="0" xfId="4" quotePrefix="1" applyAlignment="1">
      <alignment horizontal="left"/>
    </xf>
    <xf numFmtId="14" fontId="30" fillId="0" borderId="0" xfId="4" quotePrefix="1" applyNumberFormat="1" applyAlignment="1">
      <alignment horizontal="left"/>
    </xf>
    <xf numFmtId="3" fontId="114" fillId="6" borderId="0" xfId="0" applyNumberFormat="1" applyFont="1" applyFill="1" applyBorder="1" applyAlignment="1">
      <alignment horizontal="right" vertical="center"/>
    </xf>
    <xf numFmtId="190" fontId="114" fillId="3" borderId="0" xfId="0" applyNumberFormat="1" applyFont="1" applyFill="1" applyBorder="1" applyAlignment="1">
      <alignment horizontal="center" vertical="center"/>
    </xf>
    <xf numFmtId="3" fontId="114" fillId="6" borderId="4" xfId="0" applyNumberFormat="1" applyFont="1" applyFill="1" applyBorder="1" applyAlignment="1">
      <alignment horizontal="right" vertical="center"/>
    </xf>
    <xf numFmtId="3" fontId="113" fillId="6" borderId="6" xfId="0" applyNumberFormat="1" applyFont="1" applyFill="1" applyBorder="1"/>
    <xf numFmtId="3" fontId="113" fillId="3" borderId="6" xfId="0" applyNumberFormat="1" applyFont="1" applyFill="1" applyBorder="1"/>
    <xf numFmtId="190" fontId="113" fillId="3" borderId="6" xfId="0" applyNumberFormat="1" applyFont="1" applyFill="1" applyBorder="1" applyAlignment="1">
      <alignment horizontal="center"/>
    </xf>
    <xf numFmtId="3" fontId="114" fillId="6" borderId="6" xfId="0" applyNumberFormat="1" applyFont="1" applyFill="1" applyBorder="1" applyAlignment="1">
      <alignment vertical="center"/>
    </xf>
    <xf numFmtId="3" fontId="114" fillId="3" borderId="6" xfId="0" applyNumberFormat="1" applyFont="1" applyFill="1" applyBorder="1" applyAlignment="1">
      <alignment vertical="center"/>
    </xf>
    <xf numFmtId="190" fontId="114" fillId="3" borderId="6" xfId="0" applyNumberFormat="1" applyFont="1" applyFill="1" applyBorder="1" applyAlignment="1">
      <alignment horizontal="center" vertical="center"/>
    </xf>
    <xf numFmtId="3" fontId="113" fillId="6" borderId="7" xfId="0" applyNumberFormat="1" applyFont="1" applyFill="1" applyBorder="1"/>
    <xf numFmtId="3" fontId="113" fillId="3" borderId="7" xfId="0" applyNumberFormat="1" applyFont="1" applyFill="1" applyBorder="1"/>
    <xf numFmtId="190" fontId="115" fillId="3" borderId="6" xfId="0" applyNumberFormat="1" applyFont="1" applyFill="1" applyBorder="1" applyAlignment="1">
      <alignment horizontal="center"/>
    </xf>
    <xf numFmtId="3" fontId="114" fillId="3" borderId="0" xfId="0" applyNumberFormat="1" applyFont="1" applyFill="1" applyBorder="1" applyAlignment="1">
      <alignment horizontal="right" vertical="center"/>
    </xf>
    <xf numFmtId="3" fontId="113" fillId="3" borderId="6" xfId="0" applyNumberFormat="1" applyFont="1" applyFill="1" applyBorder="1" applyAlignment="1">
      <alignment horizontal="center"/>
    </xf>
    <xf numFmtId="190" fontId="113" fillId="6" borderId="7" xfId="0" applyNumberFormat="1" applyFont="1" applyFill="1" applyBorder="1" applyAlignment="1">
      <alignment horizontal="center"/>
    </xf>
    <xf numFmtId="3" fontId="114" fillId="3" borderId="6" xfId="0" applyNumberFormat="1" applyFont="1" applyFill="1" applyBorder="1" applyAlignment="1">
      <alignment horizontal="center" vertical="center"/>
    </xf>
    <xf numFmtId="190" fontId="114" fillId="6" borderId="5" xfId="0" applyNumberFormat="1" applyFont="1" applyFill="1" applyBorder="1" applyAlignment="1">
      <alignment horizontal="center" vertical="center"/>
    </xf>
    <xf numFmtId="189" fontId="113" fillId="3" borderId="4" xfId="0" applyNumberFormat="1" applyFont="1" applyFill="1" applyBorder="1" applyAlignment="1">
      <alignment horizontal="right"/>
    </xf>
    <xf numFmtId="189" fontId="115" fillId="3" borderId="4" xfId="0" applyNumberFormat="1" applyFont="1" applyFill="1" applyBorder="1" applyAlignment="1">
      <alignment horizontal="right"/>
    </xf>
    <xf numFmtId="189" fontId="113" fillId="3" borderId="4" xfId="0" quotePrefix="1" applyNumberFormat="1" applyFont="1" applyFill="1" applyBorder="1" applyAlignment="1">
      <alignment horizontal="right"/>
    </xf>
    <xf numFmtId="189" fontId="115" fillId="3" borderId="4" xfId="0" quotePrefix="1" applyNumberFormat="1" applyFont="1" applyFill="1" applyBorder="1" applyAlignment="1">
      <alignment horizontal="right"/>
    </xf>
    <xf numFmtId="0" fontId="8" fillId="0" borderId="3" xfId="4" applyFont="1" applyBorder="1" applyAlignment="1">
      <alignment horizontal="center"/>
    </xf>
    <xf numFmtId="0" fontId="8" fillId="0" borderId="44" xfId="4" applyFont="1" applyBorder="1" applyAlignment="1">
      <alignment horizontal="center"/>
    </xf>
    <xf numFmtId="0" fontId="79" fillId="0" borderId="21" xfId="6" applyFont="1" applyBorder="1" applyAlignment="1">
      <alignment horizontal="justify" vertical="top" wrapText="1"/>
    </xf>
    <xf numFmtId="0" fontId="79" fillId="0" borderId="15" xfId="6" applyFont="1" applyBorder="1" applyAlignment="1">
      <alignment horizontal="justify" vertical="top" wrapText="1"/>
    </xf>
    <xf numFmtId="0" fontId="79" fillId="0" borderId="21" xfId="6" applyFont="1" applyBorder="1" applyAlignment="1">
      <alignment vertical="top" wrapText="1"/>
    </xf>
    <xf numFmtId="0" fontId="79" fillId="0" borderId="15" xfId="6" applyFont="1" applyBorder="1" applyAlignment="1">
      <alignment vertical="top" wrapText="1"/>
    </xf>
    <xf numFmtId="0" fontId="79" fillId="0" borderId="21" xfId="7" applyFont="1" applyBorder="1" applyAlignment="1">
      <alignment horizontal="justify" vertical="top" wrapText="1"/>
    </xf>
    <xf numFmtId="0" fontId="79" fillId="0" borderId="15" xfId="7" applyFont="1" applyBorder="1" applyAlignment="1">
      <alignment horizontal="justify" vertical="top" wrapText="1"/>
    </xf>
    <xf numFmtId="0" fontId="79" fillId="0" borderId="21" xfId="7" applyFont="1" applyBorder="1" applyAlignment="1">
      <alignment vertical="top" wrapText="1"/>
    </xf>
    <xf numFmtId="0" fontId="79" fillId="0" borderId="15" xfId="7" applyFont="1" applyBorder="1" applyAlignment="1">
      <alignment vertical="top" wrapText="1"/>
    </xf>
    <xf numFmtId="0" fontId="108" fillId="3" borderId="45" xfId="0" applyFont="1" applyFill="1" applyBorder="1" applyAlignment="1">
      <alignment vertical="top" wrapText="1"/>
    </xf>
    <xf numFmtId="0" fontId="18" fillId="3" borderId="14" xfId="0" applyFont="1" applyFill="1" applyBorder="1" applyAlignment="1">
      <alignment vertical="top" wrapText="1"/>
    </xf>
    <xf numFmtId="0" fontId="79" fillId="0" borderId="45" xfId="0" applyFont="1" applyFill="1" applyBorder="1" applyAlignment="1">
      <alignment horizontal="justify" vertical="top" wrapText="1"/>
    </xf>
    <xf numFmtId="0" fontId="4" fillId="0" borderId="26" xfId="0" applyFont="1" applyFill="1" applyBorder="1" applyAlignment="1">
      <alignment vertical="top" wrapText="1"/>
    </xf>
    <xf numFmtId="0" fontId="4" fillId="0" borderId="14" xfId="0" applyFont="1" applyFill="1" applyBorder="1" applyAlignment="1">
      <alignment vertical="top" wrapText="1"/>
    </xf>
    <xf numFmtId="0" fontId="79" fillId="0" borderId="45" xfId="0" applyFont="1" applyBorder="1" applyAlignment="1">
      <alignment horizontal="justify" vertical="top" wrapText="1"/>
    </xf>
    <xf numFmtId="0" fontId="4" fillId="0" borderId="26" xfId="0" applyFont="1" applyBorder="1" applyAlignment="1">
      <alignment vertical="top" wrapText="1"/>
    </xf>
    <xf numFmtId="0" fontId="108" fillId="0" borderId="45" xfId="0" applyFont="1" applyBorder="1" applyAlignment="1">
      <alignment horizontal="justify" vertical="top" wrapText="1"/>
    </xf>
    <xf numFmtId="0" fontId="18" fillId="0" borderId="14" xfId="0" applyFont="1" applyBorder="1" applyAlignment="1">
      <alignment vertical="top" wrapText="1"/>
    </xf>
    <xf numFmtId="0" fontId="18" fillId="0" borderId="26" xfId="0" applyFont="1" applyBorder="1" applyAlignment="1">
      <alignment vertical="top" wrapText="1"/>
    </xf>
    <xf numFmtId="0" fontId="108" fillId="6" borderId="45" xfId="0" applyFont="1" applyFill="1" applyBorder="1" applyAlignment="1">
      <alignment vertical="top" wrapText="1"/>
    </xf>
    <xf numFmtId="0" fontId="18" fillId="6" borderId="14" xfId="0" applyFont="1" applyFill="1" applyBorder="1" applyAlignment="1">
      <alignment vertical="top" wrapText="1"/>
    </xf>
    <xf numFmtId="0" fontId="5" fillId="0" borderId="0" xfId="0" applyFont="1" applyAlignment="1">
      <alignment wrapText="1"/>
    </xf>
    <xf numFmtId="0" fontId="2" fillId="0" borderId="3" xfId="0" applyFont="1" applyBorder="1" applyAlignment="1">
      <alignment vertical="top" wrapText="1"/>
    </xf>
    <xf numFmtId="0" fontId="1" fillId="0" borderId="3" xfId="0" applyFont="1" applyBorder="1" applyAlignment="1">
      <alignment wrapText="1"/>
    </xf>
    <xf numFmtId="0" fontId="2" fillId="0" borderId="0" xfId="0" applyFont="1" applyBorder="1" applyAlignment="1">
      <alignment vertical="top" wrapText="1"/>
    </xf>
    <xf numFmtId="0" fontId="0" fillId="0" borderId="0" xfId="0" applyAlignment="1">
      <alignment wrapText="1"/>
    </xf>
    <xf numFmtId="0" fontId="0" fillId="0" borderId="3" xfId="0" applyBorder="1" applyAlignment="1">
      <alignment wrapText="1"/>
    </xf>
    <xf numFmtId="0" fontId="2" fillId="8" borderId="3" xfId="0" applyFont="1" applyFill="1" applyBorder="1" applyAlignment="1">
      <alignment vertical="top" wrapText="1"/>
    </xf>
    <xf numFmtId="0" fontId="0" fillId="0" borderId="3" xfId="0" applyBorder="1" applyAlignment="1"/>
    <xf numFmtId="0" fontId="3" fillId="6" borderId="2" xfId="0" applyFont="1" applyFill="1" applyBorder="1" applyAlignment="1">
      <alignment horizontal="center"/>
    </xf>
    <xf numFmtId="0" fontId="0" fillId="0" borderId="2" xfId="0" applyBorder="1" applyAlignment="1">
      <alignment horizontal="center"/>
    </xf>
    <xf numFmtId="0" fontId="0" fillId="0" borderId="0" xfId="0" applyBorder="1" applyAlignment="1">
      <alignment wrapText="1"/>
    </xf>
    <xf numFmtId="0" fontId="4" fillId="0" borderId="0" xfId="0" applyFont="1" applyAlignment="1">
      <alignment horizontal="left" wrapText="1"/>
    </xf>
    <xf numFmtId="0" fontId="2" fillId="0" borderId="0" xfId="0" applyFont="1" applyBorder="1" applyAlignment="1">
      <alignment horizontal="left" vertical="top" wrapText="1"/>
    </xf>
    <xf numFmtId="0" fontId="63" fillId="0" borderId="0" xfId="0" applyFont="1" applyAlignment="1">
      <alignment horizontal="left" vertical="top" wrapText="1"/>
    </xf>
    <xf numFmtId="0" fontId="0" fillId="0" borderId="0" xfId="0" applyAlignment="1">
      <alignment vertical="top" wrapText="1"/>
    </xf>
    <xf numFmtId="0" fontId="47" fillId="0" borderId="0" xfId="0" applyFont="1" applyAlignment="1">
      <alignment horizontal="left" wrapText="1"/>
    </xf>
    <xf numFmtId="0" fontId="27" fillId="0" borderId="0" xfId="0" applyFont="1" applyAlignment="1">
      <alignment wrapText="1"/>
    </xf>
    <xf numFmtId="0" fontId="83" fillId="3" borderId="2" xfId="0" applyFont="1" applyFill="1" applyBorder="1" applyAlignment="1">
      <alignment horizontal="center" vertical="center"/>
    </xf>
    <xf numFmtId="0" fontId="0" fillId="3" borderId="2" xfId="0" applyFill="1" applyBorder="1" applyAlignment="1">
      <alignment horizontal="center" vertical="center"/>
    </xf>
    <xf numFmtId="0" fontId="37" fillId="3" borderId="2" xfId="0" applyFont="1" applyFill="1" applyBorder="1" applyAlignment="1">
      <alignment horizontal="center" vertical="center"/>
    </xf>
    <xf numFmtId="0" fontId="2" fillId="8" borderId="0" xfId="0" applyFont="1" applyFill="1" applyAlignment="1">
      <alignment vertical="top" wrapText="1"/>
    </xf>
    <xf numFmtId="0" fontId="8" fillId="5" borderId="0" xfId="23" applyFont="1" applyFill="1" applyAlignment="1">
      <alignment horizontal="center" textRotation="180" wrapText="1"/>
    </xf>
    <xf numFmtId="0" fontId="4" fillId="5" borderId="0" xfId="23" applyFont="1" applyFill="1" applyAlignment="1">
      <alignment horizontal="center"/>
    </xf>
    <xf numFmtId="0" fontId="8" fillId="2" borderId="0" xfId="23" applyFont="1" applyFill="1" applyAlignment="1">
      <alignment horizontal="center" vertical="center" textRotation="180"/>
    </xf>
    <xf numFmtId="0" fontId="87" fillId="0" borderId="0" xfId="23" applyAlignment="1">
      <alignment vertical="center"/>
    </xf>
    <xf numFmtId="0" fontId="2" fillId="0" borderId="3" xfId="0" applyFont="1" applyFill="1" applyBorder="1" applyAlignment="1">
      <alignment vertical="top" wrapText="1"/>
    </xf>
    <xf numFmtId="3" fontId="2" fillId="0" borderId="3" xfId="0" applyNumberFormat="1" applyFont="1" applyBorder="1" applyAlignment="1">
      <alignment horizontal="left" vertical="top" wrapText="1"/>
    </xf>
    <xf numFmtId="0" fontId="22" fillId="0" borderId="0" xfId="0" applyFont="1" applyBorder="1" applyAlignment="1">
      <alignment wrapText="1"/>
    </xf>
    <xf numFmtId="0" fontId="2" fillId="0" borderId="0" xfId="0" applyFont="1" applyAlignment="1">
      <alignment wrapText="1"/>
    </xf>
    <xf numFmtId="0" fontId="22" fillId="0" borderId="0" xfId="0" applyFont="1" applyBorder="1" applyAlignment="1">
      <alignment vertical="top" wrapText="1"/>
    </xf>
    <xf numFmtId="0" fontId="37" fillId="0" borderId="3" xfId="0" applyFont="1" applyBorder="1" applyAlignment="1">
      <alignment wrapText="1"/>
    </xf>
    <xf numFmtId="3" fontId="2" fillId="8" borderId="3" xfId="0" applyNumberFormat="1" applyFont="1" applyFill="1" applyBorder="1" applyAlignment="1">
      <alignment horizontal="left" vertical="top" wrapText="1"/>
    </xf>
  </cellXfs>
  <cellStyles count="25">
    <cellStyle name="Normal_KV_liste T11" xfId="1" xr:uid="{ADF2326E-F3AE-F64C-9164-AB56E1FFD56E}"/>
    <cellStyle name="Normal_KV_liste T8" xfId="2" xr:uid="{913C0DCE-0DE3-054D-A494-6B68030479BD}"/>
    <cellStyle name="Normal_KV_T_2006_all_220807_d_sans liaisons" xfId="3" xr:uid="{ACAD34F9-39F1-8244-8F8E-489114750E88}"/>
    <cellStyle name="Normal_KV0_5 annexe A_09fd" xfId="4" xr:uid="{5EA882E7-31EC-7845-B5D7-1FF597958616}"/>
    <cellStyle name="Normal_KV0_5 annexe B_09fd" xfId="5" xr:uid="{AF97AA29-EB05-5C41-AECE-E6F8D7DBEC09}"/>
    <cellStyle name="Normal_KV0_5 annexe F1_09fd" xfId="6" xr:uid="{FCE3A9DB-6833-FC49-8ACA-0CFC2AEECC8C}"/>
    <cellStyle name="Normal_KV0_5 annexe F2_09fd" xfId="7" xr:uid="{C2020B03-4746-ED4F-BD4B-361271A3E2BB}"/>
    <cellStyle name="Normal_KV0_5 annexe J_09fd" xfId="8" xr:uid="{8866C5A4-C29C-E945-9552-79CC8ACD25FD}"/>
    <cellStyle name="Normal_KV100_liste T1" xfId="9" xr:uid="{57127E94-3326-CA46-A4BB-1781C92D1651}"/>
    <cellStyle name="Normal_KV1000_liste T10" xfId="10" xr:uid="{D26760B1-28C8-6F48-A7C1-2A0AE26AADBD}"/>
    <cellStyle name="Normal_KV1100_liste T11" xfId="11" xr:uid="{6FE24811-30BF-3F47-B518-1F329A315B3F}"/>
    <cellStyle name="Normal_KV200_liste T2" xfId="12" xr:uid="{F8D2D8AC-E058-014D-AD8C-187F3D4ADA37}"/>
    <cellStyle name="Normal_KV300_liste T3" xfId="13" xr:uid="{685E5C5E-DAB7-D445-A5AF-58B817D55C04}"/>
    <cellStyle name="Normal_KV400_liste T4" xfId="14" xr:uid="{BE3E2962-1D82-BE48-99EC-DEED098F659F}"/>
    <cellStyle name="Normal_KV5_Aufsichtsdaten_2004_formate_310505" xfId="15" xr:uid="{68B05E56-3BFA-9147-B762-417C70524021}"/>
    <cellStyle name="Normal_KV500_liste T5" xfId="16" xr:uid="{8092DC82-BF92-E941-9E6B-6979812625BF}"/>
    <cellStyle name="Normal_KV600_liste T6" xfId="17" xr:uid="{0CD534A5-62A2-AF4F-8144-70725CF15D86}"/>
    <cellStyle name="Normal_KV700_liste T7" xfId="18" xr:uid="{787FC44E-C1F7-994B-938B-0F2572823F58}"/>
    <cellStyle name="Normal_KV800_liste T8" xfId="19" xr:uid="{8BCCADA7-D67E-AD43-B6A9-1FAA48936382}"/>
    <cellStyle name="Normal_KV900_liste T9" xfId="20" xr:uid="{BA22BAB2-AECB-AF48-B29E-DC0F0A7CDF08}"/>
    <cellStyle name="Normal_KV906" xfId="21" xr:uid="{03008166-C1ED-DF4C-9047-4DA0FC442C19}"/>
    <cellStyle name="Normal_KV907" xfId="22" xr:uid="{B30C7766-3BA5-BF4C-907D-E3508BFCA2F6}"/>
    <cellStyle name="Normal_KV908" xfId="23" xr:uid="{3CE68A2F-2E23-044C-9210-023FF56D6A04}"/>
    <cellStyle name="Normal_modif EF1_112_d_241104" xfId="24" xr:uid="{56CB1836-B562-464B-8E9E-B7D89B348588}"/>
    <cellStyle name="Standard"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worksheet" Target="worksheets/sheet15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'909d'!$D$5</c:f>
              <c:strCache>
                <c:ptCount val="1"/>
                <c:pt idx="0">
                  <c:v>ärzte</c:v>
                </c:pt>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'909d'!$D$8:$D$34</c:f>
              <c:numCache>
                <c:formatCode>#,##0</c:formatCode>
                <c:ptCount val="27"/>
                <c:pt idx="0">
                  <c:v>1945</c:v>
                </c:pt>
                <c:pt idx="1">
                  <c:v>1081</c:v>
                </c:pt>
                <c:pt idx="2">
                  <c:v>271</c:v>
                </c:pt>
                <c:pt idx="3">
                  <c:v>10</c:v>
                </c:pt>
                <c:pt idx="4">
                  <c:v>85</c:v>
                </c:pt>
                <c:pt idx="5">
                  <c:v>12</c:v>
                </c:pt>
                <c:pt idx="6">
                  <c:v>23</c:v>
                </c:pt>
                <c:pt idx="7">
                  <c:v>22</c:v>
                </c:pt>
                <c:pt idx="8">
                  <c:v>131</c:v>
                </c:pt>
                <c:pt idx="9">
                  <c:v>169</c:v>
                </c:pt>
                <c:pt idx="10">
                  <c:v>157</c:v>
                </c:pt>
                <c:pt idx="11">
                  <c:v>500</c:v>
                </c:pt>
                <c:pt idx="12">
                  <c:v>333</c:v>
                </c:pt>
                <c:pt idx="13">
                  <c:v>68</c:v>
                </c:pt>
                <c:pt idx="14">
                  <c:v>33</c:v>
                </c:pt>
                <c:pt idx="15">
                  <c:v>5</c:v>
                </c:pt>
                <c:pt idx="16">
                  <c:v>392</c:v>
                </c:pt>
                <c:pt idx="17">
                  <c:v>131</c:v>
                </c:pt>
                <c:pt idx="18">
                  <c:v>503</c:v>
                </c:pt>
                <c:pt idx="19">
                  <c:v>149</c:v>
                </c:pt>
                <c:pt idx="20">
                  <c:v>357</c:v>
                </c:pt>
                <c:pt idx="21">
                  <c:v>1030</c:v>
                </c:pt>
                <c:pt idx="22">
                  <c:v>237</c:v>
                </c:pt>
                <c:pt idx="23">
                  <c:v>173</c:v>
                </c:pt>
                <c:pt idx="24">
                  <c:v>1012</c:v>
                </c:pt>
                <c:pt idx="25">
                  <c:v>53</c:v>
                </c:pt>
                <c:pt idx="26">
                  <c:v>8882</c:v>
                </c:pt>
              </c:numCache>
            </c:numRef>
          </c:val>
          <c:smooth val="0"/>
          <c:extLst>
            <c:ext xmlns:c16="http://schemas.microsoft.com/office/drawing/2014/chart" uri="{C3380CC4-5D6E-409C-BE32-E72D297353CC}">
              <c16:uniqueId val="{00000000-5CF3-A548-9CDD-F6015D30CA54}"/>
            </c:ext>
          </c:extLst>
        </c:ser>
        <c:dLbls>
          <c:showLegendKey val="0"/>
          <c:showVal val="0"/>
          <c:showCatName val="0"/>
          <c:showSerName val="0"/>
          <c:showPercent val="0"/>
          <c:showBubbleSize val="0"/>
        </c:dLbls>
        <c:marker val="1"/>
        <c:smooth val="0"/>
        <c:axId val="2084814304"/>
        <c:axId val="1"/>
      </c:lineChart>
      <c:lineChart>
        <c:grouping val="standard"/>
        <c:varyColors val="0"/>
        <c:ser>
          <c:idx val="0"/>
          <c:order val="1"/>
          <c:tx>
            <c:strRef>
              <c:f>'909d'!$G$5</c:f>
              <c:strCache>
                <c:ptCount val="1"/>
                <c:pt idx="0">
                  <c:v>ken 6</c:v>
                </c:pt>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'909d'!$G$8:$G$34</c:f>
              <c:numCache>
                <c:formatCode>#,##0</c:formatCode>
                <c:ptCount val="27"/>
                <c:pt idx="0">
                  <c:v>226</c:v>
                </c:pt>
                <c:pt idx="1">
                  <c:v>174</c:v>
                </c:pt>
                <c:pt idx="2">
                  <c:v>34</c:v>
                </c:pt>
                <c:pt idx="3">
                  <c:v>3</c:v>
                </c:pt>
                <c:pt idx="4">
                  <c:v>12</c:v>
                </c:pt>
                <c:pt idx="5">
                  <c:v>3</c:v>
                </c:pt>
                <c:pt idx="6">
                  <c:v>2</c:v>
                </c:pt>
                <c:pt idx="7">
                  <c:v>2</c:v>
                </c:pt>
                <c:pt idx="8">
                  <c:v>14</c:v>
                </c:pt>
                <c:pt idx="9">
                  <c:v>70</c:v>
                </c:pt>
                <c:pt idx="10">
                  <c:v>27</c:v>
                </c:pt>
                <c:pt idx="11">
                  <c:v>72</c:v>
                </c:pt>
                <c:pt idx="12">
                  <c:v>42</c:v>
                </c:pt>
                <c:pt idx="13">
                  <c:v>13</c:v>
                </c:pt>
                <c:pt idx="14">
                  <c:v>6</c:v>
                </c:pt>
                <c:pt idx="15">
                  <c:v>1</c:v>
                </c:pt>
                <c:pt idx="16">
                  <c:v>51</c:v>
                </c:pt>
                <c:pt idx="17">
                  <c:v>41</c:v>
                </c:pt>
                <c:pt idx="18">
                  <c:v>115</c:v>
                </c:pt>
                <c:pt idx="19">
                  <c:v>25</c:v>
                </c:pt>
                <c:pt idx="20">
                  <c:v>186</c:v>
                </c:pt>
                <c:pt idx="21">
                  <c:v>247</c:v>
                </c:pt>
                <c:pt idx="22">
                  <c:v>113</c:v>
                </c:pt>
                <c:pt idx="23">
                  <c:v>59</c:v>
                </c:pt>
                <c:pt idx="24">
                  <c:v>173</c:v>
                </c:pt>
                <c:pt idx="25">
                  <c:v>20</c:v>
                </c:pt>
                <c:pt idx="26">
                  <c:v>1731</c:v>
                </c:pt>
              </c:numCache>
            </c:numRef>
          </c:val>
          <c:smooth val="0"/>
          <c:extLst>
            <c:ext xmlns:c16="http://schemas.microsoft.com/office/drawing/2014/chart" uri="{C3380CC4-5D6E-409C-BE32-E72D297353CC}">
              <c16:uniqueId val="{00000001-5CF3-A548-9CDD-F6015D30CA54}"/>
            </c:ext>
          </c:extLst>
        </c:ser>
        <c:dLbls>
          <c:showLegendKey val="0"/>
          <c:showVal val="0"/>
          <c:showCatName val="0"/>
          <c:showSerName val="0"/>
          <c:showPercent val="0"/>
          <c:showBubbleSize val="0"/>
        </c:dLbls>
        <c:marker val="1"/>
        <c:smooth val="0"/>
        <c:axId val="3"/>
        <c:axId val="4"/>
      </c:lineChart>
      <c:catAx>
        <c:axId val="208481430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1"/>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2084814304"/>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845"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'909d'!$D$5</c:f>
              <c:strCache>
                <c:ptCount val="1"/>
                <c:pt idx="0">
                  <c:v>ärzte</c:v>
                </c:pt>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'909d'!$D$8:$D$34</c:f>
              <c:numCache>
                <c:formatCode>#,##0</c:formatCode>
                <c:ptCount val="27"/>
                <c:pt idx="0">
                  <c:v>1945</c:v>
                </c:pt>
                <c:pt idx="1">
                  <c:v>1081</c:v>
                </c:pt>
                <c:pt idx="2">
                  <c:v>271</c:v>
                </c:pt>
                <c:pt idx="3">
                  <c:v>10</c:v>
                </c:pt>
                <c:pt idx="4">
                  <c:v>85</c:v>
                </c:pt>
                <c:pt idx="5">
                  <c:v>12</c:v>
                </c:pt>
                <c:pt idx="6">
                  <c:v>23</c:v>
                </c:pt>
                <c:pt idx="7">
                  <c:v>22</c:v>
                </c:pt>
                <c:pt idx="8">
                  <c:v>131</c:v>
                </c:pt>
                <c:pt idx="9">
                  <c:v>169</c:v>
                </c:pt>
                <c:pt idx="10">
                  <c:v>157</c:v>
                </c:pt>
                <c:pt idx="11">
                  <c:v>500</c:v>
                </c:pt>
                <c:pt idx="12">
                  <c:v>333</c:v>
                </c:pt>
                <c:pt idx="13">
                  <c:v>68</c:v>
                </c:pt>
                <c:pt idx="14">
                  <c:v>33</c:v>
                </c:pt>
                <c:pt idx="15">
                  <c:v>5</c:v>
                </c:pt>
                <c:pt idx="16">
                  <c:v>392</c:v>
                </c:pt>
                <c:pt idx="17">
                  <c:v>131</c:v>
                </c:pt>
                <c:pt idx="18">
                  <c:v>503</c:v>
                </c:pt>
                <c:pt idx="19">
                  <c:v>149</c:v>
                </c:pt>
                <c:pt idx="20">
                  <c:v>357</c:v>
                </c:pt>
                <c:pt idx="21">
                  <c:v>1030</c:v>
                </c:pt>
                <c:pt idx="22">
                  <c:v>237</c:v>
                </c:pt>
                <c:pt idx="23">
                  <c:v>173</c:v>
                </c:pt>
                <c:pt idx="24">
                  <c:v>1012</c:v>
                </c:pt>
                <c:pt idx="25">
                  <c:v>53</c:v>
                </c:pt>
                <c:pt idx="26">
                  <c:v>8882</c:v>
                </c:pt>
              </c:numCache>
            </c:numRef>
          </c:val>
          <c:smooth val="0"/>
          <c:extLst>
            <c:ext xmlns:c16="http://schemas.microsoft.com/office/drawing/2014/chart" uri="{C3380CC4-5D6E-409C-BE32-E72D297353CC}">
              <c16:uniqueId val="{00000000-B6BA-3A4C-90A2-1D3FEA2A1FAA}"/>
            </c:ext>
          </c:extLst>
        </c:ser>
        <c:dLbls>
          <c:showLegendKey val="0"/>
          <c:showVal val="0"/>
          <c:showCatName val="0"/>
          <c:showSerName val="0"/>
          <c:showPercent val="0"/>
          <c:showBubbleSize val="0"/>
        </c:dLbls>
        <c:marker val="1"/>
        <c:smooth val="0"/>
        <c:axId val="1844354768"/>
        <c:axId val="1"/>
      </c:lineChart>
      <c:lineChart>
        <c:grouping val="standard"/>
        <c:varyColors val="0"/>
        <c:ser>
          <c:idx val="0"/>
          <c:order val="1"/>
          <c:tx>
            <c:strRef>
              <c:f>'909d'!$G$5</c:f>
              <c:strCache>
                <c:ptCount val="1"/>
                <c:pt idx="0">
                  <c:v>ken 6</c:v>
                </c:pt>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'909d'!$G$8:$G$34</c:f>
              <c:numCache>
                <c:formatCode>#,##0</c:formatCode>
                <c:ptCount val="27"/>
                <c:pt idx="0">
                  <c:v>226</c:v>
                </c:pt>
                <c:pt idx="1">
                  <c:v>174</c:v>
                </c:pt>
                <c:pt idx="2">
                  <c:v>34</c:v>
                </c:pt>
                <c:pt idx="3">
                  <c:v>3</c:v>
                </c:pt>
                <c:pt idx="4">
                  <c:v>12</c:v>
                </c:pt>
                <c:pt idx="5">
                  <c:v>3</c:v>
                </c:pt>
                <c:pt idx="6">
                  <c:v>2</c:v>
                </c:pt>
                <c:pt idx="7">
                  <c:v>2</c:v>
                </c:pt>
                <c:pt idx="8">
                  <c:v>14</c:v>
                </c:pt>
                <c:pt idx="9">
                  <c:v>70</c:v>
                </c:pt>
                <c:pt idx="10">
                  <c:v>27</c:v>
                </c:pt>
                <c:pt idx="11">
                  <c:v>72</c:v>
                </c:pt>
                <c:pt idx="12">
                  <c:v>42</c:v>
                </c:pt>
                <c:pt idx="13">
                  <c:v>13</c:v>
                </c:pt>
                <c:pt idx="14">
                  <c:v>6</c:v>
                </c:pt>
                <c:pt idx="15">
                  <c:v>1</c:v>
                </c:pt>
                <c:pt idx="16">
                  <c:v>51</c:v>
                </c:pt>
                <c:pt idx="17">
                  <c:v>41</c:v>
                </c:pt>
                <c:pt idx="18">
                  <c:v>115</c:v>
                </c:pt>
                <c:pt idx="19">
                  <c:v>25</c:v>
                </c:pt>
                <c:pt idx="20">
                  <c:v>186</c:v>
                </c:pt>
                <c:pt idx="21">
                  <c:v>247</c:v>
                </c:pt>
                <c:pt idx="22">
                  <c:v>113</c:v>
                </c:pt>
                <c:pt idx="23">
                  <c:v>59</c:v>
                </c:pt>
                <c:pt idx="24">
                  <c:v>173</c:v>
                </c:pt>
                <c:pt idx="25">
                  <c:v>20</c:v>
                </c:pt>
                <c:pt idx="26">
                  <c:v>1731</c:v>
                </c:pt>
              </c:numCache>
            </c:numRef>
          </c:val>
          <c:smooth val="0"/>
          <c:extLst>
            <c:ext xmlns:c16="http://schemas.microsoft.com/office/drawing/2014/chart" uri="{C3380CC4-5D6E-409C-BE32-E72D297353CC}">
              <c16:uniqueId val="{00000001-B6BA-3A4C-90A2-1D3FEA2A1FAA}"/>
            </c:ext>
          </c:extLst>
        </c:ser>
        <c:dLbls>
          <c:showLegendKey val="0"/>
          <c:showVal val="0"/>
          <c:showCatName val="0"/>
          <c:showSerName val="0"/>
          <c:showPercent val="0"/>
          <c:showBubbleSize val="0"/>
        </c:dLbls>
        <c:marker val="1"/>
        <c:smooth val="0"/>
        <c:axId val="3"/>
        <c:axId val="4"/>
      </c:lineChart>
      <c:catAx>
        <c:axId val="184435476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25"/>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1844354768"/>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845"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256540</xdr:colOff>
      <xdr:row>2</xdr:row>
      <xdr:rowOff>335280</xdr:rowOff>
    </xdr:from>
    <xdr:to>
      <xdr:col>7</xdr:col>
      <xdr:colOff>510540</xdr:colOff>
      <xdr:row>8</xdr:row>
      <xdr:rowOff>91440</xdr:rowOff>
    </xdr:to>
    <xdr:sp macro="" textlink="">
      <xdr:nvSpPr>
        <xdr:cNvPr id="6145" name="AutoShape 1">
          <a:extLst>
            <a:ext uri="{FF2B5EF4-FFF2-40B4-BE49-F238E27FC236}">
              <a16:creationId xmlns:a16="http://schemas.microsoft.com/office/drawing/2014/main" id="{CBA79742-803B-D208-8D3F-A55EB3CEC764}"/>
            </a:ext>
          </a:extLst>
        </xdr:cNvPr>
        <xdr:cNvSpPr>
          <a:spLocks noChangeArrowheads="1"/>
        </xdr:cNvSpPr>
      </xdr:nvSpPr>
      <xdr:spPr bwMode="auto">
        <a:xfrm>
          <a:off x="4030980" y="876300"/>
          <a:ext cx="2834640" cy="1219200"/>
        </a:xfrm>
        <a:prstGeom prst="wedgeRectCallout">
          <a:avLst>
            <a:gd name="adj1" fmla="val -103625"/>
            <a:gd name="adj2" fmla="val 132171"/>
          </a:avLst>
        </a:prstGeom>
        <a:solidFill>
          <a:srgbClr val="E3E3E3"/>
        </a:solidFill>
        <a:ln w="9525">
          <a:solidFill>
            <a:srgbClr val="000000"/>
          </a:solidFill>
          <a:miter lim="800000"/>
          <a:headEnd/>
          <a:tailEnd/>
        </a:ln>
      </xdr:spPr>
      <xdr:txBody>
        <a:bodyPr vertOverflow="clip" wrap="square" lIns="36576" tIns="27432" rIns="0" bIns="0" anchor="t" upright="1"/>
        <a:lstStyle/>
        <a:p>
          <a:pPr algn="l" rtl="0">
            <a:defRPr sz="1000"/>
          </a:pPr>
          <a:r>
            <a:rPr lang="en-US" sz="1000" b="0" i="0" u="none" strike="noStrike" baseline="0">
              <a:solidFill>
                <a:srgbClr val="000000"/>
              </a:solidFill>
              <a:latin typeface="55 Helvetica Roman"/>
            </a:rPr>
            <a:t>La partie tableaux sous forme Excel n'est disponible qu'en allemand.</a:t>
          </a:r>
        </a:p>
        <a:p>
          <a:pPr algn="l" rtl="0">
            <a:defRPr sz="1000"/>
          </a:pPr>
          <a:r>
            <a:rPr lang="en-US" sz="1000" b="0" i="0" u="none" strike="noStrike" baseline="0">
              <a:solidFill>
                <a:srgbClr val="000000"/>
              </a:solidFill>
              <a:latin typeface="55 Helvetica Roman"/>
            </a:rPr>
            <a:t>La version française est disponible dans la version complète 2009 sous forme PDF publiée ultérieurement (~ mai 2011). Il est aussi possible de se référer à la publication PDF 2008 contenant tous les tableaux en français .</a:t>
          </a:r>
        </a:p>
      </xdr:txBody>
    </xdr:sp>
    <xdr:clientData/>
  </xdr:twoCellAnchor>
  <xdr:twoCellAnchor>
    <xdr:from>
      <xdr:col>0</xdr:col>
      <xdr:colOff>292100</xdr:colOff>
      <xdr:row>70</xdr:row>
      <xdr:rowOff>114300</xdr:rowOff>
    </xdr:from>
    <xdr:to>
      <xdr:col>2</xdr:col>
      <xdr:colOff>635000</xdr:colOff>
      <xdr:row>73</xdr:row>
      <xdr:rowOff>139700</xdr:rowOff>
    </xdr:to>
    <xdr:pic>
      <xdr:nvPicPr>
        <xdr:cNvPr id="6181" name="Picture 3" descr="Logo_CMYK_pos">
          <a:extLst>
            <a:ext uri="{FF2B5EF4-FFF2-40B4-BE49-F238E27FC236}">
              <a16:creationId xmlns:a16="http://schemas.microsoft.com/office/drawing/2014/main" id="{C9774B51-8D6C-CA5E-65A6-55311AECE5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100" y="13550900"/>
          <a:ext cx="2146300" cy="52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177800</xdr:colOff>
      <xdr:row>3</xdr:row>
      <xdr:rowOff>0</xdr:rowOff>
    </xdr:from>
    <xdr:to>
      <xdr:col>10</xdr:col>
      <xdr:colOff>817785</xdr:colOff>
      <xdr:row>10</xdr:row>
      <xdr:rowOff>60960</xdr:rowOff>
    </xdr:to>
    <xdr:sp macro="" textlink="">
      <xdr:nvSpPr>
        <xdr:cNvPr id="6" name="AutoShape 1">
          <a:extLst>
            <a:ext uri="{FF2B5EF4-FFF2-40B4-BE49-F238E27FC236}">
              <a16:creationId xmlns:a16="http://schemas.microsoft.com/office/drawing/2014/main" id="{84A9D484-D842-203E-FAAF-AD277D8EE5D8}"/>
            </a:ext>
          </a:extLst>
        </xdr:cNvPr>
        <xdr:cNvSpPr>
          <a:spLocks noChangeArrowheads="1"/>
        </xdr:cNvSpPr>
      </xdr:nvSpPr>
      <xdr:spPr bwMode="auto">
        <a:xfrm>
          <a:off x="7322820" y="883920"/>
          <a:ext cx="2171700" cy="1569720"/>
        </a:xfrm>
        <a:prstGeom prst="wedgeRectCallout">
          <a:avLst>
            <a:gd name="adj1" fmla="val 206"/>
            <a:gd name="adj2" fmla="val 50318"/>
          </a:avLst>
        </a:prstGeom>
        <a:solidFill>
          <a:srgbClr val="FFC000"/>
        </a:solidFill>
        <a:ln w="9525">
          <a:solidFill>
            <a:srgbClr val="000000"/>
          </a:solidFill>
          <a:miter lim="800000"/>
          <a:headEnd/>
          <a:tailEnd/>
        </a:ln>
      </xdr:spPr>
      <xdr:txBody>
        <a:bodyPr vertOverflow="clip" wrap="square" lIns="36576" tIns="27432" rIns="0" bIns="0" anchor="t" upright="1"/>
        <a:lstStyle/>
        <a:p>
          <a:r>
            <a:rPr lang="fr-CH" sz="900">
              <a:latin typeface="+mn-lt"/>
              <a:ea typeface="+mn-ea"/>
              <a:cs typeface="+mn-cs"/>
            </a:rPr>
            <a:t>Document réalisé avec Microsoft Excel 2003, enregistré dans le format XLS. Dans la pratique on constate qu’une pleine compatibilité d’affichage à l’écran ou lors de l’impression n’est pas toujours garantie en cas d’utilisation d’une version de tableur autre que celle utilisée pour la création du document (par exemple Microsoft Excel 2007 ou 2010, sans que l’éditeur du logiciel n’apporte de solution).</a:t>
          </a:r>
          <a:endParaRPr lang="en-US" sz="900">
            <a:latin typeface="+mn-lt"/>
            <a:ea typeface="+mn-ea"/>
            <a:cs typeface="+mn-cs"/>
          </a:endParaRPr>
        </a:p>
      </xdr:txBody>
    </xdr:sp>
    <xdr:clientData/>
  </xdr:twoCellAnchor>
  <xdr:twoCellAnchor>
    <xdr:from>
      <xdr:col>8</xdr:col>
      <xdr:colOff>172720</xdr:colOff>
      <xdr:row>10</xdr:row>
      <xdr:rowOff>220980</xdr:rowOff>
    </xdr:from>
    <xdr:to>
      <xdr:col>10</xdr:col>
      <xdr:colOff>797512</xdr:colOff>
      <xdr:row>18</xdr:row>
      <xdr:rowOff>121920</xdr:rowOff>
    </xdr:to>
    <xdr:sp macro="" textlink="">
      <xdr:nvSpPr>
        <xdr:cNvPr id="7" name="AutoShape 1">
          <a:extLst>
            <a:ext uri="{FF2B5EF4-FFF2-40B4-BE49-F238E27FC236}">
              <a16:creationId xmlns:a16="http://schemas.microsoft.com/office/drawing/2014/main" id="{4AFE1306-926B-58C8-C740-41B1444B5DB2}"/>
            </a:ext>
          </a:extLst>
        </xdr:cNvPr>
        <xdr:cNvSpPr>
          <a:spLocks noChangeArrowheads="1"/>
        </xdr:cNvSpPr>
      </xdr:nvSpPr>
      <xdr:spPr bwMode="auto">
        <a:xfrm>
          <a:off x="7330440" y="2613660"/>
          <a:ext cx="2156460" cy="1546860"/>
        </a:xfrm>
        <a:prstGeom prst="wedgeRectCallout">
          <a:avLst>
            <a:gd name="adj1" fmla="val 206"/>
            <a:gd name="adj2" fmla="val 50318"/>
          </a:avLst>
        </a:prstGeom>
        <a:solidFill>
          <a:srgbClr val="FFC000"/>
        </a:solidFill>
        <a:ln w="9525">
          <a:solidFill>
            <a:srgbClr val="000000"/>
          </a:solidFill>
          <a:miter lim="800000"/>
          <a:headEnd/>
          <a:tailEnd/>
        </a:ln>
      </xdr:spPr>
      <xdr:txBody>
        <a:bodyPr vertOverflow="clip" wrap="square" lIns="36576" tIns="27432" rIns="0" bIns="0" anchor="t" upright="1"/>
        <a:lstStyle/>
        <a:p>
          <a:r>
            <a:rPr lang="de-CH" sz="900">
              <a:latin typeface="+mn-lt"/>
              <a:ea typeface="+mn-ea"/>
              <a:cs typeface="+mn-cs"/>
            </a:rPr>
            <a:t>Das Dokument wurde erstellt mit Microsoft Excel 2003 und im Format XLS gespeichert. Die Praxis zeigt, dass eine volle Kompatibilität bei der Bildschirmdarstellung oder dem Druck nicht immer gewährleistet ist, falls die Version des Tabellenprogramms von derjenigen des zum Aufbau verwendeten abweicht (z.B. Microsoft Excel 2007 oder 2010; der Softwarehersteller bietet hierzu keine Lösung an).</a:t>
          </a:r>
          <a:endParaRPr lang="en-US" sz="900">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53</xdr:row>
      <xdr:rowOff>0</xdr:rowOff>
    </xdr:from>
    <xdr:to>
      <xdr:col>11</xdr:col>
      <xdr:colOff>0</xdr:colOff>
      <xdr:row>53</xdr:row>
      <xdr:rowOff>0</xdr:rowOff>
    </xdr:to>
    <xdr:graphicFrame macro="">
      <xdr:nvGraphicFramePr>
        <xdr:cNvPr id="22559" name="Chart 1">
          <a:extLst>
            <a:ext uri="{FF2B5EF4-FFF2-40B4-BE49-F238E27FC236}">
              <a16:creationId xmlns:a16="http://schemas.microsoft.com/office/drawing/2014/main" id="{3E602E67-2A27-D272-6EB4-2D5C1FEB6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53</xdr:row>
      <xdr:rowOff>0</xdr:rowOff>
    </xdr:from>
    <xdr:to>
      <xdr:col>12</xdr:col>
      <xdr:colOff>0</xdr:colOff>
      <xdr:row>53</xdr:row>
      <xdr:rowOff>0</xdr:rowOff>
    </xdr:to>
    <xdr:graphicFrame macro="">
      <xdr:nvGraphicFramePr>
        <xdr:cNvPr id="22560" name="Chart 2">
          <a:extLst>
            <a:ext uri="{FF2B5EF4-FFF2-40B4-BE49-F238E27FC236}">
              <a16:creationId xmlns:a16="http://schemas.microsoft.com/office/drawing/2014/main" id="{C4612717-2887-C941-9D63-1D4E97AB5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155F8-545D-1648-B7F0-0133DD02C143}">
  <sheetPr>
    <pageSetUpPr fitToPage="1"/>
  </sheetPr>
  <dimension ref="A1:M74"/>
  <sheetViews>
    <sheetView tabSelected="1" zoomScaleNormal="100" workbookViewId="0">
      <selection activeCell="M18" sqref="M18"/>
    </sheetView>
  </sheetViews>
  <sheetFormatPr baseColWidth="10" defaultColWidth="11.3984375" defaultRowHeight="13"/>
  <cols>
    <col min="1" max="1" width="16.59765625" style="2" customWidth="1"/>
    <col min="2" max="2" width="11.796875" style="2" customWidth="1"/>
    <col min="3" max="3" width="14.3984375" style="2" customWidth="1"/>
    <col min="4" max="6" width="11.796875" style="2" customWidth="1"/>
    <col min="7" max="7" width="13.59765625" style="2" customWidth="1"/>
    <col min="8" max="9" width="11.796875" style="2" customWidth="1"/>
    <col min="10" max="10" width="9.796875" style="2" customWidth="1"/>
    <col min="11" max="11" width="13.59765625" style="2" customWidth="1"/>
    <col min="12" max="16384" width="11.3984375" style="2"/>
  </cols>
  <sheetData>
    <row r="1" spans="1:13" s="1" customFormat="1" ht="12" customHeight="1">
      <c r="A1"/>
      <c r="B1"/>
      <c r="C1"/>
      <c r="D1"/>
      <c r="E1"/>
      <c r="F1"/>
      <c r="G1"/>
      <c r="H1"/>
      <c r="I1"/>
    </row>
    <row r="2" spans="1:13" ht="30.75" customHeight="1">
      <c r="A2" s="4" t="s">
        <v>1224</v>
      </c>
      <c r="B2"/>
      <c r="C2"/>
      <c r="D2"/>
      <c r="E2"/>
      <c r="F2"/>
      <c r="G2"/>
      <c r="H2"/>
      <c r="I2"/>
    </row>
    <row r="3" spans="1:13" ht="27" customHeight="1">
      <c r="A3" s="5"/>
      <c r="B3"/>
      <c r="C3"/>
      <c r="D3"/>
      <c r="E3"/>
      <c r="F3"/>
      <c r="G3"/>
      <c r="H3"/>
      <c r="I3"/>
    </row>
    <row r="4" spans="1:13" ht="15" customHeight="1">
      <c r="A4" s="6" t="s">
        <v>793</v>
      </c>
      <c r="B4"/>
      <c r="C4"/>
      <c r="D4"/>
      <c r="E4"/>
      <c r="F4"/>
      <c r="G4"/>
      <c r="H4"/>
      <c r="I4"/>
    </row>
    <row r="5" spans="1:13" ht="17.25" customHeight="1">
      <c r="A5"/>
      <c r="B5"/>
      <c r="C5"/>
      <c r="D5"/>
      <c r="E5"/>
      <c r="F5"/>
      <c r="G5"/>
      <c r="H5"/>
      <c r="I5"/>
    </row>
    <row r="6" spans="1:13" ht="15.75" customHeight="1">
      <c r="B6"/>
      <c r="C6"/>
      <c r="D6"/>
      <c r="E6"/>
      <c r="F6"/>
      <c r="G6"/>
      <c r="H6"/>
      <c r="I6"/>
      <c r="J6" s="7"/>
    </row>
    <row r="7" spans="1:13" ht="9.75" customHeight="1">
      <c r="A7"/>
      <c r="B7"/>
      <c r="C7"/>
      <c r="D7"/>
      <c r="E7"/>
      <c r="F7"/>
      <c r="G7"/>
      <c r="H7"/>
      <c r="I7"/>
      <c r="J7" s="7"/>
    </row>
    <row r="8" spans="1:13" ht="31.5" customHeight="1">
      <c r="A8" s="19" t="s">
        <v>716</v>
      </c>
      <c r="B8"/>
      <c r="C8"/>
      <c r="D8"/>
      <c r="E8"/>
      <c r="F8"/>
      <c r="G8"/>
      <c r="H8"/>
      <c r="I8"/>
    </row>
    <row r="9" spans="1:13" ht="11.25" customHeight="1">
      <c r="B9"/>
      <c r="C9"/>
      <c r="D9"/>
      <c r="E9"/>
      <c r="F9"/>
      <c r="G9"/>
      <c r="H9"/>
      <c r="I9"/>
      <c r="K9" s="8"/>
      <c r="L9" s="8"/>
      <c r="M9" s="8"/>
    </row>
    <row r="10" spans="1:13" ht="20" customHeight="1">
      <c r="A10"/>
      <c r="B10"/>
      <c r="C10"/>
      <c r="D10"/>
      <c r="E10"/>
      <c r="F10"/>
      <c r="G10"/>
      <c r="H10"/>
      <c r="I10"/>
    </row>
    <row r="11" spans="1:13" ht="20" customHeight="1">
      <c r="A11" s="6" t="s">
        <v>1554</v>
      </c>
      <c r="B11"/>
      <c r="C11"/>
      <c r="D11"/>
      <c r="E11"/>
      <c r="F11"/>
      <c r="G11" s="18" t="s">
        <v>713</v>
      </c>
      <c r="H11" s="17"/>
      <c r="I11"/>
    </row>
    <row r="12" spans="1:13" ht="20" customHeight="1">
      <c r="A12"/>
      <c r="B12"/>
      <c r="C12"/>
      <c r="D12"/>
      <c r="E12"/>
      <c r="F12"/>
      <c r="G12"/>
      <c r="H12"/>
      <c r="I12"/>
    </row>
    <row r="13" spans="1:13" ht="20.25" customHeight="1">
      <c r="A13"/>
      <c r="B13"/>
      <c r="C13"/>
      <c r="D13"/>
      <c r="E13"/>
      <c r="I13"/>
    </row>
    <row r="14" spans="1:13" ht="26.25" customHeight="1">
      <c r="A14" s="9" t="s">
        <v>742</v>
      </c>
      <c r="B14" s="10"/>
      <c r="C14" s="10"/>
      <c r="D14" s="11"/>
      <c r="E14" s="11"/>
      <c r="G14" s="40" t="s">
        <v>2581</v>
      </c>
      <c r="H14" s="10"/>
      <c r="I14"/>
    </row>
    <row r="15" spans="1:13" s="3" customFormat="1" ht="8.25" customHeight="1">
      <c r="A15" s="26"/>
      <c r="B15" s="23"/>
      <c r="C15" s="23"/>
      <c r="G15" s="27"/>
      <c r="H15" s="23"/>
      <c r="I15" s="23"/>
    </row>
    <row r="16" spans="1:13" ht="15" customHeight="1">
      <c r="A16" s="28" t="s">
        <v>792</v>
      </c>
      <c r="B16"/>
      <c r="C16"/>
      <c r="D16"/>
      <c r="E16"/>
      <c r="F16"/>
      <c r="G16"/>
      <c r="H16"/>
      <c r="I16"/>
    </row>
    <row r="17" spans="1:13" s="3" customFormat="1" ht="5.25" customHeight="1">
      <c r="A17" s="23"/>
      <c r="B17" s="23"/>
      <c r="C17" s="23"/>
      <c r="D17" s="23"/>
      <c r="E17" s="23"/>
      <c r="F17" s="23"/>
      <c r="G17" s="23"/>
      <c r="H17" s="23"/>
      <c r="I17" s="23"/>
    </row>
    <row r="18" spans="1:13" ht="17.25" customHeight="1">
      <c r="A18" s="41" t="s">
        <v>1225</v>
      </c>
      <c r="B18" s="29"/>
      <c r="C18" s="1169" t="s">
        <v>1068</v>
      </c>
      <c r="D18" s="42"/>
      <c r="E18" s="41" t="s">
        <v>1070</v>
      </c>
      <c r="F18" s="29"/>
      <c r="G18" s="29"/>
      <c r="H18" s="3"/>
      <c r="I18" s="95"/>
      <c r="J18" s="3"/>
      <c r="K18" s="3"/>
    </row>
    <row r="19" spans="1:13" ht="15" customHeight="1">
      <c r="A19" s="41" t="s">
        <v>1067</v>
      </c>
      <c r="B19" s="29"/>
      <c r="C19" s="29"/>
      <c r="D19" s="35"/>
      <c r="E19" s="41" t="s">
        <v>1843</v>
      </c>
      <c r="F19" s="29"/>
      <c r="G19" s="29"/>
      <c r="H19" s="3"/>
      <c r="I19" s="96"/>
      <c r="J19" s="3"/>
      <c r="K19" s="3"/>
    </row>
    <row r="20" spans="1:13" ht="15" customHeight="1">
      <c r="A20" s="41" t="s">
        <v>1220</v>
      </c>
      <c r="B20" s="30"/>
      <c r="C20" s="30"/>
      <c r="D20" s="36"/>
      <c r="E20" s="41" t="s">
        <v>1842</v>
      </c>
      <c r="F20" s="29"/>
      <c r="G20" s="29"/>
      <c r="H20" s="3"/>
      <c r="I20" s="96"/>
      <c r="J20" s="3"/>
      <c r="K20" s="3"/>
    </row>
    <row r="21" spans="1:13">
      <c r="A21" s="41" t="s">
        <v>1221</v>
      </c>
      <c r="B21" s="29"/>
      <c r="C21" s="30"/>
      <c r="D21" s="36"/>
      <c r="E21" s="41" t="s">
        <v>2248</v>
      </c>
      <c r="F21" s="30"/>
      <c r="G21" s="30"/>
      <c r="H21" s="3"/>
      <c r="I21" s="102" t="s">
        <v>718</v>
      </c>
      <c r="J21" s="103"/>
      <c r="K21" s="103"/>
    </row>
    <row r="22" spans="1:13">
      <c r="A22" s="41" t="s">
        <v>1846</v>
      </c>
      <c r="B22" s="29"/>
      <c r="C22" s="30"/>
      <c r="D22" s="36"/>
      <c r="E22" s="41" t="s">
        <v>1012</v>
      </c>
      <c r="F22" s="30"/>
      <c r="G22" s="30"/>
      <c r="H22" s="3"/>
      <c r="I22" s="103" t="s">
        <v>719</v>
      </c>
      <c r="J22" s="103"/>
      <c r="K22" s="103"/>
    </row>
    <row r="23" spans="1:13">
      <c r="A23" s="41" t="s">
        <v>1847</v>
      </c>
      <c r="B23" s="29"/>
      <c r="C23" s="30"/>
      <c r="D23" s="36"/>
      <c r="E23" s="41" t="s">
        <v>2107</v>
      </c>
      <c r="F23" s="30"/>
      <c r="G23" s="30"/>
      <c r="H23" s="3"/>
      <c r="I23" s="103" t="s">
        <v>431</v>
      </c>
      <c r="J23" s="1033"/>
      <c r="K23" s="1033"/>
    </row>
    <row r="24" spans="1:13">
      <c r="A24" s="41" t="s">
        <v>1845</v>
      </c>
      <c r="B24" s="29"/>
      <c r="C24" s="30"/>
      <c r="D24" s="36"/>
      <c r="E24" s="41" t="s">
        <v>1910</v>
      </c>
      <c r="F24" s="41"/>
      <c r="G24" s="30"/>
      <c r="H24" s="3"/>
    </row>
    <row r="25" spans="1:13">
      <c r="A25" s="41" t="s">
        <v>1844</v>
      </c>
      <c r="B25" s="29"/>
      <c r="C25" s="30"/>
      <c r="D25" s="36"/>
      <c r="E25" s="41" t="s">
        <v>366</v>
      </c>
      <c r="F25" s="30"/>
      <c r="G25" s="30"/>
      <c r="H25" s="3"/>
    </row>
    <row r="26" spans="1:13">
      <c r="A26" s="41" t="s">
        <v>1287</v>
      </c>
      <c r="B26" s="29"/>
      <c r="C26" s="30"/>
      <c r="D26" s="36"/>
      <c r="E26" s="41" t="s">
        <v>1693</v>
      </c>
      <c r="F26" s="30"/>
      <c r="G26" s="30"/>
      <c r="H26" s="3"/>
    </row>
    <row r="27" spans="1:13">
      <c r="A27" s="41" t="s">
        <v>1069</v>
      </c>
      <c r="B27" s="29"/>
      <c r="C27" s="41"/>
      <c r="D27" s="36"/>
      <c r="E27" s="41"/>
      <c r="F27" s="30"/>
      <c r="G27" s="30"/>
      <c r="H27" s="3"/>
    </row>
    <row r="28" spans="1:13" ht="16">
      <c r="A28" s="13"/>
      <c r="B28" s="21"/>
      <c r="C28" s="12"/>
      <c r="I28" s="100" t="s">
        <v>2216</v>
      </c>
      <c r="J28" s="104"/>
      <c r="K28" s="104"/>
    </row>
    <row r="29" spans="1:13" ht="16">
      <c r="A29" s="13"/>
      <c r="C29" s="3"/>
      <c r="I29" s="39"/>
      <c r="J29" s="112"/>
      <c r="K29" s="104"/>
      <c r="L29" s="3"/>
      <c r="M29" s="3"/>
    </row>
    <row r="30" spans="1:13" ht="16">
      <c r="A30" s="13"/>
      <c r="B30" s="12"/>
      <c r="C30" s="12"/>
      <c r="F30" s="3"/>
    </row>
    <row r="31" spans="1:13" ht="16">
      <c r="A31" s="13"/>
      <c r="I31" s="1764"/>
      <c r="J31" s="3"/>
      <c r="K31" s="3"/>
    </row>
    <row r="32" spans="1:13" ht="15">
      <c r="A32" s="43" t="s">
        <v>837</v>
      </c>
      <c r="B32" s="20"/>
      <c r="C32" s="3"/>
      <c r="D32" s="3"/>
      <c r="E32" s="3"/>
      <c r="F32" s="3"/>
      <c r="G32" s="99"/>
    </row>
    <row r="33" spans="1:11">
      <c r="A33" s="494" t="s">
        <v>2087</v>
      </c>
      <c r="B33" s="110"/>
      <c r="C33" s="108"/>
      <c r="D33" s="494" t="s">
        <v>430</v>
      </c>
      <c r="E33" s="111"/>
      <c r="F33" s="108"/>
      <c r="G33" s="494" t="s">
        <v>241</v>
      </c>
      <c r="H33" s="25"/>
      <c r="I33" s="3"/>
      <c r="J33" s="494" t="s">
        <v>2580</v>
      </c>
      <c r="K33" s="22"/>
    </row>
    <row r="34" spans="1:11">
      <c r="A34" s="494" t="s">
        <v>1066</v>
      </c>
      <c r="B34" s="110"/>
      <c r="C34" s="108"/>
      <c r="D34" s="494" t="s">
        <v>1013</v>
      </c>
      <c r="E34" s="110"/>
      <c r="F34" s="108"/>
      <c r="G34" s="494" t="s">
        <v>1271</v>
      </c>
      <c r="H34" s="22"/>
      <c r="I34" s="3"/>
      <c r="J34" s="494" t="s">
        <v>2582</v>
      </c>
      <c r="K34" s="22"/>
    </row>
    <row r="35" spans="1:11">
      <c r="A35" s="494" t="s">
        <v>2198</v>
      </c>
      <c r="B35" s="110"/>
      <c r="C35" s="108"/>
      <c r="D35" s="494" t="s">
        <v>242</v>
      </c>
      <c r="E35" s="110"/>
      <c r="F35" s="108"/>
      <c r="G35" s="494" t="s">
        <v>270</v>
      </c>
      <c r="H35" s="22"/>
      <c r="I35" s="3"/>
      <c r="J35" s="109"/>
      <c r="K35" s="22"/>
    </row>
    <row r="36" spans="1:11">
      <c r="A36" s="32"/>
      <c r="B36" s="31"/>
      <c r="C36" s="3"/>
      <c r="D36" s="32"/>
      <c r="E36" s="31"/>
      <c r="G36" s="113"/>
      <c r="H36" s="32"/>
      <c r="I36" s="3"/>
      <c r="J36" s="113"/>
      <c r="K36" s="3"/>
    </row>
    <row r="37" spans="1:11" ht="16">
      <c r="A37" s="13"/>
    </row>
    <row r="38" spans="1:11" ht="16">
      <c r="A38" s="13"/>
      <c r="B38" s="34" t="s">
        <v>794</v>
      </c>
      <c r="C38" s="37" t="s">
        <v>714</v>
      </c>
      <c r="J38" s="24"/>
    </row>
    <row r="39" spans="1:11" ht="16">
      <c r="A39" s="14"/>
      <c r="B39" s="12"/>
      <c r="C39" s="12"/>
    </row>
    <row r="40" spans="1:11" ht="16">
      <c r="A40" s="483" t="s">
        <v>795</v>
      </c>
      <c r="B40" s="484" t="s">
        <v>2208</v>
      </c>
      <c r="C40" s="485" t="s">
        <v>814</v>
      </c>
      <c r="D40" s="486"/>
      <c r="E40" s="486"/>
      <c r="F40" s="486"/>
      <c r="G40" s="486"/>
      <c r="H40" s="486"/>
      <c r="I40" s="486"/>
      <c r="J40" s="486"/>
      <c r="K40" s="33"/>
    </row>
    <row r="41" spans="1:11" ht="16">
      <c r="A41" s="483" t="s">
        <v>796</v>
      </c>
      <c r="B41" s="484" t="s">
        <v>2249</v>
      </c>
      <c r="C41" s="485" t="s">
        <v>797</v>
      </c>
      <c r="D41" s="486"/>
      <c r="E41" s="486"/>
      <c r="F41" s="486"/>
      <c r="G41" s="486"/>
      <c r="H41" s="486"/>
      <c r="I41" s="486"/>
      <c r="J41" s="486"/>
      <c r="K41" s="33"/>
    </row>
    <row r="42" spans="1:11" ht="16">
      <c r="A42" s="483" t="s">
        <v>798</v>
      </c>
      <c r="B42" s="484" t="s">
        <v>2250</v>
      </c>
      <c r="C42" s="485" t="s">
        <v>799</v>
      </c>
      <c r="D42" s="486"/>
      <c r="E42" s="486"/>
      <c r="F42" s="486"/>
      <c r="G42" s="486"/>
      <c r="H42" s="486"/>
      <c r="I42" s="486"/>
      <c r="J42" s="486"/>
      <c r="K42" s="33"/>
    </row>
    <row r="43" spans="1:11" ht="16">
      <c r="A43" s="483" t="s">
        <v>800</v>
      </c>
      <c r="B43" s="484" t="s">
        <v>232</v>
      </c>
      <c r="C43" s="485" t="s">
        <v>801</v>
      </c>
      <c r="D43" s="486"/>
      <c r="E43" s="486"/>
      <c r="F43" s="486"/>
      <c r="G43" s="486"/>
      <c r="H43" s="486"/>
      <c r="I43" s="486"/>
      <c r="J43" s="486"/>
      <c r="K43" s="33"/>
    </row>
    <row r="44" spans="1:11" ht="16">
      <c r="A44" s="483" t="s">
        <v>802</v>
      </c>
      <c r="B44" s="812" t="s">
        <v>231</v>
      </c>
      <c r="C44" s="485" t="s">
        <v>803</v>
      </c>
      <c r="D44" s="486"/>
      <c r="E44" s="486"/>
      <c r="F44" s="486"/>
      <c r="G44" s="486"/>
      <c r="H44" s="486"/>
      <c r="I44" s="486"/>
      <c r="J44" s="486"/>
      <c r="K44" s="33"/>
    </row>
    <row r="45" spans="1:11" ht="16">
      <c r="A45" s="483" t="s">
        <v>804</v>
      </c>
      <c r="B45" s="484" t="s">
        <v>805</v>
      </c>
      <c r="C45" s="485" t="s">
        <v>806</v>
      </c>
      <c r="D45" s="486"/>
      <c r="E45" s="486"/>
      <c r="F45" s="486"/>
      <c r="G45" s="486"/>
      <c r="H45" s="486"/>
      <c r="I45" s="486"/>
      <c r="J45" s="486"/>
      <c r="K45" s="33"/>
    </row>
    <row r="46" spans="1:11" ht="16">
      <c r="A46" s="483" t="s">
        <v>807</v>
      </c>
      <c r="B46" s="484" t="s">
        <v>746</v>
      </c>
      <c r="C46" s="485" t="s">
        <v>811</v>
      </c>
      <c r="D46" s="486"/>
      <c r="E46" s="486"/>
      <c r="F46" s="486"/>
      <c r="G46" s="486"/>
      <c r="H46" s="486"/>
      <c r="I46" s="486"/>
      <c r="J46" s="486"/>
      <c r="K46" s="33"/>
    </row>
    <row r="47" spans="1:11" ht="16">
      <c r="A47" s="483" t="s">
        <v>808</v>
      </c>
      <c r="B47" s="484" t="s">
        <v>1138</v>
      </c>
      <c r="C47" s="485" t="s">
        <v>715</v>
      </c>
      <c r="D47" s="486"/>
      <c r="E47" s="486"/>
      <c r="F47" s="486"/>
      <c r="G47" s="486"/>
      <c r="H47" s="486"/>
      <c r="I47" s="486"/>
      <c r="J47" s="486"/>
      <c r="K47" s="33"/>
    </row>
    <row r="48" spans="1:11" ht="16">
      <c r="A48" s="483" t="s">
        <v>809</v>
      </c>
      <c r="B48" s="484" t="s">
        <v>1272</v>
      </c>
      <c r="C48" s="485" t="s">
        <v>810</v>
      </c>
      <c r="D48" s="486"/>
      <c r="E48" s="486"/>
      <c r="F48" s="486"/>
      <c r="G48" s="486"/>
      <c r="H48" s="486"/>
      <c r="I48" s="486"/>
      <c r="J48" s="486"/>
      <c r="K48" s="33"/>
    </row>
    <row r="49" spans="1:11" ht="16">
      <c r="A49" s="483" t="s">
        <v>717</v>
      </c>
      <c r="B49" s="484" t="s">
        <v>153</v>
      </c>
      <c r="C49" s="485" t="s">
        <v>727</v>
      </c>
      <c r="D49" s="486"/>
      <c r="E49" s="486"/>
      <c r="F49" s="486"/>
      <c r="G49" s="486"/>
      <c r="H49" s="486"/>
      <c r="I49" s="486"/>
      <c r="J49" s="486"/>
      <c r="K49" s="33"/>
    </row>
    <row r="50" spans="1:11" ht="16">
      <c r="A50" s="483" t="s">
        <v>751</v>
      </c>
      <c r="B50" s="484" t="s">
        <v>726</v>
      </c>
      <c r="C50" s="485" t="s">
        <v>752</v>
      </c>
      <c r="D50" s="486"/>
      <c r="E50" s="486"/>
      <c r="F50" s="486"/>
      <c r="G50" s="486"/>
      <c r="H50" s="486"/>
      <c r="I50" s="486"/>
      <c r="J50" s="486"/>
      <c r="K50" s="33"/>
    </row>
    <row r="51" spans="1:11" ht="14">
      <c r="A51" s="813" t="s">
        <v>1691</v>
      </c>
      <c r="B51" s="814" t="s">
        <v>1692</v>
      </c>
      <c r="C51" s="814"/>
      <c r="D51" s="814"/>
      <c r="E51" s="486"/>
      <c r="F51" s="486"/>
      <c r="G51" s="486"/>
      <c r="H51" s="486"/>
      <c r="I51" s="486"/>
      <c r="J51" s="486"/>
      <c r="K51" s="33"/>
    </row>
    <row r="52" spans="1:11" ht="14">
      <c r="A52" s="813" t="s">
        <v>812</v>
      </c>
      <c r="B52" s="814" t="s">
        <v>1228</v>
      </c>
      <c r="C52" s="814"/>
      <c r="D52" s="814"/>
      <c r="E52" s="486"/>
      <c r="F52" s="486"/>
      <c r="G52" s="486"/>
      <c r="H52" s="486"/>
      <c r="I52" s="486"/>
      <c r="J52" s="486"/>
      <c r="K52" s="33"/>
    </row>
    <row r="53" spans="1:11" ht="14.25" customHeight="1">
      <c r="A53" s="813" t="s">
        <v>750</v>
      </c>
      <c r="B53" s="814" t="s">
        <v>1229</v>
      </c>
      <c r="C53" s="814"/>
      <c r="D53" s="814"/>
      <c r="E53" s="486"/>
      <c r="F53" s="486"/>
      <c r="G53" s="486"/>
      <c r="H53" s="486"/>
      <c r="I53" s="486"/>
      <c r="J53" s="486"/>
      <c r="K53" s="33"/>
    </row>
    <row r="54" spans="1:11" s="94" customFormat="1" ht="0.75" customHeight="1">
      <c r="A54" s="105" t="s">
        <v>1226</v>
      </c>
      <c r="B54" s="106" t="s">
        <v>720</v>
      </c>
      <c r="C54" s="106"/>
      <c r="D54" s="106"/>
      <c r="E54" s="107"/>
      <c r="F54" s="107"/>
      <c r="G54" s="107"/>
      <c r="H54" s="107"/>
      <c r="I54" s="107"/>
      <c r="J54" s="107"/>
      <c r="K54" s="101"/>
    </row>
    <row r="55" spans="1:11" s="94" customFormat="1" ht="14">
      <c r="A55" s="813" t="s">
        <v>1573</v>
      </c>
      <c r="B55" s="814" t="s">
        <v>1574</v>
      </c>
      <c r="C55" s="106"/>
      <c r="D55" s="106"/>
      <c r="E55" s="107"/>
      <c r="F55" s="107"/>
      <c r="G55" s="107"/>
      <c r="H55" s="107"/>
      <c r="I55" s="107"/>
      <c r="J55" s="107"/>
      <c r="K55" s="101"/>
    </row>
    <row r="56" spans="1:11" ht="14">
      <c r="A56" s="813" t="s">
        <v>1273</v>
      </c>
      <c r="B56" s="814" t="s">
        <v>691</v>
      </c>
      <c r="C56" s="814"/>
      <c r="D56" s="814"/>
      <c r="E56" s="486"/>
      <c r="F56" s="486"/>
      <c r="G56" s="486"/>
      <c r="H56" s="486"/>
      <c r="I56" s="486"/>
      <c r="J56" s="486"/>
      <c r="K56" s="33"/>
    </row>
    <row r="58" spans="1:11">
      <c r="A58" s="15"/>
      <c r="B58" s="15"/>
      <c r="C58" s="15"/>
      <c r="D58" s="15"/>
      <c r="E58" s="15"/>
      <c r="F58" s="15"/>
      <c r="G58" s="15"/>
      <c r="H58" s="15"/>
      <c r="I58" s="15"/>
      <c r="J58" s="15"/>
    </row>
    <row r="60" spans="1:11" ht="14.25" customHeight="1">
      <c r="A60" s="98" t="s">
        <v>1227</v>
      </c>
      <c r="B60"/>
      <c r="C60"/>
      <c r="D60"/>
      <c r="E60"/>
      <c r="F60"/>
      <c r="G60"/>
      <c r="H60"/>
      <c r="I60"/>
    </row>
    <row r="61" spans="1:11" ht="14.25" customHeight="1">
      <c r="A61" s="12"/>
      <c r="B61"/>
      <c r="C61"/>
      <c r="D61"/>
      <c r="E61"/>
      <c r="F61"/>
      <c r="G61"/>
      <c r="H61"/>
      <c r="I61"/>
    </row>
    <row r="62" spans="1:11" ht="18" customHeight="1">
      <c r="A62" s="1" t="s">
        <v>1569</v>
      </c>
      <c r="B62"/>
      <c r="C62"/>
      <c r="D62"/>
      <c r="E62"/>
      <c r="F62"/>
      <c r="G62"/>
      <c r="H62"/>
      <c r="I62"/>
    </row>
    <row r="63" spans="1:11" ht="12.75" customHeight="1">
      <c r="A63" s="1"/>
      <c r="B63"/>
      <c r="C63"/>
      <c r="D63"/>
      <c r="E63"/>
      <c r="F63"/>
      <c r="G63"/>
      <c r="H63"/>
      <c r="I63"/>
    </row>
    <row r="64" spans="1:11">
      <c r="A64" s="15"/>
      <c r="B64" s="15"/>
      <c r="C64" s="15"/>
      <c r="D64" s="15"/>
      <c r="E64" s="15"/>
      <c r="F64" s="15"/>
      <c r="G64" s="15"/>
      <c r="H64" s="15"/>
      <c r="I64" s="15"/>
      <c r="J64" s="15"/>
    </row>
    <row r="66" spans="1:10" ht="16">
      <c r="A66" s="16" t="s">
        <v>1555</v>
      </c>
    </row>
    <row r="67" spans="1:10" ht="10.5" customHeight="1">
      <c r="A67" s="16"/>
    </row>
    <row r="68" spans="1:10" ht="16">
      <c r="A68" s="38" t="s">
        <v>1582</v>
      </c>
    </row>
    <row r="69" spans="1:10" ht="16">
      <c r="A69" s="38"/>
    </row>
    <row r="74" spans="1:10">
      <c r="J74" s="97" t="s">
        <v>741</v>
      </c>
    </row>
  </sheetData>
  <phoneticPr fontId="0" type="noConversion"/>
  <pageMargins left="0.47244094488188981" right="0.35433070866141736" top="0.31496062992125984" bottom="0.27559055118110237" header="0.27559055118110237" footer="0.19685039370078741"/>
  <pageSetup paperSize="9" scale="6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A6BB0-4B94-7F4E-BD11-DC0927FF2736}">
  <sheetPr>
    <pageSetUpPr fitToPage="1"/>
  </sheetPr>
  <dimension ref="A5:L45"/>
  <sheetViews>
    <sheetView zoomScaleNormal="100" workbookViewId="0">
      <selection activeCell="A6" sqref="A6"/>
    </sheetView>
  </sheetViews>
  <sheetFormatPr baseColWidth="10" defaultColWidth="11.3984375" defaultRowHeight="13"/>
  <cols>
    <col min="1" max="1" width="19.3984375" style="1949" customWidth="1"/>
    <col min="2" max="2" width="13.59765625" style="1949" customWidth="1"/>
    <col min="3" max="7" width="11.3984375" style="1949"/>
    <col min="8" max="8" width="6.59765625" style="1949" customWidth="1"/>
    <col min="9" max="12" width="11.3984375" style="1949"/>
    <col min="13" max="13" width="4.59765625" style="1949" customWidth="1"/>
    <col min="14" max="16384" width="11.3984375" style="1949"/>
  </cols>
  <sheetData>
    <row r="5" spans="1:12" ht="18">
      <c r="A5" s="1948" t="s">
        <v>1694</v>
      </c>
    </row>
    <row r="6" spans="1:12" ht="49.5" customHeight="1">
      <c r="A6" s="1950"/>
      <c r="B6" s="1950"/>
      <c r="C6" s="1950"/>
      <c r="D6" s="1950"/>
      <c r="E6" s="1950"/>
      <c r="F6" s="1950"/>
      <c r="G6" s="1950"/>
      <c r="H6" s="1950"/>
      <c r="I6" s="1950"/>
      <c r="J6" s="1950"/>
      <c r="K6" s="1950"/>
      <c r="L6" s="1950"/>
    </row>
    <row r="7" spans="1:12">
      <c r="A7" s="1951" t="s">
        <v>1695</v>
      </c>
      <c r="B7" s="1950"/>
      <c r="C7" s="1950"/>
      <c r="D7" s="1950"/>
      <c r="E7" s="1950"/>
      <c r="F7" s="1950"/>
      <c r="G7" s="1950"/>
      <c r="H7" s="1950"/>
      <c r="I7" s="1950"/>
      <c r="J7" s="1950"/>
      <c r="K7" s="1950"/>
      <c r="L7" s="1950"/>
    </row>
    <row r="8" spans="1:12" ht="14" thickBot="1">
      <c r="A8" s="1952"/>
      <c r="B8" s="1953"/>
      <c r="C8" s="1953"/>
      <c r="D8" s="1953"/>
      <c r="E8" s="1953"/>
      <c r="F8" s="1953"/>
      <c r="G8" s="1953"/>
      <c r="H8" s="1953"/>
      <c r="I8" s="1953"/>
      <c r="J8" s="1953"/>
      <c r="K8" s="1953"/>
      <c r="L8" s="1950"/>
    </row>
    <row r="9" spans="1:12">
      <c r="C9" s="1991" t="s">
        <v>1696</v>
      </c>
      <c r="D9" s="1991"/>
      <c r="E9" s="1991"/>
      <c r="F9" s="1991"/>
      <c r="G9" s="1991"/>
      <c r="I9" s="1992" t="s">
        <v>1697</v>
      </c>
      <c r="J9" s="1992"/>
      <c r="K9" s="1992"/>
      <c r="L9" s="1954"/>
    </row>
    <row r="10" spans="1:12">
      <c r="B10" s="1949" t="s">
        <v>1698</v>
      </c>
      <c r="C10" s="1955" t="s">
        <v>2430</v>
      </c>
      <c r="D10" s="1955" t="s">
        <v>1797</v>
      </c>
      <c r="E10" s="1955" t="s">
        <v>1699</v>
      </c>
      <c r="F10" s="1955" t="s">
        <v>1699</v>
      </c>
      <c r="G10" s="1955" t="s">
        <v>1700</v>
      </c>
      <c r="H10" s="1955"/>
      <c r="I10" s="1955" t="s">
        <v>1699</v>
      </c>
      <c r="J10" s="1955" t="s">
        <v>1797</v>
      </c>
      <c r="K10" s="1955" t="s">
        <v>1700</v>
      </c>
    </row>
    <row r="11" spans="1:12">
      <c r="A11" s="1956"/>
      <c r="B11" s="1956"/>
      <c r="C11" s="1957"/>
      <c r="D11" s="1957"/>
      <c r="E11" s="1957"/>
      <c r="F11" s="1957" t="s">
        <v>1797</v>
      </c>
      <c r="G11" s="1957"/>
      <c r="H11" s="1957"/>
      <c r="I11" s="1957"/>
      <c r="J11" s="1957"/>
      <c r="K11" s="1957"/>
    </row>
    <row r="12" spans="1:12">
      <c r="A12" s="1950" t="s">
        <v>1971</v>
      </c>
      <c r="B12" s="1950" t="s">
        <v>1701</v>
      </c>
      <c r="C12" s="1958">
        <v>2.06</v>
      </c>
      <c r="D12" s="1958">
        <v>2.04</v>
      </c>
      <c r="E12" s="1958" t="s">
        <v>1702</v>
      </c>
      <c r="F12" s="1958"/>
      <c r="G12" s="1958" t="s">
        <v>1703</v>
      </c>
      <c r="H12" s="1958"/>
      <c r="I12" s="1958" t="s">
        <v>1704</v>
      </c>
      <c r="J12" s="1959"/>
      <c r="K12" s="1959">
        <v>2.16</v>
      </c>
    </row>
    <row r="13" spans="1:12">
      <c r="A13" s="1950"/>
      <c r="B13" s="1950" t="s">
        <v>1705</v>
      </c>
      <c r="C13" s="1950"/>
      <c r="D13" s="1958">
        <v>2.0499999999999998</v>
      </c>
      <c r="E13" s="1958" t="s">
        <v>1706</v>
      </c>
      <c r="F13" s="1958"/>
      <c r="G13" s="1958" t="s">
        <v>1707</v>
      </c>
      <c r="H13" s="1958"/>
      <c r="I13" s="1958" t="s">
        <v>1708</v>
      </c>
      <c r="J13" s="1959"/>
      <c r="K13" s="1959">
        <v>2.1800000000000002</v>
      </c>
    </row>
    <row r="14" spans="1:12">
      <c r="A14" s="1949" t="s">
        <v>1968</v>
      </c>
      <c r="B14" s="1949" t="s">
        <v>1701</v>
      </c>
      <c r="C14" s="1960">
        <v>2.11</v>
      </c>
      <c r="D14" s="1960" t="s">
        <v>766</v>
      </c>
      <c r="E14" s="1960"/>
      <c r="F14" s="1960"/>
      <c r="G14" s="1960"/>
      <c r="H14" s="1960"/>
      <c r="I14" s="1960" t="s">
        <v>1709</v>
      </c>
      <c r="J14" s="1955"/>
      <c r="K14" s="1955"/>
    </row>
    <row r="15" spans="1:12">
      <c r="A15" s="1950"/>
      <c r="B15" s="1950" t="s">
        <v>1705</v>
      </c>
      <c r="C15" s="1950"/>
      <c r="D15" s="1958" t="s">
        <v>1710</v>
      </c>
      <c r="E15" s="1958" t="s">
        <v>1711</v>
      </c>
      <c r="F15" s="1958"/>
      <c r="G15" s="1958"/>
      <c r="H15" s="1958"/>
      <c r="I15" s="1958" t="s">
        <v>1712</v>
      </c>
      <c r="J15" s="1959"/>
      <c r="K15" s="1959"/>
    </row>
    <row r="16" spans="1:12">
      <c r="A16" s="1950" t="s">
        <v>2544</v>
      </c>
      <c r="B16" s="1950" t="s">
        <v>1701</v>
      </c>
      <c r="C16" s="1958">
        <v>2.09</v>
      </c>
      <c r="D16" s="1958" t="s">
        <v>1713</v>
      </c>
      <c r="E16" s="1958"/>
      <c r="F16" s="1958"/>
      <c r="G16" s="1950"/>
      <c r="H16" s="1950"/>
      <c r="I16" s="1958" t="s">
        <v>755</v>
      </c>
      <c r="J16" s="1959"/>
      <c r="K16" s="1950"/>
    </row>
    <row r="17" spans="1:11">
      <c r="A17" s="1956"/>
      <c r="B17" s="1956" t="s">
        <v>1705</v>
      </c>
      <c r="C17" s="1956"/>
      <c r="D17" s="1961" t="s">
        <v>1714</v>
      </c>
      <c r="E17" s="1961" t="s">
        <v>1715</v>
      </c>
      <c r="F17" s="1961"/>
      <c r="G17" s="1956"/>
      <c r="H17" s="1956"/>
      <c r="I17" s="1961" t="s">
        <v>1716</v>
      </c>
      <c r="J17" s="1957">
        <v>2.0299999999999998</v>
      </c>
      <c r="K17" s="1956"/>
    </row>
    <row r="18" spans="1:11">
      <c r="A18" s="1949" t="s">
        <v>2332</v>
      </c>
      <c r="B18" s="1949" t="s">
        <v>1701</v>
      </c>
      <c r="C18" s="1960" t="s">
        <v>1717</v>
      </c>
      <c r="D18" s="1960" t="s">
        <v>1718</v>
      </c>
      <c r="E18" s="1960" t="s">
        <v>813</v>
      </c>
      <c r="F18" s="1960"/>
      <c r="G18" s="1960"/>
      <c r="H18" s="1960"/>
      <c r="I18" s="1960" t="s">
        <v>1719</v>
      </c>
      <c r="J18" s="1955"/>
      <c r="K18" s="1955"/>
    </row>
    <row r="19" spans="1:11">
      <c r="B19" s="1949" t="s">
        <v>1705</v>
      </c>
      <c r="C19" s="1960"/>
      <c r="D19" s="1960" t="s">
        <v>773</v>
      </c>
      <c r="E19" s="1960" t="s">
        <v>771</v>
      </c>
      <c r="F19" s="1960"/>
      <c r="G19" s="1960"/>
      <c r="H19" s="1960"/>
      <c r="I19" s="1960" t="s">
        <v>772</v>
      </c>
      <c r="J19" s="1955">
        <v>3.08</v>
      </c>
      <c r="K19" s="1955"/>
    </row>
    <row r="20" spans="1:11">
      <c r="A20" s="1956" t="s">
        <v>1720</v>
      </c>
      <c r="B20" s="1956" t="s">
        <v>1721</v>
      </c>
      <c r="C20" s="1961"/>
      <c r="D20" s="1961" t="s">
        <v>1722</v>
      </c>
      <c r="E20" s="1961"/>
      <c r="F20" s="1961"/>
      <c r="G20" s="1961"/>
      <c r="H20" s="1961"/>
      <c r="I20" s="1961" t="s">
        <v>1723</v>
      </c>
      <c r="J20" s="1957"/>
      <c r="K20" s="1957"/>
    </row>
    <row r="21" spans="1:11">
      <c r="A21" s="1949" t="s">
        <v>2109</v>
      </c>
      <c r="B21" s="1949" t="s">
        <v>1724</v>
      </c>
      <c r="C21" s="1960" t="s">
        <v>1725</v>
      </c>
      <c r="D21" s="1960" t="s">
        <v>1726</v>
      </c>
      <c r="E21" s="1960" t="s">
        <v>1727</v>
      </c>
      <c r="F21" s="1960" t="s">
        <v>1728</v>
      </c>
      <c r="G21" s="1960"/>
      <c r="H21" s="1960"/>
      <c r="I21" s="1960"/>
      <c r="J21" s="1955"/>
      <c r="K21" s="1955"/>
    </row>
    <row r="22" spans="1:11" ht="14" thickBot="1">
      <c r="A22" s="1953"/>
      <c r="B22" s="1953" t="s">
        <v>1729</v>
      </c>
      <c r="C22" s="1962"/>
      <c r="D22" s="1963" t="s">
        <v>1730</v>
      </c>
      <c r="E22" s="1963" t="s">
        <v>1731</v>
      </c>
      <c r="F22" s="1963"/>
      <c r="G22" s="1963"/>
      <c r="H22" s="1963"/>
      <c r="I22" s="1963" t="s">
        <v>1732</v>
      </c>
      <c r="J22" s="1964"/>
      <c r="K22" s="1964"/>
    </row>
    <row r="23" spans="1:11" ht="34.5" customHeight="1"/>
    <row r="24" spans="1:11">
      <c r="A24" s="1965" t="s">
        <v>1733</v>
      </c>
    </row>
    <row r="25" spans="1:11">
      <c r="A25" s="1949" t="s">
        <v>1971</v>
      </c>
      <c r="B25" s="1949" t="s">
        <v>1734</v>
      </c>
    </row>
    <row r="26" spans="1:11">
      <c r="A26" s="1949" t="s">
        <v>1968</v>
      </c>
      <c r="B26" s="1949" t="s">
        <v>1735</v>
      </c>
    </row>
    <row r="27" spans="1:11">
      <c r="B27" s="1949" t="s">
        <v>1736</v>
      </c>
    </row>
    <row r="28" spans="1:11">
      <c r="A28" s="1949" t="s">
        <v>2332</v>
      </c>
      <c r="B28" s="1949" t="s">
        <v>1737</v>
      </c>
    </row>
    <row r="29" spans="1:11">
      <c r="A29" s="1949" t="s">
        <v>1720</v>
      </c>
      <c r="B29" s="1949" t="s">
        <v>1738</v>
      </c>
    </row>
    <row r="30" spans="1:11" ht="27.75" customHeight="1"/>
    <row r="31" spans="1:11">
      <c r="A31" s="1965" t="s">
        <v>1739</v>
      </c>
    </row>
    <row r="32" spans="1:11">
      <c r="A32" s="1949" t="s">
        <v>1740</v>
      </c>
      <c r="B32" s="1949" t="s">
        <v>1741</v>
      </c>
    </row>
    <row r="33" spans="1:2">
      <c r="A33" s="1949" t="s">
        <v>1742</v>
      </c>
      <c r="B33" s="1949" t="s">
        <v>1743</v>
      </c>
    </row>
    <row r="34" spans="1:2">
      <c r="A34" s="1949" t="s">
        <v>1700</v>
      </c>
      <c r="B34" s="1949" t="s">
        <v>1744</v>
      </c>
    </row>
    <row r="35" spans="1:2" ht="29.25" customHeight="1"/>
    <row r="36" spans="1:2">
      <c r="A36" s="1965" t="s">
        <v>1745</v>
      </c>
    </row>
    <row r="37" spans="1:2">
      <c r="A37" s="1966">
        <v>1.01</v>
      </c>
      <c r="B37" s="1967" t="s">
        <v>1746</v>
      </c>
    </row>
    <row r="38" spans="1:2">
      <c r="A38" s="1966">
        <v>1.02</v>
      </c>
      <c r="B38" s="1967" t="s">
        <v>1747</v>
      </c>
    </row>
    <row r="39" spans="1:2">
      <c r="A39" s="1968" t="s">
        <v>1748</v>
      </c>
      <c r="B39" s="1967" t="s">
        <v>1749</v>
      </c>
    </row>
    <row r="40" spans="1:2">
      <c r="A40" s="1969" t="s">
        <v>1750</v>
      </c>
      <c r="B40" s="1967" t="s">
        <v>1751</v>
      </c>
    </row>
    <row r="41" spans="1:2">
      <c r="A41" s="1966" t="s">
        <v>1752</v>
      </c>
      <c r="B41" s="1967" t="s">
        <v>1753</v>
      </c>
    </row>
    <row r="42" spans="1:2">
      <c r="A42" s="1966">
        <v>8.0299999999999994</v>
      </c>
      <c r="B42" s="1967" t="s">
        <v>1754</v>
      </c>
    </row>
    <row r="43" spans="1:2">
      <c r="A43" s="1966" t="s">
        <v>1755</v>
      </c>
      <c r="B43" s="1967" t="s">
        <v>1756</v>
      </c>
    </row>
    <row r="44" spans="1:2">
      <c r="A44" s="1968" t="s">
        <v>758</v>
      </c>
      <c r="B44" s="1967" t="s">
        <v>1757</v>
      </c>
    </row>
    <row r="45" spans="1:2">
      <c r="A45" s="1966"/>
    </row>
  </sheetData>
  <mergeCells count="2">
    <mergeCell ref="C9:G9"/>
    <mergeCell ref="I9:K9"/>
  </mergeCells>
  <phoneticPr fontId="68" type="noConversion"/>
  <pageMargins left="0.51" right="0.49" top="0.69" bottom="0.78" header="0.42" footer="0.51181102362204722"/>
  <pageSetup paperSize="9" scale="65" orientation="portrait"/>
  <headerFooter alignWithMargins="0"/>
  <colBreaks count="1" manualBreakCount="1">
    <brk id="12" min="4" max="47"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F6BC0-A030-BA4F-991F-3B92BC5B7AC5}">
  <sheetPr>
    <pageSetUpPr fitToPage="1"/>
  </sheetPr>
  <dimension ref="A1:M82"/>
  <sheetViews>
    <sheetView workbookViewId="0">
      <selection activeCell="G72" sqref="G72"/>
    </sheetView>
  </sheetViews>
  <sheetFormatPr baseColWidth="10" defaultColWidth="11.3984375" defaultRowHeight="13"/>
  <cols>
    <col min="1" max="1" width="11.3984375" style="1795"/>
    <col min="2" max="2" width="10.3984375" style="1797" customWidth="1"/>
    <col min="3" max="3" width="4.3984375" style="1795" customWidth="1"/>
    <col min="4" max="4" width="11.3984375" style="1795"/>
    <col min="5" max="5" width="11.3984375" style="1797"/>
    <col min="6" max="7" width="11.3984375" style="1795"/>
    <col min="8" max="8" width="3.59765625" style="1795" customWidth="1"/>
    <col min="9" max="9" width="11.3984375" style="1795"/>
    <col min="10" max="10" width="3.796875" style="1795" customWidth="1"/>
    <col min="11" max="11" width="11.3984375" style="1795"/>
    <col min="12" max="12" width="3.796875" style="1795" customWidth="1"/>
    <col min="13" max="16384" width="11.3984375" style="1795"/>
  </cols>
  <sheetData>
    <row r="1" spans="1:13" ht="16">
      <c r="A1" s="1765" t="s">
        <v>1276</v>
      </c>
    </row>
    <row r="2" spans="1:13" ht="18" customHeight="1"/>
    <row r="3" spans="1:13" ht="30" customHeight="1">
      <c r="A3" s="1771" t="s">
        <v>722</v>
      </c>
      <c r="B3" s="1771" t="s">
        <v>1275</v>
      </c>
      <c r="C3" s="1797"/>
      <c r="D3" s="1771" t="str">
        <f>A3</f>
        <v>Publikation 2008</v>
      </c>
      <c r="E3" s="1771" t="str">
        <f>B3</f>
        <v>Publikation 2009</v>
      </c>
      <c r="G3" s="1771" t="str">
        <f>E3</f>
        <v>Publikation 2009</v>
      </c>
      <c r="H3" s="1771"/>
      <c r="I3" s="1771" t="str">
        <f>D3</f>
        <v>Publikation 2008</v>
      </c>
      <c r="K3" s="1771" t="str">
        <f>G3</f>
        <v>Publikation 2009</v>
      </c>
      <c r="L3" s="1771"/>
      <c r="M3" s="1771" t="str">
        <f>I3</f>
        <v>Publikation 2008</v>
      </c>
    </row>
    <row r="4" spans="1:13" ht="13.5" customHeight="1">
      <c r="A4" s="1798"/>
      <c r="B4" s="1798"/>
      <c r="D4" s="1799"/>
      <c r="E4" s="1799"/>
      <c r="G4" s="1800"/>
      <c r="H4" s="1800"/>
      <c r="I4" s="1800"/>
      <c r="K4" s="1800"/>
      <c r="L4" s="1800"/>
      <c r="M4" s="1800"/>
    </row>
    <row r="5" spans="1:13">
      <c r="A5" s="1801">
        <v>1.01</v>
      </c>
      <c r="B5" s="1802">
        <v>1.01</v>
      </c>
      <c r="C5" s="1803"/>
      <c r="D5" s="1804">
        <v>6.06</v>
      </c>
      <c r="E5" s="1804">
        <v>6.06</v>
      </c>
      <c r="G5" s="1822">
        <v>1.01</v>
      </c>
      <c r="H5" s="1822"/>
      <c r="I5" s="1823">
        <v>1.01</v>
      </c>
      <c r="J5"/>
      <c r="K5" s="1824">
        <v>6.04</v>
      </c>
      <c r="L5" s="1825"/>
      <c r="M5" s="1826">
        <v>6.04</v>
      </c>
    </row>
    <row r="6" spans="1:13">
      <c r="A6" s="1806">
        <v>1.02</v>
      </c>
      <c r="B6" s="1807">
        <v>1.02</v>
      </c>
      <c r="C6" s="1803"/>
      <c r="D6" s="1804">
        <v>7.01</v>
      </c>
      <c r="E6" s="1804">
        <v>7.01</v>
      </c>
      <c r="G6" s="1827">
        <v>1.02</v>
      </c>
      <c r="H6" s="1822"/>
      <c r="I6" s="1823">
        <v>1.02</v>
      </c>
      <c r="J6"/>
      <c r="K6" s="1824">
        <v>6.05</v>
      </c>
      <c r="L6" s="1825"/>
      <c r="M6" s="1826">
        <v>6.05</v>
      </c>
    </row>
    <row r="7" spans="1:13">
      <c r="A7" s="1806">
        <v>1.03</v>
      </c>
      <c r="B7" s="1807">
        <v>1.03</v>
      </c>
      <c r="C7" s="1803"/>
      <c r="D7" s="1804">
        <v>7.02</v>
      </c>
      <c r="E7" s="1804">
        <v>7.02</v>
      </c>
      <c r="G7" s="1827">
        <v>1.03</v>
      </c>
      <c r="H7" s="1822"/>
      <c r="I7" s="1823">
        <v>1.03</v>
      </c>
      <c r="J7"/>
      <c r="K7" s="1824">
        <v>6.06</v>
      </c>
      <c r="L7" s="1824"/>
      <c r="M7" s="1828">
        <v>6.06</v>
      </c>
    </row>
    <row r="8" spans="1:13">
      <c r="A8" s="1806">
        <v>1.04</v>
      </c>
      <c r="B8" s="1807">
        <v>1.04</v>
      </c>
      <c r="C8" s="1803"/>
      <c r="D8" s="1804">
        <v>7.03</v>
      </c>
      <c r="E8" s="1804">
        <v>7.03</v>
      </c>
      <c r="G8" s="1827">
        <v>1.04</v>
      </c>
      <c r="H8" s="1822"/>
      <c r="I8" s="1823">
        <v>1.04</v>
      </c>
      <c r="J8"/>
      <c r="K8" s="1824">
        <v>7.01</v>
      </c>
      <c r="L8" s="1829"/>
      <c r="M8" s="1826">
        <v>7.01</v>
      </c>
    </row>
    <row r="9" spans="1:13">
      <c r="A9" s="1806">
        <v>1.05</v>
      </c>
      <c r="B9" s="1807">
        <v>1.05</v>
      </c>
      <c r="C9" s="1803"/>
      <c r="D9" s="1804">
        <v>7.04</v>
      </c>
      <c r="E9" s="1804">
        <v>7.04</v>
      </c>
      <c r="G9" s="1827">
        <v>1.05</v>
      </c>
      <c r="H9" s="1822"/>
      <c r="I9" s="1823">
        <v>1.05</v>
      </c>
      <c r="J9"/>
      <c r="K9" s="1824">
        <v>7.02</v>
      </c>
      <c r="L9" s="1829"/>
      <c r="M9" s="1826">
        <v>7.02</v>
      </c>
    </row>
    <row r="10" spans="1:13">
      <c r="A10" s="1806">
        <v>1.06</v>
      </c>
      <c r="B10" s="1807">
        <v>1.06</v>
      </c>
      <c r="C10" s="1803"/>
      <c r="D10" s="1804">
        <v>7.05</v>
      </c>
      <c r="E10" s="1804">
        <v>7.05</v>
      </c>
      <c r="G10" s="1827">
        <v>1.06</v>
      </c>
      <c r="H10" s="1822"/>
      <c r="I10" s="1823">
        <v>1.06</v>
      </c>
      <c r="J10"/>
      <c r="K10" s="1824">
        <v>7.03</v>
      </c>
      <c r="L10" s="1829"/>
      <c r="M10" s="1826">
        <v>7.03</v>
      </c>
    </row>
    <row r="11" spans="1:13">
      <c r="A11" s="1806">
        <v>1.07</v>
      </c>
      <c r="B11" s="1807">
        <v>1.07</v>
      </c>
      <c r="C11" s="1803"/>
      <c r="D11" s="1802">
        <v>8.01</v>
      </c>
      <c r="E11" s="1802">
        <v>8.01</v>
      </c>
      <c r="G11" s="1827">
        <v>1.07</v>
      </c>
      <c r="H11" s="1822"/>
      <c r="I11" s="1822">
        <v>1.07</v>
      </c>
      <c r="J11" s="3"/>
      <c r="K11" s="1824">
        <v>7.04</v>
      </c>
      <c r="L11" s="1825"/>
      <c r="M11" s="1826">
        <v>7.04</v>
      </c>
    </row>
    <row r="12" spans="1:13">
      <c r="A12" s="1806">
        <v>1.08</v>
      </c>
      <c r="B12" s="1807">
        <v>1.08</v>
      </c>
      <c r="C12" s="1803"/>
      <c r="D12" s="1802">
        <v>8.02</v>
      </c>
      <c r="E12" s="1802">
        <v>8.02</v>
      </c>
      <c r="G12" s="1827">
        <v>1.08</v>
      </c>
      <c r="H12" s="1822"/>
      <c r="I12" s="1822">
        <v>1.08</v>
      </c>
      <c r="J12" s="3"/>
      <c r="K12" s="1824">
        <v>7.05</v>
      </c>
      <c r="L12" s="1825"/>
      <c r="M12" s="1826">
        <v>7.05</v>
      </c>
    </row>
    <row r="13" spans="1:13">
      <c r="A13" s="1806">
        <v>1.0900000000000001</v>
      </c>
      <c r="B13" s="1804">
        <v>1.0900000000000001</v>
      </c>
      <c r="C13" s="1803"/>
      <c r="D13" s="1802">
        <v>8.0299999999999994</v>
      </c>
      <c r="E13" s="1802">
        <v>8.0299999999999994</v>
      </c>
      <c r="G13" s="1827">
        <v>1.0900000000000001</v>
      </c>
      <c r="H13" s="1822"/>
      <c r="I13" s="1822">
        <v>1.0900000000000001</v>
      </c>
      <c r="J13" s="3"/>
      <c r="K13" s="1826">
        <v>8.01</v>
      </c>
      <c r="L13" s="1822"/>
      <c r="M13" s="1826">
        <v>8.01</v>
      </c>
    </row>
    <row r="14" spans="1:13">
      <c r="A14" s="1806">
        <v>1.1000000000000001</v>
      </c>
      <c r="B14" s="1807" t="s">
        <v>723</v>
      </c>
      <c r="C14" s="1803"/>
      <c r="D14" s="1802">
        <v>8.0399999999999991</v>
      </c>
      <c r="E14" s="1802">
        <v>8.0399999999999991</v>
      </c>
      <c r="G14" s="1830">
        <v>1.1000000000000001</v>
      </c>
      <c r="H14" s="1822"/>
      <c r="I14" s="1822">
        <v>1.1000000000000001</v>
      </c>
      <c r="J14" s="3"/>
      <c r="K14" s="1826">
        <v>8.02</v>
      </c>
      <c r="L14" s="1822"/>
      <c r="M14" s="1826">
        <v>8.02</v>
      </c>
    </row>
    <row r="15" spans="1:13">
      <c r="A15" s="1806">
        <v>1.1100000000000001</v>
      </c>
      <c r="B15" s="1807">
        <v>1.1100000000000001</v>
      </c>
      <c r="C15" s="1803"/>
      <c r="D15" s="1802">
        <v>8.0500000000000007</v>
      </c>
      <c r="E15" s="1802">
        <v>8.0500000000000007</v>
      </c>
      <c r="G15" s="1827">
        <v>1.1100000000000001</v>
      </c>
      <c r="H15" s="1822"/>
      <c r="I15" s="1822">
        <v>1.1100000000000001</v>
      </c>
      <c r="J15" s="3"/>
      <c r="K15" s="1831">
        <v>8.0299999999999994</v>
      </c>
      <c r="L15" s="1822"/>
      <c r="M15" s="1825" t="s">
        <v>1277</v>
      </c>
    </row>
    <row r="16" spans="1:13">
      <c r="A16" s="1806">
        <v>1.1200000000000001</v>
      </c>
      <c r="B16" s="1804">
        <v>1.1200000000000001</v>
      </c>
      <c r="C16" s="1803"/>
      <c r="D16" s="1802">
        <v>8.06</v>
      </c>
      <c r="E16" s="1802">
        <v>8.06</v>
      </c>
      <c r="G16" s="1827">
        <v>1.1200000000000001</v>
      </c>
      <c r="H16" s="1822"/>
      <c r="I16" s="1822">
        <v>1.1200000000000001</v>
      </c>
      <c r="J16" s="3"/>
      <c r="K16" s="1826">
        <v>8.0399999999999991</v>
      </c>
      <c r="L16" s="1822"/>
      <c r="M16" s="1826">
        <v>8.0399999999999991</v>
      </c>
    </row>
    <row r="17" spans="1:13">
      <c r="A17" s="1806">
        <v>1.1299999999999999</v>
      </c>
      <c r="B17" s="1804">
        <v>1.1299999999999999</v>
      </c>
      <c r="C17" s="1803"/>
      <c r="D17" s="1802">
        <v>8.07</v>
      </c>
      <c r="E17" s="1802">
        <v>8.07</v>
      </c>
      <c r="G17" s="1827">
        <v>1.1299999999999999</v>
      </c>
      <c r="H17" s="1822"/>
      <c r="I17" s="1822">
        <v>1.1299999999999999</v>
      </c>
      <c r="J17" s="3"/>
      <c r="K17" s="1826">
        <v>8.0500000000000007</v>
      </c>
      <c r="L17" s="1822"/>
      <c r="M17" s="1826">
        <v>8.0500000000000007</v>
      </c>
    </row>
    <row r="18" spans="1:13">
      <c r="A18" s="1806">
        <v>1.1399999999999999</v>
      </c>
      <c r="B18" s="1804" t="s">
        <v>744</v>
      </c>
      <c r="C18" s="1803"/>
      <c r="D18" s="1802">
        <v>8.08</v>
      </c>
      <c r="E18" s="1802">
        <v>8.08</v>
      </c>
      <c r="G18" s="1824">
        <v>2.0099999999999998</v>
      </c>
      <c r="H18" s="1822"/>
      <c r="I18" s="1822">
        <v>2.0099999999999998</v>
      </c>
      <c r="J18" s="3"/>
      <c r="K18" s="1826">
        <v>8.06</v>
      </c>
      <c r="L18" s="1822"/>
      <c r="M18" s="1826">
        <v>8.06</v>
      </c>
    </row>
    <row r="19" spans="1:13">
      <c r="A19" s="1806">
        <v>1.1499999999999999</v>
      </c>
      <c r="B19" s="1804" t="s">
        <v>744</v>
      </c>
      <c r="C19" s="1803"/>
      <c r="D19" s="1802">
        <v>8.09</v>
      </c>
      <c r="E19" s="1802">
        <v>8.09</v>
      </c>
      <c r="G19" s="1832">
        <v>2.02</v>
      </c>
      <c r="H19" s="1822"/>
      <c r="I19" s="1822">
        <v>2.02</v>
      </c>
      <c r="J19" s="3"/>
      <c r="K19" s="1826">
        <v>8.07</v>
      </c>
      <c r="L19" s="1822"/>
      <c r="M19" s="1826">
        <v>8.07</v>
      </c>
    </row>
    <row r="20" spans="1:13">
      <c r="A20" s="1804">
        <v>2.0099999999999998</v>
      </c>
      <c r="B20" s="1804">
        <v>2.0099999999999998</v>
      </c>
      <c r="C20" s="1803"/>
      <c r="D20" s="1802" t="s">
        <v>756</v>
      </c>
      <c r="E20" s="1802" t="s">
        <v>756</v>
      </c>
      <c r="G20" s="1824">
        <v>2.0299999999999998</v>
      </c>
      <c r="H20" s="1822"/>
      <c r="I20" s="1822">
        <v>2.0299999999999998</v>
      </c>
      <c r="J20" s="3"/>
      <c r="K20" s="1826">
        <v>8.08</v>
      </c>
      <c r="L20" s="1822"/>
      <c r="M20" s="1826">
        <v>8.08</v>
      </c>
    </row>
    <row r="21" spans="1:13">
      <c r="A21" s="1804">
        <v>2.02</v>
      </c>
      <c r="B21" s="1804">
        <v>2.02</v>
      </c>
      <c r="C21" s="1803"/>
      <c r="D21" s="1802" t="s">
        <v>757</v>
      </c>
      <c r="E21" s="1802" t="s">
        <v>757</v>
      </c>
      <c r="G21" s="1824">
        <v>2.04</v>
      </c>
      <c r="H21" s="1822" t="s">
        <v>1929</v>
      </c>
      <c r="I21" s="1822">
        <v>2.04</v>
      </c>
      <c r="J21" s="3"/>
      <c r="K21" s="1826">
        <v>8.09</v>
      </c>
      <c r="L21" s="1822"/>
      <c r="M21" s="1826">
        <v>8.09</v>
      </c>
    </row>
    <row r="22" spans="1:13">
      <c r="A22" s="1804">
        <v>2.0299999999999998</v>
      </c>
      <c r="B22" s="1804">
        <v>2.0299999999999998</v>
      </c>
      <c r="C22" s="1803"/>
      <c r="D22" s="1804">
        <v>8.1199999999999992</v>
      </c>
      <c r="E22" s="1804">
        <v>8.1199999999999992</v>
      </c>
      <c r="G22" s="1832">
        <v>2.0499999999999998</v>
      </c>
      <c r="H22" s="1822" t="s">
        <v>1929</v>
      </c>
      <c r="I22" s="1822">
        <v>2.0499999999999998</v>
      </c>
      <c r="J22" s="3"/>
      <c r="K22" s="1826" t="s">
        <v>756</v>
      </c>
      <c r="L22" s="1822"/>
      <c r="M22" s="1826" t="s">
        <v>756</v>
      </c>
    </row>
    <row r="23" spans="1:13">
      <c r="A23" s="1804">
        <v>2.04</v>
      </c>
      <c r="B23" s="1804">
        <v>2.04</v>
      </c>
      <c r="C23" s="1803"/>
      <c r="D23" s="1804">
        <v>8.1300000000000008</v>
      </c>
      <c r="E23" s="1804">
        <v>8.0299999999999994</v>
      </c>
      <c r="G23" s="1832">
        <v>2.06</v>
      </c>
      <c r="H23" s="1822"/>
      <c r="I23" s="1822">
        <v>2.06</v>
      </c>
      <c r="J23" s="3"/>
      <c r="K23" s="1826" t="s">
        <v>757</v>
      </c>
      <c r="L23" s="1822"/>
      <c r="M23" s="1825" t="s">
        <v>757</v>
      </c>
    </row>
    <row r="24" spans="1:13">
      <c r="A24" s="1804">
        <v>2.0499999999999998</v>
      </c>
      <c r="B24" s="1804">
        <v>2.0499999999999998</v>
      </c>
      <c r="C24" s="1803"/>
      <c r="D24" s="1802">
        <v>9.01</v>
      </c>
      <c r="E24" s="1802">
        <v>9.01</v>
      </c>
      <c r="G24" s="1832">
        <v>2.0699999999999998</v>
      </c>
      <c r="H24" s="1822" t="s">
        <v>1929</v>
      </c>
      <c r="I24" s="1822">
        <v>2.0699999999999998</v>
      </c>
      <c r="J24" s="3"/>
      <c r="K24" s="1824">
        <v>8.1199999999999992</v>
      </c>
      <c r="L24" s="1825"/>
      <c r="M24" s="1826">
        <v>8.1199999999999992</v>
      </c>
    </row>
    <row r="25" spans="1:13">
      <c r="A25" s="1804">
        <v>2.06</v>
      </c>
      <c r="B25" s="1804">
        <v>2.06</v>
      </c>
      <c r="C25" s="1803"/>
      <c r="D25" s="1802">
        <v>9.02</v>
      </c>
      <c r="E25" s="1802">
        <v>9.02</v>
      </c>
      <c r="G25" s="1833">
        <v>2.08</v>
      </c>
      <c r="H25" s="1822"/>
      <c r="I25" s="1822" t="s">
        <v>744</v>
      </c>
      <c r="J25" s="3"/>
      <c r="K25" s="1826">
        <v>9.01</v>
      </c>
      <c r="L25" s="1822"/>
      <c r="M25" s="1825">
        <v>9.01</v>
      </c>
    </row>
    <row r="26" spans="1:13">
      <c r="A26" s="1804">
        <v>2.0699999999999998</v>
      </c>
      <c r="B26" s="1804">
        <v>10.050000000000001</v>
      </c>
      <c r="C26" s="1803"/>
      <c r="D26" s="1802">
        <v>9.0299999999999994</v>
      </c>
      <c r="E26" s="1802">
        <v>9.0299999999999994</v>
      </c>
      <c r="G26" s="1832">
        <v>2.09</v>
      </c>
      <c r="H26" s="1822"/>
      <c r="I26" s="1822">
        <v>2.09</v>
      </c>
      <c r="J26" s="3"/>
      <c r="K26" s="1826">
        <v>9.02</v>
      </c>
      <c r="L26" s="1822"/>
      <c r="M26" s="1826">
        <v>9.02</v>
      </c>
    </row>
    <row r="27" spans="1:13">
      <c r="A27" s="1804">
        <v>2.08</v>
      </c>
      <c r="B27" s="1804">
        <v>2.12</v>
      </c>
      <c r="C27" s="1803"/>
      <c r="D27" s="1802">
        <v>9.0399999999999991</v>
      </c>
      <c r="E27" s="1802">
        <v>9.0399999999999991</v>
      </c>
      <c r="G27" s="1833" t="s">
        <v>766</v>
      </c>
      <c r="H27" s="1822" t="s">
        <v>1929</v>
      </c>
      <c r="I27" s="1822" t="s">
        <v>744</v>
      </c>
      <c r="J27" s="3"/>
      <c r="K27" s="1826">
        <v>9.0299999999999994</v>
      </c>
      <c r="L27" s="1822"/>
      <c r="M27" s="1826">
        <v>9.0299999999999994</v>
      </c>
    </row>
    <row r="28" spans="1:13">
      <c r="A28" s="1804">
        <v>2.09</v>
      </c>
      <c r="B28" s="1804">
        <v>2.09</v>
      </c>
      <c r="C28" s="1803"/>
      <c r="D28" s="1802">
        <v>9.0500000000000007</v>
      </c>
      <c r="E28" s="1802">
        <v>9.0500000000000007</v>
      </c>
      <c r="G28" s="1832">
        <v>2.11</v>
      </c>
      <c r="H28" s="1822"/>
      <c r="I28" s="1822">
        <v>2.11</v>
      </c>
      <c r="J28" s="3"/>
      <c r="K28" s="1826">
        <v>9.0399999999999991</v>
      </c>
      <c r="L28" s="1822"/>
      <c r="M28" s="1826">
        <v>9.0399999999999991</v>
      </c>
    </row>
    <row r="29" spans="1:13">
      <c r="A29" s="1804" t="s">
        <v>766</v>
      </c>
      <c r="B29" s="1806">
        <v>2.13</v>
      </c>
      <c r="C29" s="1803"/>
      <c r="D29" s="1802">
        <v>9.06</v>
      </c>
      <c r="E29" s="1802">
        <v>9.06</v>
      </c>
      <c r="G29" s="1824">
        <v>2.12</v>
      </c>
      <c r="H29" s="1822" t="s">
        <v>1929</v>
      </c>
      <c r="I29" s="1822">
        <v>2.12</v>
      </c>
      <c r="J29" s="3"/>
      <c r="K29" s="1826">
        <v>9.0500000000000007</v>
      </c>
      <c r="L29" s="1822"/>
      <c r="M29" s="1826">
        <v>9.0500000000000007</v>
      </c>
    </row>
    <row r="30" spans="1:13">
      <c r="A30" s="1804">
        <v>2.11</v>
      </c>
      <c r="B30" s="1806">
        <v>2.11</v>
      </c>
      <c r="C30" s="1803"/>
      <c r="D30" s="1802">
        <v>9.07</v>
      </c>
      <c r="E30" s="1802">
        <v>9.07</v>
      </c>
      <c r="G30" s="1824">
        <v>2.13</v>
      </c>
      <c r="H30" s="1822" t="s">
        <v>1929</v>
      </c>
      <c r="I30" s="1822">
        <v>2.13</v>
      </c>
      <c r="J30" s="3"/>
      <c r="K30" s="1826">
        <v>9.06</v>
      </c>
      <c r="L30" s="1822"/>
      <c r="M30" s="1826">
        <v>9.06</v>
      </c>
    </row>
    <row r="31" spans="1:13">
      <c r="A31" s="1804">
        <v>2.12</v>
      </c>
      <c r="B31" s="1806">
        <v>2.12</v>
      </c>
      <c r="C31" s="1803"/>
      <c r="D31" s="1802">
        <v>9.08</v>
      </c>
      <c r="E31" s="1802">
        <v>9.08</v>
      </c>
      <c r="G31" s="1824">
        <v>2.14</v>
      </c>
      <c r="H31" s="1822"/>
      <c r="I31" s="1822">
        <v>2.14</v>
      </c>
      <c r="J31" s="3"/>
      <c r="K31" s="1826">
        <v>9.07</v>
      </c>
      <c r="L31" s="1822"/>
      <c r="M31" s="1826">
        <v>9.07</v>
      </c>
    </row>
    <row r="32" spans="1:13">
      <c r="A32" s="1804">
        <v>2.13</v>
      </c>
      <c r="B32" s="1806">
        <v>2.13</v>
      </c>
      <c r="C32" s="1803"/>
      <c r="D32" s="1802">
        <v>9.09</v>
      </c>
      <c r="E32" s="1802">
        <v>9.09</v>
      </c>
      <c r="G32" s="1824">
        <v>2.15</v>
      </c>
      <c r="H32" s="1822"/>
      <c r="I32" s="1822">
        <v>2.15</v>
      </c>
      <c r="J32" s="3"/>
      <c r="K32" s="1826">
        <v>9.08</v>
      </c>
      <c r="L32" s="1822"/>
      <c r="M32" s="1826">
        <v>9.08</v>
      </c>
    </row>
    <row r="33" spans="1:13">
      <c r="A33" s="1804">
        <v>2.14</v>
      </c>
      <c r="B33" s="1806">
        <v>2.14</v>
      </c>
      <c r="C33" s="1803"/>
      <c r="D33" s="1802" t="s">
        <v>736</v>
      </c>
      <c r="E33" s="1802" t="s">
        <v>1278</v>
      </c>
      <c r="G33" s="1824">
        <v>2.16</v>
      </c>
      <c r="H33" s="1822"/>
      <c r="I33" s="1822">
        <v>2.16</v>
      </c>
      <c r="J33" s="3"/>
      <c r="K33" s="1826">
        <v>9.09</v>
      </c>
      <c r="L33" s="1822" t="s">
        <v>1929</v>
      </c>
      <c r="M33" s="1826">
        <v>9.09</v>
      </c>
    </row>
    <row r="34" spans="1:13">
      <c r="A34" s="1804">
        <v>2.15</v>
      </c>
      <c r="B34" s="1806">
        <v>2.15</v>
      </c>
      <c r="C34" s="1803"/>
      <c r="D34" s="1802">
        <v>9.11</v>
      </c>
      <c r="E34" s="1802">
        <v>9.11</v>
      </c>
      <c r="G34" s="1824">
        <v>2.17</v>
      </c>
      <c r="H34" s="1822"/>
      <c r="I34" s="1822">
        <v>2.17</v>
      </c>
      <c r="J34" s="3"/>
      <c r="K34" s="1831" t="s">
        <v>736</v>
      </c>
      <c r="L34" s="1822"/>
      <c r="M34" s="1826" t="s">
        <v>736</v>
      </c>
    </row>
    <row r="35" spans="1:13">
      <c r="A35" s="1804">
        <v>2.16</v>
      </c>
      <c r="B35" s="1806">
        <v>2.16</v>
      </c>
      <c r="C35" s="1803"/>
      <c r="D35" s="1802">
        <v>9.1199999999999992</v>
      </c>
      <c r="E35" s="1802">
        <v>9.1199999999999992</v>
      </c>
      <c r="G35" s="1824">
        <v>2.1800000000000002</v>
      </c>
      <c r="H35" s="1822"/>
      <c r="I35" s="1822">
        <v>2.1800000000000002</v>
      </c>
      <c r="J35" s="3"/>
      <c r="K35" s="1826">
        <v>9.11</v>
      </c>
      <c r="L35" s="1822"/>
      <c r="M35" s="1826">
        <v>9.11</v>
      </c>
    </row>
    <row r="36" spans="1:13">
      <c r="A36" s="1804">
        <v>2.17</v>
      </c>
      <c r="B36" s="1806">
        <v>2.17</v>
      </c>
      <c r="C36" s="1803"/>
      <c r="D36" s="1802">
        <v>9.1300000000000008</v>
      </c>
      <c r="E36" s="1802">
        <v>9.1300000000000008</v>
      </c>
      <c r="G36" s="1824">
        <v>2.19</v>
      </c>
      <c r="H36" s="1822"/>
      <c r="I36" s="1822">
        <v>2.19</v>
      </c>
      <c r="J36" s="3"/>
      <c r="K36" s="1826">
        <v>9.1199999999999992</v>
      </c>
      <c r="L36" s="1822"/>
      <c r="M36" s="1826">
        <v>9.1199999999999992</v>
      </c>
    </row>
    <row r="37" spans="1:13">
      <c r="A37" s="1804">
        <v>2.1800000000000002</v>
      </c>
      <c r="B37" s="1806">
        <v>2.1800000000000002</v>
      </c>
      <c r="C37" s="1803"/>
      <c r="D37" s="1802">
        <v>9.14</v>
      </c>
      <c r="E37" s="1802">
        <v>9.14</v>
      </c>
      <c r="G37" s="1828" t="s">
        <v>755</v>
      </c>
      <c r="H37" s="1822"/>
      <c r="I37" s="1822" t="s">
        <v>755</v>
      </c>
      <c r="J37" s="3"/>
      <c r="K37" s="1826">
        <v>9.1300000000000008</v>
      </c>
      <c r="L37" s="1822"/>
      <c r="M37" s="1826">
        <v>9.1300000000000008</v>
      </c>
    </row>
    <row r="38" spans="1:13">
      <c r="A38" s="1804">
        <v>2.19</v>
      </c>
      <c r="B38" s="1806">
        <v>2.19</v>
      </c>
      <c r="C38" s="1803"/>
      <c r="D38" s="1802">
        <v>9.15</v>
      </c>
      <c r="E38" s="1802">
        <v>9.15</v>
      </c>
      <c r="G38" s="1832">
        <v>2.21</v>
      </c>
      <c r="H38" s="1822"/>
      <c r="I38" s="1822">
        <v>2.21</v>
      </c>
      <c r="J38" s="3"/>
      <c r="K38" s="1831">
        <v>9.14</v>
      </c>
      <c r="L38" s="1822"/>
      <c r="M38" s="1826">
        <v>9.14</v>
      </c>
    </row>
    <row r="39" spans="1:13">
      <c r="A39" s="1807" t="s">
        <v>755</v>
      </c>
      <c r="B39" s="1806" t="s">
        <v>755</v>
      </c>
      <c r="C39" s="1803"/>
      <c r="D39" s="1802">
        <v>9.16</v>
      </c>
      <c r="E39" s="1802">
        <v>9.16</v>
      </c>
      <c r="G39" s="1824">
        <v>2.2200000000000002</v>
      </c>
      <c r="H39" s="1822"/>
      <c r="I39" s="1822">
        <v>2.2200000000000002</v>
      </c>
      <c r="J39" s="3"/>
      <c r="K39" s="1826">
        <v>9.15</v>
      </c>
      <c r="L39" s="1834"/>
      <c r="M39" s="1826">
        <v>9.15</v>
      </c>
    </row>
    <row r="40" spans="1:13">
      <c r="A40" s="1804">
        <v>2.21</v>
      </c>
      <c r="B40" s="1807">
        <v>2.21</v>
      </c>
      <c r="C40" s="1803"/>
      <c r="D40" s="1802">
        <v>9.17</v>
      </c>
      <c r="E40" s="1802">
        <v>9.17</v>
      </c>
      <c r="G40" s="1824">
        <v>2.23</v>
      </c>
      <c r="H40" s="1822"/>
      <c r="I40" s="1822">
        <v>2.23</v>
      </c>
      <c r="J40" s="3"/>
      <c r="K40" s="1826">
        <v>9.16</v>
      </c>
      <c r="L40" s="1822"/>
      <c r="M40" s="1826">
        <v>9.2200000000000006</v>
      </c>
    </row>
    <row r="41" spans="1:13">
      <c r="A41" s="1804">
        <v>2.2200000000000002</v>
      </c>
      <c r="B41" s="1807">
        <v>2.2200000000000002</v>
      </c>
      <c r="C41" s="1803"/>
      <c r="D41" s="1802">
        <v>9.18</v>
      </c>
      <c r="E41" s="1802">
        <v>9.18</v>
      </c>
      <c r="G41" s="1824">
        <v>2.2200000000000002</v>
      </c>
      <c r="H41" s="1822"/>
      <c r="I41" s="1822">
        <v>2.2200000000000002</v>
      </c>
      <c r="J41" s="3"/>
      <c r="K41" s="1826">
        <v>9.17</v>
      </c>
      <c r="L41" s="1834"/>
      <c r="M41" s="1826">
        <v>9.17</v>
      </c>
    </row>
    <row r="42" spans="1:13">
      <c r="A42" s="1804">
        <v>2.23</v>
      </c>
      <c r="B42" s="1804">
        <v>2.2400000000000002</v>
      </c>
      <c r="C42" s="1803"/>
      <c r="D42" s="1802">
        <v>9.19</v>
      </c>
      <c r="E42" s="1802">
        <v>9.19</v>
      </c>
      <c r="G42" s="1833">
        <v>2.23</v>
      </c>
      <c r="H42" s="1822"/>
      <c r="I42" s="1822" t="s">
        <v>744</v>
      </c>
      <c r="J42" s="3"/>
      <c r="K42" s="1826">
        <v>9.18</v>
      </c>
      <c r="L42" s="1834"/>
      <c r="M42" s="1826">
        <v>9.18</v>
      </c>
    </row>
    <row r="43" spans="1:13">
      <c r="A43" s="1804">
        <v>3.01</v>
      </c>
      <c r="B43" s="1807">
        <v>3.01</v>
      </c>
      <c r="C43" s="1803"/>
      <c r="D43" s="1802" t="s">
        <v>847</v>
      </c>
      <c r="E43" s="1805" t="s">
        <v>744</v>
      </c>
      <c r="G43" s="1833">
        <v>2.2400000000000002</v>
      </c>
      <c r="H43" s="1825"/>
      <c r="I43" s="1822" t="s">
        <v>744</v>
      </c>
      <c r="J43" s="3"/>
      <c r="K43" s="1831">
        <v>9.19</v>
      </c>
      <c r="L43" s="1834"/>
      <c r="M43" s="1826">
        <v>9.19</v>
      </c>
    </row>
    <row r="44" spans="1:13">
      <c r="A44" s="1804">
        <v>3.02</v>
      </c>
      <c r="B44" s="1807">
        <v>3.02</v>
      </c>
      <c r="C44" s="1803"/>
      <c r="D44" s="1802" t="s">
        <v>791</v>
      </c>
      <c r="E44" s="1802" t="s">
        <v>847</v>
      </c>
      <c r="G44" s="1824">
        <v>3.01</v>
      </c>
      <c r="H44" s="1825"/>
      <c r="I44" s="1822">
        <v>3.01</v>
      </c>
      <c r="J44" s="3"/>
      <c r="K44" s="1826" t="s">
        <v>847</v>
      </c>
      <c r="L44" s="1834"/>
      <c r="M44" s="1825">
        <v>9.2100000000000009</v>
      </c>
    </row>
    <row r="45" spans="1:13">
      <c r="A45" s="1804">
        <v>3.03</v>
      </c>
      <c r="B45" s="1804">
        <v>3.03</v>
      </c>
      <c r="C45" s="1803"/>
      <c r="D45" s="1802" t="s">
        <v>747</v>
      </c>
      <c r="E45" s="1802" t="s">
        <v>747</v>
      </c>
      <c r="G45" s="1824">
        <v>3.02</v>
      </c>
      <c r="H45" s="1825" t="s">
        <v>1929</v>
      </c>
      <c r="I45" s="1822">
        <v>3.02</v>
      </c>
      <c r="J45" s="3"/>
      <c r="K45" s="1826" t="s">
        <v>747</v>
      </c>
      <c r="L45" s="1834"/>
      <c r="M45" s="1826" t="s">
        <v>747</v>
      </c>
    </row>
    <row r="46" spans="1:13">
      <c r="A46" s="1804">
        <v>3.04</v>
      </c>
      <c r="B46" s="1804">
        <v>3.04</v>
      </c>
      <c r="C46" s="1803"/>
      <c r="D46" s="1802" t="s">
        <v>748</v>
      </c>
      <c r="E46" s="1802" t="s">
        <v>748</v>
      </c>
      <c r="G46" s="1824">
        <v>3.03</v>
      </c>
      <c r="H46" s="1825" t="s">
        <v>1929</v>
      </c>
      <c r="I46" s="1822">
        <v>3.03</v>
      </c>
      <c r="J46" s="3"/>
      <c r="K46" s="1826" t="s">
        <v>748</v>
      </c>
      <c r="L46" s="1834"/>
      <c r="M46" s="1826" t="s">
        <v>748</v>
      </c>
    </row>
    <row r="47" spans="1:13">
      <c r="A47" s="1804">
        <v>3.05</v>
      </c>
      <c r="B47" s="1807">
        <v>3.05</v>
      </c>
      <c r="C47" s="1803"/>
      <c r="D47" s="1802" t="s">
        <v>749</v>
      </c>
      <c r="E47" s="1802" t="s">
        <v>749</v>
      </c>
      <c r="G47" s="1824">
        <v>3.04</v>
      </c>
      <c r="H47" s="1825" t="s">
        <v>1929</v>
      </c>
      <c r="I47" s="1822">
        <v>3.04</v>
      </c>
      <c r="J47" s="3"/>
      <c r="K47" s="1831" t="s">
        <v>749</v>
      </c>
      <c r="L47" s="1834"/>
      <c r="M47" s="1826" t="s">
        <v>749</v>
      </c>
    </row>
    <row r="48" spans="1:13">
      <c r="A48" s="1804">
        <v>3.06</v>
      </c>
      <c r="B48" s="1807">
        <v>3.06</v>
      </c>
      <c r="C48" s="1803"/>
      <c r="D48" s="1802">
        <v>11.01</v>
      </c>
      <c r="E48" s="1802">
        <v>11.01</v>
      </c>
      <c r="G48" s="1824">
        <v>3.05</v>
      </c>
      <c r="H48" s="1825" t="s">
        <v>1929</v>
      </c>
      <c r="I48" s="1822">
        <v>3.05</v>
      </c>
      <c r="J48" s="3"/>
      <c r="K48" s="1835" t="s">
        <v>948</v>
      </c>
      <c r="L48" s="1822" t="s">
        <v>1929</v>
      </c>
      <c r="M48" s="1826">
        <v>11.16</v>
      </c>
    </row>
    <row r="49" spans="1:13">
      <c r="A49" s="1804">
        <v>3.07</v>
      </c>
      <c r="B49" s="1806">
        <v>3.07</v>
      </c>
      <c r="C49" s="1803"/>
      <c r="D49" s="1802">
        <v>11.02</v>
      </c>
      <c r="E49" s="1802">
        <v>11.02</v>
      </c>
      <c r="G49" s="1824">
        <v>3.06</v>
      </c>
      <c r="H49" s="1825" t="s">
        <v>1929</v>
      </c>
      <c r="I49" s="1822">
        <v>3.06</v>
      </c>
      <c r="J49" s="3"/>
      <c r="K49" s="1835" t="s">
        <v>950</v>
      </c>
      <c r="L49" s="1822" t="s">
        <v>1929</v>
      </c>
      <c r="M49" s="1826">
        <v>2.0699999999999998</v>
      </c>
    </row>
    <row r="50" spans="1:13">
      <c r="A50" s="1804">
        <v>3.08</v>
      </c>
      <c r="B50" s="1804">
        <v>3.08</v>
      </c>
      <c r="C50" s="1803"/>
      <c r="D50" s="1802">
        <v>11.03</v>
      </c>
      <c r="E50" s="1802">
        <v>11.03</v>
      </c>
      <c r="G50" s="1824">
        <v>3.07</v>
      </c>
      <c r="H50" s="1825" t="s">
        <v>1929</v>
      </c>
      <c r="I50" s="1822">
        <v>3.07</v>
      </c>
      <c r="J50" s="3"/>
      <c r="K50" s="1826">
        <v>11.01</v>
      </c>
      <c r="L50" s="1822"/>
      <c r="M50" s="1826">
        <v>11.01</v>
      </c>
    </row>
    <row r="51" spans="1:13">
      <c r="A51" s="1804">
        <v>3.09</v>
      </c>
      <c r="B51" s="1804">
        <v>3.09</v>
      </c>
      <c r="C51" s="1803"/>
      <c r="D51" s="1802">
        <v>11.04</v>
      </c>
      <c r="E51" s="1805" t="s">
        <v>744</v>
      </c>
      <c r="G51" s="1832">
        <v>3.08</v>
      </c>
      <c r="H51" s="1825" t="s">
        <v>1929</v>
      </c>
      <c r="I51" s="1834">
        <v>3.08</v>
      </c>
      <c r="J51" s="3"/>
      <c r="K51" s="1826">
        <v>11.02</v>
      </c>
      <c r="L51" s="1822"/>
      <c r="M51" s="1826">
        <v>11.02</v>
      </c>
    </row>
    <row r="52" spans="1:13">
      <c r="A52" s="1802" t="s">
        <v>813</v>
      </c>
      <c r="B52" s="1804" t="s">
        <v>813</v>
      </c>
      <c r="C52" s="1803"/>
      <c r="D52" s="1802">
        <v>11.05</v>
      </c>
      <c r="E52" s="1802">
        <v>11.05</v>
      </c>
      <c r="G52" s="1824">
        <v>3.09</v>
      </c>
      <c r="H52" s="1825"/>
      <c r="I52" s="1822">
        <v>3.09</v>
      </c>
      <c r="J52" s="3"/>
      <c r="K52" s="1826">
        <v>11.03</v>
      </c>
      <c r="L52" s="1822"/>
      <c r="M52" s="1826">
        <v>11.03</v>
      </c>
    </row>
    <row r="53" spans="1:13">
      <c r="A53" s="1805">
        <v>3.11</v>
      </c>
      <c r="B53" s="1805" t="s">
        <v>744</v>
      </c>
      <c r="C53" s="1803"/>
      <c r="D53" s="1802">
        <v>11.06</v>
      </c>
      <c r="E53" s="1802">
        <v>11.06</v>
      </c>
      <c r="G53" s="1826" t="s">
        <v>813</v>
      </c>
      <c r="H53" s="1825"/>
      <c r="I53" s="1826" t="s">
        <v>813</v>
      </c>
      <c r="J53" s="3"/>
      <c r="K53" s="1835">
        <v>11.04</v>
      </c>
      <c r="L53" s="1822"/>
      <c r="M53" s="1825" t="s">
        <v>744</v>
      </c>
    </row>
    <row r="54" spans="1:13">
      <c r="A54" s="1805">
        <v>3.12</v>
      </c>
      <c r="B54" s="1802">
        <v>3.12</v>
      </c>
      <c r="C54" s="1803"/>
      <c r="D54" s="1802">
        <v>11.07</v>
      </c>
      <c r="E54" s="1802">
        <v>11.07</v>
      </c>
      <c r="G54" s="1836">
        <v>3.11</v>
      </c>
      <c r="H54" s="1825"/>
      <c r="I54" s="1825" t="s">
        <v>744</v>
      </c>
      <c r="J54" s="3"/>
      <c r="K54" s="1826">
        <v>11.05</v>
      </c>
      <c r="L54" s="1822"/>
      <c r="M54" s="1826">
        <v>11.05</v>
      </c>
    </row>
    <row r="55" spans="1:13">
      <c r="A55" s="1805">
        <v>3.13</v>
      </c>
      <c r="B55" s="1802">
        <v>4.01</v>
      </c>
      <c r="C55" s="1803"/>
      <c r="D55" s="1802">
        <v>11.08</v>
      </c>
      <c r="E55" s="1802">
        <v>11.08</v>
      </c>
      <c r="G55" s="1837">
        <v>3.12</v>
      </c>
      <c r="H55" s="1825"/>
      <c r="I55" s="1826">
        <v>3.12</v>
      </c>
      <c r="J55" s="3"/>
      <c r="K55" s="1826">
        <v>11.06</v>
      </c>
      <c r="L55" s="1822"/>
      <c r="M55" s="1826">
        <v>11.06</v>
      </c>
    </row>
    <row r="56" spans="1:13">
      <c r="A56" s="1805">
        <v>4.01</v>
      </c>
      <c r="B56" s="1805">
        <v>4.01</v>
      </c>
      <c r="C56" s="1803"/>
      <c r="D56" s="1802">
        <v>11.09</v>
      </c>
      <c r="E56" s="1805" t="s">
        <v>744</v>
      </c>
      <c r="G56" s="1837">
        <v>3.13</v>
      </c>
      <c r="H56" s="1825"/>
      <c r="I56" s="1825">
        <v>3.13</v>
      </c>
      <c r="J56" s="3"/>
      <c r="K56" s="1826">
        <v>11.07</v>
      </c>
      <c r="L56" s="1822"/>
      <c r="M56" s="1826">
        <v>11.07</v>
      </c>
    </row>
    <row r="57" spans="1:13">
      <c r="A57" s="1804">
        <v>4.0199999999999996</v>
      </c>
      <c r="B57" s="1804">
        <v>4.0199999999999996</v>
      </c>
      <c r="C57" s="1803"/>
      <c r="D57" s="1802" t="s">
        <v>758</v>
      </c>
      <c r="E57" s="1802" t="s">
        <v>1279</v>
      </c>
      <c r="G57" s="1836">
        <v>3.14</v>
      </c>
      <c r="H57" s="1825" t="s">
        <v>1929</v>
      </c>
      <c r="I57" s="1825" t="s">
        <v>744</v>
      </c>
      <c r="J57" s="3"/>
      <c r="K57" s="1826">
        <v>11.08</v>
      </c>
      <c r="L57" s="1822" t="s">
        <v>1929</v>
      </c>
      <c r="M57" s="1826">
        <v>11.08</v>
      </c>
    </row>
    <row r="58" spans="1:13">
      <c r="A58" s="1804">
        <v>4.03</v>
      </c>
      <c r="B58" s="1804">
        <v>4.03</v>
      </c>
      <c r="C58" s="1803"/>
      <c r="D58" s="1802">
        <v>11.11</v>
      </c>
      <c r="E58" s="1802">
        <v>11.11</v>
      </c>
      <c r="G58" s="1833">
        <v>3.15</v>
      </c>
      <c r="H58" s="1825"/>
      <c r="I58" s="1825" t="s">
        <v>744</v>
      </c>
      <c r="J58" s="3"/>
      <c r="K58" s="1835">
        <v>11.09</v>
      </c>
      <c r="L58" s="1822" t="s">
        <v>1929</v>
      </c>
      <c r="M58" s="1825" t="s">
        <v>744</v>
      </c>
    </row>
    <row r="59" spans="1:13">
      <c r="A59" s="1804">
        <v>4.04</v>
      </c>
      <c r="B59" s="1804">
        <v>4.04</v>
      </c>
      <c r="C59" s="1803"/>
      <c r="D59" s="1802">
        <v>11.12</v>
      </c>
      <c r="E59" s="1802">
        <v>11.12</v>
      </c>
      <c r="G59" s="1837">
        <v>4.01</v>
      </c>
      <c r="H59" s="1825"/>
      <c r="I59" s="1825" t="s">
        <v>1280</v>
      </c>
      <c r="J59" s="3"/>
      <c r="K59" s="1831" t="s">
        <v>758</v>
      </c>
      <c r="L59" s="1822"/>
      <c r="M59" s="1826" t="s">
        <v>758</v>
      </c>
    </row>
    <row r="60" spans="1:13">
      <c r="A60" s="1804">
        <v>4.05</v>
      </c>
      <c r="B60" s="1804">
        <v>4.05</v>
      </c>
      <c r="C60" s="1803"/>
      <c r="D60" s="1802">
        <v>11.13</v>
      </c>
      <c r="E60" s="1802">
        <v>11.13</v>
      </c>
      <c r="G60" s="1832">
        <v>4.0199999999999996</v>
      </c>
      <c r="H60" s="1825" t="s">
        <v>1929</v>
      </c>
      <c r="I60" s="1825" t="s">
        <v>1281</v>
      </c>
      <c r="J60" s="3"/>
      <c r="K60" s="1831">
        <v>11.11</v>
      </c>
      <c r="L60" s="1834"/>
      <c r="M60" s="1826">
        <v>11.11</v>
      </c>
    </row>
    <row r="61" spans="1:13">
      <c r="A61" s="1804">
        <v>4.0599999999999996</v>
      </c>
      <c r="B61" s="1804">
        <v>4.0199999999999996</v>
      </c>
      <c r="C61" s="1803"/>
      <c r="D61" s="1802">
        <v>11.14</v>
      </c>
      <c r="E61" s="1802">
        <v>11.14</v>
      </c>
      <c r="G61" s="1832">
        <v>4.03</v>
      </c>
      <c r="H61" s="1825"/>
      <c r="I61" s="1826">
        <v>4.03</v>
      </c>
      <c r="J61" s="3"/>
      <c r="K61" s="1826">
        <v>11.12</v>
      </c>
      <c r="L61" s="1834"/>
      <c r="M61" s="1826">
        <v>11.12</v>
      </c>
    </row>
    <row r="62" spans="1:13">
      <c r="A62" s="1804">
        <v>4.07</v>
      </c>
      <c r="B62" s="1804">
        <v>4.01</v>
      </c>
      <c r="C62" s="1803"/>
      <c r="D62" s="1802">
        <v>11.15</v>
      </c>
      <c r="E62" s="1802">
        <v>11.15</v>
      </c>
      <c r="G62" s="1832">
        <v>4.04</v>
      </c>
      <c r="H62" s="1825" t="s">
        <v>1929</v>
      </c>
      <c r="I62" s="1826">
        <v>4.04</v>
      </c>
      <c r="J62" s="3"/>
      <c r="K62" s="1826">
        <v>11.13</v>
      </c>
      <c r="L62" s="1834"/>
      <c r="M62" s="1825">
        <v>11.13</v>
      </c>
    </row>
    <row r="63" spans="1:13">
      <c r="A63" s="1804">
        <v>4.08</v>
      </c>
      <c r="B63" s="1804">
        <v>4.07</v>
      </c>
      <c r="C63" s="1803"/>
      <c r="D63" s="1802">
        <v>11.16</v>
      </c>
      <c r="E63" s="1802">
        <v>10.039999999999999</v>
      </c>
      <c r="G63" s="1832">
        <v>4.05</v>
      </c>
      <c r="H63" s="1825" t="s">
        <v>1929</v>
      </c>
      <c r="I63" s="1826">
        <v>4.05</v>
      </c>
      <c r="J63" s="3"/>
      <c r="K63" s="1831">
        <v>11.14</v>
      </c>
      <c r="L63" s="1822" t="s">
        <v>1929</v>
      </c>
      <c r="M63" s="1825">
        <v>11.14</v>
      </c>
    </row>
    <row r="64" spans="1:13">
      <c r="A64" s="1804">
        <v>4.09</v>
      </c>
      <c r="B64" s="1804">
        <v>4.08</v>
      </c>
      <c r="C64" s="1803"/>
      <c r="D64" s="1807">
        <v>11.17</v>
      </c>
      <c r="E64" s="1807">
        <v>11.17</v>
      </c>
      <c r="G64" s="1833">
        <v>4.0599999999999996</v>
      </c>
      <c r="H64" s="1825" t="s">
        <v>1929</v>
      </c>
      <c r="I64" s="1825" t="s">
        <v>744</v>
      </c>
      <c r="J64" s="3"/>
      <c r="K64" s="1831">
        <v>11.15</v>
      </c>
      <c r="L64" s="1834"/>
      <c r="M64" s="1825">
        <v>11.15</v>
      </c>
    </row>
    <row r="65" spans="1:13">
      <c r="A65" s="1806">
        <v>4.0999999999999996</v>
      </c>
      <c r="B65" s="1806">
        <v>4.09</v>
      </c>
      <c r="C65" s="1803"/>
      <c r="D65" s="1805" t="s">
        <v>744</v>
      </c>
      <c r="E65" s="1804">
        <v>2.23</v>
      </c>
      <c r="G65" s="1832">
        <v>4.07</v>
      </c>
      <c r="H65" s="1825"/>
      <c r="I65" s="1826">
        <v>4.01</v>
      </c>
      <c r="J65" s="3"/>
      <c r="K65" s="1835">
        <v>11.16</v>
      </c>
      <c r="L65" s="1822" t="s">
        <v>1929</v>
      </c>
      <c r="M65" s="1825" t="s">
        <v>744</v>
      </c>
    </row>
    <row r="66" spans="1:13">
      <c r="A66" s="1802">
        <v>5.01</v>
      </c>
      <c r="B66" s="1804">
        <v>5.01</v>
      </c>
      <c r="C66" s="1803"/>
      <c r="D66" s="1805" t="s">
        <v>744</v>
      </c>
      <c r="E66" s="1804">
        <v>3.11</v>
      </c>
      <c r="G66" s="1832">
        <v>4.08</v>
      </c>
      <c r="H66" s="1825" t="s">
        <v>1929</v>
      </c>
      <c r="I66" s="1826">
        <v>4.09</v>
      </c>
      <c r="J66" s="3"/>
      <c r="K66" s="1828">
        <v>11.17</v>
      </c>
      <c r="L66" s="1838"/>
      <c r="M66" s="1824">
        <v>11.17</v>
      </c>
    </row>
    <row r="67" spans="1:13">
      <c r="A67" s="1802">
        <v>5.0199999999999996</v>
      </c>
      <c r="B67" s="1804">
        <v>5.0199999999999996</v>
      </c>
      <c r="C67" s="1803"/>
      <c r="D67" s="1805" t="s">
        <v>744</v>
      </c>
      <c r="E67" s="1804">
        <v>3.14</v>
      </c>
      <c r="G67" s="1832">
        <v>4.09</v>
      </c>
      <c r="H67" s="1825" t="s">
        <v>1929</v>
      </c>
      <c r="I67" s="1826" t="s">
        <v>754</v>
      </c>
      <c r="J67" s="3"/>
      <c r="K67" s="1839"/>
      <c r="L67" s="1840"/>
      <c r="M67" s="1841"/>
    </row>
    <row r="68" spans="1:13">
      <c r="A68" s="1804">
        <v>5.03</v>
      </c>
      <c r="B68" s="1804">
        <v>5.03</v>
      </c>
      <c r="C68" s="1803"/>
      <c r="D68" s="1805" t="s">
        <v>744</v>
      </c>
      <c r="E68" s="1807">
        <v>3.15</v>
      </c>
      <c r="G68" s="1826">
        <v>5.01</v>
      </c>
      <c r="H68" s="1825"/>
      <c r="I68" s="1826">
        <v>5.01</v>
      </c>
      <c r="J68" s="3"/>
      <c r="K68" s="1842"/>
      <c r="L68" s="1843"/>
      <c r="M68" s="619"/>
    </row>
    <row r="69" spans="1:13">
      <c r="A69" s="1804">
        <v>5.04</v>
      </c>
      <c r="B69" s="1804">
        <v>5.04</v>
      </c>
      <c r="C69" s="1803"/>
      <c r="D69" s="1805" t="s">
        <v>744</v>
      </c>
      <c r="E69" s="1807">
        <v>4.0599999999999996</v>
      </c>
      <c r="F69" s="1809"/>
      <c r="G69" s="1826">
        <v>5.0199999999999996</v>
      </c>
      <c r="H69" s="1825"/>
      <c r="I69" s="1826">
        <v>5.0199999999999996</v>
      </c>
      <c r="J69" s="3"/>
      <c r="K69" s="1844" t="s">
        <v>1282</v>
      </c>
      <c r="L69" s="3"/>
      <c r="M69" s="3"/>
    </row>
    <row r="70" spans="1:13">
      <c r="A70" s="1804">
        <v>6.01</v>
      </c>
      <c r="B70" s="1804">
        <v>6.01</v>
      </c>
      <c r="C70" s="1803"/>
      <c r="D70" s="1805" t="s">
        <v>744</v>
      </c>
      <c r="E70" s="1807">
        <v>5.05</v>
      </c>
      <c r="F70" s="1809"/>
      <c r="G70" s="1824">
        <v>5.03</v>
      </c>
      <c r="H70" s="1825"/>
      <c r="I70" s="1824">
        <v>5.03</v>
      </c>
      <c r="J70" s="3"/>
      <c r="K70" s="3"/>
      <c r="L70" s="3"/>
      <c r="M70" s="3"/>
    </row>
    <row r="71" spans="1:13">
      <c r="A71" s="1804">
        <v>6.02</v>
      </c>
      <c r="B71" s="1804">
        <v>6.02</v>
      </c>
      <c r="C71" s="1803"/>
      <c r="D71" s="1805" t="s">
        <v>744</v>
      </c>
      <c r="E71" s="1807">
        <v>10.039999999999999</v>
      </c>
      <c r="F71" s="1809"/>
      <c r="G71" s="1824">
        <v>5.04</v>
      </c>
      <c r="H71" s="1825"/>
      <c r="I71" s="1824">
        <v>5.04</v>
      </c>
      <c r="J71" s="3"/>
      <c r="K71" s="3"/>
      <c r="L71" s="3"/>
      <c r="M71" s="3"/>
    </row>
    <row r="72" spans="1:13">
      <c r="A72" s="1804">
        <v>6.03</v>
      </c>
      <c r="B72" s="1804">
        <v>6.03</v>
      </c>
      <c r="C72" s="1803"/>
      <c r="D72" s="1805" t="s">
        <v>744</v>
      </c>
      <c r="E72" s="1810">
        <v>10.050000000000001</v>
      </c>
      <c r="G72" s="1833">
        <v>5.05</v>
      </c>
      <c r="H72" s="1825"/>
      <c r="I72" s="1824" t="s">
        <v>744</v>
      </c>
      <c r="J72" s="3"/>
      <c r="K72" s="3"/>
      <c r="L72" s="3"/>
      <c r="M72" s="3"/>
    </row>
    <row r="73" spans="1:13">
      <c r="A73" s="1811">
        <v>6.04</v>
      </c>
      <c r="B73" s="1804">
        <v>6.04</v>
      </c>
      <c r="C73" s="1803"/>
      <c r="D73" s="1805" t="s">
        <v>744</v>
      </c>
      <c r="E73" s="1807">
        <v>11.04</v>
      </c>
      <c r="G73" s="1824">
        <v>6.01</v>
      </c>
      <c r="H73" s="1825"/>
      <c r="I73" s="1826">
        <v>6.01</v>
      </c>
      <c r="J73"/>
      <c r="K73"/>
      <c r="L73"/>
      <c r="M73"/>
    </row>
    <row r="74" spans="1:13">
      <c r="A74" s="1804">
        <v>6.04</v>
      </c>
      <c r="B74" s="1804">
        <v>6.05</v>
      </c>
      <c r="D74" s="1805" t="s">
        <v>744</v>
      </c>
      <c r="E74" s="1810">
        <v>11.09</v>
      </c>
      <c r="G74" s="1824">
        <v>6.02</v>
      </c>
      <c r="H74" s="1825"/>
      <c r="I74" s="1826">
        <v>6.02</v>
      </c>
      <c r="J74"/>
      <c r="K74"/>
      <c r="L74"/>
      <c r="M74"/>
    </row>
    <row r="75" spans="1:13">
      <c r="A75" s="1804">
        <v>6.05</v>
      </c>
      <c r="B75" s="1805">
        <v>6.06</v>
      </c>
      <c r="D75" s="1805" t="s">
        <v>744</v>
      </c>
      <c r="E75" s="1810">
        <v>11.16</v>
      </c>
      <c r="G75" s="1824">
        <v>6.03</v>
      </c>
      <c r="H75" s="1825"/>
      <c r="I75" s="1826">
        <v>6.03</v>
      </c>
      <c r="J75"/>
      <c r="K75"/>
      <c r="L75"/>
      <c r="M75"/>
    </row>
    <row r="76" spans="1:13">
      <c r="A76" s="1812"/>
      <c r="B76" s="1809"/>
      <c r="D76" s="1808"/>
      <c r="E76" s="1808"/>
      <c r="G76" s="1813"/>
      <c r="H76" s="1813"/>
      <c r="I76" s="1813"/>
    </row>
    <row r="77" spans="1:13">
      <c r="A77" s="1812"/>
      <c r="B77" s="1809"/>
      <c r="L77" s="1809"/>
      <c r="M77" s="1808"/>
    </row>
    <row r="78" spans="1:13">
      <c r="A78" s="1814"/>
      <c r="B78" s="1809"/>
      <c r="K78" s="1815"/>
    </row>
    <row r="79" spans="1:13">
      <c r="A79" s="1816"/>
      <c r="B79" s="1817" t="s">
        <v>1283</v>
      </c>
      <c r="F79" s="1818" t="s">
        <v>744</v>
      </c>
      <c r="G79" s="1819" t="s">
        <v>1284</v>
      </c>
      <c r="J79" s="1810" t="s">
        <v>1929</v>
      </c>
      <c r="K79" s="1819" t="s">
        <v>1285</v>
      </c>
    </row>
    <row r="80" spans="1:13">
      <c r="A80" s="1816"/>
      <c r="B80" s="1820" t="s">
        <v>365</v>
      </c>
    </row>
    <row r="81" spans="1:8" ht="7.5" customHeight="1"/>
    <row r="82" spans="1:8">
      <c r="A82" s="1817" t="s">
        <v>1286</v>
      </c>
      <c r="G82" s="1821"/>
      <c r="H82" s="1821"/>
    </row>
  </sheetData>
  <phoneticPr fontId="30" type="noConversion"/>
  <pageMargins left="0.56999999999999995" right="0.46" top="0.31" bottom="0.33" header="0.22" footer="0.21"/>
  <pageSetup paperSize="9" scale="76"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0A1DB-59E5-A549-917C-A936B5366D00}">
  <sheetPr>
    <pageSetUpPr fitToPage="1"/>
  </sheetPr>
  <dimension ref="A1:R207"/>
  <sheetViews>
    <sheetView workbookViewId="0">
      <selection activeCell="B21" sqref="B21"/>
    </sheetView>
  </sheetViews>
  <sheetFormatPr baseColWidth="10" defaultColWidth="11.3984375" defaultRowHeight="11"/>
  <cols>
    <col min="1" max="4" width="11.3984375" style="1766"/>
    <col min="5" max="5" width="11.3984375" style="1767" customWidth="1"/>
    <col min="6" max="6" width="10.3984375" style="1767" customWidth="1"/>
    <col min="7" max="9" width="11.3984375" style="1767"/>
    <col min="10" max="10" width="10.59765625" style="1767" customWidth="1"/>
    <col min="11" max="11" width="9.59765625" style="1766" customWidth="1"/>
    <col min="12" max="12" width="9.796875" style="1766" customWidth="1"/>
    <col min="13" max="14" width="11.3984375" style="1766"/>
    <col min="15" max="16" width="11.3984375" style="1767"/>
    <col min="17" max="16384" width="11.3984375" style="1766"/>
  </cols>
  <sheetData>
    <row r="1" spans="1:16" ht="16">
      <c r="A1" s="1765" t="s">
        <v>712</v>
      </c>
      <c r="B1" s="1765"/>
    </row>
    <row r="2" spans="1:16" ht="12.75" customHeight="1">
      <c r="H2" s="1768"/>
      <c r="I2" s="1768"/>
    </row>
    <row r="3" spans="1:16" ht="16">
      <c r="A3" s="1765" t="s">
        <v>1274</v>
      </c>
      <c r="B3" s="1765"/>
      <c r="H3" s="1768"/>
      <c r="I3" s="1768"/>
    </row>
    <row r="4" spans="1:16" ht="15" customHeight="1">
      <c r="E4" s="1768"/>
      <c r="F4" s="1768"/>
      <c r="G4" s="1769"/>
      <c r="H4" s="1769"/>
      <c r="I4" s="1769"/>
      <c r="J4" s="1769"/>
      <c r="M4" s="1770"/>
      <c r="N4" s="1770"/>
      <c r="O4" s="1768"/>
      <c r="P4" s="1768"/>
    </row>
    <row r="5" spans="1:16" s="1773" customFormat="1" ht="28.5" customHeight="1">
      <c r="A5" s="1771" t="s">
        <v>1275</v>
      </c>
      <c r="B5" s="1771" t="s">
        <v>722</v>
      </c>
      <c r="C5" s="1771" t="s">
        <v>1223</v>
      </c>
      <c r="D5" s="1771" t="s">
        <v>1553</v>
      </c>
      <c r="E5" s="1771" t="s">
        <v>753</v>
      </c>
      <c r="F5" s="1771" t="s">
        <v>1319</v>
      </c>
      <c r="G5" s="1771" t="s">
        <v>1318</v>
      </c>
      <c r="H5" s="1771" t="s">
        <v>853</v>
      </c>
      <c r="I5" s="1771" t="s">
        <v>852</v>
      </c>
      <c r="J5" s="1771" t="s">
        <v>768</v>
      </c>
      <c r="K5" s="1771" t="s">
        <v>851</v>
      </c>
      <c r="L5" s="1771" t="s">
        <v>850</v>
      </c>
      <c r="M5" s="1771" t="s">
        <v>849</v>
      </c>
      <c r="N5" s="1771" t="s">
        <v>848</v>
      </c>
      <c r="O5" s="1772"/>
      <c r="P5" s="1772"/>
    </row>
    <row r="6" spans="1:16" ht="14.25" customHeight="1">
      <c r="A6" s="1774"/>
      <c r="B6" s="1774"/>
      <c r="C6" s="1774"/>
      <c r="D6" s="1774"/>
      <c r="E6" s="1774"/>
      <c r="F6" s="1774"/>
      <c r="G6" s="1774"/>
      <c r="H6" s="1774"/>
      <c r="I6" s="1775"/>
      <c r="J6" s="1775"/>
      <c r="K6" s="1775"/>
      <c r="L6" s="1775"/>
      <c r="M6" s="1775"/>
      <c r="N6" s="1775"/>
      <c r="O6" s="1766"/>
      <c r="P6" s="1766"/>
    </row>
    <row r="7" spans="1:16">
      <c r="A7" s="1776">
        <v>1.01</v>
      </c>
      <c r="B7" s="1776">
        <v>1.01</v>
      </c>
      <c r="C7" s="1776">
        <v>1.01</v>
      </c>
      <c r="D7" s="1776">
        <v>1.01</v>
      </c>
      <c r="E7" s="1776">
        <v>1.01</v>
      </c>
      <c r="F7" s="1776">
        <v>1.43</v>
      </c>
      <c r="G7" s="1776">
        <v>1.43</v>
      </c>
      <c r="H7" s="1776">
        <v>1.43</v>
      </c>
      <c r="I7" s="1776">
        <v>1.43</v>
      </c>
      <c r="J7" s="1777" t="s">
        <v>744</v>
      </c>
      <c r="K7" s="1778" t="s">
        <v>744</v>
      </c>
      <c r="L7" s="1778" t="s">
        <v>744</v>
      </c>
      <c r="M7" s="1778" t="s">
        <v>744</v>
      </c>
      <c r="N7" s="1778" t="s">
        <v>744</v>
      </c>
      <c r="O7" s="1766"/>
      <c r="P7" s="1766"/>
    </row>
    <row r="8" spans="1:16">
      <c r="A8" s="1779">
        <v>1.02</v>
      </c>
      <c r="B8" s="1779">
        <v>1.02</v>
      </c>
      <c r="C8" s="1776">
        <v>1.02</v>
      </c>
      <c r="D8" s="1776">
        <v>1.02</v>
      </c>
      <c r="E8" s="1776">
        <v>1.02</v>
      </c>
      <c r="F8" s="1776">
        <v>1.27</v>
      </c>
      <c r="G8" s="1776">
        <v>1.27</v>
      </c>
      <c r="H8" s="1776">
        <v>1.27</v>
      </c>
      <c r="I8" s="1776">
        <v>1.27</v>
      </c>
      <c r="J8" s="1777">
        <v>1.27</v>
      </c>
      <c r="K8" s="1780" t="s">
        <v>1546</v>
      </c>
      <c r="L8" s="1780" t="s">
        <v>1546</v>
      </c>
      <c r="M8" s="1780" t="s">
        <v>1546</v>
      </c>
      <c r="N8" s="1780" t="s">
        <v>1546</v>
      </c>
      <c r="O8" s="1766"/>
      <c r="P8" s="1766"/>
    </row>
    <row r="9" spans="1:16">
      <c r="A9" s="1779">
        <v>1.03</v>
      </c>
      <c r="B9" s="1779">
        <v>1.03</v>
      </c>
      <c r="C9" s="1776">
        <v>1.03</v>
      </c>
      <c r="D9" s="1776">
        <v>1.03</v>
      </c>
      <c r="E9" s="1776">
        <v>1.03</v>
      </c>
      <c r="F9" s="1776">
        <v>1.28</v>
      </c>
      <c r="G9" s="1776">
        <v>1.28</v>
      </c>
      <c r="H9" s="1776">
        <v>1.28</v>
      </c>
      <c r="I9" s="1776">
        <v>1.28</v>
      </c>
      <c r="J9" s="1777">
        <v>1.28</v>
      </c>
      <c r="K9" s="1780" t="s">
        <v>1547</v>
      </c>
      <c r="L9" s="1780" t="s">
        <v>1547</v>
      </c>
      <c r="M9" s="1780" t="s">
        <v>1547</v>
      </c>
      <c r="N9" s="1780" t="s">
        <v>1547</v>
      </c>
      <c r="O9" s="1766"/>
      <c r="P9" s="1766"/>
    </row>
    <row r="10" spans="1:16">
      <c r="A10" s="1779">
        <v>1.04</v>
      </c>
      <c r="B10" s="1779">
        <v>1.04</v>
      </c>
      <c r="C10" s="1779">
        <v>1.04</v>
      </c>
      <c r="D10" s="1779">
        <v>1.04</v>
      </c>
      <c r="E10" s="1779">
        <v>1.04</v>
      </c>
      <c r="F10" s="1779">
        <v>1.29</v>
      </c>
      <c r="G10" s="1779">
        <v>1.29</v>
      </c>
      <c r="H10" s="1779">
        <v>1.29</v>
      </c>
      <c r="I10" s="1779">
        <v>1.29</v>
      </c>
      <c r="J10" s="1781">
        <v>1.29</v>
      </c>
      <c r="K10" s="1782" t="s">
        <v>1548</v>
      </c>
      <c r="L10" s="1782" t="s">
        <v>1548</v>
      </c>
      <c r="M10" s="1782" t="s">
        <v>1548</v>
      </c>
      <c r="N10" s="1782" t="s">
        <v>1548</v>
      </c>
      <c r="O10" s="1766"/>
      <c r="P10" s="1766"/>
    </row>
    <row r="11" spans="1:16">
      <c r="A11" s="1779">
        <v>1.05</v>
      </c>
      <c r="B11" s="1779">
        <v>1.05</v>
      </c>
      <c r="C11" s="1779">
        <v>1.05</v>
      </c>
      <c r="D11" s="1779">
        <v>1.05</v>
      </c>
      <c r="E11" s="1779">
        <v>1.05</v>
      </c>
      <c r="F11" s="1779">
        <v>1.3</v>
      </c>
      <c r="G11" s="1779">
        <v>1.3</v>
      </c>
      <c r="H11" s="1779">
        <v>1.3</v>
      </c>
      <c r="I11" s="1779">
        <v>1.3</v>
      </c>
      <c r="J11" s="1781">
        <v>1.3</v>
      </c>
      <c r="K11" s="1782" t="s">
        <v>1549</v>
      </c>
      <c r="L11" s="1782" t="s">
        <v>1549</v>
      </c>
      <c r="M11" s="1782" t="s">
        <v>1549</v>
      </c>
      <c r="N11" s="1782" t="s">
        <v>1549</v>
      </c>
      <c r="O11" s="1766"/>
      <c r="P11" s="1766"/>
    </row>
    <row r="12" spans="1:16">
      <c r="A12" s="1779">
        <v>1.06</v>
      </c>
      <c r="B12" s="1779">
        <v>1.06</v>
      </c>
      <c r="C12" s="1779">
        <v>1.06</v>
      </c>
      <c r="D12" s="1779">
        <v>1.06</v>
      </c>
      <c r="E12" s="1779">
        <v>1.06</v>
      </c>
      <c r="F12" s="1779">
        <v>1.31</v>
      </c>
      <c r="G12" s="1779">
        <v>1.31</v>
      </c>
      <c r="H12" s="1779">
        <v>1.31</v>
      </c>
      <c r="I12" s="1779">
        <v>1.31</v>
      </c>
      <c r="J12" s="1781">
        <v>1.31</v>
      </c>
      <c r="K12" s="1782" t="s">
        <v>1550</v>
      </c>
      <c r="L12" s="1782" t="s">
        <v>1550</v>
      </c>
      <c r="M12" s="1782" t="s">
        <v>1550</v>
      </c>
      <c r="N12" s="1782" t="s">
        <v>1550</v>
      </c>
      <c r="O12" s="1766"/>
      <c r="P12" s="1766"/>
    </row>
    <row r="13" spans="1:16">
      <c r="A13" s="1779">
        <v>1.07</v>
      </c>
      <c r="B13" s="1779">
        <v>1.07</v>
      </c>
      <c r="C13" s="1779">
        <v>1.07</v>
      </c>
      <c r="D13" s="1779">
        <v>1.07</v>
      </c>
      <c r="E13" s="1779">
        <v>1.07</v>
      </c>
      <c r="F13" s="1783" t="s">
        <v>745</v>
      </c>
      <c r="G13" s="1784">
        <v>7.06</v>
      </c>
      <c r="H13" s="1784">
        <v>7.06</v>
      </c>
      <c r="I13" s="1784" t="s">
        <v>744</v>
      </c>
      <c r="J13" s="1784" t="s">
        <v>744</v>
      </c>
      <c r="K13" s="1784" t="s">
        <v>744</v>
      </c>
      <c r="L13" s="1784" t="s">
        <v>744</v>
      </c>
      <c r="M13" s="1784" t="s">
        <v>744</v>
      </c>
      <c r="N13" s="1784" t="s">
        <v>744</v>
      </c>
      <c r="O13" s="1766"/>
      <c r="P13" s="1766"/>
    </row>
    <row r="14" spans="1:16">
      <c r="A14" s="1779">
        <v>1.08</v>
      </c>
      <c r="B14" s="1779">
        <v>1.08</v>
      </c>
      <c r="C14" s="1779">
        <v>1.08</v>
      </c>
      <c r="D14" s="1779">
        <v>1.08</v>
      </c>
      <c r="E14" s="1779">
        <v>1.08</v>
      </c>
      <c r="F14" s="1779">
        <v>1.25</v>
      </c>
      <c r="G14" s="1779">
        <v>1.25</v>
      </c>
      <c r="H14" s="1779">
        <v>1.25</v>
      </c>
      <c r="I14" s="1779">
        <v>1.25</v>
      </c>
      <c r="J14" s="1781">
        <v>1.25</v>
      </c>
      <c r="K14" s="1785" t="s">
        <v>744</v>
      </c>
      <c r="L14" s="1785" t="s">
        <v>744</v>
      </c>
      <c r="M14" s="1785" t="s">
        <v>744</v>
      </c>
      <c r="N14" s="1785" t="s">
        <v>744</v>
      </c>
      <c r="O14" s="1766"/>
      <c r="P14" s="1766"/>
    </row>
    <row r="15" spans="1:16">
      <c r="A15" s="1779">
        <v>1.0900000000000001</v>
      </c>
      <c r="B15" s="1779">
        <v>1.0900000000000001</v>
      </c>
      <c r="C15" s="1779">
        <v>1.0900000000000001</v>
      </c>
      <c r="D15" s="1779">
        <v>1.0900000000000001</v>
      </c>
      <c r="E15" s="1779">
        <v>1.0900000000000001</v>
      </c>
      <c r="F15" s="1779">
        <v>1.26</v>
      </c>
      <c r="G15" s="1779">
        <v>1.26</v>
      </c>
      <c r="H15" s="1779">
        <v>1.26</v>
      </c>
      <c r="I15" s="1779">
        <v>1.26</v>
      </c>
      <c r="J15" s="1781">
        <v>1.26</v>
      </c>
      <c r="K15" s="1785" t="s">
        <v>744</v>
      </c>
      <c r="L15" s="1785" t="s">
        <v>744</v>
      </c>
      <c r="M15" s="1785" t="s">
        <v>744</v>
      </c>
      <c r="N15" s="1785" t="s">
        <v>744</v>
      </c>
      <c r="O15" s="1766"/>
      <c r="P15" s="1766"/>
    </row>
    <row r="16" spans="1:16">
      <c r="A16" s="1779" t="s">
        <v>723</v>
      </c>
      <c r="B16" s="1779" t="s">
        <v>723</v>
      </c>
      <c r="C16" s="1779">
        <v>1.1000000000000001</v>
      </c>
      <c r="D16" s="1779">
        <v>1.1000000000000001</v>
      </c>
      <c r="E16" s="1779">
        <v>1.1000000000000001</v>
      </c>
      <c r="F16" s="1779">
        <v>1.23</v>
      </c>
      <c r="G16" s="1779">
        <v>1.23</v>
      </c>
      <c r="H16" s="1779">
        <v>1.23</v>
      </c>
      <c r="I16" s="1779">
        <v>1.23</v>
      </c>
      <c r="J16" s="1781">
        <v>1.23</v>
      </c>
      <c r="K16" s="1785" t="s">
        <v>744</v>
      </c>
      <c r="L16" s="1785" t="s">
        <v>744</v>
      </c>
      <c r="M16" s="1785" t="s">
        <v>744</v>
      </c>
      <c r="N16" s="1785" t="s">
        <v>744</v>
      </c>
      <c r="O16" s="1766"/>
      <c r="P16" s="1766"/>
    </row>
    <row r="17" spans="1:16">
      <c r="A17" s="1779">
        <v>1.1100000000000001</v>
      </c>
      <c r="B17" s="1779">
        <v>1.1100000000000001</v>
      </c>
      <c r="C17" s="1779">
        <v>1.1100000000000001</v>
      </c>
      <c r="D17" s="1779">
        <v>1.1100000000000001</v>
      </c>
      <c r="E17" s="1779">
        <v>1.1100000000000001</v>
      </c>
      <c r="F17" s="1779">
        <v>1.24</v>
      </c>
      <c r="G17" s="1779">
        <v>1.24</v>
      </c>
      <c r="H17" s="1779">
        <v>1.24</v>
      </c>
      <c r="I17" s="1779">
        <v>1.24</v>
      </c>
      <c r="J17" s="1781">
        <v>1.24</v>
      </c>
      <c r="K17" s="1785" t="s">
        <v>744</v>
      </c>
      <c r="L17" s="1785" t="s">
        <v>744</v>
      </c>
      <c r="M17" s="1785" t="s">
        <v>744</v>
      </c>
      <c r="N17" s="1785" t="s">
        <v>744</v>
      </c>
      <c r="O17" s="1766"/>
      <c r="P17" s="1766"/>
    </row>
    <row r="18" spans="1:16">
      <c r="A18" s="1779">
        <v>1.1200000000000001</v>
      </c>
      <c r="B18" s="1779">
        <v>1.1200000000000001</v>
      </c>
      <c r="C18" s="1779">
        <v>1.1200000000000001</v>
      </c>
      <c r="D18" s="1779">
        <v>1.1200000000000001</v>
      </c>
      <c r="E18" s="1779">
        <v>1.1200000000000001</v>
      </c>
      <c r="F18" s="1779">
        <v>1.32</v>
      </c>
      <c r="G18" s="1779">
        <v>1.32</v>
      </c>
      <c r="H18" s="1779">
        <v>1.32</v>
      </c>
      <c r="I18" s="1779">
        <v>1.32</v>
      </c>
      <c r="J18" s="1781">
        <v>1.32</v>
      </c>
      <c r="K18" s="1782" t="s">
        <v>1544</v>
      </c>
      <c r="L18" s="1782" t="s">
        <v>1544</v>
      </c>
      <c r="M18" s="1782" t="s">
        <v>1544</v>
      </c>
      <c r="N18" s="1782" t="s">
        <v>1544</v>
      </c>
      <c r="O18" s="1766"/>
      <c r="P18" s="1766"/>
    </row>
    <row r="19" spans="1:16">
      <c r="A19" s="1779">
        <v>1.1299999999999999</v>
      </c>
      <c r="B19" s="1779">
        <v>1.1299999999999999</v>
      </c>
      <c r="C19" s="1779">
        <v>1.1299999999999999</v>
      </c>
      <c r="D19" s="1779">
        <v>1.1299999999999999</v>
      </c>
      <c r="E19" s="1779">
        <v>1.1299999999999999</v>
      </c>
      <c r="F19" s="1779">
        <v>1.33</v>
      </c>
      <c r="G19" s="1779">
        <v>1.33</v>
      </c>
      <c r="H19" s="1779">
        <v>1.33</v>
      </c>
      <c r="I19" s="1779">
        <v>1.33</v>
      </c>
      <c r="J19" s="1781">
        <v>1.33</v>
      </c>
      <c r="K19" s="1785" t="s">
        <v>744</v>
      </c>
      <c r="L19" s="1785" t="s">
        <v>744</v>
      </c>
      <c r="M19" s="1785" t="s">
        <v>744</v>
      </c>
      <c r="N19" s="1785" t="s">
        <v>744</v>
      </c>
      <c r="O19" s="1766"/>
      <c r="P19" s="1766"/>
    </row>
    <row r="20" spans="1:16">
      <c r="A20" s="1784">
        <v>2.0099999999999998</v>
      </c>
      <c r="B20" s="1784">
        <v>2.0099999999999998</v>
      </c>
      <c r="C20" s="1786">
        <v>2.0099999999999998</v>
      </c>
      <c r="D20" s="1779">
        <v>2.0099999999999998</v>
      </c>
      <c r="E20" s="1779">
        <v>2.0099999999999998</v>
      </c>
      <c r="F20" s="1779">
        <v>1.19</v>
      </c>
      <c r="G20" s="1779">
        <v>1.19</v>
      </c>
      <c r="H20" s="1779">
        <v>1.19</v>
      </c>
      <c r="I20" s="1779">
        <v>1.19</v>
      </c>
      <c r="J20" s="1781">
        <v>1.19</v>
      </c>
      <c r="K20" s="1785" t="s">
        <v>744</v>
      </c>
      <c r="L20" s="1785" t="s">
        <v>744</v>
      </c>
      <c r="M20" s="1785" t="s">
        <v>744</v>
      </c>
      <c r="N20" s="1785" t="s">
        <v>744</v>
      </c>
      <c r="O20" s="1766"/>
      <c r="P20" s="1766"/>
    </row>
    <row r="21" spans="1:16">
      <c r="A21" s="1784">
        <v>2.02</v>
      </c>
      <c r="B21" s="1784">
        <v>2.02</v>
      </c>
      <c r="C21" s="1779">
        <v>2.02</v>
      </c>
      <c r="D21" s="1779">
        <v>2.02</v>
      </c>
      <c r="E21" s="1779">
        <v>2.02</v>
      </c>
      <c r="F21" s="1779">
        <v>1.2</v>
      </c>
      <c r="G21" s="1779">
        <v>1.2</v>
      </c>
      <c r="H21" s="1779">
        <v>1.2</v>
      </c>
      <c r="I21" s="1779">
        <v>1.2</v>
      </c>
      <c r="J21" s="1781">
        <v>1.2</v>
      </c>
      <c r="K21" s="1785" t="s">
        <v>744</v>
      </c>
      <c r="L21" s="1785" t="s">
        <v>744</v>
      </c>
      <c r="M21" s="1785" t="s">
        <v>744</v>
      </c>
      <c r="N21" s="1785" t="s">
        <v>744</v>
      </c>
      <c r="O21" s="1766"/>
      <c r="P21" s="1766"/>
    </row>
    <row r="22" spans="1:16">
      <c r="A22" s="1784">
        <v>2.0299999999999998</v>
      </c>
      <c r="B22" s="1784">
        <v>2.0299999999999998</v>
      </c>
      <c r="C22" s="1779">
        <v>2.0299999999999998</v>
      </c>
      <c r="D22" s="1779">
        <v>2.0299999999999998</v>
      </c>
      <c r="E22" s="1779">
        <v>2.0299999999999998</v>
      </c>
      <c r="F22" s="1783">
        <v>1.51</v>
      </c>
      <c r="G22" s="1784" t="s">
        <v>744</v>
      </c>
      <c r="H22" s="1784" t="s">
        <v>744</v>
      </c>
      <c r="I22" s="1784" t="s">
        <v>744</v>
      </c>
      <c r="J22" s="1784" t="s">
        <v>744</v>
      </c>
      <c r="K22" s="1784" t="s">
        <v>744</v>
      </c>
      <c r="L22" s="1784" t="s">
        <v>744</v>
      </c>
      <c r="M22" s="1784" t="s">
        <v>744</v>
      </c>
      <c r="N22" s="1784" t="s">
        <v>744</v>
      </c>
      <c r="O22" s="1766"/>
      <c r="P22" s="1766"/>
    </row>
    <row r="23" spans="1:16">
      <c r="A23" s="1784">
        <v>2.04</v>
      </c>
      <c r="B23" s="1784">
        <v>2.04</v>
      </c>
      <c r="C23" s="1783">
        <v>2.04</v>
      </c>
      <c r="D23" s="1783">
        <v>2.04</v>
      </c>
      <c r="E23" s="1783">
        <v>2.04</v>
      </c>
      <c r="F23" s="1784">
        <v>2.04</v>
      </c>
      <c r="G23" s="1784">
        <v>2.04</v>
      </c>
      <c r="H23" s="1784">
        <v>2.04</v>
      </c>
      <c r="I23" s="1784">
        <v>2.04</v>
      </c>
      <c r="J23" s="1782">
        <v>2.04</v>
      </c>
      <c r="K23" s="1782" t="s">
        <v>731</v>
      </c>
      <c r="L23" s="1782" t="s">
        <v>731</v>
      </c>
      <c r="M23" s="1782" t="s">
        <v>744</v>
      </c>
      <c r="N23" s="1782" t="s">
        <v>744</v>
      </c>
      <c r="O23" s="1766"/>
      <c r="P23" s="1766"/>
    </row>
    <row r="24" spans="1:16">
      <c r="A24" s="1784">
        <v>2.0499999999999998</v>
      </c>
      <c r="B24" s="1784">
        <v>2.0499999999999998</v>
      </c>
      <c r="C24" s="1779">
        <v>2.0499999999999998</v>
      </c>
      <c r="D24" s="1779">
        <v>2.0499999999999998</v>
      </c>
      <c r="E24" s="1779">
        <v>2.0499999999999998</v>
      </c>
      <c r="F24" s="1784">
        <v>2.0499999999999998</v>
      </c>
      <c r="G24" s="1784">
        <v>2.0499999999999998</v>
      </c>
      <c r="H24" s="1784">
        <v>2.0499999999999998</v>
      </c>
      <c r="I24" s="1784">
        <v>2.0499999999999998</v>
      </c>
      <c r="J24" s="1782">
        <v>2.0499999999999998</v>
      </c>
      <c r="K24" s="1782" t="s">
        <v>1572</v>
      </c>
      <c r="L24" s="1782" t="s">
        <v>1572</v>
      </c>
      <c r="M24" s="1782" t="s">
        <v>744</v>
      </c>
      <c r="N24" s="1782" t="s">
        <v>744</v>
      </c>
      <c r="O24" s="1766"/>
      <c r="P24" s="1766"/>
    </row>
    <row r="25" spans="1:16">
      <c r="A25" s="1784">
        <v>2.06</v>
      </c>
      <c r="B25" s="1784">
        <v>2.06</v>
      </c>
      <c r="C25" s="1784">
        <v>2.06</v>
      </c>
      <c r="D25" s="1784">
        <v>2.06</v>
      </c>
      <c r="E25" s="1784">
        <v>2.06</v>
      </c>
      <c r="F25" s="1784">
        <v>2.06</v>
      </c>
      <c r="G25" s="1784">
        <v>2.06</v>
      </c>
      <c r="H25" s="1784">
        <v>2.06</v>
      </c>
      <c r="I25" s="1784">
        <v>2.06</v>
      </c>
      <c r="J25" s="1782">
        <v>2.06</v>
      </c>
      <c r="K25" s="1782" t="s">
        <v>734</v>
      </c>
      <c r="L25" s="1782" t="s">
        <v>734</v>
      </c>
      <c r="M25" s="1782" t="s">
        <v>744</v>
      </c>
      <c r="N25" s="1782" t="s">
        <v>744</v>
      </c>
      <c r="O25" s="1766"/>
      <c r="P25" s="1766"/>
    </row>
    <row r="26" spans="1:16">
      <c r="A26" s="1784">
        <v>2.0699999999999998</v>
      </c>
      <c r="B26" s="1784" t="s">
        <v>744</v>
      </c>
      <c r="C26" s="1784" t="s">
        <v>744</v>
      </c>
      <c r="D26" s="1784" t="s">
        <v>744</v>
      </c>
      <c r="E26" s="1784" t="s">
        <v>744</v>
      </c>
      <c r="F26" s="1784" t="s">
        <v>744</v>
      </c>
      <c r="G26" s="1784" t="s">
        <v>744</v>
      </c>
      <c r="H26" s="1784" t="s">
        <v>744</v>
      </c>
      <c r="I26" s="1784" t="s">
        <v>744</v>
      </c>
      <c r="J26" s="1784" t="s">
        <v>744</v>
      </c>
      <c r="K26" s="1784" t="s">
        <v>744</v>
      </c>
      <c r="L26" s="1784" t="s">
        <v>744</v>
      </c>
      <c r="M26" s="1784" t="s">
        <v>744</v>
      </c>
      <c r="N26" s="1784" t="s">
        <v>744</v>
      </c>
      <c r="O26" s="1766"/>
      <c r="P26" s="1766"/>
    </row>
    <row r="27" spans="1:16">
      <c r="A27" s="1784">
        <v>2.08</v>
      </c>
      <c r="B27" s="1784" t="s">
        <v>744</v>
      </c>
      <c r="C27" s="1784" t="s">
        <v>744</v>
      </c>
      <c r="D27" s="1784" t="s">
        <v>744</v>
      </c>
      <c r="E27" s="1784" t="s">
        <v>744</v>
      </c>
      <c r="F27" s="1784" t="s">
        <v>744</v>
      </c>
      <c r="G27" s="1784" t="s">
        <v>744</v>
      </c>
      <c r="H27" s="1784" t="s">
        <v>744</v>
      </c>
      <c r="I27" s="1784" t="s">
        <v>744</v>
      </c>
      <c r="J27" s="1784" t="s">
        <v>744</v>
      </c>
      <c r="K27" s="1784" t="s">
        <v>744</v>
      </c>
      <c r="L27" s="1784" t="s">
        <v>744</v>
      </c>
      <c r="M27" s="1784" t="s">
        <v>744</v>
      </c>
      <c r="N27" s="1784" t="s">
        <v>744</v>
      </c>
      <c r="O27" s="1766"/>
      <c r="P27" s="1766"/>
    </row>
    <row r="28" spans="1:16">
      <c r="A28" s="1784">
        <v>2.09</v>
      </c>
      <c r="B28" s="1784">
        <v>2.09</v>
      </c>
      <c r="C28" s="1784">
        <v>2.09</v>
      </c>
      <c r="D28" s="1784">
        <v>2.09</v>
      </c>
      <c r="E28" s="1784">
        <v>2.09</v>
      </c>
      <c r="F28" s="1784">
        <v>2.09</v>
      </c>
      <c r="G28" s="1784">
        <v>2.09</v>
      </c>
      <c r="H28" s="1784">
        <v>2.09</v>
      </c>
      <c r="I28" s="1784">
        <v>2.09</v>
      </c>
      <c r="J28" s="1782">
        <v>2.09</v>
      </c>
      <c r="K28" s="1782" t="s">
        <v>765</v>
      </c>
      <c r="L28" s="1782" t="s">
        <v>744</v>
      </c>
      <c r="M28" s="1782" t="s">
        <v>744</v>
      </c>
      <c r="N28" s="1782" t="s">
        <v>744</v>
      </c>
      <c r="O28" s="1766"/>
      <c r="P28" s="1766"/>
    </row>
    <row r="29" spans="1:16">
      <c r="A29" s="1783" t="s">
        <v>766</v>
      </c>
      <c r="B29" s="1784" t="s">
        <v>744</v>
      </c>
      <c r="C29" s="1784" t="s">
        <v>744</v>
      </c>
      <c r="D29" s="1784" t="s">
        <v>744</v>
      </c>
      <c r="E29" s="1784" t="s">
        <v>744</v>
      </c>
      <c r="F29" s="1784" t="s">
        <v>744</v>
      </c>
      <c r="G29" s="1784" t="s">
        <v>744</v>
      </c>
      <c r="H29" s="1784" t="s">
        <v>744</v>
      </c>
      <c r="I29" s="1784" t="s">
        <v>744</v>
      </c>
      <c r="J29" s="1784" t="s">
        <v>744</v>
      </c>
      <c r="K29" s="1784" t="s">
        <v>744</v>
      </c>
      <c r="L29" s="1784" t="s">
        <v>744</v>
      </c>
      <c r="M29" s="1784" t="s">
        <v>744</v>
      </c>
      <c r="N29" s="1784" t="s">
        <v>744</v>
      </c>
      <c r="O29" s="1766"/>
      <c r="P29" s="1766"/>
    </row>
    <row r="30" spans="1:16">
      <c r="A30" s="1784">
        <v>2.11</v>
      </c>
      <c r="B30" s="1784">
        <v>2.11</v>
      </c>
      <c r="C30" s="1784">
        <v>2.11</v>
      </c>
      <c r="D30" s="1784">
        <v>2.11</v>
      </c>
      <c r="E30" s="1784">
        <v>2.11</v>
      </c>
      <c r="F30" s="1779">
        <v>2.11</v>
      </c>
      <c r="G30" s="1779">
        <v>2.11</v>
      </c>
      <c r="H30" s="1779">
        <v>2.11</v>
      </c>
      <c r="I30" s="1779">
        <v>2.11</v>
      </c>
      <c r="J30" s="1781" t="s">
        <v>744</v>
      </c>
      <c r="K30" s="1785" t="s">
        <v>744</v>
      </c>
      <c r="L30" s="1785" t="s">
        <v>744</v>
      </c>
      <c r="M30" s="1785" t="s">
        <v>744</v>
      </c>
      <c r="N30" s="1785" t="s">
        <v>744</v>
      </c>
      <c r="O30" s="1766"/>
      <c r="P30" s="1766"/>
    </row>
    <row r="31" spans="1:16">
      <c r="A31" s="1784">
        <v>2.12</v>
      </c>
      <c r="B31" s="1784">
        <v>2.12</v>
      </c>
      <c r="C31" s="1784">
        <v>2.12</v>
      </c>
      <c r="D31" s="1784">
        <v>2.12</v>
      </c>
      <c r="E31" s="1784">
        <v>2.12</v>
      </c>
      <c r="F31" s="1779">
        <v>2.12</v>
      </c>
      <c r="G31" s="1779" t="s">
        <v>744</v>
      </c>
      <c r="H31" s="1779" t="s">
        <v>744</v>
      </c>
      <c r="I31" s="1779" t="s">
        <v>744</v>
      </c>
      <c r="J31" s="1779" t="s">
        <v>744</v>
      </c>
      <c r="K31" s="1779" t="s">
        <v>744</v>
      </c>
      <c r="L31" s="1779" t="s">
        <v>744</v>
      </c>
      <c r="M31" s="1779" t="s">
        <v>744</v>
      </c>
      <c r="N31" s="1779" t="s">
        <v>744</v>
      </c>
      <c r="O31" s="1766"/>
      <c r="P31" s="1766"/>
    </row>
    <row r="32" spans="1:16">
      <c r="A32" s="1784">
        <v>2.13</v>
      </c>
      <c r="B32" s="1784">
        <v>2.13</v>
      </c>
      <c r="C32" s="1787">
        <v>2.13</v>
      </c>
      <c r="D32" s="1787">
        <v>2.13</v>
      </c>
      <c r="E32" s="1787">
        <v>2.13</v>
      </c>
      <c r="F32" s="1779">
        <v>2.13</v>
      </c>
      <c r="G32" s="1779" t="s">
        <v>744</v>
      </c>
      <c r="H32" s="1779" t="s">
        <v>744</v>
      </c>
      <c r="I32" s="1779" t="s">
        <v>744</v>
      </c>
      <c r="J32" s="1779" t="s">
        <v>744</v>
      </c>
      <c r="K32" s="1779" t="s">
        <v>744</v>
      </c>
      <c r="L32" s="1779" t="s">
        <v>744</v>
      </c>
      <c r="M32" s="1779" t="s">
        <v>744</v>
      </c>
      <c r="N32" s="1779" t="s">
        <v>744</v>
      </c>
      <c r="O32" s="1766"/>
      <c r="P32" s="1766"/>
    </row>
    <row r="33" spans="1:16">
      <c r="A33" s="1784">
        <v>2.14</v>
      </c>
      <c r="B33" s="1784">
        <v>2.14</v>
      </c>
      <c r="C33" s="1779">
        <v>2.14</v>
      </c>
      <c r="D33" s="1779">
        <v>2.14</v>
      </c>
      <c r="E33" s="1779">
        <v>2.14</v>
      </c>
      <c r="F33" s="1779">
        <v>1.1299999999999999</v>
      </c>
      <c r="G33" s="1779">
        <v>1.1299999999999999</v>
      </c>
      <c r="H33" s="1779">
        <v>1.1299999999999999</v>
      </c>
      <c r="I33" s="1779">
        <v>1.1299999999999999</v>
      </c>
      <c r="J33" s="1781">
        <v>1.1299999999999999</v>
      </c>
      <c r="K33" s="1782" t="s">
        <v>1351</v>
      </c>
      <c r="L33" s="1782" t="s">
        <v>1351</v>
      </c>
      <c r="M33" s="1782" t="s">
        <v>1351</v>
      </c>
      <c r="N33" s="1782" t="s">
        <v>1351</v>
      </c>
      <c r="O33" s="1766"/>
      <c r="P33" s="1766"/>
    </row>
    <row r="34" spans="1:16">
      <c r="A34" s="1784">
        <v>2.15</v>
      </c>
      <c r="B34" s="1784">
        <v>2.15</v>
      </c>
      <c r="C34" s="1779">
        <v>2.15</v>
      </c>
      <c r="D34" s="1779">
        <v>2.15</v>
      </c>
      <c r="E34" s="1779">
        <v>2.15</v>
      </c>
      <c r="F34" s="1779">
        <v>1.1399999999999999</v>
      </c>
      <c r="G34" s="1779">
        <v>1.1399999999999999</v>
      </c>
      <c r="H34" s="1779">
        <v>1.1399999999999999</v>
      </c>
      <c r="I34" s="1779">
        <v>1.1399999999999999</v>
      </c>
      <c r="J34" s="1781">
        <v>1.1399999999999999</v>
      </c>
      <c r="K34" s="1782" t="s">
        <v>1353</v>
      </c>
      <c r="L34" s="1782" t="s">
        <v>1353</v>
      </c>
      <c r="M34" s="1782" t="s">
        <v>1353</v>
      </c>
      <c r="N34" s="1782" t="s">
        <v>1353</v>
      </c>
      <c r="O34" s="1766"/>
      <c r="P34" s="1766"/>
    </row>
    <row r="35" spans="1:16">
      <c r="A35" s="1784">
        <v>2.16</v>
      </c>
      <c r="B35" s="1784">
        <v>2.16</v>
      </c>
      <c r="C35" s="1779">
        <v>2.16</v>
      </c>
      <c r="D35" s="1779">
        <v>2.16</v>
      </c>
      <c r="E35" s="1779">
        <v>2.16</v>
      </c>
      <c r="F35" s="1779">
        <v>1.1499999999999999</v>
      </c>
      <c r="G35" s="1779">
        <v>1.1499999999999999</v>
      </c>
      <c r="H35" s="1779">
        <v>1.1499999999999999</v>
      </c>
      <c r="I35" s="1779">
        <v>1.1499999999999999</v>
      </c>
      <c r="J35" s="1781">
        <v>1.1499999999999999</v>
      </c>
      <c r="K35" s="1782" t="s">
        <v>1355</v>
      </c>
      <c r="L35" s="1782" t="s">
        <v>1355</v>
      </c>
      <c r="M35" s="1782" t="s">
        <v>1355</v>
      </c>
      <c r="N35" s="1782" t="s">
        <v>1355</v>
      </c>
      <c r="O35" s="1766"/>
      <c r="P35" s="1766"/>
    </row>
    <row r="36" spans="1:16">
      <c r="A36" s="1784">
        <v>2.17</v>
      </c>
      <c r="B36" s="1784">
        <v>2.17</v>
      </c>
      <c r="C36" s="1779">
        <v>2.17</v>
      </c>
      <c r="D36" s="1779">
        <v>2.17</v>
      </c>
      <c r="E36" s="1779">
        <v>2.17</v>
      </c>
      <c r="F36" s="1779">
        <v>1.1599999999999999</v>
      </c>
      <c r="G36" s="1779">
        <v>1.1599999999999999</v>
      </c>
      <c r="H36" s="1779">
        <v>1.1599999999999999</v>
      </c>
      <c r="I36" s="1779">
        <v>1.1599999999999999</v>
      </c>
      <c r="J36" s="1781">
        <v>1.1599999999999999</v>
      </c>
      <c r="K36" s="1782" t="s">
        <v>1537</v>
      </c>
      <c r="L36" s="1782" t="s">
        <v>1537</v>
      </c>
      <c r="M36" s="1782" t="s">
        <v>1537</v>
      </c>
      <c r="N36" s="1782" t="s">
        <v>1537</v>
      </c>
      <c r="O36" s="1766"/>
      <c r="P36" s="1766"/>
    </row>
    <row r="37" spans="1:16">
      <c r="A37" s="1784">
        <v>2.1800000000000002</v>
      </c>
      <c r="B37" s="1784">
        <v>2.1800000000000002</v>
      </c>
      <c r="C37" s="1779">
        <v>2.1800000000000002</v>
      </c>
      <c r="D37" s="1779">
        <v>2.1800000000000002</v>
      </c>
      <c r="E37" s="1779">
        <v>2.1800000000000002</v>
      </c>
      <c r="F37" s="1779">
        <v>1.17</v>
      </c>
      <c r="G37" s="1779">
        <v>1.17</v>
      </c>
      <c r="H37" s="1779">
        <v>1.17</v>
      </c>
      <c r="I37" s="1779">
        <v>1.17</v>
      </c>
      <c r="J37" s="1781">
        <v>1.17</v>
      </c>
      <c r="K37" s="1782" t="s">
        <v>1538</v>
      </c>
      <c r="L37" s="1782" t="s">
        <v>1538</v>
      </c>
      <c r="M37" s="1782" t="s">
        <v>1538</v>
      </c>
      <c r="N37" s="1782" t="s">
        <v>1538</v>
      </c>
      <c r="O37" s="1766"/>
      <c r="P37" s="1766"/>
    </row>
    <row r="38" spans="1:16">
      <c r="A38" s="1784">
        <v>2.19</v>
      </c>
      <c r="B38" s="1784">
        <v>2.19</v>
      </c>
      <c r="C38" s="1779">
        <v>2.19</v>
      </c>
      <c r="D38" s="1779">
        <v>2.19</v>
      </c>
      <c r="E38" s="1779">
        <v>2.19</v>
      </c>
      <c r="F38" s="1779">
        <v>1.18</v>
      </c>
      <c r="G38" s="1779">
        <v>1.18</v>
      </c>
      <c r="H38" s="1779">
        <v>1.18</v>
      </c>
      <c r="I38" s="1779">
        <v>1.18</v>
      </c>
      <c r="J38" s="1781">
        <v>1.18</v>
      </c>
      <c r="K38" s="1782" t="s">
        <v>1539</v>
      </c>
      <c r="L38" s="1782" t="s">
        <v>1539</v>
      </c>
      <c r="M38" s="1782" t="s">
        <v>1539</v>
      </c>
      <c r="N38" s="1782" t="s">
        <v>1539</v>
      </c>
      <c r="O38" s="1766"/>
      <c r="P38" s="1766"/>
    </row>
    <row r="39" spans="1:16">
      <c r="A39" s="1783" t="s">
        <v>755</v>
      </c>
      <c r="B39" s="1783" t="s">
        <v>755</v>
      </c>
      <c r="C39" s="1779" t="s">
        <v>755</v>
      </c>
      <c r="D39" s="1779" t="s">
        <v>755</v>
      </c>
      <c r="E39" s="1779" t="s">
        <v>755</v>
      </c>
      <c r="F39" s="1779">
        <v>1.21</v>
      </c>
      <c r="G39" s="1779">
        <v>1.21</v>
      </c>
      <c r="H39" s="1779">
        <v>1.21</v>
      </c>
      <c r="I39" s="1779">
        <v>1.21</v>
      </c>
      <c r="J39" s="1781">
        <v>1.21</v>
      </c>
      <c r="K39" s="1785" t="s">
        <v>744</v>
      </c>
      <c r="L39" s="1785" t="s">
        <v>744</v>
      </c>
      <c r="M39" s="1785" t="s">
        <v>744</v>
      </c>
      <c r="N39" s="1785" t="s">
        <v>744</v>
      </c>
      <c r="O39" s="1766"/>
      <c r="P39" s="1766"/>
    </row>
    <row r="40" spans="1:16">
      <c r="A40" s="1784">
        <v>2.21</v>
      </c>
      <c r="B40" s="1784">
        <v>2.21</v>
      </c>
      <c r="C40" s="1779">
        <v>2.21</v>
      </c>
      <c r="D40" s="1779">
        <v>2.21</v>
      </c>
      <c r="E40" s="1779">
        <v>2.21</v>
      </c>
      <c r="F40" s="1779">
        <v>1.22</v>
      </c>
      <c r="G40" s="1779">
        <v>1.22</v>
      </c>
      <c r="H40" s="1779">
        <v>1.22</v>
      </c>
      <c r="I40" s="1779">
        <v>1.22</v>
      </c>
      <c r="J40" s="1781">
        <v>1.22</v>
      </c>
      <c r="K40" s="1785" t="s">
        <v>744</v>
      </c>
      <c r="L40" s="1785" t="s">
        <v>744</v>
      </c>
      <c r="M40" s="1785" t="s">
        <v>744</v>
      </c>
      <c r="N40" s="1785" t="s">
        <v>744</v>
      </c>
      <c r="O40" s="1766"/>
      <c r="P40" s="1766"/>
    </row>
    <row r="41" spans="1:16">
      <c r="A41" s="1784">
        <v>2.2200000000000002</v>
      </c>
      <c r="B41" s="1784">
        <v>2.2200000000000002</v>
      </c>
      <c r="C41" s="1779">
        <v>2.2200000000000002</v>
      </c>
      <c r="D41" s="1779">
        <v>2.2200000000000002</v>
      </c>
      <c r="E41" s="1779">
        <v>2.2200000000000002</v>
      </c>
      <c r="F41" s="1779">
        <v>1.39</v>
      </c>
      <c r="G41" s="1779">
        <v>1.39</v>
      </c>
      <c r="H41" s="1779">
        <v>1.39</v>
      </c>
      <c r="I41" s="1779">
        <v>1.39</v>
      </c>
      <c r="J41" s="1781" t="s">
        <v>744</v>
      </c>
      <c r="K41" s="1782" t="s">
        <v>1352</v>
      </c>
      <c r="L41" s="1782" t="s">
        <v>1352</v>
      </c>
      <c r="M41" s="1782" t="s">
        <v>1352</v>
      </c>
      <c r="N41" s="1782" t="s">
        <v>1352</v>
      </c>
      <c r="O41" s="1766"/>
      <c r="P41" s="1766"/>
    </row>
    <row r="42" spans="1:16">
      <c r="A42" s="1784">
        <v>2.23</v>
      </c>
      <c r="B42" s="1784" t="s">
        <v>744</v>
      </c>
      <c r="C42" s="1784" t="s">
        <v>744</v>
      </c>
      <c r="D42" s="1784" t="s">
        <v>744</v>
      </c>
      <c r="E42" s="1784" t="s">
        <v>744</v>
      </c>
      <c r="F42" s="1784" t="s">
        <v>744</v>
      </c>
      <c r="G42" s="1784" t="s">
        <v>744</v>
      </c>
      <c r="H42" s="1784" t="s">
        <v>744</v>
      </c>
      <c r="I42" s="1784" t="s">
        <v>744</v>
      </c>
      <c r="J42" s="1784" t="s">
        <v>744</v>
      </c>
      <c r="K42" s="1784" t="s">
        <v>744</v>
      </c>
      <c r="L42" s="1784" t="s">
        <v>744</v>
      </c>
      <c r="M42" s="1784" t="s">
        <v>744</v>
      </c>
      <c r="N42" s="1784" t="s">
        <v>744</v>
      </c>
      <c r="O42" s="1766"/>
      <c r="P42" s="1766"/>
    </row>
    <row r="43" spans="1:16">
      <c r="A43" s="1784">
        <v>2.2400000000000002</v>
      </c>
      <c r="B43" s="1784" t="s">
        <v>744</v>
      </c>
      <c r="C43" s="1784" t="s">
        <v>744</v>
      </c>
      <c r="D43" s="1784" t="s">
        <v>744</v>
      </c>
      <c r="E43" s="1784" t="s">
        <v>744</v>
      </c>
      <c r="F43" s="1784" t="s">
        <v>744</v>
      </c>
      <c r="G43" s="1784" t="s">
        <v>744</v>
      </c>
      <c r="H43" s="1784" t="s">
        <v>744</v>
      </c>
      <c r="I43" s="1784" t="s">
        <v>744</v>
      </c>
      <c r="J43" s="1784" t="s">
        <v>744</v>
      </c>
      <c r="K43" s="1784" t="s">
        <v>744</v>
      </c>
      <c r="L43" s="1784" t="s">
        <v>744</v>
      </c>
      <c r="M43" s="1784" t="s">
        <v>744</v>
      </c>
      <c r="N43" s="1784" t="s">
        <v>744</v>
      </c>
      <c r="O43" s="1766"/>
      <c r="P43" s="1766"/>
    </row>
    <row r="44" spans="1:16">
      <c r="A44" s="1784">
        <v>3.01</v>
      </c>
      <c r="B44" s="1784">
        <v>3.01</v>
      </c>
      <c r="C44" s="1779">
        <v>3.01</v>
      </c>
      <c r="D44" s="1779">
        <v>3.01</v>
      </c>
      <c r="E44" s="1779">
        <v>3.01</v>
      </c>
      <c r="F44" s="1779" t="s">
        <v>744</v>
      </c>
      <c r="G44" s="1779" t="s">
        <v>744</v>
      </c>
      <c r="H44" s="1779" t="s">
        <v>744</v>
      </c>
      <c r="I44" s="1779" t="s">
        <v>744</v>
      </c>
      <c r="J44" s="1779" t="s">
        <v>744</v>
      </c>
      <c r="K44" s="1779" t="s">
        <v>744</v>
      </c>
      <c r="L44" s="1779" t="s">
        <v>744</v>
      </c>
      <c r="M44" s="1779" t="s">
        <v>744</v>
      </c>
      <c r="N44" s="1779" t="s">
        <v>744</v>
      </c>
      <c r="O44" s="1766"/>
      <c r="P44" s="1766"/>
    </row>
    <row r="45" spans="1:16">
      <c r="A45" s="1784">
        <v>3.02</v>
      </c>
      <c r="B45" s="1784">
        <v>3.02</v>
      </c>
      <c r="C45" s="1784">
        <v>3.02</v>
      </c>
      <c r="D45" s="1784">
        <v>3.02</v>
      </c>
      <c r="E45" s="1784">
        <v>3.02</v>
      </c>
      <c r="F45" s="1783" t="s">
        <v>771</v>
      </c>
      <c r="G45" s="1783" t="s">
        <v>771</v>
      </c>
      <c r="H45" s="1783" t="s">
        <v>771</v>
      </c>
      <c r="I45" s="1784" t="s">
        <v>744</v>
      </c>
      <c r="J45" s="1784" t="s">
        <v>744</v>
      </c>
      <c r="K45" s="1784" t="s">
        <v>744</v>
      </c>
      <c r="L45" s="1784" t="s">
        <v>744</v>
      </c>
      <c r="M45" s="1784" t="s">
        <v>744</v>
      </c>
      <c r="N45" s="1784" t="s">
        <v>744</v>
      </c>
      <c r="O45" s="1766"/>
      <c r="P45" s="1766"/>
    </row>
    <row r="46" spans="1:16">
      <c r="A46" s="1784">
        <v>3.03</v>
      </c>
      <c r="B46" s="1784">
        <v>3.03</v>
      </c>
      <c r="C46" s="1784">
        <v>3.03</v>
      </c>
      <c r="D46" s="1784">
        <v>3.03</v>
      </c>
      <c r="E46" s="1784">
        <v>3.03</v>
      </c>
      <c r="F46" s="1783" t="s">
        <v>772</v>
      </c>
      <c r="G46" s="1783" t="s">
        <v>772</v>
      </c>
      <c r="H46" s="1783" t="s">
        <v>772</v>
      </c>
      <c r="I46" s="1784" t="s">
        <v>744</v>
      </c>
      <c r="J46" s="1784" t="s">
        <v>744</v>
      </c>
      <c r="K46" s="1784" t="s">
        <v>744</v>
      </c>
      <c r="L46" s="1784" t="s">
        <v>744</v>
      </c>
      <c r="M46" s="1784" t="s">
        <v>744</v>
      </c>
      <c r="N46" s="1784" t="s">
        <v>744</v>
      </c>
      <c r="O46" s="1766"/>
      <c r="P46" s="1766"/>
    </row>
    <row r="47" spans="1:16">
      <c r="A47" s="1784">
        <v>3.04</v>
      </c>
      <c r="B47" s="1784">
        <v>3.04</v>
      </c>
      <c r="C47" s="1784">
        <v>3.04</v>
      </c>
      <c r="D47" s="1784">
        <v>3.04</v>
      </c>
      <c r="E47" s="1784">
        <v>3.04</v>
      </c>
      <c r="F47" s="1783" t="s">
        <v>773</v>
      </c>
      <c r="G47" s="1783" t="s">
        <v>773</v>
      </c>
      <c r="H47" s="1783" t="s">
        <v>773</v>
      </c>
      <c r="I47" s="1784" t="s">
        <v>744</v>
      </c>
      <c r="J47" s="1784" t="s">
        <v>744</v>
      </c>
      <c r="K47" s="1784" t="s">
        <v>744</v>
      </c>
      <c r="L47" s="1784" t="s">
        <v>744</v>
      </c>
      <c r="M47" s="1784" t="s">
        <v>744</v>
      </c>
      <c r="N47" s="1784" t="s">
        <v>744</v>
      </c>
      <c r="O47" s="1766"/>
      <c r="P47" s="1766"/>
    </row>
    <row r="48" spans="1:16">
      <c r="A48" s="1784">
        <v>3.05</v>
      </c>
      <c r="B48" s="1784">
        <v>3.05</v>
      </c>
      <c r="C48" s="1779">
        <v>3.05</v>
      </c>
      <c r="D48" s="1779">
        <v>3.05</v>
      </c>
      <c r="E48" s="1779">
        <v>3.05</v>
      </c>
      <c r="F48" s="1784">
        <v>3.07</v>
      </c>
      <c r="G48" s="1784">
        <v>3.07</v>
      </c>
      <c r="H48" s="1784">
        <v>3.07</v>
      </c>
      <c r="I48" s="1784">
        <v>3.07</v>
      </c>
      <c r="J48" s="1782" t="s">
        <v>744</v>
      </c>
      <c r="K48" s="1785" t="s">
        <v>744</v>
      </c>
      <c r="L48" s="1785" t="s">
        <v>744</v>
      </c>
      <c r="M48" s="1785" t="s">
        <v>744</v>
      </c>
      <c r="N48" s="1785" t="s">
        <v>744</v>
      </c>
      <c r="O48" s="1766"/>
      <c r="P48" s="1766"/>
    </row>
    <row r="49" spans="1:16">
      <c r="A49" s="1784">
        <v>3.06</v>
      </c>
      <c r="B49" s="1784">
        <v>3.06</v>
      </c>
      <c r="C49" s="1779">
        <v>3.06</v>
      </c>
      <c r="D49" s="1779">
        <v>3.06</v>
      </c>
      <c r="E49" s="1779">
        <v>3.06</v>
      </c>
      <c r="F49" s="1784">
        <v>3.08</v>
      </c>
      <c r="G49" s="1784">
        <v>3.08</v>
      </c>
      <c r="H49" s="1784">
        <v>3.08</v>
      </c>
      <c r="I49" s="1784">
        <v>3.08</v>
      </c>
      <c r="J49" s="1782" t="s">
        <v>744</v>
      </c>
      <c r="K49" s="1785" t="s">
        <v>744</v>
      </c>
      <c r="L49" s="1785" t="s">
        <v>744</v>
      </c>
      <c r="M49" s="1785" t="s">
        <v>744</v>
      </c>
      <c r="N49" s="1785" t="s">
        <v>744</v>
      </c>
      <c r="O49" s="1766"/>
      <c r="P49" s="1766"/>
    </row>
    <row r="50" spans="1:16">
      <c r="A50" s="1784">
        <v>3.07</v>
      </c>
      <c r="B50" s="1784">
        <v>3.07</v>
      </c>
      <c r="C50" s="1779">
        <v>3.07</v>
      </c>
      <c r="D50" s="1779">
        <v>3.07</v>
      </c>
      <c r="E50" s="1779">
        <v>3.07</v>
      </c>
      <c r="F50" s="1784">
        <v>3.09</v>
      </c>
      <c r="G50" s="1784">
        <v>3.09</v>
      </c>
      <c r="H50" s="1784">
        <v>3.09</v>
      </c>
      <c r="I50" s="1784">
        <v>3.09</v>
      </c>
      <c r="J50" s="1782" t="s">
        <v>744</v>
      </c>
      <c r="K50" s="1785" t="s">
        <v>744</v>
      </c>
      <c r="L50" s="1785" t="s">
        <v>744</v>
      </c>
      <c r="M50" s="1785" t="s">
        <v>744</v>
      </c>
      <c r="N50" s="1785" t="s">
        <v>744</v>
      </c>
      <c r="O50" s="1766"/>
      <c r="P50" s="1766"/>
    </row>
    <row r="51" spans="1:16">
      <c r="A51" s="1784">
        <v>3.08</v>
      </c>
      <c r="B51" s="1784">
        <v>3.08</v>
      </c>
      <c r="C51" s="1788">
        <v>3.08</v>
      </c>
      <c r="D51" s="1788">
        <v>3.08</v>
      </c>
      <c r="E51" s="1788">
        <v>3.08</v>
      </c>
      <c r="F51" s="1783" t="s">
        <v>813</v>
      </c>
      <c r="G51" s="1784" t="s">
        <v>744</v>
      </c>
      <c r="H51" s="1784" t="s">
        <v>744</v>
      </c>
      <c r="I51" s="1784" t="s">
        <v>744</v>
      </c>
      <c r="J51" s="1784" t="s">
        <v>744</v>
      </c>
      <c r="K51" s="1784" t="s">
        <v>744</v>
      </c>
      <c r="L51" s="1784" t="s">
        <v>744</v>
      </c>
      <c r="M51" s="1784" t="s">
        <v>744</v>
      </c>
      <c r="N51" s="1784" t="s">
        <v>744</v>
      </c>
      <c r="O51" s="1766"/>
      <c r="P51" s="1766"/>
    </row>
    <row r="52" spans="1:16">
      <c r="A52" s="1784">
        <v>3.09</v>
      </c>
      <c r="B52" s="1784">
        <v>3.09</v>
      </c>
      <c r="C52" s="1779">
        <v>3.09</v>
      </c>
      <c r="D52" s="1779">
        <v>3.09</v>
      </c>
      <c r="E52" s="1779">
        <v>3.09</v>
      </c>
      <c r="F52" s="1779">
        <v>1.0900000000000001</v>
      </c>
      <c r="G52" s="1779">
        <v>1.0900000000000001</v>
      </c>
      <c r="H52" s="1779">
        <v>1.0900000000000001</v>
      </c>
      <c r="I52" s="1779">
        <v>1.0900000000000001</v>
      </c>
      <c r="J52" s="1781">
        <v>1.0900000000000001</v>
      </c>
      <c r="K52" s="1782" t="s">
        <v>1347</v>
      </c>
      <c r="L52" s="1782" t="s">
        <v>1347</v>
      </c>
      <c r="M52" s="1782" t="s">
        <v>1347</v>
      </c>
      <c r="N52" s="1782" t="s">
        <v>1347</v>
      </c>
      <c r="O52" s="1766"/>
      <c r="P52" s="1766"/>
    </row>
    <row r="53" spans="1:16">
      <c r="A53" s="1783" t="s">
        <v>813</v>
      </c>
      <c r="B53" s="1783" t="s">
        <v>813</v>
      </c>
      <c r="C53" s="1779" t="s">
        <v>813</v>
      </c>
      <c r="D53" s="1779" t="s">
        <v>813</v>
      </c>
      <c r="E53" s="1779" t="s">
        <v>813</v>
      </c>
      <c r="F53" s="1779">
        <v>1.1100000000000001</v>
      </c>
      <c r="G53" s="1779">
        <v>1.1100000000000001</v>
      </c>
      <c r="H53" s="1779">
        <v>1.1100000000000001</v>
      </c>
      <c r="I53" s="1779">
        <v>1.1100000000000001</v>
      </c>
      <c r="J53" s="1781">
        <v>1.1100000000000001</v>
      </c>
      <c r="K53" s="1782" t="s">
        <v>1348</v>
      </c>
      <c r="L53" s="1782" t="s">
        <v>1348</v>
      </c>
      <c r="M53" s="1782" t="s">
        <v>1348</v>
      </c>
      <c r="N53" s="1782" t="s">
        <v>1348</v>
      </c>
      <c r="O53" s="1766"/>
      <c r="P53" s="1766"/>
    </row>
    <row r="54" spans="1:16">
      <c r="A54" s="1789">
        <v>3.11</v>
      </c>
      <c r="B54" s="1789" t="s">
        <v>744</v>
      </c>
      <c r="C54" s="1784" t="s">
        <v>744</v>
      </c>
      <c r="D54" s="1784" t="s">
        <v>744</v>
      </c>
      <c r="E54" s="1784" t="s">
        <v>744</v>
      </c>
      <c r="F54" s="1784" t="s">
        <v>744</v>
      </c>
      <c r="G54" s="1784" t="s">
        <v>744</v>
      </c>
      <c r="H54" s="1784" t="s">
        <v>744</v>
      </c>
      <c r="I54" s="1784" t="s">
        <v>744</v>
      </c>
      <c r="J54" s="1784" t="s">
        <v>744</v>
      </c>
      <c r="K54" s="1784" t="s">
        <v>744</v>
      </c>
      <c r="L54" s="1784" t="s">
        <v>744</v>
      </c>
      <c r="M54" s="1784" t="s">
        <v>744</v>
      </c>
      <c r="N54" s="1784" t="s">
        <v>744</v>
      </c>
      <c r="O54" s="1766"/>
      <c r="P54" s="1766"/>
    </row>
    <row r="55" spans="1:16">
      <c r="A55" s="1789">
        <v>3.12</v>
      </c>
      <c r="B55" s="1789">
        <v>3.12</v>
      </c>
      <c r="C55" s="1776">
        <v>3.12</v>
      </c>
      <c r="D55" s="1776">
        <v>3.12</v>
      </c>
      <c r="E55" s="1776">
        <v>3.12</v>
      </c>
      <c r="F55" s="1779">
        <v>1.1000000000000001</v>
      </c>
      <c r="G55" s="1779">
        <v>1.1000000000000001</v>
      </c>
      <c r="H55" s="1779">
        <v>1.1000000000000001</v>
      </c>
      <c r="I55" s="1779">
        <v>1.1000000000000001</v>
      </c>
      <c r="J55" s="1781">
        <v>1.1000000000000001</v>
      </c>
      <c r="K55" s="1782" t="s">
        <v>1349</v>
      </c>
      <c r="L55" s="1782" t="s">
        <v>1349</v>
      </c>
      <c r="M55" s="1782" t="s">
        <v>1349</v>
      </c>
      <c r="N55" s="1782" t="s">
        <v>1349</v>
      </c>
      <c r="O55" s="1766"/>
      <c r="P55" s="1766"/>
    </row>
    <row r="56" spans="1:16">
      <c r="A56" s="1780">
        <v>3.13</v>
      </c>
      <c r="B56" s="1780">
        <v>3.13</v>
      </c>
      <c r="C56" s="1779" t="s">
        <v>744</v>
      </c>
      <c r="D56" s="1779" t="s">
        <v>744</v>
      </c>
      <c r="E56" s="1779" t="s">
        <v>744</v>
      </c>
      <c r="F56" s="1779" t="s">
        <v>744</v>
      </c>
      <c r="G56" s="1779" t="s">
        <v>744</v>
      </c>
      <c r="H56" s="1779" t="s">
        <v>744</v>
      </c>
      <c r="I56" s="1779" t="s">
        <v>744</v>
      </c>
      <c r="J56" s="1779" t="s">
        <v>744</v>
      </c>
      <c r="K56" s="1779" t="s">
        <v>744</v>
      </c>
      <c r="L56" s="1779" t="s">
        <v>744</v>
      </c>
      <c r="M56" s="1779" t="s">
        <v>744</v>
      </c>
      <c r="N56" s="1779" t="s">
        <v>744</v>
      </c>
      <c r="O56" s="1766"/>
      <c r="P56" s="1766"/>
    </row>
    <row r="57" spans="1:16">
      <c r="A57" s="1789">
        <v>3.14</v>
      </c>
      <c r="B57" s="1789" t="s">
        <v>744</v>
      </c>
      <c r="C57" s="1784" t="s">
        <v>744</v>
      </c>
      <c r="D57" s="1784" t="s">
        <v>744</v>
      </c>
      <c r="E57" s="1784" t="s">
        <v>744</v>
      </c>
      <c r="F57" s="1784" t="s">
        <v>744</v>
      </c>
      <c r="G57" s="1784" t="s">
        <v>744</v>
      </c>
      <c r="H57" s="1784" t="s">
        <v>744</v>
      </c>
      <c r="I57" s="1784" t="s">
        <v>744</v>
      </c>
      <c r="J57" s="1784" t="s">
        <v>744</v>
      </c>
      <c r="K57" s="1784" t="s">
        <v>744</v>
      </c>
      <c r="L57" s="1784" t="s">
        <v>744</v>
      </c>
      <c r="M57" s="1784" t="s">
        <v>744</v>
      </c>
      <c r="N57" s="1784" t="s">
        <v>744</v>
      </c>
      <c r="O57" s="1766"/>
      <c r="P57" s="1766"/>
    </row>
    <row r="58" spans="1:16">
      <c r="A58" s="1789">
        <v>3.15</v>
      </c>
      <c r="B58" s="1789" t="s">
        <v>744</v>
      </c>
      <c r="C58" s="1784" t="s">
        <v>744</v>
      </c>
      <c r="D58" s="1784" t="s">
        <v>744</v>
      </c>
      <c r="E58" s="1784" t="s">
        <v>744</v>
      </c>
      <c r="F58" s="1784" t="s">
        <v>744</v>
      </c>
      <c r="G58" s="1784" t="s">
        <v>744</v>
      </c>
      <c r="H58" s="1784" t="s">
        <v>744</v>
      </c>
      <c r="I58" s="1784" t="s">
        <v>744</v>
      </c>
      <c r="J58" s="1784" t="s">
        <v>744</v>
      </c>
      <c r="K58" s="1784" t="s">
        <v>744</v>
      </c>
      <c r="L58" s="1784" t="s">
        <v>744</v>
      </c>
      <c r="M58" s="1784" t="s">
        <v>744</v>
      </c>
      <c r="N58" s="1784" t="s">
        <v>744</v>
      </c>
      <c r="O58" s="1766"/>
      <c r="P58" s="1766"/>
    </row>
    <row r="59" spans="1:16">
      <c r="A59" s="1784">
        <v>4.01</v>
      </c>
      <c r="B59" s="1784">
        <v>4.01</v>
      </c>
      <c r="C59" s="1784">
        <v>4.01</v>
      </c>
      <c r="D59" s="1784">
        <v>4.01</v>
      </c>
      <c r="E59" s="1784">
        <v>4.01</v>
      </c>
      <c r="F59" s="1784">
        <v>4.01</v>
      </c>
      <c r="G59" s="1784">
        <v>4.01</v>
      </c>
      <c r="H59" s="1784">
        <v>4.01</v>
      </c>
      <c r="I59" s="1784">
        <v>4.01</v>
      </c>
      <c r="J59" s="1782">
        <v>4.01</v>
      </c>
      <c r="K59" s="1782" t="s">
        <v>788</v>
      </c>
      <c r="L59" s="1782" t="s">
        <v>788</v>
      </c>
      <c r="M59" s="1782" t="s">
        <v>744</v>
      </c>
      <c r="N59" s="1782" t="s">
        <v>744</v>
      </c>
      <c r="O59" s="1766"/>
      <c r="P59" s="1766"/>
    </row>
    <row r="60" spans="1:16">
      <c r="A60" s="1784">
        <v>4.0199999999999996</v>
      </c>
      <c r="B60" s="1784">
        <v>4.0199999999999996</v>
      </c>
      <c r="C60" s="1784">
        <v>4.0199999999999996</v>
      </c>
      <c r="D60" s="1784">
        <v>4.0199999999999996</v>
      </c>
      <c r="E60" s="1784">
        <v>4.0199999999999996</v>
      </c>
      <c r="F60" s="1784">
        <v>4.0199999999999996</v>
      </c>
      <c r="G60" s="1784">
        <v>4.0199999999999996</v>
      </c>
      <c r="H60" s="1784">
        <v>4.0199999999999996</v>
      </c>
      <c r="I60" s="1784">
        <v>4.0199999999999996</v>
      </c>
      <c r="J60" s="1782">
        <v>4.0199999999999996</v>
      </c>
      <c r="K60" s="1782" t="s">
        <v>817</v>
      </c>
      <c r="L60" s="1782" t="s">
        <v>817</v>
      </c>
      <c r="M60" s="1782" t="s">
        <v>816</v>
      </c>
      <c r="N60" s="1782" t="s">
        <v>816</v>
      </c>
      <c r="O60" s="1766"/>
      <c r="P60" s="1766"/>
    </row>
    <row r="61" spans="1:16">
      <c r="A61" s="1784">
        <v>4.03</v>
      </c>
      <c r="B61" s="1784">
        <v>4.03</v>
      </c>
      <c r="C61" s="1784">
        <v>4.03</v>
      </c>
      <c r="D61" s="1784">
        <v>4.03</v>
      </c>
      <c r="E61" s="1784">
        <v>4.03</v>
      </c>
      <c r="F61" s="1784">
        <v>4.03</v>
      </c>
      <c r="G61" s="1784">
        <v>4.03</v>
      </c>
      <c r="H61" s="1784">
        <v>4.03</v>
      </c>
      <c r="I61" s="1784">
        <v>4.03</v>
      </c>
      <c r="J61" s="1782">
        <v>4.03</v>
      </c>
      <c r="K61" s="1785" t="s">
        <v>744</v>
      </c>
      <c r="L61" s="1785" t="s">
        <v>744</v>
      </c>
      <c r="M61" s="1785" t="s">
        <v>744</v>
      </c>
      <c r="N61" s="1785" t="s">
        <v>744</v>
      </c>
      <c r="O61" s="1766"/>
      <c r="P61" s="1766"/>
    </row>
    <row r="62" spans="1:16">
      <c r="A62" s="1784">
        <v>4.04</v>
      </c>
      <c r="B62" s="1784">
        <v>4.04</v>
      </c>
      <c r="C62" s="1784">
        <v>4.04</v>
      </c>
      <c r="D62" s="1784">
        <v>4.04</v>
      </c>
      <c r="E62" s="1784">
        <v>4.04</v>
      </c>
      <c r="F62" s="1784">
        <v>4.04</v>
      </c>
      <c r="G62" s="1784">
        <v>4.04</v>
      </c>
      <c r="H62" s="1784">
        <v>4.04</v>
      </c>
      <c r="I62" s="1784">
        <v>4.04</v>
      </c>
      <c r="J62" s="1782">
        <v>4.04</v>
      </c>
      <c r="K62" s="1782" t="s">
        <v>821</v>
      </c>
      <c r="L62" s="1782" t="s">
        <v>821</v>
      </c>
      <c r="M62" s="1782" t="s">
        <v>820</v>
      </c>
      <c r="N62" s="1782" t="s">
        <v>820</v>
      </c>
      <c r="O62" s="1766"/>
      <c r="P62" s="1766"/>
    </row>
    <row r="63" spans="1:16">
      <c r="A63" s="1784">
        <v>4.05</v>
      </c>
      <c r="B63" s="1784">
        <v>4.05</v>
      </c>
      <c r="C63" s="1784">
        <v>4.05</v>
      </c>
      <c r="D63" s="1784">
        <v>4.05</v>
      </c>
      <c r="E63" s="1784">
        <v>4.05</v>
      </c>
      <c r="F63" s="1784">
        <v>4.05</v>
      </c>
      <c r="G63" s="1784">
        <v>4.05</v>
      </c>
      <c r="H63" s="1784">
        <v>4.05</v>
      </c>
      <c r="I63" s="1784">
        <v>4.05</v>
      </c>
      <c r="J63" s="1782">
        <v>4.05</v>
      </c>
      <c r="K63" s="1782" t="s">
        <v>822</v>
      </c>
      <c r="L63" s="1782" t="s">
        <v>822</v>
      </c>
      <c r="M63" s="1782" t="s">
        <v>821</v>
      </c>
      <c r="N63" s="1782" t="s">
        <v>821</v>
      </c>
      <c r="O63" s="1766"/>
      <c r="P63" s="1766"/>
    </row>
    <row r="64" spans="1:16">
      <c r="A64" s="1784">
        <v>4.0599999999999996</v>
      </c>
      <c r="B64" s="1784" t="s">
        <v>744</v>
      </c>
      <c r="C64" s="1784" t="s">
        <v>744</v>
      </c>
      <c r="D64" s="1784" t="s">
        <v>744</v>
      </c>
      <c r="E64" s="1784" t="s">
        <v>744</v>
      </c>
      <c r="F64" s="1784" t="s">
        <v>744</v>
      </c>
      <c r="G64" s="1784" t="s">
        <v>744</v>
      </c>
      <c r="H64" s="1784" t="s">
        <v>744</v>
      </c>
      <c r="I64" s="1784" t="s">
        <v>744</v>
      </c>
      <c r="J64" s="1784" t="s">
        <v>744</v>
      </c>
      <c r="K64" s="1784" t="s">
        <v>744</v>
      </c>
      <c r="L64" s="1784" t="s">
        <v>744</v>
      </c>
      <c r="M64" s="1784" t="s">
        <v>744</v>
      </c>
      <c r="N64" s="1784" t="s">
        <v>744</v>
      </c>
      <c r="O64" s="1766"/>
      <c r="P64" s="1766"/>
    </row>
    <row r="65" spans="1:16">
      <c r="A65" s="1784">
        <v>4.07</v>
      </c>
      <c r="B65" s="1784">
        <v>4.08</v>
      </c>
      <c r="C65" s="1783">
        <v>4.08</v>
      </c>
      <c r="D65" s="1783">
        <v>4.08</v>
      </c>
      <c r="E65" s="1783">
        <v>4.08</v>
      </c>
      <c r="F65" s="1784">
        <v>4.08</v>
      </c>
      <c r="G65" s="1784">
        <v>4.08</v>
      </c>
      <c r="H65" s="1784">
        <v>4.08</v>
      </c>
      <c r="I65" s="1784">
        <v>4.08</v>
      </c>
      <c r="J65" s="1782">
        <v>4.08</v>
      </c>
      <c r="K65" s="1782" t="s">
        <v>790</v>
      </c>
      <c r="L65" s="1782" t="s">
        <v>790</v>
      </c>
      <c r="M65" s="1782" t="s">
        <v>789</v>
      </c>
      <c r="N65" s="1782" t="s">
        <v>789</v>
      </c>
      <c r="O65" s="1766"/>
      <c r="P65" s="1766"/>
    </row>
    <row r="66" spans="1:16">
      <c r="A66" s="1783">
        <v>4.08</v>
      </c>
      <c r="B66" s="1783" t="s">
        <v>725</v>
      </c>
      <c r="C66" s="1783" t="s">
        <v>754</v>
      </c>
      <c r="D66" s="1783" t="s">
        <v>754</v>
      </c>
      <c r="E66" s="1783" t="s">
        <v>754</v>
      </c>
      <c r="F66" s="1779">
        <v>4.0999999999999996</v>
      </c>
      <c r="G66" s="1779">
        <v>4.0999999999999996</v>
      </c>
      <c r="H66" s="1779">
        <v>4.0999999999999996</v>
      </c>
      <c r="I66" s="1779">
        <v>4.0999999999999996</v>
      </c>
      <c r="J66" s="1781">
        <v>4.0999999999999996</v>
      </c>
      <c r="K66" s="1782" t="s">
        <v>816</v>
      </c>
      <c r="L66" s="1782" t="s">
        <v>816</v>
      </c>
      <c r="M66" s="1782" t="s">
        <v>815</v>
      </c>
      <c r="N66" s="1782" t="s">
        <v>815</v>
      </c>
      <c r="O66" s="1766"/>
      <c r="P66" s="1766"/>
    </row>
    <row r="67" spans="1:16">
      <c r="A67" s="1783">
        <v>4.09</v>
      </c>
      <c r="B67" s="1783" t="s">
        <v>754</v>
      </c>
      <c r="C67" s="1784" t="s">
        <v>744</v>
      </c>
      <c r="D67" s="1784" t="s">
        <v>744</v>
      </c>
      <c r="E67" s="1784" t="s">
        <v>744</v>
      </c>
      <c r="F67" s="1784" t="s">
        <v>744</v>
      </c>
      <c r="G67" s="1784" t="s">
        <v>744</v>
      </c>
      <c r="H67" s="1784" t="s">
        <v>744</v>
      </c>
      <c r="I67" s="1784" t="s">
        <v>744</v>
      </c>
      <c r="J67" s="1784" t="s">
        <v>744</v>
      </c>
      <c r="K67" s="1784" t="s">
        <v>744</v>
      </c>
      <c r="L67" s="1784" t="s">
        <v>744</v>
      </c>
      <c r="M67" s="1784" t="s">
        <v>744</v>
      </c>
      <c r="N67" s="1784" t="s">
        <v>744</v>
      </c>
      <c r="O67" s="1766"/>
      <c r="P67" s="1766"/>
    </row>
    <row r="68" spans="1:16">
      <c r="A68" s="1784">
        <v>5.01</v>
      </c>
      <c r="B68" s="1784">
        <v>5.01</v>
      </c>
      <c r="C68" s="1784">
        <v>5.01</v>
      </c>
      <c r="D68" s="1784">
        <v>5.01</v>
      </c>
      <c r="E68" s="1784">
        <v>5.01</v>
      </c>
      <c r="F68" s="1784">
        <v>5.01</v>
      </c>
      <c r="G68" s="1784">
        <v>5.01</v>
      </c>
      <c r="H68" s="1784">
        <v>5.01</v>
      </c>
      <c r="I68" s="1784">
        <v>5.0199999999999996</v>
      </c>
      <c r="J68" s="1782" t="s">
        <v>774</v>
      </c>
      <c r="K68" s="1785" t="s">
        <v>744</v>
      </c>
      <c r="L68" s="1785" t="s">
        <v>744</v>
      </c>
      <c r="M68" s="1785" t="s">
        <v>744</v>
      </c>
      <c r="N68" s="1785" t="s">
        <v>744</v>
      </c>
      <c r="O68" s="1766"/>
      <c r="P68" s="1766"/>
    </row>
    <row r="69" spans="1:16">
      <c r="A69" s="1789">
        <v>5.0199999999999996</v>
      </c>
      <c r="B69" s="1789">
        <v>5.0199999999999996</v>
      </c>
      <c r="C69" s="1784">
        <v>5.0199999999999996</v>
      </c>
      <c r="D69" s="1784">
        <v>5.0199999999999996</v>
      </c>
      <c r="E69" s="1784">
        <v>5.0199999999999996</v>
      </c>
      <c r="F69" s="1784">
        <v>5.0199999999999996</v>
      </c>
      <c r="G69" s="1784">
        <v>5.0199999999999996</v>
      </c>
      <c r="H69" s="1784">
        <v>5.0199999999999996</v>
      </c>
      <c r="I69" s="1784">
        <v>5.01</v>
      </c>
      <c r="J69" s="1785" t="s">
        <v>775</v>
      </c>
      <c r="K69" s="1782" t="s">
        <v>744</v>
      </c>
      <c r="L69" s="1782" t="s">
        <v>744</v>
      </c>
      <c r="M69" s="1782" t="s">
        <v>744</v>
      </c>
      <c r="N69" s="1782" t="s">
        <v>744</v>
      </c>
      <c r="O69" s="1766"/>
      <c r="P69" s="1766"/>
    </row>
    <row r="70" spans="1:16">
      <c r="A70" s="1789">
        <v>5.03</v>
      </c>
      <c r="B70" s="1789">
        <v>5.03</v>
      </c>
      <c r="C70" s="1784">
        <v>5.03</v>
      </c>
      <c r="D70" s="1784">
        <v>5.03</v>
      </c>
      <c r="E70" s="1784">
        <v>5.03</v>
      </c>
      <c r="F70" s="1784">
        <v>5.03</v>
      </c>
      <c r="G70" s="1784">
        <v>5.03</v>
      </c>
      <c r="H70" s="1784">
        <v>5.03</v>
      </c>
      <c r="I70" s="1784" t="s">
        <v>744</v>
      </c>
      <c r="J70" s="1784" t="s">
        <v>744</v>
      </c>
      <c r="K70" s="1784" t="s">
        <v>744</v>
      </c>
      <c r="L70" s="1784" t="s">
        <v>744</v>
      </c>
      <c r="M70" s="1784" t="s">
        <v>744</v>
      </c>
      <c r="N70" s="1784" t="s">
        <v>744</v>
      </c>
      <c r="O70" s="1766"/>
      <c r="P70" s="1766"/>
    </row>
    <row r="71" spans="1:16">
      <c r="A71" s="1784">
        <v>5.04</v>
      </c>
      <c r="B71" s="1784">
        <v>5.04</v>
      </c>
      <c r="C71" s="1784">
        <v>5.04</v>
      </c>
      <c r="D71" s="1784">
        <v>5.04</v>
      </c>
      <c r="E71" s="1784">
        <v>5.04</v>
      </c>
      <c r="F71" s="1784">
        <v>5.04</v>
      </c>
      <c r="G71" s="1784">
        <v>5.04</v>
      </c>
      <c r="H71" s="1784">
        <v>5.04</v>
      </c>
      <c r="I71" s="1784" t="s">
        <v>744</v>
      </c>
      <c r="J71" s="1784" t="s">
        <v>744</v>
      </c>
      <c r="K71" s="1784" t="s">
        <v>744</v>
      </c>
      <c r="L71" s="1784" t="s">
        <v>744</v>
      </c>
      <c r="M71" s="1784" t="s">
        <v>744</v>
      </c>
      <c r="N71" s="1784" t="s">
        <v>744</v>
      </c>
      <c r="O71" s="1766"/>
      <c r="P71" s="1766"/>
    </row>
    <row r="72" spans="1:16">
      <c r="A72" s="1784">
        <v>5.05</v>
      </c>
      <c r="B72" s="1784" t="s">
        <v>744</v>
      </c>
      <c r="C72" s="1784" t="s">
        <v>744</v>
      </c>
      <c r="D72" s="1784" t="s">
        <v>744</v>
      </c>
      <c r="E72" s="1784" t="s">
        <v>744</v>
      </c>
      <c r="F72" s="1784" t="s">
        <v>744</v>
      </c>
      <c r="G72" s="1784" t="s">
        <v>744</v>
      </c>
      <c r="H72" s="1784" t="s">
        <v>744</v>
      </c>
      <c r="I72" s="1784" t="s">
        <v>744</v>
      </c>
      <c r="J72" s="1784" t="s">
        <v>744</v>
      </c>
      <c r="K72" s="1784" t="s">
        <v>744</v>
      </c>
      <c r="L72" s="1784" t="s">
        <v>744</v>
      </c>
      <c r="M72" s="1784" t="s">
        <v>744</v>
      </c>
      <c r="N72" s="1784" t="s">
        <v>744</v>
      </c>
      <c r="O72" s="1766"/>
      <c r="P72" s="1766"/>
    </row>
    <row r="73" spans="1:16">
      <c r="A73" s="1784">
        <v>6.01</v>
      </c>
      <c r="B73" s="1784">
        <v>6.01</v>
      </c>
      <c r="C73" s="1784">
        <v>6.01</v>
      </c>
      <c r="D73" s="1784">
        <v>6.01</v>
      </c>
      <c r="E73" s="1784">
        <v>6.01</v>
      </c>
      <c r="F73" s="1784">
        <v>6.01</v>
      </c>
      <c r="G73" s="1784">
        <v>6.01</v>
      </c>
      <c r="H73" s="1784">
        <v>6.01</v>
      </c>
      <c r="I73" s="1784">
        <v>6.01</v>
      </c>
      <c r="J73" s="1782">
        <v>6.01</v>
      </c>
      <c r="K73" s="1782" t="s">
        <v>1551</v>
      </c>
      <c r="L73" s="1782" t="s">
        <v>1551</v>
      </c>
      <c r="M73" s="1782" t="s">
        <v>1551</v>
      </c>
      <c r="N73" s="1782" t="s">
        <v>1551</v>
      </c>
      <c r="O73" s="1766"/>
      <c r="P73" s="1766"/>
    </row>
    <row r="74" spans="1:16">
      <c r="A74" s="1784">
        <v>6.02</v>
      </c>
      <c r="B74" s="1784">
        <v>6.02</v>
      </c>
      <c r="C74" s="1784">
        <v>6.02</v>
      </c>
      <c r="D74" s="1784">
        <v>6.02</v>
      </c>
      <c r="E74" s="1784">
        <v>6.02</v>
      </c>
      <c r="F74" s="1784">
        <v>6.02</v>
      </c>
      <c r="G74" s="1784">
        <v>6.02</v>
      </c>
      <c r="H74" s="1784">
        <v>6.02</v>
      </c>
      <c r="I74" s="1784">
        <v>6.02</v>
      </c>
      <c r="J74" s="1782">
        <v>6.02</v>
      </c>
      <c r="K74" s="1782" t="s">
        <v>777</v>
      </c>
      <c r="L74" s="1782" t="s">
        <v>777</v>
      </c>
      <c r="M74" s="1782" t="s">
        <v>777</v>
      </c>
      <c r="N74" s="1782" t="s">
        <v>777</v>
      </c>
      <c r="O74" s="1766"/>
      <c r="P74" s="1766"/>
    </row>
    <row r="75" spans="1:16">
      <c r="A75" s="1784">
        <v>6.03</v>
      </c>
      <c r="B75" s="1784">
        <v>6.03</v>
      </c>
      <c r="C75" s="1784">
        <v>6.03</v>
      </c>
      <c r="D75" s="1784">
        <v>6.03</v>
      </c>
      <c r="E75" s="1784">
        <v>6.03</v>
      </c>
      <c r="F75" s="1784">
        <v>6.03</v>
      </c>
      <c r="G75" s="1784">
        <v>6.03</v>
      </c>
      <c r="H75" s="1784">
        <v>6.03</v>
      </c>
      <c r="I75" s="1784">
        <v>6.03</v>
      </c>
      <c r="J75" s="1782">
        <v>6.03</v>
      </c>
      <c r="K75" s="1782" t="s">
        <v>1552</v>
      </c>
      <c r="L75" s="1782" t="s">
        <v>1552</v>
      </c>
      <c r="M75" s="1782" t="s">
        <v>1552</v>
      </c>
      <c r="N75" s="1782" t="s">
        <v>1552</v>
      </c>
      <c r="O75" s="1766"/>
      <c r="P75" s="1766"/>
    </row>
    <row r="76" spans="1:16">
      <c r="A76" s="1784">
        <v>6.04</v>
      </c>
      <c r="B76" s="1784">
        <v>6.04</v>
      </c>
      <c r="C76" s="1779">
        <v>6.04</v>
      </c>
      <c r="D76" s="1779">
        <v>6.04</v>
      </c>
      <c r="E76" s="1779">
        <v>6.04</v>
      </c>
      <c r="F76" s="1784">
        <v>6.04</v>
      </c>
      <c r="G76" s="1784">
        <v>6.04</v>
      </c>
      <c r="H76" s="1784">
        <v>6.04</v>
      </c>
      <c r="I76" s="1784">
        <v>6.04</v>
      </c>
      <c r="J76" s="1782">
        <v>6.04</v>
      </c>
      <c r="K76" s="1782" t="s">
        <v>779</v>
      </c>
      <c r="L76" s="1782" t="s">
        <v>779</v>
      </c>
      <c r="M76" s="1782" t="s">
        <v>779</v>
      </c>
      <c r="N76" s="1782" t="s">
        <v>779</v>
      </c>
      <c r="O76" s="1766"/>
      <c r="P76" s="1766"/>
    </row>
    <row r="77" spans="1:16">
      <c r="A77" s="1784">
        <v>6.05</v>
      </c>
      <c r="B77" s="1784">
        <v>6.05</v>
      </c>
      <c r="C77" s="1779">
        <v>6.05</v>
      </c>
      <c r="D77" s="1779">
        <v>6.05</v>
      </c>
      <c r="E77" s="1779">
        <v>6.05</v>
      </c>
      <c r="F77" s="1784">
        <v>6.05</v>
      </c>
      <c r="G77" s="1784">
        <v>6.05</v>
      </c>
      <c r="H77" s="1784">
        <v>6.05</v>
      </c>
      <c r="I77" s="1784">
        <v>6.05</v>
      </c>
      <c r="J77" s="1782">
        <v>6.05</v>
      </c>
      <c r="K77" s="1782" t="s">
        <v>780</v>
      </c>
      <c r="L77" s="1782" t="s">
        <v>780</v>
      </c>
      <c r="M77" s="1782" t="s">
        <v>780</v>
      </c>
      <c r="N77" s="1782" t="s">
        <v>780</v>
      </c>
      <c r="O77" s="1766"/>
      <c r="P77" s="1766"/>
    </row>
    <row r="78" spans="1:16">
      <c r="A78" s="1784">
        <v>6.06</v>
      </c>
      <c r="B78" s="1784">
        <v>6.06</v>
      </c>
      <c r="C78" s="1776">
        <v>6.06</v>
      </c>
      <c r="D78" s="1776">
        <v>6.06</v>
      </c>
      <c r="E78" s="1776">
        <v>6.06</v>
      </c>
      <c r="F78" s="1784">
        <v>6.06</v>
      </c>
      <c r="G78" s="1784">
        <v>6.06</v>
      </c>
      <c r="H78" s="1784">
        <v>6.06</v>
      </c>
      <c r="I78" s="1784">
        <v>6.06</v>
      </c>
      <c r="J78" s="1782">
        <v>6.06</v>
      </c>
      <c r="K78" s="1782" t="s">
        <v>781</v>
      </c>
      <c r="L78" s="1782" t="s">
        <v>781</v>
      </c>
      <c r="M78" s="1782" t="s">
        <v>781</v>
      </c>
      <c r="N78" s="1782" t="s">
        <v>781</v>
      </c>
      <c r="O78" s="1766"/>
      <c r="P78" s="1766"/>
    </row>
    <row r="79" spans="1:16">
      <c r="A79" s="1784">
        <v>7.01</v>
      </c>
      <c r="B79" s="1784">
        <v>7.01</v>
      </c>
      <c r="C79" s="1779">
        <v>7.01</v>
      </c>
      <c r="D79" s="1779">
        <v>7.01</v>
      </c>
      <c r="E79" s="1779">
        <v>7.01</v>
      </c>
      <c r="F79" s="1784">
        <v>7.01</v>
      </c>
      <c r="G79" s="1784">
        <v>7.01</v>
      </c>
      <c r="H79" s="1784">
        <v>7.01</v>
      </c>
      <c r="I79" s="1784">
        <v>7.01</v>
      </c>
      <c r="J79" s="1782">
        <v>7.01</v>
      </c>
      <c r="K79" s="1782" t="s">
        <v>782</v>
      </c>
      <c r="L79" s="1782" t="s">
        <v>782</v>
      </c>
      <c r="M79" s="1782" t="s">
        <v>782</v>
      </c>
      <c r="N79" s="1782" t="s">
        <v>782</v>
      </c>
      <c r="O79" s="1766"/>
      <c r="P79" s="1766"/>
    </row>
    <row r="80" spans="1:16">
      <c r="A80" s="1784">
        <v>7.02</v>
      </c>
      <c r="B80" s="1784">
        <v>7.02</v>
      </c>
      <c r="C80" s="1784">
        <v>7.02</v>
      </c>
      <c r="D80" s="1784">
        <v>7.02</v>
      </c>
      <c r="E80" s="1784">
        <v>7.02</v>
      </c>
      <c r="F80" s="1784">
        <v>7.02</v>
      </c>
      <c r="G80" s="1784">
        <v>7.02</v>
      </c>
      <c r="H80" s="1784">
        <v>7.02</v>
      </c>
      <c r="I80" s="1784">
        <v>7.02</v>
      </c>
      <c r="J80" s="1782">
        <v>7.02</v>
      </c>
      <c r="K80" s="1782" t="s">
        <v>783</v>
      </c>
      <c r="L80" s="1782" t="s">
        <v>783</v>
      </c>
      <c r="M80" s="1782" t="s">
        <v>783</v>
      </c>
      <c r="N80" s="1782" t="s">
        <v>783</v>
      </c>
      <c r="O80" s="1766"/>
      <c r="P80" s="1766"/>
    </row>
    <row r="81" spans="1:16">
      <c r="A81" s="1784">
        <v>7.03</v>
      </c>
      <c r="B81" s="1784">
        <v>7.03</v>
      </c>
      <c r="C81" s="1784">
        <v>7.03</v>
      </c>
      <c r="D81" s="1784">
        <v>7.03</v>
      </c>
      <c r="E81" s="1784">
        <v>7.03</v>
      </c>
      <c r="F81" s="1784">
        <v>7.03</v>
      </c>
      <c r="G81" s="1784">
        <v>7.03</v>
      </c>
      <c r="H81" s="1784">
        <v>7.03</v>
      </c>
      <c r="I81" s="1784">
        <v>7.03</v>
      </c>
      <c r="J81" s="1782">
        <v>7.03</v>
      </c>
      <c r="K81" s="1782" t="s">
        <v>784</v>
      </c>
      <c r="L81" s="1782" t="s">
        <v>784</v>
      </c>
      <c r="M81" s="1782" t="s">
        <v>784</v>
      </c>
      <c r="N81" s="1782" t="s">
        <v>784</v>
      </c>
      <c r="O81" s="1766"/>
      <c r="P81" s="1766"/>
    </row>
    <row r="82" spans="1:16">
      <c r="A82" s="1783">
        <v>7.04</v>
      </c>
      <c r="B82" s="1783">
        <v>7.04</v>
      </c>
      <c r="C82" s="1784">
        <v>7.04</v>
      </c>
      <c r="D82" s="1784">
        <v>7.04</v>
      </c>
      <c r="E82" s="1784">
        <v>7.04</v>
      </c>
      <c r="F82" s="1789">
        <v>7.04</v>
      </c>
      <c r="G82" s="1789">
        <v>7.04</v>
      </c>
      <c r="H82" s="1789">
        <v>7.04</v>
      </c>
      <c r="I82" s="1789">
        <v>7.04</v>
      </c>
      <c r="J82" s="1780">
        <v>7.04</v>
      </c>
      <c r="K82" s="1780" t="s">
        <v>785</v>
      </c>
      <c r="L82" s="1780" t="s">
        <v>785</v>
      </c>
      <c r="M82" s="1780" t="s">
        <v>785</v>
      </c>
      <c r="N82" s="1780" t="s">
        <v>785</v>
      </c>
      <c r="O82" s="1766"/>
      <c r="P82" s="1766"/>
    </row>
    <row r="83" spans="1:16">
      <c r="A83" s="1783">
        <v>7.05</v>
      </c>
      <c r="B83" s="1783">
        <v>7.05</v>
      </c>
      <c r="C83" s="1784">
        <v>7.05</v>
      </c>
      <c r="D83" s="1784">
        <v>7.05</v>
      </c>
      <c r="E83" s="1784">
        <v>7.05</v>
      </c>
      <c r="F83" s="1789">
        <v>7.05</v>
      </c>
      <c r="G83" s="1789">
        <v>7.05</v>
      </c>
      <c r="H83" s="1789">
        <v>7.05</v>
      </c>
      <c r="I83" s="1789">
        <v>7.05</v>
      </c>
      <c r="J83" s="1780">
        <v>7.05</v>
      </c>
      <c r="K83" s="1780" t="s">
        <v>786</v>
      </c>
      <c r="L83" s="1780" t="s">
        <v>786</v>
      </c>
      <c r="M83" s="1780" t="s">
        <v>786</v>
      </c>
      <c r="N83" s="1780" t="s">
        <v>786</v>
      </c>
      <c r="O83" s="1766"/>
      <c r="P83" s="1766"/>
    </row>
    <row r="84" spans="1:16">
      <c r="A84" s="1790">
        <v>8.01</v>
      </c>
      <c r="B84" s="1790">
        <v>8.01</v>
      </c>
      <c r="C84" s="1784">
        <v>8.01</v>
      </c>
      <c r="D84" s="1784">
        <v>8.01</v>
      </c>
      <c r="E84" s="1784">
        <v>8.01</v>
      </c>
      <c r="F84" s="1776">
        <v>8.01</v>
      </c>
      <c r="G84" s="1776">
        <v>8.01</v>
      </c>
      <c r="H84" s="1776">
        <v>8.01</v>
      </c>
      <c r="I84" s="1776">
        <v>8.01</v>
      </c>
      <c r="J84" s="1777">
        <v>8.01</v>
      </c>
      <c r="K84" s="1780" t="s">
        <v>1320</v>
      </c>
      <c r="L84" s="1780" t="s">
        <v>1320</v>
      </c>
      <c r="M84" s="1780" t="s">
        <v>1320</v>
      </c>
      <c r="N84" s="1780" t="s">
        <v>1320</v>
      </c>
      <c r="O84" s="1766"/>
      <c r="P84" s="1766"/>
    </row>
    <row r="85" spans="1:16">
      <c r="A85" s="1790">
        <v>8.02</v>
      </c>
      <c r="B85" s="1790">
        <v>8.02</v>
      </c>
      <c r="C85" s="1779">
        <v>8.02</v>
      </c>
      <c r="D85" s="1779">
        <v>8.02</v>
      </c>
      <c r="E85" s="1779">
        <v>8.02</v>
      </c>
      <c r="F85" s="1776">
        <v>1.01</v>
      </c>
      <c r="G85" s="1776">
        <v>1.01</v>
      </c>
      <c r="H85" s="1776">
        <v>1.01</v>
      </c>
      <c r="I85" s="1776">
        <v>1.01</v>
      </c>
      <c r="J85" s="1777">
        <v>1.01</v>
      </c>
      <c r="K85" s="1778" t="s">
        <v>744</v>
      </c>
      <c r="L85" s="1778" t="s">
        <v>744</v>
      </c>
      <c r="M85" s="1778" t="s">
        <v>744</v>
      </c>
      <c r="N85" s="1778" t="s">
        <v>744</v>
      </c>
      <c r="O85" s="1766"/>
      <c r="P85" s="1766"/>
    </row>
    <row r="86" spans="1:16">
      <c r="A86" s="1790">
        <v>8.0299999999999994</v>
      </c>
      <c r="B86" s="1790">
        <v>8.0299999999999994</v>
      </c>
      <c r="C86" s="1784">
        <v>8.0299999999999994</v>
      </c>
      <c r="D86" s="1784">
        <v>8.0299999999999994</v>
      </c>
      <c r="E86" s="1784">
        <v>8.0299999999999994</v>
      </c>
      <c r="F86" s="1776">
        <v>8.0299999999999994</v>
      </c>
      <c r="G86" s="1776">
        <v>8.0299999999999994</v>
      </c>
      <c r="H86" s="1776">
        <v>8.0299999999999994</v>
      </c>
      <c r="I86" s="1776">
        <v>8.0299999999999994</v>
      </c>
      <c r="J86" s="1777">
        <v>8.0299999999999994</v>
      </c>
      <c r="K86" s="1780" t="s">
        <v>1325</v>
      </c>
      <c r="L86" s="1780" t="s">
        <v>1325</v>
      </c>
      <c r="M86" s="1780" t="s">
        <v>1325</v>
      </c>
      <c r="N86" s="1780" t="s">
        <v>1325</v>
      </c>
      <c r="O86" s="1766"/>
      <c r="P86" s="1766"/>
    </row>
    <row r="87" spans="1:16">
      <c r="A87" s="1790">
        <v>8.0399999999999991</v>
      </c>
      <c r="B87" s="1790">
        <v>8.0399999999999991</v>
      </c>
      <c r="C87" s="1784">
        <v>8.0399999999999991</v>
      </c>
      <c r="D87" s="1784">
        <v>8.0399999999999991</v>
      </c>
      <c r="E87" s="1784">
        <v>8.0399999999999991</v>
      </c>
      <c r="F87" s="1779">
        <v>8.0399999999999991</v>
      </c>
      <c r="G87" s="1779">
        <v>8.0399999999999991</v>
      </c>
      <c r="H87" s="1779">
        <v>8.0399999999999991</v>
      </c>
      <c r="I87" s="1779">
        <v>8.0399999999999991</v>
      </c>
      <c r="J87" s="1781">
        <v>8.0399999999999991</v>
      </c>
      <c r="K87" s="1782" t="s">
        <v>1327</v>
      </c>
      <c r="L87" s="1782" t="s">
        <v>1327</v>
      </c>
      <c r="M87" s="1780" t="s">
        <v>1327</v>
      </c>
      <c r="N87" s="1780" t="s">
        <v>1327</v>
      </c>
      <c r="O87" s="1766"/>
      <c r="P87" s="1766"/>
    </row>
    <row r="88" spans="1:16">
      <c r="A88" s="1790">
        <v>8.0500000000000007</v>
      </c>
      <c r="B88" s="1790">
        <v>8.0500000000000007</v>
      </c>
      <c r="C88" s="1784">
        <v>8.0500000000000007</v>
      </c>
      <c r="D88" s="1784">
        <v>8.0500000000000007</v>
      </c>
      <c r="E88" s="1784">
        <v>8.0500000000000007</v>
      </c>
      <c r="F88" s="1779">
        <v>8.0500000000000007</v>
      </c>
      <c r="G88" s="1779">
        <v>8.0500000000000007</v>
      </c>
      <c r="H88" s="1779">
        <v>8.0500000000000007</v>
      </c>
      <c r="I88" s="1779">
        <v>8.0500000000000007</v>
      </c>
      <c r="J88" s="1781">
        <v>8.0500000000000007</v>
      </c>
      <c r="K88" s="1782" t="s">
        <v>1329</v>
      </c>
      <c r="L88" s="1782" t="s">
        <v>1329</v>
      </c>
      <c r="M88" s="1782" t="s">
        <v>1329</v>
      </c>
      <c r="N88" s="1782" t="s">
        <v>1329</v>
      </c>
      <c r="O88" s="1766"/>
      <c r="P88" s="1766"/>
    </row>
    <row r="89" spans="1:16">
      <c r="A89" s="1790">
        <v>8.06</v>
      </c>
      <c r="B89" s="1790">
        <v>8.06</v>
      </c>
      <c r="C89" s="1784">
        <v>8.06</v>
      </c>
      <c r="D89" s="1784">
        <v>8.06</v>
      </c>
      <c r="E89" s="1784">
        <v>8.06</v>
      </c>
      <c r="F89" s="1779">
        <v>8.06</v>
      </c>
      <c r="G89" s="1779">
        <v>8.06</v>
      </c>
      <c r="H89" s="1779">
        <v>8.06</v>
      </c>
      <c r="I89" s="1779">
        <v>8.06</v>
      </c>
      <c r="J89" s="1781">
        <v>8.06</v>
      </c>
      <c r="K89" s="1782" t="s">
        <v>1330</v>
      </c>
      <c r="L89" s="1782" t="s">
        <v>1330</v>
      </c>
      <c r="M89" s="1782" t="s">
        <v>1330</v>
      </c>
      <c r="N89" s="1782" t="s">
        <v>1330</v>
      </c>
      <c r="O89" s="1766"/>
      <c r="P89" s="1766"/>
    </row>
    <row r="90" spans="1:16">
      <c r="A90" s="1790">
        <v>8.07</v>
      </c>
      <c r="B90" s="1790">
        <v>8.07</v>
      </c>
      <c r="C90" s="1784">
        <v>8.07</v>
      </c>
      <c r="D90" s="1784">
        <v>8.07</v>
      </c>
      <c r="E90" s="1784">
        <v>8.07</v>
      </c>
      <c r="F90" s="1779">
        <v>8.07</v>
      </c>
      <c r="G90" s="1779">
        <v>8.07</v>
      </c>
      <c r="H90" s="1779">
        <v>8.07</v>
      </c>
      <c r="I90" s="1779">
        <v>8.07</v>
      </c>
      <c r="J90" s="1781">
        <v>8.07</v>
      </c>
      <c r="K90" s="1782" t="s">
        <v>1333</v>
      </c>
      <c r="L90" s="1782" t="s">
        <v>1333</v>
      </c>
      <c r="M90" s="1782" t="s">
        <v>1333</v>
      </c>
      <c r="N90" s="1782" t="s">
        <v>1333</v>
      </c>
      <c r="O90" s="1766"/>
      <c r="P90" s="1766"/>
    </row>
    <row r="91" spans="1:16">
      <c r="A91" s="1790">
        <v>8.08</v>
      </c>
      <c r="B91" s="1790">
        <v>8.08</v>
      </c>
      <c r="C91" s="1789">
        <v>8.08</v>
      </c>
      <c r="D91" s="1789">
        <v>8.08</v>
      </c>
      <c r="E91" s="1789">
        <v>8.08</v>
      </c>
      <c r="F91" s="1779">
        <v>8.08</v>
      </c>
      <c r="G91" s="1779">
        <v>8.08</v>
      </c>
      <c r="H91" s="1779">
        <v>8.08</v>
      </c>
      <c r="I91" s="1779">
        <v>8.08</v>
      </c>
      <c r="J91" s="1781">
        <v>8.08</v>
      </c>
      <c r="K91" s="1782" t="s">
        <v>1337</v>
      </c>
      <c r="L91" s="1782" t="s">
        <v>1337</v>
      </c>
      <c r="M91" s="1782" t="s">
        <v>1337</v>
      </c>
      <c r="N91" s="1782" t="s">
        <v>1337</v>
      </c>
      <c r="O91" s="1766"/>
      <c r="P91" s="1766"/>
    </row>
    <row r="92" spans="1:16">
      <c r="A92" s="1790">
        <v>8.09</v>
      </c>
      <c r="B92" s="1790">
        <v>8.09</v>
      </c>
      <c r="C92" s="1789">
        <v>8.09</v>
      </c>
      <c r="D92" s="1789">
        <v>8.09</v>
      </c>
      <c r="E92" s="1789">
        <v>8.09</v>
      </c>
      <c r="F92" s="1779">
        <v>8.09</v>
      </c>
      <c r="G92" s="1779">
        <v>8.09</v>
      </c>
      <c r="H92" s="1779">
        <v>8.09</v>
      </c>
      <c r="I92" s="1779">
        <v>8.09</v>
      </c>
      <c r="J92" s="1781">
        <v>8.09</v>
      </c>
      <c r="K92" s="1782" t="s">
        <v>1335</v>
      </c>
      <c r="L92" s="1782" t="s">
        <v>1335</v>
      </c>
      <c r="M92" s="1782" t="s">
        <v>1335</v>
      </c>
      <c r="N92" s="1782" t="s">
        <v>1335</v>
      </c>
      <c r="O92" s="1766"/>
      <c r="P92" s="1766"/>
    </row>
    <row r="93" spans="1:16">
      <c r="A93" s="1789" t="s">
        <v>756</v>
      </c>
      <c r="B93" s="1789" t="s">
        <v>756</v>
      </c>
      <c r="C93" s="1789" t="s">
        <v>756</v>
      </c>
      <c r="D93" s="1789" t="s">
        <v>756</v>
      </c>
      <c r="E93" s="1789" t="s">
        <v>756</v>
      </c>
      <c r="F93" s="1779">
        <v>8.1</v>
      </c>
      <c r="G93" s="1779">
        <v>8.1</v>
      </c>
      <c r="H93" s="1779">
        <v>8.1</v>
      </c>
      <c r="I93" s="1779">
        <v>8.1</v>
      </c>
      <c r="J93" s="1781">
        <v>8.1</v>
      </c>
      <c r="K93" s="1782" t="s">
        <v>1336</v>
      </c>
      <c r="L93" s="1782" t="s">
        <v>1336</v>
      </c>
      <c r="M93" s="1782" t="s">
        <v>1336</v>
      </c>
      <c r="N93" s="1782" t="s">
        <v>1336</v>
      </c>
      <c r="O93" s="1766"/>
      <c r="P93" s="1766"/>
    </row>
    <row r="94" spans="1:16">
      <c r="A94" s="1789" t="s">
        <v>757</v>
      </c>
      <c r="B94" s="1789" t="s">
        <v>757</v>
      </c>
      <c r="C94" s="1789" t="s">
        <v>757</v>
      </c>
      <c r="D94" s="1789" t="s">
        <v>757</v>
      </c>
      <c r="E94" s="1789" t="s">
        <v>757</v>
      </c>
      <c r="F94" s="1779">
        <v>8.11</v>
      </c>
      <c r="G94" s="1779">
        <v>8.11</v>
      </c>
      <c r="H94" s="1779" t="s">
        <v>744</v>
      </c>
      <c r="I94" s="1779" t="s">
        <v>744</v>
      </c>
      <c r="J94" s="1779" t="s">
        <v>744</v>
      </c>
      <c r="K94" s="1779" t="s">
        <v>744</v>
      </c>
      <c r="L94" s="1779" t="s">
        <v>744</v>
      </c>
      <c r="M94" s="1779" t="s">
        <v>744</v>
      </c>
      <c r="N94" s="1779" t="s">
        <v>744</v>
      </c>
      <c r="O94" s="1766"/>
      <c r="P94" s="1766"/>
    </row>
    <row r="95" spans="1:16">
      <c r="A95" s="1783">
        <v>8.1199999999999992</v>
      </c>
      <c r="B95" s="1783">
        <v>8.1199999999999992</v>
      </c>
      <c r="C95" s="1789">
        <v>8.1199999999999992</v>
      </c>
      <c r="D95" s="1789">
        <v>8.1199999999999992</v>
      </c>
      <c r="E95" s="1789">
        <v>8.1199999999999992</v>
      </c>
      <c r="F95" s="1779">
        <v>8.02</v>
      </c>
      <c r="G95" s="1779">
        <v>8.1199999999999992</v>
      </c>
      <c r="H95" s="1779" t="s">
        <v>744</v>
      </c>
      <c r="I95" s="1779" t="s">
        <v>744</v>
      </c>
      <c r="J95" s="1779" t="s">
        <v>744</v>
      </c>
      <c r="K95" s="1779" t="s">
        <v>744</v>
      </c>
      <c r="L95" s="1779" t="s">
        <v>744</v>
      </c>
      <c r="M95" s="1779" t="s">
        <v>744</v>
      </c>
      <c r="N95" s="1779" t="s">
        <v>744</v>
      </c>
      <c r="O95" s="1766"/>
      <c r="P95" s="1766"/>
    </row>
    <row r="96" spans="1:16">
      <c r="A96" s="1783">
        <v>9.01</v>
      </c>
      <c r="B96" s="1783">
        <v>9.01</v>
      </c>
      <c r="C96" s="1779">
        <v>9.01</v>
      </c>
      <c r="D96" s="1779">
        <v>9.01</v>
      </c>
      <c r="E96" s="1779">
        <v>9.01</v>
      </c>
      <c r="F96" s="1779">
        <v>9.01</v>
      </c>
      <c r="G96" s="1779">
        <v>9.01</v>
      </c>
      <c r="H96" s="1779" t="s">
        <v>744</v>
      </c>
      <c r="I96" s="1779" t="s">
        <v>744</v>
      </c>
      <c r="J96" s="1779" t="s">
        <v>744</v>
      </c>
      <c r="K96" s="1785" t="s">
        <v>744</v>
      </c>
      <c r="L96" s="1785" t="s">
        <v>744</v>
      </c>
      <c r="M96" s="1785" t="s">
        <v>744</v>
      </c>
      <c r="N96" s="1785" t="s">
        <v>744</v>
      </c>
      <c r="O96" s="1766"/>
      <c r="P96" s="1766"/>
    </row>
    <row r="97" spans="1:16">
      <c r="A97" s="1790">
        <v>9.02</v>
      </c>
      <c r="B97" s="1790">
        <v>9.02</v>
      </c>
      <c r="C97" s="1779">
        <v>9.02</v>
      </c>
      <c r="D97" s="1779">
        <v>9.02</v>
      </c>
      <c r="E97" s="1779">
        <v>9.02</v>
      </c>
      <c r="F97" s="1779">
        <v>9.02</v>
      </c>
      <c r="G97" s="1779">
        <v>9.02</v>
      </c>
      <c r="H97" s="1779">
        <v>9.02</v>
      </c>
      <c r="I97" s="1779">
        <v>9.02</v>
      </c>
      <c r="J97" s="1781">
        <v>9.02</v>
      </c>
      <c r="K97" s="1785" t="s">
        <v>744</v>
      </c>
      <c r="L97" s="1785" t="s">
        <v>744</v>
      </c>
      <c r="M97" s="1785" t="s">
        <v>744</v>
      </c>
      <c r="N97" s="1785" t="s">
        <v>744</v>
      </c>
      <c r="O97" s="1766"/>
      <c r="P97" s="1766"/>
    </row>
    <row r="98" spans="1:16">
      <c r="A98" s="1790">
        <v>9.0299999999999994</v>
      </c>
      <c r="B98" s="1790">
        <v>9.0299999999999994</v>
      </c>
      <c r="C98" s="1779">
        <v>9.0299999999999994</v>
      </c>
      <c r="D98" s="1779">
        <v>9.0299999999999994</v>
      </c>
      <c r="E98" s="1779">
        <v>9.0299999999999994</v>
      </c>
      <c r="F98" s="1779">
        <v>9.0299999999999994</v>
      </c>
      <c r="G98" s="1779">
        <v>9.0299999999999994</v>
      </c>
      <c r="H98" s="1779">
        <v>9.0299999999999994</v>
      </c>
      <c r="I98" s="1779">
        <v>9.0299999999999994</v>
      </c>
      <c r="J98" s="1781">
        <v>9.0299999999999994</v>
      </c>
      <c r="K98" s="1785" t="s">
        <v>744</v>
      </c>
      <c r="L98" s="1785" t="s">
        <v>744</v>
      </c>
      <c r="M98" s="1785" t="s">
        <v>744</v>
      </c>
      <c r="N98" s="1785" t="s">
        <v>744</v>
      </c>
      <c r="O98" s="1766"/>
      <c r="P98" s="1766"/>
    </row>
    <row r="99" spans="1:16">
      <c r="A99" s="1790">
        <v>9.0399999999999991</v>
      </c>
      <c r="B99" s="1790">
        <v>9.0399999999999991</v>
      </c>
      <c r="C99" s="1779">
        <v>9.0399999999999991</v>
      </c>
      <c r="D99" s="1779">
        <v>9.0399999999999991</v>
      </c>
      <c r="E99" s="1779">
        <v>9.0399999999999991</v>
      </c>
      <c r="F99" s="1779">
        <v>9.0399999999999991</v>
      </c>
      <c r="G99" s="1779">
        <v>9.0399999999999991</v>
      </c>
      <c r="H99" s="1779">
        <v>9.0399999999999991</v>
      </c>
      <c r="I99" s="1779">
        <v>9.0399999999999991</v>
      </c>
      <c r="J99" s="1791" t="s">
        <v>744</v>
      </c>
      <c r="K99" s="1785" t="s">
        <v>744</v>
      </c>
      <c r="L99" s="1785" t="s">
        <v>744</v>
      </c>
      <c r="M99" s="1785" t="s">
        <v>744</v>
      </c>
      <c r="N99" s="1785" t="s">
        <v>744</v>
      </c>
      <c r="O99" s="1766"/>
      <c r="P99" s="1766"/>
    </row>
    <row r="100" spans="1:16">
      <c r="A100" s="1790">
        <v>9.0500000000000007</v>
      </c>
      <c r="B100" s="1790">
        <v>9.0500000000000007</v>
      </c>
      <c r="C100" s="1779">
        <v>9.0500000000000007</v>
      </c>
      <c r="D100" s="1779">
        <v>9.0500000000000007</v>
      </c>
      <c r="E100" s="1779">
        <v>9.0500000000000007</v>
      </c>
      <c r="F100" s="1779">
        <v>9.0500000000000007</v>
      </c>
      <c r="G100" s="1779">
        <v>9.0500000000000007</v>
      </c>
      <c r="H100" s="1779">
        <v>9.0500000000000007</v>
      </c>
      <c r="I100" s="1779">
        <v>9.0500000000000007</v>
      </c>
      <c r="J100" s="1791" t="s">
        <v>744</v>
      </c>
      <c r="K100" s="1785" t="s">
        <v>744</v>
      </c>
      <c r="L100" s="1785" t="s">
        <v>744</v>
      </c>
      <c r="M100" s="1785" t="s">
        <v>744</v>
      </c>
      <c r="N100" s="1785" t="s">
        <v>744</v>
      </c>
      <c r="O100" s="1766"/>
      <c r="P100" s="1766"/>
    </row>
    <row r="101" spans="1:16">
      <c r="A101" s="1790">
        <v>9.06</v>
      </c>
      <c r="B101" s="1790">
        <v>9.06</v>
      </c>
      <c r="C101" s="1779">
        <v>9.06</v>
      </c>
      <c r="D101" s="1779">
        <v>9.06</v>
      </c>
      <c r="E101" s="1779">
        <v>9.06</v>
      </c>
      <c r="F101" s="1779">
        <v>9.06</v>
      </c>
      <c r="G101" s="1779">
        <v>9.06</v>
      </c>
      <c r="H101" s="1779">
        <v>9.06</v>
      </c>
      <c r="I101" s="1779">
        <v>9.06</v>
      </c>
      <c r="J101" s="1781" t="s">
        <v>744</v>
      </c>
      <c r="K101" s="1782" t="s">
        <v>744</v>
      </c>
      <c r="L101" s="1782" t="s">
        <v>744</v>
      </c>
      <c r="M101" s="1782" t="s">
        <v>744</v>
      </c>
      <c r="N101" s="1782" t="s">
        <v>744</v>
      </c>
      <c r="O101" s="1766"/>
      <c r="P101" s="1766"/>
    </row>
    <row r="102" spans="1:16">
      <c r="A102" s="1790">
        <v>9.07</v>
      </c>
      <c r="B102" s="1790">
        <v>9.07</v>
      </c>
      <c r="C102" s="1779">
        <v>9.07</v>
      </c>
      <c r="D102" s="1779">
        <v>9.07</v>
      </c>
      <c r="E102" s="1779">
        <v>9.07</v>
      </c>
      <c r="F102" s="1783">
        <v>9.2100000000000009</v>
      </c>
      <c r="G102" s="1784" t="s">
        <v>744</v>
      </c>
      <c r="H102" s="1784" t="s">
        <v>744</v>
      </c>
      <c r="I102" s="1784" t="s">
        <v>744</v>
      </c>
      <c r="J102" s="1784" t="s">
        <v>744</v>
      </c>
      <c r="K102" s="1784" t="s">
        <v>744</v>
      </c>
      <c r="L102" s="1784" t="s">
        <v>744</v>
      </c>
      <c r="M102" s="1784" t="s">
        <v>744</v>
      </c>
      <c r="N102" s="1784" t="s">
        <v>744</v>
      </c>
      <c r="O102" s="1766"/>
      <c r="P102" s="1766"/>
    </row>
    <row r="103" spans="1:16">
      <c r="A103" s="1790">
        <v>9.08</v>
      </c>
      <c r="B103" s="1790">
        <v>9.08</v>
      </c>
      <c r="C103" s="1779">
        <v>9.08</v>
      </c>
      <c r="D103" s="1779">
        <v>9.08</v>
      </c>
      <c r="E103" s="1779">
        <v>9.08</v>
      </c>
      <c r="F103" s="1779">
        <v>9.08</v>
      </c>
      <c r="G103" s="1779">
        <v>9.08</v>
      </c>
      <c r="H103" s="1779">
        <v>9.08</v>
      </c>
      <c r="I103" s="1779">
        <v>9.08</v>
      </c>
      <c r="J103" s="1781" t="s">
        <v>744</v>
      </c>
      <c r="K103" s="1782" t="s">
        <v>744</v>
      </c>
      <c r="L103" s="1782" t="s">
        <v>744</v>
      </c>
      <c r="M103" s="1782" t="s">
        <v>744</v>
      </c>
      <c r="N103" s="1782" t="s">
        <v>744</v>
      </c>
      <c r="O103" s="1766"/>
      <c r="P103" s="1766"/>
    </row>
    <row r="104" spans="1:16">
      <c r="A104" s="1790">
        <v>9.09</v>
      </c>
      <c r="B104" s="1790">
        <v>9.09</v>
      </c>
      <c r="C104" s="1779">
        <v>9.09</v>
      </c>
      <c r="D104" s="1779">
        <v>9.09</v>
      </c>
      <c r="E104" s="1779">
        <v>9.09</v>
      </c>
      <c r="F104" s="1779">
        <v>9.09</v>
      </c>
      <c r="G104" s="1779">
        <v>9.09</v>
      </c>
      <c r="H104" s="1779">
        <v>9.09</v>
      </c>
      <c r="I104" s="1779">
        <v>9.09</v>
      </c>
      <c r="J104" s="1781">
        <v>9.09</v>
      </c>
      <c r="K104" s="1782" t="s">
        <v>776</v>
      </c>
      <c r="L104" s="1782" t="s">
        <v>776</v>
      </c>
      <c r="M104" s="1782" t="s">
        <v>776</v>
      </c>
      <c r="N104" s="1782" t="s">
        <v>743</v>
      </c>
      <c r="O104" s="1766"/>
      <c r="P104" s="1766"/>
    </row>
    <row r="105" spans="1:16">
      <c r="A105" s="1790" t="s">
        <v>736</v>
      </c>
      <c r="B105" s="1790" t="s">
        <v>736</v>
      </c>
      <c r="C105" s="1779" t="s">
        <v>736</v>
      </c>
      <c r="D105" s="1779" t="s">
        <v>736</v>
      </c>
      <c r="E105" s="1779" t="s">
        <v>736</v>
      </c>
      <c r="F105" s="1787" t="s">
        <v>736</v>
      </c>
      <c r="G105" s="1779">
        <v>9.09</v>
      </c>
      <c r="H105" s="1779">
        <v>9.09</v>
      </c>
      <c r="I105" s="1787" t="s">
        <v>736</v>
      </c>
      <c r="J105" s="1781">
        <v>9.08</v>
      </c>
      <c r="K105" s="1782" t="s">
        <v>738</v>
      </c>
      <c r="L105" s="1782" t="s">
        <v>735</v>
      </c>
      <c r="M105" s="1782" t="s">
        <v>735</v>
      </c>
      <c r="N105" s="1782" t="s">
        <v>734</v>
      </c>
      <c r="O105" s="1766"/>
      <c r="P105" s="1766"/>
    </row>
    <row r="106" spans="1:16">
      <c r="A106" s="1790">
        <v>9.11</v>
      </c>
      <c r="B106" s="1790">
        <v>9.11</v>
      </c>
      <c r="C106" s="1779">
        <v>9.11</v>
      </c>
      <c r="D106" s="1779">
        <v>9.11</v>
      </c>
      <c r="E106" s="1779">
        <v>9.11</v>
      </c>
      <c r="F106" s="1779">
        <v>9.11</v>
      </c>
      <c r="G106" s="1779">
        <v>9.11</v>
      </c>
      <c r="H106" s="1779">
        <v>9.11</v>
      </c>
      <c r="I106" s="1779">
        <v>9.11</v>
      </c>
      <c r="J106" s="1781">
        <v>9.11</v>
      </c>
      <c r="K106" s="1785" t="s">
        <v>744</v>
      </c>
      <c r="L106" s="1785" t="s">
        <v>744</v>
      </c>
      <c r="M106" s="1785" t="s">
        <v>744</v>
      </c>
      <c r="N106" s="1785" t="s">
        <v>744</v>
      </c>
      <c r="O106" s="1766"/>
      <c r="P106" s="1766"/>
    </row>
    <row r="107" spans="1:16">
      <c r="A107" s="1790">
        <v>9.1199999999999992</v>
      </c>
      <c r="B107" s="1790">
        <v>9.1199999999999992</v>
      </c>
      <c r="C107" s="1779">
        <v>9.1199999999999992</v>
      </c>
      <c r="D107" s="1779">
        <v>9.1199999999999992</v>
      </c>
      <c r="E107" s="1779">
        <v>9.1199999999999992</v>
      </c>
      <c r="F107" s="1779">
        <v>9.1199999999999992</v>
      </c>
      <c r="G107" s="1779">
        <v>9.1199999999999992</v>
      </c>
      <c r="H107" s="1779">
        <v>9.1199999999999992</v>
      </c>
      <c r="I107" s="1779">
        <v>9.1199999999999992</v>
      </c>
      <c r="J107" s="1781">
        <v>9.0399999999999991</v>
      </c>
      <c r="K107" s="1782" t="s">
        <v>831</v>
      </c>
      <c r="L107" s="1782" t="s">
        <v>831</v>
      </c>
      <c r="M107" s="1782" t="s">
        <v>831</v>
      </c>
      <c r="N107" s="1782" t="s">
        <v>830</v>
      </c>
      <c r="O107" s="1766"/>
      <c r="P107" s="1766"/>
    </row>
    <row r="108" spans="1:16">
      <c r="A108" s="1790">
        <v>9.1300000000000008</v>
      </c>
      <c r="B108" s="1790">
        <v>9.1300000000000008</v>
      </c>
      <c r="C108" s="1779">
        <v>9.1300000000000008</v>
      </c>
      <c r="D108" s="1779">
        <v>9.1300000000000008</v>
      </c>
      <c r="E108" s="1779">
        <v>9.1300000000000008</v>
      </c>
      <c r="F108" s="1779">
        <v>9.1300000000000008</v>
      </c>
      <c r="G108" s="1779">
        <v>9.1300000000000008</v>
      </c>
      <c r="H108" s="1779">
        <v>9.1300000000000008</v>
      </c>
      <c r="I108" s="1779">
        <v>9.1300000000000008</v>
      </c>
      <c r="J108" s="1781">
        <v>9.0500000000000007</v>
      </c>
      <c r="K108" s="1782" t="s">
        <v>833</v>
      </c>
      <c r="L108" s="1782" t="s">
        <v>833</v>
      </c>
      <c r="M108" s="1782" t="s">
        <v>833</v>
      </c>
      <c r="N108" s="1782" t="s">
        <v>832</v>
      </c>
      <c r="O108" s="1766"/>
      <c r="P108" s="1766"/>
    </row>
    <row r="109" spans="1:16">
      <c r="A109" s="1790">
        <v>9.14</v>
      </c>
      <c r="B109" s="1790">
        <v>9.14</v>
      </c>
      <c r="C109" s="1779">
        <v>9.14</v>
      </c>
      <c r="D109" s="1779">
        <v>9.14</v>
      </c>
      <c r="E109" s="1779">
        <v>9.14</v>
      </c>
      <c r="F109" s="1779">
        <v>9.14</v>
      </c>
      <c r="G109" s="1779">
        <v>9.14</v>
      </c>
      <c r="H109" s="1779">
        <v>9.14</v>
      </c>
      <c r="I109" s="1779">
        <v>9.14</v>
      </c>
      <c r="J109" s="1781">
        <v>9.06</v>
      </c>
      <c r="K109" s="1782" t="s">
        <v>829</v>
      </c>
      <c r="L109" s="1782" t="s">
        <v>829</v>
      </c>
      <c r="M109" s="1782" t="s">
        <v>829</v>
      </c>
      <c r="N109" s="1782" t="s">
        <v>828</v>
      </c>
      <c r="O109" s="1766"/>
      <c r="P109" s="1766"/>
    </row>
    <row r="110" spans="1:16">
      <c r="A110" s="1790">
        <v>9.15</v>
      </c>
      <c r="B110" s="1790">
        <v>9.15</v>
      </c>
      <c r="C110" s="1779">
        <v>9.15</v>
      </c>
      <c r="D110" s="1779">
        <v>9.15</v>
      </c>
      <c r="E110" s="1779">
        <v>9.15</v>
      </c>
      <c r="F110" s="1779">
        <v>1.41</v>
      </c>
      <c r="G110" s="1779" t="s">
        <v>744</v>
      </c>
      <c r="H110" s="1779" t="s">
        <v>744</v>
      </c>
      <c r="I110" s="1779" t="s">
        <v>744</v>
      </c>
      <c r="J110" s="1779" t="s">
        <v>744</v>
      </c>
      <c r="K110" s="1779" t="s">
        <v>744</v>
      </c>
      <c r="L110" s="1779" t="s">
        <v>744</v>
      </c>
      <c r="M110" s="1779" t="s">
        <v>744</v>
      </c>
      <c r="N110" s="1779" t="s">
        <v>744</v>
      </c>
      <c r="O110" s="1766"/>
      <c r="P110" s="1766"/>
    </row>
    <row r="111" spans="1:16">
      <c r="A111" s="1790" t="s">
        <v>724</v>
      </c>
      <c r="B111" s="1790" t="s">
        <v>724</v>
      </c>
      <c r="C111" s="1779" t="s">
        <v>759</v>
      </c>
      <c r="D111" s="1779" t="s">
        <v>759</v>
      </c>
      <c r="E111" s="1779" t="s">
        <v>759</v>
      </c>
      <c r="F111" s="1779">
        <v>1.07</v>
      </c>
      <c r="G111" s="1779">
        <v>1.07</v>
      </c>
      <c r="H111" s="1779">
        <v>1.07</v>
      </c>
      <c r="I111" s="1779">
        <v>1.07</v>
      </c>
      <c r="J111" s="1781">
        <v>1.07</v>
      </c>
      <c r="K111" s="1782" t="s">
        <v>1542</v>
      </c>
      <c r="L111" s="1782" t="s">
        <v>1542</v>
      </c>
      <c r="M111" s="1782" t="s">
        <v>1542</v>
      </c>
      <c r="N111" s="1782" t="s">
        <v>1542</v>
      </c>
      <c r="O111" s="1766"/>
      <c r="P111" s="1766"/>
    </row>
    <row r="112" spans="1:16">
      <c r="A112" s="1790">
        <v>9.17</v>
      </c>
      <c r="B112" s="1790">
        <v>9.17</v>
      </c>
      <c r="C112" s="1779">
        <v>9.17</v>
      </c>
      <c r="D112" s="1779">
        <v>9.17</v>
      </c>
      <c r="E112" s="1779">
        <v>9.17</v>
      </c>
      <c r="F112" s="1779">
        <v>9.17</v>
      </c>
      <c r="G112" s="1779">
        <v>9.17</v>
      </c>
      <c r="H112" s="1779">
        <v>9.17</v>
      </c>
      <c r="I112" s="1779">
        <v>9.17</v>
      </c>
      <c r="J112" s="1791" t="s">
        <v>744</v>
      </c>
      <c r="K112" s="1785" t="s">
        <v>744</v>
      </c>
      <c r="L112" s="1785" t="s">
        <v>744</v>
      </c>
      <c r="M112" s="1785" t="s">
        <v>744</v>
      </c>
      <c r="N112" s="1785" t="s">
        <v>744</v>
      </c>
      <c r="O112" s="1766"/>
      <c r="P112" s="1766"/>
    </row>
    <row r="113" spans="1:16">
      <c r="A113" s="1790">
        <v>9.18</v>
      </c>
      <c r="B113" s="1790">
        <v>9.18</v>
      </c>
      <c r="C113" s="1779">
        <v>9.18</v>
      </c>
      <c r="D113" s="1779">
        <v>9.18</v>
      </c>
      <c r="E113" s="1779">
        <v>9.18</v>
      </c>
      <c r="F113" s="1779">
        <v>9.18</v>
      </c>
      <c r="G113" s="1779">
        <v>9.18</v>
      </c>
      <c r="H113" s="1779">
        <v>9.18</v>
      </c>
      <c r="I113" s="1779">
        <v>9.18</v>
      </c>
      <c r="J113" s="1791" t="s">
        <v>744</v>
      </c>
      <c r="K113" s="1785" t="s">
        <v>744</v>
      </c>
      <c r="L113" s="1785" t="s">
        <v>744</v>
      </c>
      <c r="M113" s="1785" t="s">
        <v>744</v>
      </c>
      <c r="N113" s="1785" t="s">
        <v>744</v>
      </c>
      <c r="O113" s="1766"/>
      <c r="P113" s="1766"/>
    </row>
    <row r="114" spans="1:16">
      <c r="A114" s="1790">
        <v>9.19</v>
      </c>
      <c r="B114" s="1790">
        <v>9.19</v>
      </c>
      <c r="C114" s="1779">
        <v>9.19</v>
      </c>
      <c r="D114" s="1779">
        <v>9.19</v>
      </c>
      <c r="E114" s="1779">
        <v>9.19</v>
      </c>
      <c r="F114" s="1779">
        <v>9.19</v>
      </c>
      <c r="G114" s="1779">
        <v>9.19</v>
      </c>
      <c r="H114" s="1779">
        <v>9.01</v>
      </c>
      <c r="I114" s="1779">
        <v>9.01</v>
      </c>
      <c r="J114" s="1781">
        <v>9.01</v>
      </c>
      <c r="K114" s="1785" t="s">
        <v>744</v>
      </c>
      <c r="L114" s="1785" t="s">
        <v>744</v>
      </c>
      <c r="M114" s="1785" t="s">
        <v>744</v>
      </c>
      <c r="N114" s="1785" t="s">
        <v>744</v>
      </c>
      <c r="O114" s="1766"/>
      <c r="P114" s="1766"/>
    </row>
    <row r="115" spans="1:16">
      <c r="A115" s="1790" t="s">
        <v>847</v>
      </c>
      <c r="B115" s="1790" t="s">
        <v>791</v>
      </c>
      <c r="C115" s="1779" t="s">
        <v>791</v>
      </c>
      <c r="D115" s="1779" t="s">
        <v>791</v>
      </c>
      <c r="E115" s="1779" t="s">
        <v>791</v>
      </c>
      <c r="F115" s="1779">
        <v>1.08</v>
      </c>
      <c r="G115" s="1779">
        <v>1.08</v>
      </c>
      <c r="H115" s="1779">
        <v>1.08</v>
      </c>
      <c r="I115" s="1779">
        <v>1.08</v>
      </c>
      <c r="J115" s="1781">
        <v>1.08</v>
      </c>
      <c r="K115" s="1782" t="s">
        <v>1543</v>
      </c>
      <c r="L115" s="1782" t="s">
        <v>1543</v>
      </c>
      <c r="M115" s="1782" t="s">
        <v>1543</v>
      </c>
      <c r="N115" s="1782" t="s">
        <v>1543</v>
      </c>
      <c r="O115" s="1766"/>
      <c r="P115" s="1766"/>
    </row>
    <row r="116" spans="1:16">
      <c r="A116" s="1790" t="s">
        <v>747</v>
      </c>
      <c r="B116" s="1790" t="s">
        <v>747</v>
      </c>
      <c r="C116" s="1779" t="s">
        <v>747</v>
      </c>
      <c r="D116" s="1779" t="s">
        <v>747</v>
      </c>
      <c r="E116" s="1779" t="s">
        <v>747</v>
      </c>
      <c r="F116" s="1783" t="s">
        <v>747</v>
      </c>
      <c r="G116" s="1784">
        <v>2.0099999999999998</v>
      </c>
      <c r="H116" s="1784">
        <v>2.0099999999999998</v>
      </c>
      <c r="I116" s="1784">
        <v>2.0099999999999998</v>
      </c>
      <c r="J116" s="1784">
        <v>2.0099999999999998</v>
      </c>
      <c r="K116" s="1782" t="s">
        <v>739</v>
      </c>
      <c r="L116" s="1782" t="s">
        <v>739</v>
      </c>
      <c r="M116" s="1782" t="s">
        <v>739</v>
      </c>
      <c r="N116" s="1782" t="s">
        <v>744</v>
      </c>
      <c r="O116" s="1766"/>
      <c r="P116" s="1766"/>
    </row>
    <row r="117" spans="1:16">
      <c r="A117" s="1790" t="s">
        <v>748</v>
      </c>
      <c r="B117" s="1790" t="s">
        <v>748</v>
      </c>
      <c r="C117" s="1787" t="s">
        <v>748</v>
      </c>
      <c r="D117" s="1787" t="s">
        <v>748</v>
      </c>
      <c r="E117" s="1787" t="s">
        <v>748</v>
      </c>
      <c r="F117" s="1783" t="s">
        <v>748</v>
      </c>
      <c r="G117" s="1784">
        <v>2.02</v>
      </c>
      <c r="H117" s="1784">
        <v>2.02</v>
      </c>
      <c r="I117" s="1784">
        <v>2.02</v>
      </c>
      <c r="J117" s="1784">
        <v>2.02</v>
      </c>
      <c r="K117" s="1782" t="s">
        <v>739</v>
      </c>
      <c r="L117" s="1782" t="s">
        <v>739</v>
      </c>
      <c r="M117" s="1782" t="s">
        <v>739</v>
      </c>
      <c r="N117" s="1782" t="s">
        <v>744</v>
      </c>
      <c r="O117" s="1766"/>
      <c r="P117" s="1766"/>
    </row>
    <row r="118" spans="1:16">
      <c r="A118" s="1790" t="s">
        <v>749</v>
      </c>
      <c r="B118" s="1790" t="s">
        <v>749</v>
      </c>
      <c r="C118" s="1779" t="s">
        <v>749</v>
      </c>
      <c r="D118" s="1779" t="s">
        <v>749</v>
      </c>
      <c r="E118" s="1779" t="s">
        <v>749</v>
      </c>
      <c r="F118" s="1787" t="s">
        <v>749</v>
      </c>
      <c r="G118" s="1779">
        <v>2.13</v>
      </c>
      <c r="H118" s="1779" t="s">
        <v>744</v>
      </c>
      <c r="I118" s="1779" t="s">
        <v>744</v>
      </c>
      <c r="J118" s="1779" t="s">
        <v>744</v>
      </c>
      <c r="K118" s="1779" t="s">
        <v>744</v>
      </c>
      <c r="L118" s="1779" t="s">
        <v>744</v>
      </c>
      <c r="M118" s="1779" t="s">
        <v>744</v>
      </c>
      <c r="N118" s="1779" t="s">
        <v>744</v>
      </c>
      <c r="O118" s="1766"/>
      <c r="P118" s="1766"/>
    </row>
    <row r="119" spans="1:16">
      <c r="A119" s="1776">
        <v>10.039999999999999</v>
      </c>
      <c r="B119" s="1776">
        <v>11.16</v>
      </c>
      <c r="C119" s="1783">
        <v>11.16</v>
      </c>
      <c r="D119" s="1783">
        <v>11.16</v>
      </c>
      <c r="E119" s="1783">
        <v>11.16</v>
      </c>
      <c r="F119" s="1784">
        <v>2.0299999999999998</v>
      </c>
      <c r="G119" s="1784">
        <v>2.0299999999999998</v>
      </c>
      <c r="H119" s="1784">
        <v>2.0299999999999998</v>
      </c>
      <c r="I119" s="1784">
        <v>2.0299999999999998</v>
      </c>
      <c r="J119" s="1782">
        <v>2.0299999999999998</v>
      </c>
      <c r="K119" s="1782" t="s">
        <v>1571</v>
      </c>
      <c r="L119" s="1782" t="s">
        <v>1571</v>
      </c>
      <c r="M119" s="1782" t="s">
        <v>1571</v>
      </c>
      <c r="N119" s="1782" t="s">
        <v>744</v>
      </c>
      <c r="O119" s="1766"/>
      <c r="P119" s="1766"/>
    </row>
    <row r="120" spans="1:16">
      <c r="A120" s="1789">
        <v>10.050000000000001</v>
      </c>
      <c r="B120" s="1789">
        <v>2.0699999999999998</v>
      </c>
      <c r="C120" s="1784">
        <v>2.0699999999999998</v>
      </c>
      <c r="D120" s="1784">
        <v>2.0699999999999998</v>
      </c>
      <c r="E120" s="1784">
        <v>2.0699999999999998</v>
      </c>
      <c r="F120" s="1784">
        <v>2.0699999999999998</v>
      </c>
      <c r="G120" s="1784">
        <v>2.0699999999999998</v>
      </c>
      <c r="H120" s="1784">
        <v>2.0699999999999998</v>
      </c>
      <c r="I120" s="1784">
        <v>2.0699999999999998</v>
      </c>
      <c r="J120" s="1782">
        <v>2.0699999999999998</v>
      </c>
      <c r="K120" s="1782" t="s">
        <v>737</v>
      </c>
      <c r="L120" s="1782" t="s">
        <v>737</v>
      </c>
      <c r="M120" s="1782" t="s">
        <v>731</v>
      </c>
      <c r="N120" s="1782" t="s">
        <v>744</v>
      </c>
      <c r="O120" s="1766"/>
      <c r="P120" s="1766"/>
    </row>
    <row r="121" spans="1:16">
      <c r="A121" s="1790">
        <v>11.01</v>
      </c>
      <c r="B121" s="1790">
        <v>11.01</v>
      </c>
      <c r="C121" s="1779">
        <v>11.01</v>
      </c>
      <c r="D121" s="1779">
        <v>11.01</v>
      </c>
      <c r="E121" s="1779">
        <v>11.01</v>
      </c>
      <c r="F121" s="1779">
        <v>1.42</v>
      </c>
      <c r="G121" s="1779">
        <v>1.42</v>
      </c>
      <c r="H121" s="1779">
        <v>1.42</v>
      </c>
      <c r="I121" s="1779">
        <v>1.42</v>
      </c>
      <c r="J121" s="1781">
        <v>8.02</v>
      </c>
      <c r="K121" s="1782" t="s">
        <v>1323</v>
      </c>
      <c r="L121" s="1782" t="s">
        <v>1323</v>
      </c>
      <c r="M121" s="1782" t="s">
        <v>1323</v>
      </c>
      <c r="N121" s="1782" t="s">
        <v>1323</v>
      </c>
      <c r="O121" s="1766"/>
      <c r="P121" s="1766"/>
    </row>
    <row r="122" spans="1:16">
      <c r="A122" s="1790">
        <v>11.02</v>
      </c>
      <c r="B122" s="1790">
        <v>11.02</v>
      </c>
      <c r="C122" s="1779">
        <v>11.02</v>
      </c>
      <c r="D122" s="1779">
        <v>11.02</v>
      </c>
      <c r="E122" s="1779">
        <v>11.02</v>
      </c>
      <c r="F122" s="1779">
        <v>1.02</v>
      </c>
      <c r="G122" s="1779">
        <v>1.02</v>
      </c>
      <c r="H122" s="1779">
        <v>1.02</v>
      </c>
      <c r="I122" s="1779">
        <v>1.02</v>
      </c>
      <c r="J122" s="1781">
        <v>1.02</v>
      </c>
      <c r="K122" s="1785" t="s">
        <v>744</v>
      </c>
      <c r="L122" s="1785" t="s">
        <v>744</v>
      </c>
      <c r="M122" s="1785" t="s">
        <v>744</v>
      </c>
      <c r="N122" s="1785" t="s">
        <v>744</v>
      </c>
      <c r="O122" s="1766"/>
      <c r="P122" s="1766"/>
    </row>
    <row r="123" spans="1:16">
      <c r="A123" s="1790">
        <v>11.03</v>
      </c>
      <c r="B123" s="1790">
        <v>11.03</v>
      </c>
      <c r="C123" s="1779">
        <v>11.03</v>
      </c>
      <c r="D123" s="1779">
        <v>11.03</v>
      </c>
      <c r="E123" s="1779">
        <v>11.03</v>
      </c>
      <c r="F123" s="1779">
        <v>1.03</v>
      </c>
      <c r="G123" s="1779">
        <v>1.03</v>
      </c>
      <c r="H123" s="1779">
        <v>1.03</v>
      </c>
      <c r="I123" s="1779">
        <v>1.03</v>
      </c>
      <c r="J123" s="1781">
        <v>1.03</v>
      </c>
      <c r="K123" s="1782" t="s">
        <v>1341</v>
      </c>
      <c r="L123" s="1782" t="s">
        <v>1341</v>
      </c>
      <c r="M123" s="1782" t="s">
        <v>1341</v>
      </c>
      <c r="N123" s="1782" t="s">
        <v>1341</v>
      </c>
      <c r="O123" s="1766"/>
      <c r="P123" s="1766"/>
    </row>
    <row r="124" spans="1:16">
      <c r="A124" s="1789">
        <v>11.04</v>
      </c>
      <c r="B124" s="1789" t="s">
        <v>744</v>
      </c>
      <c r="C124" s="1784" t="s">
        <v>744</v>
      </c>
      <c r="D124" s="1784" t="s">
        <v>744</v>
      </c>
      <c r="E124" s="1784" t="s">
        <v>744</v>
      </c>
      <c r="F124" s="1784" t="s">
        <v>744</v>
      </c>
      <c r="G124" s="1784" t="s">
        <v>744</v>
      </c>
      <c r="H124" s="1784" t="s">
        <v>744</v>
      </c>
      <c r="I124" s="1784" t="s">
        <v>744</v>
      </c>
      <c r="J124" s="1784" t="s">
        <v>744</v>
      </c>
      <c r="K124" s="1784" t="s">
        <v>744</v>
      </c>
      <c r="L124" s="1784" t="s">
        <v>744</v>
      </c>
      <c r="M124" s="1784" t="s">
        <v>744</v>
      </c>
      <c r="N124" s="1784" t="s">
        <v>744</v>
      </c>
      <c r="O124" s="1766"/>
      <c r="P124" s="1766"/>
    </row>
    <row r="125" spans="1:16">
      <c r="A125" s="1790">
        <v>11.05</v>
      </c>
      <c r="B125" s="1790">
        <v>11.05</v>
      </c>
      <c r="C125" s="1779">
        <v>11.05</v>
      </c>
      <c r="D125" s="1779">
        <v>11.05</v>
      </c>
      <c r="E125" s="1779">
        <v>11.05</v>
      </c>
      <c r="F125" s="1779">
        <v>1.05</v>
      </c>
      <c r="G125" s="1779">
        <v>1.05</v>
      </c>
      <c r="H125" s="1779">
        <v>1.05</v>
      </c>
      <c r="I125" s="1779">
        <v>1.05</v>
      </c>
      <c r="J125" s="1781">
        <v>1.05</v>
      </c>
      <c r="K125" s="1782" t="s">
        <v>1345</v>
      </c>
      <c r="L125" s="1782" t="s">
        <v>1345</v>
      </c>
      <c r="M125" s="1782" t="s">
        <v>1345</v>
      </c>
      <c r="N125" s="1782" t="s">
        <v>1345</v>
      </c>
      <c r="O125" s="1766"/>
      <c r="P125" s="1766"/>
    </row>
    <row r="126" spans="1:16">
      <c r="A126" s="1790">
        <v>11.06</v>
      </c>
      <c r="B126" s="1790">
        <v>11.06</v>
      </c>
      <c r="C126" s="1779">
        <v>11.06</v>
      </c>
      <c r="D126" s="1779">
        <v>11.06</v>
      </c>
      <c r="E126" s="1779">
        <v>11.06</v>
      </c>
      <c r="F126" s="1779">
        <v>1.06</v>
      </c>
      <c r="G126" s="1779">
        <v>1.06</v>
      </c>
      <c r="H126" s="1779">
        <v>1.06</v>
      </c>
      <c r="I126" s="1779">
        <v>1.06</v>
      </c>
      <c r="J126" s="1781">
        <v>1.06</v>
      </c>
      <c r="K126" s="1782" t="s">
        <v>1346</v>
      </c>
      <c r="L126" s="1782" t="s">
        <v>1346</v>
      </c>
      <c r="M126" s="1782" t="s">
        <v>1346</v>
      </c>
      <c r="N126" s="1782" t="s">
        <v>1346</v>
      </c>
      <c r="O126" s="1766"/>
      <c r="P126" s="1766"/>
    </row>
    <row r="127" spans="1:16">
      <c r="A127" s="1790">
        <v>11.07</v>
      </c>
      <c r="B127" s="1790">
        <v>11.07</v>
      </c>
      <c r="C127" s="1779">
        <v>11.11</v>
      </c>
      <c r="D127" s="1779">
        <v>11.11</v>
      </c>
      <c r="E127" s="1779">
        <v>11.11</v>
      </c>
      <c r="F127" s="1779">
        <v>1.34</v>
      </c>
      <c r="G127" s="1779">
        <v>1.34</v>
      </c>
      <c r="H127" s="1779">
        <v>1.34</v>
      </c>
      <c r="I127" s="1779">
        <v>1.34</v>
      </c>
      <c r="J127" s="1781" t="s">
        <v>744</v>
      </c>
      <c r="K127" s="1785" t="s">
        <v>744</v>
      </c>
      <c r="L127" s="1785" t="s">
        <v>744</v>
      </c>
      <c r="M127" s="1785" t="s">
        <v>744</v>
      </c>
      <c r="N127" s="1785" t="s">
        <v>744</v>
      </c>
      <c r="O127" s="1766"/>
      <c r="P127" s="1766"/>
    </row>
    <row r="128" spans="1:16">
      <c r="A128" s="1790">
        <v>11.08</v>
      </c>
      <c r="B128" s="1790">
        <v>11.08</v>
      </c>
      <c r="C128" s="1779">
        <v>11.08</v>
      </c>
      <c r="D128" s="1779">
        <v>11.08</v>
      </c>
      <c r="E128" s="1779">
        <v>11.08</v>
      </c>
      <c r="F128" s="1779">
        <v>1.36</v>
      </c>
      <c r="G128" s="1779">
        <v>1.36</v>
      </c>
      <c r="H128" s="1779">
        <v>1.36</v>
      </c>
      <c r="I128" s="1779">
        <v>1.36</v>
      </c>
      <c r="J128" s="1781" t="s">
        <v>744</v>
      </c>
      <c r="K128" s="1785" t="s">
        <v>744</v>
      </c>
      <c r="L128" s="1785" t="s">
        <v>744</v>
      </c>
      <c r="M128" s="1785" t="s">
        <v>744</v>
      </c>
      <c r="N128" s="1785" t="s">
        <v>744</v>
      </c>
      <c r="O128" s="1766"/>
      <c r="P128" s="1766"/>
    </row>
    <row r="129" spans="1:16">
      <c r="A129" s="1789">
        <v>11.09</v>
      </c>
      <c r="B129" s="1789" t="s">
        <v>744</v>
      </c>
      <c r="C129" s="1784" t="s">
        <v>744</v>
      </c>
      <c r="D129" s="1784" t="s">
        <v>744</v>
      </c>
      <c r="E129" s="1784" t="s">
        <v>744</v>
      </c>
      <c r="F129" s="1784" t="s">
        <v>744</v>
      </c>
      <c r="G129" s="1784" t="s">
        <v>744</v>
      </c>
      <c r="H129" s="1784" t="s">
        <v>744</v>
      </c>
      <c r="I129" s="1784" t="s">
        <v>744</v>
      </c>
      <c r="J129" s="1784" t="s">
        <v>744</v>
      </c>
      <c r="K129" s="1784" t="s">
        <v>744</v>
      </c>
      <c r="L129" s="1784" t="s">
        <v>744</v>
      </c>
      <c r="M129" s="1784" t="s">
        <v>744</v>
      </c>
      <c r="N129" s="1784" t="s">
        <v>744</v>
      </c>
      <c r="O129" s="1766"/>
      <c r="P129" s="1766"/>
    </row>
    <row r="130" spans="1:16">
      <c r="A130" s="1780" t="s">
        <v>758</v>
      </c>
      <c r="B130" s="1780" t="s">
        <v>758</v>
      </c>
      <c r="C130" s="1779">
        <v>11.17</v>
      </c>
      <c r="D130" s="1779">
        <v>11.17</v>
      </c>
      <c r="E130" s="1779">
        <v>11.17</v>
      </c>
      <c r="F130" s="1779">
        <v>1.49</v>
      </c>
      <c r="G130" s="1779">
        <v>1.49</v>
      </c>
      <c r="H130" s="1779" t="s">
        <v>744</v>
      </c>
      <c r="I130" s="1779" t="s">
        <v>744</v>
      </c>
      <c r="J130" s="1779" t="s">
        <v>744</v>
      </c>
      <c r="K130" s="1779" t="s">
        <v>744</v>
      </c>
      <c r="L130" s="1779" t="s">
        <v>744</v>
      </c>
      <c r="M130" s="1779" t="s">
        <v>744</v>
      </c>
      <c r="N130" s="1779" t="s">
        <v>744</v>
      </c>
      <c r="O130" s="1766"/>
      <c r="P130" s="1766"/>
    </row>
    <row r="131" spans="1:16">
      <c r="A131" s="1780">
        <v>11.11</v>
      </c>
      <c r="B131" s="1780">
        <v>11.11</v>
      </c>
      <c r="C131" s="1779">
        <v>11.18</v>
      </c>
      <c r="D131" s="1779">
        <v>11.18</v>
      </c>
      <c r="E131" s="1779">
        <v>11.18</v>
      </c>
      <c r="F131" s="1779" t="s">
        <v>744</v>
      </c>
      <c r="G131" s="1779" t="s">
        <v>744</v>
      </c>
      <c r="H131" s="1779" t="s">
        <v>744</v>
      </c>
      <c r="I131" s="1779" t="s">
        <v>744</v>
      </c>
      <c r="J131" s="1779" t="s">
        <v>744</v>
      </c>
      <c r="K131" s="1779" t="s">
        <v>744</v>
      </c>
      <c r="L131" s="1779" t="s">
        <v>744</v>
      </c>
      <c r="M131" s="1779" t="s">
        <v>744</v>
      </c>
      <c r="N131" s="1779" t="s">
        <v>744</v>
      </c>
      <c r="O131" s="1766"/>
      <c r="P131" s="1766"/>
    </row>
    <row r="132" spans="1:16">
      <c r="A132" s="1790">
        <v>11.12</v>
      </c>
      <c r="B132" s="1790">
        <v>11.12</v>
      </c>
      <c r="C132" s="1786">
        <v>11.12</v>
      </c>
      <c r="D132" s="1786">
        <v>11.12</v>
      </c>
      <c r="E132" s="1786">
        <v>11.12</v>
      </c>
      <c r="F132" s="1779">
        <v>1.48</v>
      </c>
      <c r="G132" s="1779">
        <v>1.48</v>
      </c>
      <c r="H132" s="1779" t="s">
        <v>744</v>
      </c>
      <c r="I132" s="1779" t="s">
        <v>744</v>
      </c>
      <c r="J132" s="1779" t="s">
        <v>744</v>
      </c>
      <c r="K132" s="1779" t="s">
        <v>744</v>
      </c>
      <c r="L132" s="1779" t="s">
        <v>744</v>
      </c>
      <c r="M132" s="1779" t="s">
        <v>744</v>
      </c>
      <c r="N132" s="1779" t="s">
        <v>744</v>
      </c>
      <c r="O132" s="1766"/>
      <c r="P132" s="1766"/>
    </row>
    <row r="133" spans="1:16">
      <c r="A133" s="1790">
        <v>11.13</v>
      </c>
      <c r="B133" s="1790">
        <v>11.13</v>
      </c>
      <c r="C133" s="1779">
        <v>11.13</v>
      </c>
      <c r="D133" s="1779">
        <v>11.13</v>
      </c>
      <c r="E133" s="1779">
        <v>11.13</v>
      </c>
      <c r="F133" s="1779">
        <v>1.47</v>
      </c>
      <c r="G133" s="1779">
        <v>1.47</v>
      </c>
      <c r="H133" s="1779" t="s">
        <v>744</v>
      </c>
      <c r="I133" s="1779" t="s">
        <v>744</v>
      </c>
      <c r="J133" s="1779" t="s">
        <v>744</v>
      </c>
      <c r="K133" s="1779" t="s">
        <v>744</v>
      </c>
      <c r="L133" s="1779" t="s">
        <v>744</v>
      </c>
      <c r="M133" s="1779" t="s">
        <v>744</v>
      </c>
      <c r="N133" s="1779" t="s">
        <v>744</v>
      </c>
      <c r="O133" s="1766"/>
      <c r="P133" s="1766"/>
    </row>
    <row r="134" spans="1:16">
      <c r="A134" s="1790">
        <v>11.14</v>
      </c>
      <c r="B134" s="1790">
        <v>11.14</v>
      </c>
      <c r="C134" s="1779">
        <v>11.14</v>
      </c>
      <c r="D134" s="1779">
        <v>11.14</v>
      </c>
      <c r="E134" s="1779">
        <v>11.14</v>
      </c>
      <c r="F134" s="1783">
        <v>2.0099999999999998</v>
      </c>
      <c r="G134" s="1784" t="s">
        <v>744</v>
      </c>
      <c r="H134" s="1784" t="s">
        <v>744</v>
      </c>
      <c r="I134" s="1784" t="s">
        <v>744</v>
      </c>
      <c r="J134" s="1784" t="s">
        <v>744</v>
      </c>
      <c r="K134" s="1784" t="s">
        <v>744</v>
      </c>
      <c r="L134" s="1784" t="s">
        <v>744</v>
      </c>
      <c r="M134" s="1784" t="s">
        <v>744</v>
      </c>
      <c r="N134" s="1784" t="s">
        <v>744</v>
      </c>
      <c r="O134" s="1766"/>
      <c r="P134" s="1766"/>
    </row>
    <row r="135" spans="1:16">
      <c r="A135" s="1789">
        <v>11.15</v>
      </c>
      <c r="B135" s="1789">
        <v>11.15</v>
      </c>
      <c r="C135" s="1783">
        <v>11.15</v>
      </c>
      <c r="D135" s="1783">
        <v>11.15</v>
      </c>
      <c r="E135" s="1783">
        <v>11.15</v>
      </c>
      <c r="F135" s="1779">
        <v>2.02</v>
      </c>
      <c r="G135" s="1779">
        <v>2.12</v>
      </c>
      <c r="H135" s="1779">
        <v>2.12</v>
      </c>
      <c r="I135" s="1779" t="s">
        <v>744</v>
      </c>
      <c r="J135" s="1779" t="s">
        <v>744</v>
      </c>
      <c r="K135" s="1779" t="s">
        <v>744</v>
      </c>
      <c r="L135" s="1779" t="s">
        <v>744</v>
      </c>
      <c r="M135" s="1779" t="s">
        <v>744</v>
      </c>
      <c r="N135" s="1779" t="s">
        <v>744</v>
      </c>
      <c r="O135" s="1766"/>
      <c r="P135" s="1766"/>
    </row>
    <row r="136" spans="1:16">
      <c r="A136" s="1789">
        <v>11.16</v>
      </c>
      <c r="B136" s="1789" t="s">
        <v>744</v>
      </c>
      <c r="C136" s="1784" t="s">
        <v>744</v>
      </c>
      <c r="D136" s="1784" t="s">
        <v>744</v>
      </c>
      <c r="E136" s="1784" t="s">
        <v>744</v>
      </c>
      <c r="F136" s="1784" t="s">
        <v>744</v>
      </c>
      <c r="G136" s="1784" t="s">
        <v>744</v>
      </c>
      <c r="H136" s="1784" t="s">
        <v>744</v>
      </c>
      <c r="I136" s="1784" t="s">
        <v>744</v>
      </c>
      <c r="J136" s="1784" t="s">
        <v>744</v>
      </c>
      <c r="K136" s="1784" t="s">
        <v>744</v>
      </c>
      <c r="L136" s="1784" t="s">
        <v>744</v>
      </c>
      <c r="M136" s="1784" t="s">
        <v>744</v>
      </c>
      <c r="N136" s="1784" t="s">
        <v>744</v>
      </c>
      <c r="O136" s="1766"/>
      <c r="P136" s="1766"/>
    </row>
    <row r="137" spans="1:16">
      <c r="A137" s="1782">
        <v>11.17</v>
      </c>
      <c r="B137" s="1782">
        <v>11.17</v>
      </c>
      <c r="C137" s="1779">
        <v>11.19</v>
      </c>
      <c r="D137" s="1779">
        <v>11.19</v>
      </c>
      <c r="E137" s="1779" t="s">
        <v>744</v>
      </c>
      <c r="F137" s="1779" t="s">
        <v>744</v>
      </c>
      <c r="G137" s="1779" t="s">
        <v>744</v>
      </c>
      <c r="H137" s="1779" t="s">
        <v>744</v>
      </c>
      <c r="I137" s="1779" t="s">
        <v>744</v>
      </c>
      <c r="J137" s="1779" t="s">
        <v>744</v>
      </c>
      <c r="K137" s="1779" t="s">
        <v>744</v>
      </c>
      <c r="L137" s="1779" t="s">
        <v>744</v>
      </c>
      <c r="M137" s="1779" t="s">
        <v>744</v>
      </c>
      <c r="N137" s="1779" t="s">
        <v>744</v>
      </c>
      <c r="O137" s="1766"/>
      <c r="P137" s="1766"/>
    </row>
    <row r="138" spans="1:16">
      <c r="A138" s="1779" t="s">
        <v>744</v>
      </c>
      <c r="B138" s="1779">
        <v>1.1399999999999999</v>
      </c>
      <c r="C138" s="1779">
        <v>1.1399999999999999</v>
      </c>
      <c r="D138" s="1779" t="s">
        <v>744</v>
      </c>
      <c r="E138" s="1779" t="s">
        <v>744</v>
      </c>
      <c r="F138" s="1779" t="s">
        <v>744</v>
      </c>
      <c r="G138" s="1779" t="s">
        <v>744</v>
      </c>
      <c r="H138" s="1779" t="s">
        <v>744</v>
      </c>
      <c r="I138" s="1779" t="s">
        <v>744</v>
      </c>
      <c r="J138" s="1781" t="s">
        <v>744</v>
      </c>
      <c r="K138" s="1781" t="s">
        <v>744</v>
      </c>
      <c r="L138" s="1781" t="s">
        <v>744</v>
      </c>
      <c r="M138" s="1781" t="s">
        <v>744</v>
      </c>
      <c r="N138" s="1781" t="s">
        <v>744</v>
      </c>
      <c r="O138" s="1766"/>
      <c r="P138" s="1766"/>
    </row>
    <row r="139" spans="1:16">
      <c r="A139" s="1779" t="s">
        <v>744</v>
      </c>
      <c r="B139" s="1779">
        <v>1.1499999999999999</v>
      </c>
      <c r="C139" s="1779">
        <v>1.1499999999999999</v>
      </c>
      <c r="D139" s="1784" t="s">
        <v>744</v>
      </c>
      <c r="E139" s="1784" t="s">
        <v>744</v>
      </c>
      <c r="F139" s="1784" t="s">
        <v>744</v>
      </c>
      <c r="G139" s="1784" t="s">
        <v>744</v>
      </c>
      <c r="H139" s="1784" t="s">
        <v>744</v>
      </c>
      <c r="I139" s="1784" t="s">
        <v>744</v>
      </c>
      <c r="J139" s="1782" t="s">
        <v>744</v>
      </c>
      <c r="K139" s="1782" t="s">
        <v>744</v>
      </c>
      <c r="L139" s="1782" t="s">
        <v>744</v>
      </c>
      <c r="M139" s="1782" t="s">
        <v>744</v>
      </c>
      <c r="N139" s="1782" t="s">
        <v>744</v>
      </c>
      <c r="O139" s="1766"/>
      <c r="P139" s="1766"/>
    </row>
    <row r="140" spans="1:16">
      <c r="A140" s="1784" t="s">
        <v>744</v>
      </c>
      <c r="B140" s="1784">
        <v>2.08</v>
      </c>
      <c r="C140" s="1784">
        <v>2.08</v>
      </c>
      <c r="D140" s="1784">
        <v>2.08</v>
      </c>
      <c r="E140" s="1784">
        <v>2.08</v>
      </c>
      <c r="F140" s="1784">
        <v>2.08</v>
      </c>
      <c r="G140" s="1784">
        <v>2.08</v>
      </c>
      <c r="H140" s="1784">
        <v>2.08</v>
      </c>
      <c r="I140" s="1784">
        <v>2.08</v>
      </c>
      <c r="J140" s="1782">
        <v>2.08</v>
      </c>
      <c r="K140" s="1782" t="s">
        <v>763</v>
      </c>
      <c r="L140" s="1782" t="s">
        <v>763</v>
      </c>
      <c r="M140" s="1782" t="s">
        <v>1572</v>
      </c>
      <c r="N140" s="1782" t="s">
        <v>744</v>
      </c>
      <c r="O140" s="1766"/>
      <c r="P140" s="1766"/>
    </row>
    <row r="141" spans="1:16">
      <c r="A141" s="1784" t="s">
        <v>744</v>
      </c>
      <c r="B141" s="1784" t="s">
        <v>766</v>
      </c>
      <c r="C141" s="1792" t="s">
        <v>766</v>
      </c>
      <c r="D141" s="1792" t="s">
        <v>766</v>
      </c>
      <c r="E141" s="1792" t="s">
        <v>766</v>
      </c>
      <c r="F141" s="1787" t="s">
        <v>766</v>
      </c>
      <c r="G141" s="1787" t="s">
        <v>766</v>
      </c>
      <c r="H141" s="1787" t="s">
        <v>766</v>
      </c>
      <c r="I141" s="1787" t="s">
        <v>766</v>
      </c>
      <c r="J141" s="1781" t="s">
        <v>744</v>
      </c>
      <c r="K141" s="1785" t="s">
        <v>744</v>
      </c>
      <c r="L141" s="1785" t="s">
        <v>744</v>
      </c>
      <c r="M141" s="1785" t="s">
        <v>744</v>
      </c>
      <c r="N141" s="1785" t="s">
        <v>744</v>
      </c>
      <c r="O141" s="1766"/>
      <c r="P141" s="1766"/>
    </row>
    <row r="142" spans="1:16">
      <c r="A142" s="1784" t="s">
        <v>744</v>
      </c>
      <c r="B142" s="1784">
        <v>2.23</v>
      </c>
      <c r="C142" s="1779">
        <v>2.23</v>
      </c>
      <c r="D142" s="1779">
        <v>2.23</v>
      </c>
      <c r="E142" s="1779">
        <v>2.23</v>
      </c>
      <c r="F142" s="1779">
        <v>1.4</v>
      </c>
      <c r="G142" s="1779">
        <v>1.4</v>
      </c>
      <c r="H142" s="1779">
        <v>1.4</v>
      </c>
      <c r="I142" s="1779">
        <v>1.4</v>
      </c>
      <c r="J142" s="1781" t="s">
        <v>744</v>
      </c>
      <c r="K142" s="1782" t="s">
        <v>1354</v>
      </c>
      <c r="L142" s="1782" t="s">
        <v>1354</v>
      </c>
      <c r="M142" s="1782" t="s">
        <v>1354</v>
      </c>
      <c r="N142" s="1782" t="s">
        <v>1354</v>
      </c>
      <c r="O142" s="1766"/>
      <c r="P142" s="1766"/>
    </row>
    <row r="143" spans="1:16">
      <c r="A143" s="1784" t="s">
        <v>744</v>
      </c>
      <c r="B143" s="1784">
        <v>3.11</v>
      </c>
      <c r="C143" s="1779">
        <v>3.11</v>
      </c>
      <c r="D143" s="1779">
        <v>3.11</v>
      </c>
      <c r="E143" s="1779">
        <v>3.11</v>
      </c>
      <c r="F143" s="1779">
        <v>1.1200000000000001</v>
      </c>
      <c r="G143" s="1779">
        <v>1.1200000000000001</v>
      </c>
      <c r="H143" s="1779">
        <v>1.1200000000000001</v>
      </c>
      <c r="I143" s="1779">
        <v>1.1200000000000001</v>
      </c>
      <c r="J143" s="1781">
        <v>1.1200000000000001</v>
      </c>
      <c r="K143" s="1782" t="s">
        <v>1350</v>
      </c>
      <c r="L143" s="1782" t="s">
        <v>1350</v>
      </c>
      <c r="M143" s="1782" t="s">
        <v>1350</v>
      </c>
      <c r="N143" s="1782" t="s">
        <v>1350</v>
      </c>
      <c r="O143" s="1766"/>
      <c r="P143" s="1766"/>
    </row>
    <row r="144" spans="1:16">
      <c r="A144" s="1784" t="s">
        <v>744</v>
      </c>
      <c r="B144" s="1783">
        <v>4.0599999999999996</v>
      </c>
      <c r="C144" s="1784">
        <v>4.1100000000000003</v>
      </c>
      <c r="D144" s="1784">
        <v>4.1100000000000003</v>
      </c>
      <c r="E144" s="1784">
        <v>4.1100000000000003</v>
      </c>
      <c r="F144" s="1779">
        <v>4.13</v>
      </c>
      <c r="G144" s="1779">
        <v>4.13</v>
      </c>
      <c r="H144" s="1779">
        <v>4.13</v>
      </c>
      <c r="I144" s="1779" t="s">
        <v>744</v>
      </c>
      <c r="J144" s="1779" t="s">
        <v>744</v>
      </c>
      <c r="K144" s="1779" t="s">
        <v>744</v>
      </c>
      <c r="L144" s="1779" t="s">
        <v>744</v>
      </c>
      <c r="M144" s="1779" t="s">
        <v>744</v>
      </c>
      <c r="N144" s="1779" t="s">
        <v>744</v>
      </c>
      <c r="O144" s="1766"/>
      <c r="P144" s="1766"/>
    </row>
    <row r="145" spans="1:16">
      <c r="A145" s="1784" t="s">
        <v>744</v>
      </c>
      <c r="B145" s="1784">
        <v>4.07</v>
      </c>
      <c r="C145" s="1783">
        <v>4.07</v>
      </c>
      <c r="D145" s="1783">
        <v>4.07</v>
      </c>
      <c r="E145" s="1783">
        <v>4.07</v>
      </c>
      <c r="F145" s="1784">
        <v>4.07</v>
      </c>
      <c r="G145" s="1784">
        <v>4.07</v>
      </c>
      <c r="H145" s="1784">
        <v>4.07</v>
      </c>
      <c r="I145" s="1784">
        <v>4.07</v>
      </c>
      <c r="J145" s="1782">
        <v>4.07</v>
      </c>
      <c r="K145" s="1782" t="s">
        <v>787</v>
      </c>
      <c r="L145" s="1782" t="s">
        <v>787</v>
      </c>
      <c r="M145" s="1782" t="s">
        <v>744</v>
      </c>
      <c r="N145" s="1782" t="s">
        <v>744</v>
      </c>
      <c r="O145" s="1766"/>
      <c r="P145" s="1766"/>
    </row>
    <row r="146" spans="1:16">
      <c r="A146" s="1784" t="s">
        <v>744</v>
      </c>
      <c r="B146" s="1783">
        <v>8.1300000000000008</v>
      </c>
      <c r="C146" s="1779">
        <v>8.1300000000000008</v>
      </c>
      <c r="D146" s="1784" t="s">
        <v>744</v>
      </c>
      <c r="E146" s="1784" t="s">
        <v>744</v>
      </c>
      <c r="F146" s="1784" t="s">
        <v>744</v>
      </c>
      <c r="G146" s="1784" t="s">
        <v>744</v>
      </c>
      <c r="H146" s="1784" t="s">
        <v>744</v>
      </c>
      <c r="I146" s="1784" t="s">
        <v>744</v>
      </c>
      <c r="J146" s="1782" t="s">
        <v>744</v>
      </c>
      <c r="K146" s="1782" t="s">
        <v>744</v>
      </c>
      <c r="L146" s="1782" t="s">
        <v>744</v>
      </c>
      <c r="M146" s="1782" t="s">
        <v>744</v>
      </c>
      <c r="N146" s="1782" t="s">
        <v>744</v>
      </c>
      <c r="O146" s="1766"/>
      <c r="P146" s="1766"/>
    </row>
    <row r="147" spans="1:16">
      <c r="A147" s="1784" t="s">
        <v>744</v>
      </c>
      <c r="B147" s="1783" t="s">
        <v>847</v>
      </c>
      <c r="C147" s="1779" t="s">
        <v>847</v>
      </c>
      <c r="D147" s="1779" t="s">
        <v>847</v>
      </c>
      <c r="E147" s="1779" t="s">
        <v>847</v>
      </c>
      <c r="F147" s="1779">
        <v>9.1999999999999993</v>
      </c>
      <c r="G147" s="1779">
        <v>9.1999999999999993</v>
      </c>
      <c r="H147" s="1779" t="s">
        <v>744</v>
      </c>
      <c r="I147" s="1779" t="s">
        <v>744</v>
      </c>
      <c r="J147" s="1779" t="s">
        <v>744</v>
      </c>
      <c r="K147" s="1779" t="s">
        <v>744</v>
      </c>
      <c r="L147" s="1779" t="s">
        <v>744</v>
      </c>
      <c r="M147" s="1779" t="s">
        <v>744</v>
      </c>
      <c r="N147" s="1779" t="s">
        <v>744</v>
      </c>
      <c r="O147" s="1766"/>
      <c r="P147" s="1766"/>
    </row>
    <row r="148" spans="1:16">
      <c r="A148" s="1784" t="s">
        <v>744</v>
      </c>
      <c r="B148" s="1783">
        <v>11.04</v>
      </c>
      <c r="C148" s="1779">
        <v>11.04</v>
      </c>
      <c r="D148" s="1779">
        <v>11.04</v>
      </c>
      <c r="E148" s="1779">
        <v>11.04</v>
      </c>
      <c r="F148" s="1779">
        <v>1.04</v>
      </c>
      <c r="G148" s="1779">
        <v>1.04</v>
      </c>
      <c r="H148" s="1779">
        <v>1.04</v>
      </c>
      <c r="I148" s="1779">
        <v>1.04</v>
      </c>
      <c r="J148" s="1781">
        <v>1.04</v>
      </c>
      <c r="K148" s="1782" t="s">
        <v>1342</v>
      </c>
      <c r="L148" s="1782" t="s">
        <v>1342</v>
      </c>
      <c r="M148" s="1782" t="s">
        <v>1342</v>
      </c>
      <c r="N148" s="1782" t="s">
        <v>1342</v>
      </c>
      <c r="O148" s="1766"/>
      <c r="P148" s="1766"/>
    </row>
    <row r="149" spans="1:16" ht="9.75" customHeight="1">
      <c r="A149" s="1784" t="s">
        <v>744</v>
      </c>
      <c r="B149" s="1783">
        <v>11.09</v>
      </c>
      <c r="C149" s="1779">
        <v>11.07</v>
      </c>
      <c r="D149" s="1779">
        <v>11.07</v>
      </c>
      <c r="E149" s="1779">
        <v>11.07</v>
      </c>
      <c r="F149" s="1779">
        <v>1.35</v>
      </c>
      <c r="G149" s="1779">
        <v>1.35</v>
      </c>
      <c r="H149" s="1779">
        <v>1.35</v>
      </c>
      <c r="I149" s="1779">
        <v>1.35</v>
      </c>
      <c r="J149" s="1781" t="s">
        <v>744</v>
      </c>
      <c r="K149" s="1785" t="s">
        <v>744</v>
      </c>
      <c r="L149" s="1785" t="s">
        <v>744</v>
      </c>
      <c r="M149" s="1785" t="s">
        <v>744</v>
      </c>
      <c r="N149" s="1785" t="s">
        <v>744</v>
      </c>
      <c r="O149" s="1766"/>
      <c r="P149" s="1766"/>
    </row>
    <row r="150" spans="1:16" ht="9.75" customHeight="1">
      <c r="A150" s="1784" t="s">
        <v>744</v>
      </c>
      <c r="B150" s="1784" t="s">
        <v>744</v>
      </c>
      <c r="C150" s="1783">
        <v>4.0599999999999996</v>
      </c>
      <c r="D150" s="1783">
        <v>4.0599999999999996</v>
      </c>
      <c r="E150" s="1783">
        <v>4.0599999999999996</v>
      </c>
      <c r="F150" s="1784">
        <v>4.0599999999999996</v>
      </c>
      <c r="G150" s="1784">
        <v>4.0599999999999996</v>
      </c>
      <c r="H150" s="1784">
        <v>4.0599999999999996</v>
      </c>
      <c r="I150" s="1784">
        <v>4.0599999999999996</v>
      </c>
      <c r="J150" s="1782">
        <v>4.0599999999999996</v>
      </c>
      <c r="K150" s="1782" t="s">
        <v>823</v>
      </c>
      <c r="L150" s="1782" t="s">
        <v>823</v>
      </c>
      <c r="M150" s="1782" t="s">
        <v>822</v>
      </c>
      <c r="N150" s="1782" t="s">
        <v>822</v>
      </c>
      <c r="O150" s="1766"/>
      <c r="P150" s="1766"/>
    </row>
    <row r="151" spans="1:16">
      <c r="A151" s="1784" t="s">
        <v>744</v>
      </c>
      <c r="B151" s="1784" t="s">
        <v>744</v>
      </c>
      <c r="C151" s="1783">
        <v>4.09</v>
      </c>
      <c r="D151" s="1783">
        <v>4.09</v>
      </c>
      <c r="E151" s="1783">
        <v>4.09</v>
      </c>
      <c r="F151" s="1784">
        <v>4.09</v>
      </c>
      <c r="G151" s="1784">
        <v>4.09</v>
      </c>
      <c r="H151" s="1784">
        <v>4.09</v>
      </c>
      <c r="I151" s="1784">
        <v>4.09</v>
      </c>
      <c r="J151" s="1782">
        <v>4.09</v>
      </c>
      <c r="K151" s="1782" t="s">
        <v>815</v>
      </c>
      <c r="L151" s="1782" t="s">
        <v>815</v>
      </c>
      <c r="M151" s="1782" t="s">
        <v>790</v>
      </c>
      <c r="N151" s="1782" t="s">
        <v>790</v>
      </c>
      <c r="O151" s="1766"/>
      <c r="P151" s="1766"/>
    </row>
    <row r="152" spans="1:16">
      <c r="A152" s="1784" t="s">
        <v>744</v>
      </c>
      <c r="B152" s="1784" t="s">
        <v>744</v>
      </c>
      <c r="C152" s="1779">
        <v>9.16</v>
      </c>
      <c r="D152" s="1779">
        <v>9.16</v>
      </c>
      <c r="E152" s="1779">
        <v>9.16</v>
      </c>
      <c r="F152" s="1779">
        <v>9.16</v>
      </c>
      <c r="G152" s="1779">
        <v>9.16</v>
      </c>
      <c r="H152" s="1779">
        <v>9.16</v>
      </c>
      <c r="I152" s="1779">
        <v>9.16</v>
      </c>
      <c r="J152" s="1781">
        <v>9.1</v>
      </c>
      <c r="K152" s="1782" t="s">
        <v>738</v>
      </c>
      <c r="L152" s="1782" t="s">
        <v>738</v>
      </c>
      <c r="M152" s="1782" t="s">
        <v>738</v>
      </c>
      <c r="N152" s="1782" t="s">
        <v>737</v>
      </c>
      <c r="O152" s="1766"/>
      <c r="P152" s="1766"/>
    </row>
    <row r="153" spans="1:16">
      <c r="A153" s="1784" t="s">
        <v>744</v>
      </c>
      <c r="B153" s="1784" t="s">
        <v>744</v>
      </c>
      <c r="C153" s="1779">
        <v>11.09</v>
      </c>
      <c r="D153" s="1779">
        <v>11.09</v>
      </c>
      <c r="E153" s="1779">
        <v>11.09</v>
      </c>
      <c r="F153" s="1779">
        <v>1.37</v>
      </c>
      <c r="G153" s="1779">
        <v>1.37</v>
      </c>
      <c r="H153" s="1779">
        <v>1.37</v>
      </c>
      <c r="I153" s="1779">
        <v>1.37</v>
      </c>
      <c r="J153" s="1781" t="s">
        <v>744</v>
      </c>
      <c r="K153" s="1785" t="s">
        <v>744</v>
      </c>
      <c r="L153" s="1785" t="s">
        <v>744</v>
      </c>
      <c r="M153" s="1785" t="s">
        <v>744</v>
      </c>
      <c r="N153" s="1785" t="s">
        <v>744</v>
      </c>
      <c r="O153" s="1766"/>
      <c r="P153" s="1766"/>
    </row>
    <row r="154" spans="1:16">
      <c r="A154" s="1784" t="s">
        <v>744</v>
      </c>
      <c r="B154" s="1784" t="s">
        <v>744</v>
      </c>
      <c r="C154" s="1779" t="s">
        <v>758</v>
      </c>
      <c r="D154" s="1779" t="s">
        <v>758</v>
      </c>
      <c r="E154" s="1779" t="s">
        <v>758</v>
      </c>
      <c r="F154" s="1779">
        <v>1.38</v>
      </c>
      <c r="G154" s="1779">
        <v>1.38</v>
      </c>
      <c r="H154" s="1779">
        <v>1.38</v>
      </c>
      <c r="I154" s="1779">
        <v>1.38</v>
      </c>
      <c r="J154" s="1781" t="s">
        <v>744</v>
      </c>
      <c r="K154" s="1785" t="s">
        <v>744</v>
      </c>
      <c r="L154" s="1785" t="s">
        <v>744</v>
      </c>
      <c r="M154" s="1785" t="s">
        <v>744</v>
      </c>
      <c r="N154" s="1785" t="s">
        <v>744</v>
      </c>
      <c r="O154" s="1766"/>
      <c r="P154" s="1766"/>
    </row>
    <row r="155" spans="1:16">
      <c r="A155" s="1784" t="s">
        <v>744</v>
      </c>
      <c r="B155" s="1784" t="s">
        <v>744</v>
      </c>
      <c r="C155" s="1789" t="s">
        <v>744</v>
      </c>
      <c r="D155" s="1789" t="s">
        <v>744</v>
      </c>
      <c r="E155" s="1789" t="s">
        <v>744</v>
      </c>
      <c r="F155" s="1776">
        <v>1.44</v>
      </c>
      <c r="G155" s="1776">
        <v>1.44</v>
      </c>
      <c r="H155" s="1776">
        <v>1.44</v>
      </c>
      <c r="I155" s="1776" t="s">
        <v>744</v>
      </c>
      <c r="J155" s="1776" t="s">
        <v>744</v>
      </c>
      <c r="K155" s="1776" t="s">
        <v>744</v>
      </c>
      <c r="L155" s="1776" t="s">
        <v>744</v>
      </c>
      <c r="M155" s="1776" t="s">
        <v>744</v>
      </c>
      <c r="N155" s="1776" t="s">
        <v>744</v>
      </c>
      <c r="O155" s="1766"/>
      <c r="P155" s="1766"/>
    </row>
    <row r="156" spans="1:16">
      <c r="A156" s="1784" t="s">
        <v>744</v>
      </c>
      <c r="B156" s="1784" t="s">
        <v>744</v>
      </c>
      <c r="C156" s="1779" t="s">
        <v>744</v>
      </c>
      <c r="D156" s="1779" t="s">
        <v>744</v>
      </c>
      <c r="E156" s="1779" t="s">
        <v>744</v>
      </c>
      <c r="F156" s="1779">
        <v>1.45</v>
      </c>
      <c r="G156" s="1779">
        <v>1.45</v>
      </c>
      <c r="H156" s="1779" t="s">
        <v>744</v>
      </c>
      <c r="I156" s="1779" t="s">
        <v>744</v>
      </c>
      <c r="J156" s="1779" t="s">
        <v>744</v>
      </c>
      <c r="K156" s="1779" t="s">
        <v>744</v>
      </c>
      <c r="L156" s="1779" t="s">
        <v>744</v>
      </c>
      <c r="M156" s="1779" t="s">
        <v>744</v>
      </c>
      <c r="N156" s="1779" t="s">
        <v>744</v>
      </c>
      <c r="O156" s="1766"/>
      <c r="P156" s="1766"/>
    </row>
    <row r="157" spans="1:16">
      <c r="A157" s="1784" t="s">
        <v>744</v>
      </c>
      <c r="B157" s="1784" t="s">
        <v>744</v>
      </c>
      <c r="C157" s="1779" t="s">
        <v>744</v>
      </c>
      <c r="D157" s="1779" t="s">
        <v>744</v>
      </c>
      <c r="E157" s="1779" t="s">
        <v>744</v>
      </c>
      <c r="F157" s="1779">
        <v>1.46</v>
      </c>
      <c r="G157" s="1779">
        <v>1.46</v>
      </c>
      <c r="H157" s="1779" t="s">
        <v>744</v>
      </c>
      <c r="I157" s="1779" t="s">
        <v>744</v>
      </c>
      <c r="J157" s="1779" t="s">
        <v>744</v>
      </c>
      <c r="K157" s="1779" t="s">
        <v>744</v>
      </c>
      <c r="L157" s="1779" t="s">
        <v>744</v>
      </c>
      <c r="M157" s="1779" t="s">
        <v>744</v>
      </c>
      <c r="N157" s="1779" t="s">
        <v>744</v>
      </c>
      <c r="O157" s="1766"/>
      <c r="P157" s="1766"/>
    </row>
    <row r="158" spans="1:16">
      <c r="A158" s="1784" t="s">
        <v>744</v>
      </c>
      <c r="B158" s="1784" t="s">
        <v>744</v>
      </c>
      <c r="C158" s="1785" t="s">
        <v>744</v>
      </c>
      <c r="D158" s="1785" t="s">
        <v>744</v>
      </c>
      <c r="E158" s="1785" t="s">
        <v>744</v>
      </c>
      <c r="F158" s="1784">
        <v>3.01</v>
      </c>
      <c r="G158" s="1784">
        <v>3.01</v>
      </c>
      <c r="H158" s="1784">
        <v>3.01</v>
      </c>
      <c r="I158" s="1784">
        <v>3.01</v>
      </c>
      <c r="J158" s="1782">
        <v>3.01</v>
      </c>
      <c r="K158" s="1782" t="s">
        <v>824</v>
      </c>
      <c r="L158" s="1782" t="s">
        <v>824</v>
      </c>
      <c r="M158" s="1782" t="s">
        <v>769</v>
      </c>
      <c r="N158" s="1782" t="s">
        <v>770</v>
      </c>
      <c r="O158" s="1766"/>
      <c r="P158" s="1766"/>
    </row>
    <row r="159" spans="1:16">
      <c r="A159" s="1784" t="s">
        <v>744</v>
      </c>
      <c r="B159" s="1784" t="s">
        <v>744</v>
      </c>
      <c r="C159" s="1785" t="s">
        <v>744</v>
      </c>
      <c r="D159" s="1785" t="s">
        <v>744</v>
      </c>
      <c r="E159" s="1785" t="s">
        <v>744</v>
      </c>
      <c r="F159" s="1784">
        <v>3.02</v>
      </c>
      <c r="G159" s="1784">
        <v>3.02</v>
      </c>
      <c r="H159" s="1784">
        <v>3.02</v>
      </c>
      <c r="I159" s="1784">
        <v>3.02</v>
      </c>
      <c r="J159" s="1782">
        <v>3.02</v>
      </c>
      <c r="K159" s="1785" t="s">
        <v>744</v>
      </c>
      <c r="L159" s="1785" t="s">
        <v>744</v>
      </c>
      <c r="M159" s="1785" t="s">
        <v>744</v>
      </c>
      <c r="N159" s="1785" t="s">
        <v>744</v>
      </c>
      <c r="O159" s="1766"/>
      <c r="P159" s="1766"/>
    </row>
    <row r="160" spans="1:16">
      <c r="A160" s="1784" t="s">
        <v>744</v>
      </c>
      <c r="B160" s="1784" t="s">
        <v>744</v>
      </c>
      <c r="C160" s="1785" t="s">
        <v>744</v>
      </c>
      <c r="D160" s="1785" t="s">
        <v>744</v>
      </c>
      <c r="E160" s="1785" t="s">
        <v>744</v>
      </c>
      <c r="F160" s="1784">
        <v>3.03</v>
      </c>
      <c r="G160" s="1784">
        <v>3.03</v>
      </c>
      <c r="H160" s="1784">
        <v>3.03</v>
      </c>
      <c r="I160" s="1784">
        <v>3.03</v>
      </c>
      <c r="J160" s="1782">
        <v>3.03</v>
      </c>
      <c r="K160" s="1782" t="s">
        <v>825</v>
      </c>
      <c r="L160" s="1782" t="s">
        <v>825</v>
      </c>
      <c r="M160" s="1782" t="s">
        <v>744</v>
      </c>
      <c r="N160" s="1782" t="s">
        <v>744</v>
      </c>
      <c r="O160" s="1766"/>
      <c r="P160" s="1766"/>
    </row>
    <row r="161" spans="1:16">
      <c r="A161" s="1784" t="s">
        <v>744</v>
      </c>
      <c r="B161" s="1784" t="s">
        <v>744</v>
      </c>
      <c r="C161" s="1785" t="s">
        <v>744</v>
      </c>
      <c r="D161" s="1785" t="s">
        <v>744</v>
      </c>
      <c r="E161" s="1785" t="s">
        <v>744</v>
      </c>
      <c r="F161" s="1784">
        <v>3.05</v>
      </c>
      <c r="G161" s="1784">
        <v>3.05</v>
      </c>
      <c r="H161" s="1784">
        <v>3.05</v>
      </c>
      <c r="I161" s="1784">
        <v>3.05</v>
      </c>
      <c r="J161" s="1782">
        <v>3.05</v>
      </c>
      <c r="K161" s="1782" t="s">
        <v>826</v>
      </c>
      <c r="L161" s="1782" t="s">
        <v>826</v>
      </c>
      <c r="M161" s="1782" t="s">
        <v>744</v>
      </c>
      <c r="N161" s="1782" t="s">
        <v>744</v>
      </c>
      <c r="O161" s="1766"/>
      <c r="P161" s="1766"/>
    </row>
    <row r="162" spans="1:16">
      <c r="A162" s="1784" t="s">
        <v>744</v>
      </c>
      <c r="B162" s="1784" t="s">
        <v>744</v>
      </c>
      <c r="C162" s="1784" t="s">
        <v>744</v>
      </c>
      <c r="D162" s="1784" t="s">
        <v>744</v>
      </c>
      <c r="E162" s="1784" t="s">
        <v>744</v>
      </c>
      <c r="F162" s="1784">
        <v>3.06</v>
      </c>
      <c r="G162" s="1784">
        <v>3.06</v>
      </c>
      <c r="H162" s="1784">
        <v>3.06</v>
      </c>
      <c r="I162" s="1784">
        <v>3.06</v>
      </c>
      <c r="J162" s="1782">
        <v>3.06</v>
      </c>
      <c r="K162" s="1785" t="s">
        <v>744</v>
      </c>
      <c r="L162" s="1785" t="s">
        <v>744</v>
      </c>
      <c r="M162" s="1785" t="s">
        <v>744</v>
      </c>
      <c r="N162" s="1785" t="s">
        <v>744</v>
      </c>
      <c r="O162" s="1766"/>
      <c r="P162" s="1766"/>
    </row>
    <row r="163" spans="1:16">
      <c r="A163" s="1784" t="s">
        <v>744</v>
      </c>
      <c r="B163" s="1784" t="s">
        <v>744</v>
      </c>
      <c r="C163" s="1779" t="s">
        <v>744</v>
      </c>
      <c r="D163" s="1779" t="s">
        <v>744</v>
      </c>
      <c r="E163" s="1779" t="s">
        <v>744</v>
      </c>
      <c r="F163" s="1779">
        <v>4.1100000000000003</v>
      </c>
      <c r="G163" s="1779">
        <v>4.1100000000000003</v>
      </c>
      <c r="H163" s="1779">
        <v>4.1100000000000003</v>
      </c>
      <c r="I163" s="1779" t="s">
        <v>744</v>
      </c>
      <c r="J163" s="1779" t="s">
        <v>744</v>
      </c>
      <c r="K163" s="1779" t="s">
        <v>744</v>
      </c>
      <c r="L163" s="1779" t="s">
        <v>744</v>
      </c>
      <c r="M163" s="1779" t="s">
        <v>744</v>
      </c>
      <c r="N163" s="1779" t="s">
        <v>744</v>
      </c>
      <c r="O163" s="1766"/>
      <c r="P163" s="1766"/>
    </row>
    <row r="164" spans="1:16">
      <c r="A164" s="1784" t="s">
        <v>744</v>
      </c>
      <c r="B164" s="1784" t="s">
        <v>744</v>
      </c>
      <c r="C164" s="1779" t="s">
        <v>744</v>
      </c>
      <c r="D164" s="1779" t="s">
        <v>744</v>
      </c>
      <c r="E164" s="1779" t="s">
        <v>744</v>
      </c>
      <c r="F164" s="1779">
        <v>4.12</v>
      </c>
      <c r="G164" s="1779">
        <v>4.12</v>
      </c>
      <c r="H164" s="1779">
        <v>4.12</v>
      </c>
      <c r="I164" s="1779" t="s">
        <v>744</v>
      </c>
      <c r="J164" s="1779" t="s">
        <v>744</v>
      </c>
      <c r="K164" s="1779" t="s">
        <v>744</v>
      </c>
      <c r="L164" s="1779" t="s">
        <v>744</v>
      </c>
      <c r="M164" s="1779" t="s">
        <v>744</v>
      </c>
      <c r="N164" s="1779" t="s">
        <v>744</v>
      </c>
      <c r="O164" s="1766"/>
      <c r="P164" s="1766"/>
    </row>
    <row r="165" spans="1:16">
      <c r="A165" s="1784" t="s">
        <v>744</v>
      </c>
      <c r="B165" s="1784" t="s">
        <v>744</v>
      </c>
      <c r="C165" s="1782" t="s">
        <v>744</v>
      </c>
      <c r="D165" s="1782" t="s">
        <v>744</v>
      </c>
      <c r="E165" s="1782" t="s">
        <v>744</v>
      </c>
      <c r="F165" s="1779">
        <v>9.07</v>
      </c>
      <c r="G165" s="1779">
        <v>9.07</v>
      </c>
      <c r="H165" s="1779">
        <v>9.07</v>
      </c>
      <c r="I165" s="1779">
        <v>9.07</v>
      </c>
      <c r="J165" s="1781" t="s">
        <v>744</v>
      </c>
      <c r="K165" s="1782" t="s">
        <v>744</v>
      </c>
      <c r="L165" s="1782" t="s">
        <v>744</v>
      </c>
      <c r="M165" s="1782" t="s">
        <v>744</v>
      </c>
      <c r="N165" s="1782" t="s">
        <v>744</v>
      </c>
      <c r="O165" s="1766"/>
      <c r="P165" s="1766"/>
    </row>
    <row r="166" spans="1:16">
      <c r="A166" s="1784" t="s">
        <v>744</v>
      </c>
      <c r="B166" s="1784" t="s">
        <v>744</v>
      </c>
      <c r="C166" s="1782" t="s">
        <v>744</v>
      </c>
      <c r="D166" s="1782" t="s">
        <v>744</v>
      </c>
      <c r="E166" s="1782" t="s">
        <v>744</v>
      </c>
      <c r="F166" s="1779">
        <v>9.15</v>
      </c>
      <c r="G166" s="1779">
        <v>9.15</v>
      </c>
      <c r="H166" s="1779">
        <v>9.15</v>
      </c>
      <c r="I166" s="1779">
        <v>9.15</v>
      </c>
      <c r="J166" s="1781" t="s">
        <v>744</v>
      </c>
      <c r="K166" s="1785" t="s">
        <v>744</v>
      </c>
      <c r="L166" s="1785" t="s">
        <v>744</v>
      </c>
      <c r="M166" s="1785" t="s">
        <v>744</v>
      </c>
      <c r="N166" s="1785" t="s">
        <v>744</v>
      </c>
      <c r="O166" s="1766"/>
      <c r="P166" s="1766"/>
    </row>
    <row r="167" spans="1:16">
      <c r="A167" s="1784" t="s">
        <v>744</v>
      </c>
      <c r="B167" s="1784" t="s">
        <v>744</v>
      </c>
      <c r="C167" s="1779" t="s">
        <v>744</v>
      </c>
      <c r="D167" s="1779" t="s">
        <v>744</v>
      </c>
      <c r="E167" s="1779" t="s">
        <v>744</v>
      </c>
      <c r="F167" s="1779" t="s">
        <v>744</v>
      </c>
      <c r="G167" s="1779">
        <v>1.41</v>
      </c>
      <c r="H167" s="1779">
        <v>1.41</v>
      </c>
      <c r="I167" s="1779">
        <v>1.41</v>
      </c>
      <c r="J167" s="1781">
        <v>9.07</v>
      </c>
      <c r="K167" s="1785" t="s">
        <v>744</v>
      </c>
      <c r="L167" s="1785" t="s">
        <v>744</v>
      </c>
      <c r="M167" s="1785" t="s">
        <v>744</v>
      </c>
      <c r="N167" s="1785" t="s">
        <v>744</v>
      </c>
      <c r="O167" s="1766"/>
      <c r="P167" s="1766"/>
    </row>
    <row r="168" spans="1:16">
      <c r="A168" s="1784" t="s">
        <v>744</v>
      </c>
      <c r="B168" s="1784" t="s">
        <v>744</v>
      </c>
      <c r="C168" s="1784" t="s">
        <v>744</v>
      </c>
      <c r="D168" s="1784" t="s">
        <v>744</v>
      </c>
      <c r="E168" s="1784" t="s">
        <v>744</v>
      </c>
      <c r="F168" s="1784" t="s">
        <v>744</v>
      </c>
      <c r="G168" s="1783" t="s">
        <v>813</v>
      </c>
      <c r="H168" s="1783" t="s">
        <v>813</v>
      </c>
      <c r="I168" s="1784" t="s">
        <v>744</v>
      </c>
      <c r="J168" s="1784" t="s">
        <v>744</v>
      </c>
      <c r="K168" s="1784" t="s">
        <v>744</v>
      </c>
      <c r="L168" s="1784" t="s">
        <v>827</v>
      </c>
      <c r="M168" s="1784" t="s">
        <v>744</v>
      </c>
      <c r="N168" s="1784" t="s">
        <v>744</v>
      </c>
      <c r="O168" s="1766"/>
      <c r="P168" s="1766"/>
    </row>
    <row r="169" spans="1:16">
      <c r="A169" s="1784" t="s">
        <v>744</v>
      </c>
      <c r="B169" s="1784" t="s">
        <v>744</v>
      </c>
      <c r="C169" s="1779" t="s">
        <v>744</v>
      </c>
      <c r="D169" s="1779" t="s">
        <v>744</v>
      </c>
      <c r="E169" s="1779" t="s">
        <v>744</v>
      </c>
      <c r="F169" s="1779" t="s">
        <v>744</v>
      </c>
      <c r="G169" s="1779">
        <v>8.02</v>
      </c>
      <c r="H169" s="1779">
        <v>8.02</v>
      </c>
      <c r="I169" s="1779">
        <v>8.02</v>
      </c>
      <c r="J169" s="1781">
        <v>8.01</v>
      </c>
      <c r="K169" s="1782" t="s">
        <v>1320</v>
      </c>
      <c r="L169" s="1782" t="s">
        <v>1320</v>
      </c>
      <c r="M169" s="1782" t="s">
        <v>1320</v>
      </c>
      <c r="N169" s="1782" t="s">
        <v>1320</v>
      </c>
      <c r="O169" s="1766"/>
      <c r="P169" s="1766"/>
    </row>
    <row r="170" spans="1:16">
      <c r="A170" s="1784" t="s">
        <v>744</v>
      </c>
      <c r="B170" s="1784" t="s">
        <v>744</v>
      </c>
      <c r="C170" s="1779" t="s">
        <v>744</v>
      </c>
      <c r="D170" s="1779" t="s">
        <v>744</v>
      </c>
      <c r="E170" s="1779" t="s">
        <v>744</v>
      </c>
      <c r="F170" s="1779" t="s">
        <v>744</v>
      </c>
      <c r="G170" s="1779" t="s">
        <v>744</v>
      </c>
      <c r="H170" s="1779" t="s">
        <v>744</v>
      </c>
      <c r="I170" s="1779" t="s">
        <v>744</v>
      </c>
      <c r="J170" s="1781" t="s">
        <v>744</v>
      </c>
      <c r="K170" s="1782" t="s">
        <v>1321</v>
      </c>
      <c r="L170" s="1782" t="s">
        <v>1321</v>
      </c>
      <c r="M170" s="1782" t="s">
        <v>1321</v>
      </c>
      <c r="N170" s="1782" t="s">
        <v>1321</v>
      </c>
      <c r="O170" s="1766"/>
      <c r="P170" s="1766"/>
    </row>
    <row r="171" spans="1:16">
      <c r="A171" s="1784" t="s">
        <v>744</v>
      </c>
      <c r="B171" s="1784" t="s">
        <v>744</v>
      </c>
      <c r="C171" s="1779" t="s">
        <v>744</v>
      </c>
      <c r="D171" s="1779" t="s">
        <v>744</v>
      </c>
      <c r="E171" s="1779" t="s">
        <v>744</v>
      </c>
      <c r="F171" s="1779" t="s">
        <v>744</v>
      </c>
      <c r="G171" s="1779" t="s">
        <v>744</v>
      </c>
      <c r="H171" s="1779" t="s">
        <v>744</v>
      </c>
      <c r="I171" s="1779" t="s">
        <v>744</v>
      </c>
      <c r="J171" s="1781" t="s">
        <v>744</v>
      </c>
      <c r="K171" s="1782" t="s">
        <v>1322</v>
      </c>
      <c r="L171" s="1782" t="s">
        <v>1322</v>
      </c>
      <c r="M171" s="1782" t="s">
        <v>1322</v>
      </c>
      <c r="N171" s="1782" t="s">
        <v>1322</v>
      </c>
      <c r="O171" s="1766"/>
      <c r="P171" s="1766"/>
    </row>
    <row r="172" spans="1:16">
      <c r="A172" s="1784" t="s">
        <v>744</v>
      </c>
      <c r="B172" s="1784" t="s">
        <v>744</v>
      </c>
      <c r="C172" s="1779" t="s">
        <v>744</v>
      </c>
      <c r="D172" s="1779" t="s">
        <v>744</v>
      </c>
      <c r="E172" s="1779" t="s">
        <v>744</v>
      </c>
      <c r="F172" s="1779" t="s">
        <v>744</v>
      </c>
      <c r="G172" s="1779" t="s">
        <v>744</v>
      </c>
      <c r="H172" s="1779" t="s">
        <v>744</v>
      </c>
      <c r="I172" s="1779" t="s">
        <v>744</v>
      </c>
      <c r="J172" s="1781" t="s">
        <v>744</v>
      </c>
      <c r="K172" s="1782" t="s">
        <v>1324</v>
      </c>
      <c r="L172" s="1782" t="s">
        <v>1324</v>
      </c>
      <c r="M172" s="1782" t="s">
        <v>1324</v>
      </c>
      <c r="N172" s="1782" t="s">
        <v>1324</v>
      </c>
      <c r="O172" s="1766"/>
      <c r="P172" s="1766"/>
    </row>
    <row r="173" spans="1:16">
      <c r="A173" s="1784" t="s">
        <v>744</v>
      </c>
      <c r="B173" s="1784" t="s">
        <v>744</v>
      </c>
      <c r="C173" s="1779" t="s">
        <v>744</v>
      </c>
      <c r="D173" s="1779" t="s">
        <v>744</v>
      </c>
      <c r="E173" s="1779" t="s">
        <v>744</v>
      </c>
      <c r="F173" s="1779" t="s">
        <v>744</v>
      </c>
      <c r="G173" s="1779" t="s">
        <v>744</v>
      </c>
      <c r="H173" s="1779" t="s">
        <v>744</v>
      </c>
      <c r="I173" s="1779" t="s">
        <v>744</v>
      </c>
      <c r="J173" s="1781" t="s">
        <v>744</v>
      </c>
      <c r="K173" s="1782" t="s">
        <v>1326</v>
      </c>
      <c r="L173" s="1782" t="s">
        <v>1326</v>
      </c>
      <c r="M173" s="1782" t="s">
        <v>1326</v>
      </c>
      <c r="N173" s="1782" t="s">
        <v>1326</v>
      </c>
      <c r="O173" s="1766"/>
      <c r="P173" s="1766"/>
    </row>
    <row r="174" spans="1:16">
      <c r="A174" s="1784" t="s">
        <v>744</v>
      </c>
      <c r="B174" s="1784" t="s">
        <v>744</v>
      </c>
      <c r="C174" s="1779" t="s">
        <v>744</v>
      </c>
      <c r="D174" s="1779" t="s">
        <v>744</v>
      </c>
      <c r="E174" s="1779" t="s">
        <v>744</v>
      </c>
      <c r="F174" s="1779" t="s">
        <v>744</v>
      </c>
      <c r="G174" s="1779" t="s">
        <v>744</v>
      </c>
      <c r="H174" s="1779" t="s">
        <v>744</v>
      </c>
      <c r="I174" s="1779" t="s">
        <v>744</v>
      </c>
      <c r="J174" s="1781" t="s">
        <v>744</v>
      </c>
      <c r="K174" s="1782" t="s">
        <v>1328</v>
      </c>
      <c r="L174" s="1782" t="s">
        <v>1328</v>
      </c>
      <c r="M174" s="1782" t="s">
        <v>1328</v>
      </c>
      <c r="N174" s="1782" t="s">
        <v>1328</v>
      </c>
      <c r="O174" s="1766"/>
      <c r="P174" s="1766"/>
    </row>
    <row r="175" spans="1:16">
      <c r="A175" s="1784" t="s">
        <v>744</v>
      </c>
      <c r="B175" s="1784" t="s">
        <v>744</v>
      </c>
      <c r="C175" s="1779" t="s">
        <v>744</v>
      </c>
      <c r="D175" s="1779" t="s">
        <v>744</v>
      </c>
      <c r="E175" s="1779" t="s">
        <v>744</v>
      </c>
      <c r="F175" s="1779" t="s">
        <v>744</v>
      </c>
      <c r="G175" s="1779" t="s">
        <v>744</v>
      </c>
      <c r="H175" s="1779" t="s">
        <v>744</v>
      </c>
      <c r="I175" s="1779" t="s">
        <v>744</v>
      </c>
      <c r="J175" s="1781" t="s">
        <v>744</v>
      </c>
      <c r="K175" s="1782" t="s">
        <v>1331</v>
      </c>
      <c r="L175" s="1782" t="s">
        <v>1331</v>
      </c>
      <c r="M175" s="1782" t="s">
        <v>1331</v>
      </c>
      <c r="N175" s="1782" t="s">
        <v>1331</v>
      </c>
      <c r="O175" s="1766"/>
      <c r="P175" s="1766"/>
    </row>
    <row r="176" spans="1:16">
      <c r="A176" s="1784" t="s">
        <v>744</v>
      </c>
      <c r="B176" s="1784" t="s">
        <v>744</v>
      </c>
      <c r="C176" s="1779" t="s">
        <v>744</v>
      </c>
      <c r="D176" s="1779" t="s">
        <v>744</v>
      </c>
      <c r="E176" s="1779" t="s">
        <v>744</v>
      </c>
      <c r="F176" s="1779" t="s">
        <v>744</v>
      </c>
      <c r="G176" s="1779" t="s">
        <v>744</v>
      </c>
      <c r="H176" s="1779" t="s">
        <v>744</v>
      </c>
      <c r="I176" s="1779" t="s">
        <v>744</v>
      </c>
      <c r="J176" s="1781" t="s">
        <v>744</v>
      </c>
      <c r="K176" s="1782" t="s">
        <v>1332</v>
      </c>
      <c r="L176" s="1782" t="s">
        <v>1332</v>
      </c>
      <c r="M176" s="1782" t="s">
        <v>1332</v>
      </c>
      <c r="N176" s="1782" t="s">
        <v>1332</v>
      </c>
      <c r="O176" s="1766"/>
      <c r="P176" s="1766"/>
    </row>
    <row r="177" spans="1:16">
      <c r="A177" s="1784" t="s">
        <v>744</v>
      </c>
      <c r="B177" s="1784" t="s">
        <v>744</v>
      </c>
      <c r="C177" s="1779" t="s">
        <v>744</v>
      </c>
      <c r="D177" s="1779" t="s">
        <v>744</v>
      </c>
      <c r="E177" s="1779" t="s">
        <v>744</v>
      </c>
      <c r="F177" s="1779" t="s">
        <v>744</v>
      </c>
      <c r="G177" s="1779" t="s">
        <v>744</v>
      </c>
      <c r="H177" s="1779" t="s">
        <v>744</v>
      </c>
      <c r="I177" s="1779" t="s">
        <v>744</v>
      </c>
      <c r="J177" s="1781" t="s">
        <v>744</v>
      </c>
      <c r="K177" s="1782" t="s">
        <v>1334</v>
      </c>
      <c r="L177" s="1782" t="s">
        <v>1334</v>
      </c>
      <c r="M177" s="1782" t="s">
        <v>1334</v>
      </c>
      <c r="N177" s="1782" t="s">
        <v>1334</v>
      </c>
      <c r="O177" s="1766"/>
      <c r="P177" s="1766"/>
    </row>
    <row r="178" spans="1:16">
      <c r="A178" s="1784" t="s">
        <v>744</v>
      </c>
      <c r="B178" s="1784" t="s">
        <v>744</v>
      </c>
      <c r="C178" s="1779" t="s">
        <v>744</v>
      </c>
      <c r="D178" s="1779" t="s">
        <v>744</v>
      </c>
      <c r="E178" s="1779" t="s">
        <v>744</v>
      </c>
      <c r="F178" s="1779" t="s">
        <v>744</v>
      </c>
      <c r="G178" s="1779" t="s">
        <v>744</v>
      </c>
      <c r="H178" s="1779" t="s">
        <v>744</v>
      </c>
      <c r="I178" s="1779" t="s">
        <v>744</v>
      </c>
      <c r="J178" s="1781" t="s">
        <v>744</v>
      </c>
      <c r="K178" s="1782" t="s">
        <v>1338</v>
      </c>
      <c r="L178" s="1782" t="s">
        <v>1338</v>
      </c>
      <c r="M178" s="1782" t="s">
        <v>1338</v>
      </c>
      <c r="N178" s="1782" t="s">
        <v>1338</v>
      </c>
      <c r="O178" s="1766"/>
      <c r="P178" s="1766"/>
    </row>
    <row r="179" spans="1:16">
      <c r="A179" s="1784" t="s">
        <v>744</v>
      </c>
      <c r="B179" s="1784" t="s">
        <v>744</v>
      </c>
      <c r="C179" s="1779" t="s">
        <v>744</v>
      </c>
      <c r="D179" s="1779" t="s">
        <v>744</v>
      </c>
      <c r="E179" s="1779" t="s">
        <v>744</v>
      </c>
      <c r="F179" s="1779" t="s">
        <v>744</v>
      </c>
      <c r="G179" s="1779" t="s">
        <v>744</v>
      </c>
      <c r="H179" s="1779" t="s">
        <v>744</v>
      </c>
      <c r="I179" s="1779" t="s">
        <v>744</v>
      </c>
      <c r="J179" s="1781" t="s">
        <v>744</v>
      </c>
      <c r="K179" s="1782" t="s">
        <v>1339</v>
      </c>
      <c r="L179" s="1782" t="s">
        <v>1339</v>
      </c>
      <c r="M179" s="1782" t="s">
        <v>1339</v>
      </c>
      <c r="N179" s="1782" t="s">
        <v>1339</v>
      </c>
      <c r="O179" s="1766"/>
      <c r="P179" s="1766"/>
    </row>
    <row r="180" spans="1:16">
      <c r="A180" s="1784" t="s">
        <v>744</v>
      </c>
      <c r="B180" s="1784" t="s">
        <v>744</v>
      </c>
      <c r="C180" s="1779" t="s">
        <v>744</v>
      </c>
      <c r="D180" s="1779" t="s">
        <v>744</v>
      </c>
      <c r="E180" s="1779" t="s">
        <v>744</v>
      </c>
      <c r="F180" s="1779" t="s">
        <v>744</v>
      </c>
      <c r="G180" s="1779" t="s">
        <v>744</v>
      </c>
      <c r="H180" s="1779" t="s">
        <v>744</v>
      </c>
      <c r="I180" s="1779" t="s">
        <v>744</v>
      </c>
      <c r="J180" s="1781" t="s">
        <v>744</v>
      </c>
      <c r="K180" s="1782" t="s">
        <v>1340</v>
      </c>
      <c r="L180" s="1782" t="s">
        <v>1340</v>
      </c>
      <c r="M180" s="1782" t="s">
        <v>1340</v>
      </c>
      <c r="N180" s="1782" t="s">
        <v>1340</v>
      </c>
      <c r="O180" s="1766"/>
      <c r="P180" s="1766"/>
    </row>
    <row r="181" spans="1:16">
      <c r="A181" s="1784" t="s">
        <v>744</v>
      </c>
      <c r="B181" s="1784" t="s">
        <v>744</v>
      </c>
      <c r="C181" s="1779" t="s">
        <v>744</v>
      </c>
      <c r="D181" s="1779" t="s">
        <v>744</v>
      </c>
      <c r="E181" s="1779" t="s">
        <v>744</v>
      </c>
      <c r="F181" s="1779" t="s">
        <v>744</v>
      </c>
      <c r="G181" s="1779" t="s">
        <v>744</v>
      </c>
      <c r="H181" s="1779" t="s">
        <v>744</v>
      </c>
      <c r="I181" s="1779" t="s">
        <v>744</v>
      </c>
      <c r="J181" s="1781" t="s">
        <v>744</v>
      </c>
      <c r="K181" s="1782" t="s">
        <v>1343</v>
      </c>
      <c r="L181" s="1782" t="s">
        <v>1343</v>
      </c>
      <c r="M181" s="1782" t="s">
        <v>1343</v>
      </c>
      <c r="N181" s="1782" t="s">
        <v>1343</v>
      </c>
      <c r="O181" s="1766"/>
      <c r="P181" s="1766"/>
    </row>
    <row r="182" spans="1:16">
      <c r="A182" s="1784" t="s">
        <v>744</v>
      </c>
      <c r="B182" s="1784" t="s">
        <v>744</v>
      </c>
      <c r="C182" s="1779" t="s">
        <v>744</v>
      </c>
      <c r="D182" s="1779" t="s">
        <v>744</v>
      </c>
      <c r="E182" s="1779" t="s">
        <v>744</v>
      </c>
      <c r="F182" s="1779" t="s">
        <v>744</v>
      </c>
      <c r="G182" s="1779" t="s">
        <v>744</v>
      </c>
      <c r="H182" s="1779" t="s">
        <v>744</v>
      </c>
      <c r="I182" s="1779" t="s">
        <v>744</v>
      </c>
      <c r="J182" s="1781" t="s">
        <v>744</v>
      </c>
      <c r="K182" s="1782" t="s">
        <v>1344</v>
      </c>
      <c r="L182" s="1782" t="s">
        <v>1344</v>
      </c>
      <c r="M182" s="1782" t="s">
        <v>1344</v>
      </c>
      <c r="N182" s="1782" t="s">
        <v>1344</v>
      </c>
      <c r="O182" s="1766"/>
      <c r="P182" s="1766"/>
    </row>
    <row r="183" spans="1:16">
      <c r="A183" s="1784" t="s">
        <v>744</v>
      </c>
      <c r="B183" s="1784" t="s">
        <v>744</v>
      </c>
      <c r="C183" s="1779" t="s">
        <v>744</v>
      </c>
      <c r="D183" s="1779" t="s">
        <v>744</v>
      </c>
      <c r="E183" s="1779" t="s">
        <v>744</v>
      </c>
      <c r="F183" s="1779" t="s">
        <v>744</v>
      </c>
      <c r="G183" s="1779" t="s">
        <v>744</v>
      </c>
      <c r="H183" s="1779" t="s">
        <v>744</v>
      </c>
      <c r="I183" s="1779" t="s">
        <v>744</v>
      </c>
      <c r="J183" s="1781" t="s">
        <v>744</v>
      </c>
      <c r="K183" s="1782" t="s">
        <v>1540</v>
      </c>
      <c r="L183" s="1782" t="s">
        <v>1540</v>
      </c>
      <c r="M183" s="1782" t="s">
        <v>1540</v>
      </c>
      <c r="N183" s="1782" t="s">
        <v>1540</v>
      </c>
      <c r="O183" s="1766"/>
      <c r="P183" s="1766"/>
    </row>
    <row r="184" spans="1:16">
      <c r="A184" s="1784" t="s">
        <v>744</v>
      </c>
      <c r="B184" s="1784" t="s">
        <v>744</v>
      </c>
      <c r="C184" s="1779" t="s">
        <v>744</v>
      </c>
      <c r="D184" s="1779" t="s">
        <v>744</v>
      </c>
      <c r="E184" s="1779" t="s">
        <v>744</v>
      </c>
      <c r="F184" s="1779" t="s">
        <v>744</v>
      </c>
      <c r="G184" s="1779" t="s">
        <v>744</v>
      </c>
      <c r="H184" s="1779" t="s">
        <v>744</v>
      </c>
      <c r="I184" s="1779" t="s">
        <v>744</v>
      </c>
      <c r="J184" s="1781" t="s">
        <v>744</v>
      </c>
      <c r="K184" s="1782" t="s">
        <v>1541</v>
      </c>
      <c r="L184" s="1782" t="s">
        <v>1541</v>
      </c>
      <c r="M184" s="1782" t="s">
        <v>1541</v>
      </c>
      <c r="N184" s="1782" t="s">
        <v>1541</v>
      </c>
      <c r="O184" s="1766"/>
      <c r="P184" s="1766"/>
    </row>
    <row r="185" spans="1:16">
      <c r="A185" s="1784" t="s">
        <v>744</v>
      </c>
      <c r="B185" s="1784" t="s">
        <v>744</v>
      </c>
      <c r="C185" s="1779" t="s">
        <v>744</v>
      </c>
      <c r="D185" s="1779" t="s">
        <v>744</v>
      </c>
      <c r="E185" s="1779" t="s">
        <v>744</v>
      </c>
      <c r="F185" s="1779" t="s">
        <v>744</v>
      </c>
      <c r="G185" s="1779" t="s">
        <v>744</v>
      </c>
      <c r="H185" s="1779" t="s">
        <v>744</v>
      </c>
      <c r="I185" s="1779" t="s">
        <v>744</v>
      </c>
      <c r="J185" s="1781" t="s">
        <v>744</v>
      </c>
      <c r="K185" s="1782" t="s">
        <v>1545</v>
      </c>
      <c r="L185" s="1782" t="s">
        <v>1545</v>
      </c>
      <c r="M185" s="1782" t="s">
        <v>1545</v>
      </c>
      <c r="N185" s="1782" t="s">
        <v>1545</v>
      </c>
      <c r="O185" s="1766"/>
      <c r="P185" s="1766"/>
    </row>
    <row r="186" spans="1:16">
      <c r="A186" s="1784" t="s">
        <v>744</v>
      </c>
      <c r="B186" s="1784" t="s">
        <v>744</v>
      </c>
      <c r="C186" s="1779" t="s">
        <v>744</v>
      </c>
      <c r="D186" s="1779" t="s">
        <v>744</v>
      </c>
      <c r="E186" s="1779" t="s">
        <v>744</v>
      </c>
      <c r="F186" s="1779" t="s">
        <v>744</v>
      </c>
      <c r="G186" s="1779" t="s">
        <v>744</v>
      </c>
      <c r="H186" s="1779" t="s">
        <v>744</v>
      </c>
      <c r="I186" s="1779" t="s">
        <v>744</v>
      </c>
      <c r="J186" s="1781" t="s">
        <v>744</v>
      </c>
      <c r="K186" s="1782" t="s">
        <v>778</v>
      </c>
      <c r="L186" s="1782" t="s">
        <v>778</v>
      </c>
      <c r="M186" s="1782" t="s">
        <v>778</v>
      </c>
      <c r="N186" s="1782" t="s">
        <v>778</v>
      </c>
      <c r="O186" s="1766"/>
      <c r="P186" s="1766"/>
    </row>
    <row r="187" spans="1:16">
      <c r="A187" s="1784" t="s">
        <v>744</v>
      </c>
      <c r="B187" s="1784" t="s">
        <v>744</v>
      </c>
      <c r="C187" s="1779" t="s">
        <v>744</v>
      </c>
      <c r="D187" s="1779" t="s">
        <v>744</v>
      </c>
      <c r="E187" s="1779" t="s">
        <v>744</v>
      </c>
      <c r="F187" s="1779" t="s">
        <v>744</v>
      </c>
      <c r="G187" s="1779" t="s">
        <v>744</v>
      </c>
      <c r="H187" s="1779" t="s">
        <v>744</v>
      </c>
      <c r="I187" s="1779" t="s">
        <v>744</v>
      </c>
      <c r="J187" s="1781" t="s">
        <v>744</v>
      </c>
      <c r="K187" s="1782" t="s">
        <v>818</v>
      </c>
      <c r="L187" s="1782" t="s">
        <v>818</v>
      </c>
      <c r="M187" s="1782" t="s">
        <v>817</v>
      </c>
      <c r="N187" s="1782" t="s">
        <v>817</v>
      </c>
      <c r="O187" s="1766"/>
      <c r="P187" s="1766"/>
    </row>
    <row r="188" spans="1:16">
      <c r="A188" s="1784" t="s">
        <v>744</v>
      </c>
      <c r="B188" s="1784" t="s">
        <v>744</v>
      </c>
      <c r="C188" s="1779" t="s">
        <v>744</v>
      </c>
      <c r="D188" s="1779" t="s">
        <v>744</v>
      </c>
      <c r="E188" s="1779" t="s">
        <v>744</v>
      </c>
      <c r="F188" s="1779" t="s">
        <v>744</v>
      </c>
      <c r="G188" s="1779" t="s">
        <v>744</v>
      </c>
      <c r="H188" s="1779" t="s">
        <v>744</v>
      </c>
      <c r="I188" s="1779" t="s">
        <v>744</v>
      </c>
      <c r="J188" s="1781" t="s">
        <v>744</v>
      </c>
      <c r="K188" s="1782" t="s">
        <v>819</v>
      </c>
      <c r="L188" s="1782" t="s">
        <v>819</v>
      </c>
      <c r="M188" s="1782" t="s">
        <v>818</v>
      </c>
      <c r="N188" s="1782" t="s">
        <v>818</v>
      </c>
      <c r="O188" s="1766"/>
      <c r="P188" s="1766"/>
    </row>
    <row r="189" spans="1:16">
      <c r="A189" s="1784" t="s">
        <v>744</v>
      </c>
      <c r="B189" s="1784" t="s">
        <v>744</v>
      </c>
      <c r="C189" s="1779" t="s">
        <v>744</v>
      </c>
      <c r="D189" s="1779" t="s">
        <v>744</v>
      </c>
      <c r="E189" s="1779" t="s">
        <v>744</v>
      </c>
      <c r="F189" s="1779" t="s">
        <v>744</v>
      </c>
      <c r="G189" s="1779" t="s">
        <v>744</v>
      </c>
      <c r="H189" s="1779" t="s">
        <v>744</v>
      </c>
      <c r="I189" s="1779" t="s">
        <v>744</v>
      </c>
      <c r="J189" s="1781" t="s">
        <v>744</v>
      </c>
      <c r="K189" s="1782" t="s">
        <v>820</v>
      </c>
      <c r="L189" s="1782" t="s">
        <v>820</v>
      </c>
      <c r="M189" s="1782" t="s">
        <v>819</v>
      </c>
      <c r="N189" s="1782" t="s">
        <v>819</v>
      </c>
      <c r="O189" s="1766"/>
      <c r="P189" s="1766"/>
    </row>
    <row r="190" spans="1:16">
      <c r="A190" s="1784" t="s">
        <v>744</v>
      </c>
      <c r="B190" s="1784" t="s">
        <v>744</v>
      </c>
      <c r="C190" s="1779" t="s">
        <v>744</v>
      </c>
      <c r="D190" s="1779" t="s">
        <v>744</v>
      </c>
      <c r="E190" s="1779" t="s">
        <v>744</v>
      </c>
      <c r="F190" s="1779" t="s">
        <v>744</v>
      </c>
      <c r="G190" s="1779" t="s">
        <v>744</v>
      </c>
      <c r="H190" s="1779" t="s">
        <v>744</v>
      </c>
      <c r="I190" s="1779" t="s">
        <v>744</v>
      </c>
      <c r="J190" s="1781" t="s">
        <v>744</v>
      </c>
      <c r="K190" s="1782" t="s">
        <v>830</v>
      </c>
      <c r="L190" s="1782" t="s">
        <v>830</v>
      </c>
      <c r="M190" s="1782" t="s">
        <v>830</v>
      </c>
      <c r="N190" s="1782" t="s">
        <v>744</v>
      </c>
      <c r="O190" s="1766"/>
      <c r="P190" s="1766"/>
    </row>
    <row r="191" spans="1:16">
      <c r="A191" s="1784" t="s">
        <v>744</v>
      </c>
      <c r="B191" s="1784" t="s">
        <v>744</v>
      </c>
      <c r="C191" s="1779" t="s">
        <v>744</v>
      </c>
      <c r="D191" s="1779" t="s">
        <v>744</v>
      </c>
      <c r="E191" s="1779" t="s">
        <v>744</v>
      </c>
      <c r="F191" s="1779" t="s">
        <v>744</v>
      </c>
      <c r="G191" s="1779" t="s">
        <v>744</v>
      </c>
      <c r="H191" s="1779" t="s">
        <v>744</v>
      </c>
      <c r="I191" s="1779" t="s">
        <v>744</v>
      </c>
      <c r="J191" s="1781" t="s">
        <v>744</v>
      </c>
      <c r="K191" s="1782" t="s">
        <v>832</v>
      </c>
      <c r="L191" s="1782" t="s">
        <v>832</v>
      </c>
      <c r="M191" s="1782" t="s">
        <v>832</v>
      </c>
      <c r="N191" s="1782" t="s">
        <v>744</v>
      </c>
      <c r="O191" s="1766"/>
      <c r="P191" s="1766"/>
    </row>
    <row r="192" spans="1:16">
      <c r="A192" s="1784" t="s">
        <v>744</v>
      </c>
      <c r="B192" s="1784" t="s">
        <v>744</v>
      </c>
      <c r="C192" s="1779" t="s">
        <v>744</v>
      </c>
      <c r="D192" s="1779" t="s">
        <v>744</v>
      </c>
      <c r="E192" s="1779" t="s">
        <v>744</v>
      </c>
      <c r="F192" s="1779" t="s">
        <v>744</v>
      </c>
      <c r="G192" s="1779" t="s">
        <v>744</v>
      </c>
      <c r="H192" s="1779" t="s">
        <v>744</v>
      </c>
      <c r="I192" s="1779" t="s">
        <v>744</v>
      </c>
      <c r="J192" s="1781" t="s">
        <v>744</v>
      </c>
      <c r="K192" s="1782" t="s">
        <v>740</v>
      </c>
      <c r="L192" s="1782" t="s">
        <v>740</v>
      </c>
      <c r="M192" s="1782" t="s">
        <v>740</v>
      </c>
      <c r="N192" s="1782" t="s">
        <v>744</v>
      </c>
      <c r="O192" s="1766"/>
      <c r="P192" s="1766"/>
    </row>
    <row r="193" spans="1:18">
      <c r="A193" s="1784" t="s">
        <v>744</v>
      </c>
      <c r="B193" s="1784" t="s">
        <v>744</v>
      </c>
      <c r="C193" s="1779" t="s">
        <v>744</v>
      </c>
      <c r="D193" s="1779" t="s">
        <v>744</v>
      </c>
      <c r="E193" s="1779" t="s">
        <v>744</v>
      </c>
      <c r="F193" s="1779" t="s">
        <v>744</v>
      </c>
      <c r="G193" s="1779" t="s">
        <v>744</v>
      </c>
      <c r="H193" s="1779" t="s">
        <v>744</v>
      </c>
      <c r="I193" s="1779" t="s">
        <v>744</v>
      </c>
      <c r="J193" s="1781" t="s">
        <v>744</v>
      </c>
      <c r="K193" s="1782" t="s">
        <v>1570</v>
      </c>
      <c r="L193" s="1782" t="s">
        <v>1570</v>
      </c>
      <c r="M193" s="1782" t="s">
        <v>1570</v>
      </c>
      <c r="N193" s="1782" t="s">
        <v>744</v>
      </c>
      <c r="O193" s="1766"/>
      <c r="P193" s="1766"/>
    </row>
    <row r="194" spans="1:18">
      <c r="A194" s="1784" t="s">
        <v>744</v>
      </c>
      <c r="B194" s="1784" t="s">
        <v>744</v>
      </c>
      <c r="C194" s="1779" t="s">
        <v>744</v>
      </c>
      <c r="D194" s="1779" t="s">
        <v>744</v>
      </c>
      <c r="E194" s="1779" t="s">
        <v>744</v>
      </c>
      <c r="F194" s="1779" t="s">
        <v>744</v>
      </c>
      <c r="G194" s="1779" t="s">
        <v>744</v>
      </c>
      <c r="H194" s="1779" t="s">
        <v>744</v>
      </c>
      <c r="I194" s="1779" t="s">
        <v>744</v>
      </c>
      <c r="J194" s="1781" t="s">
        <v>744</v>
      </c>
      <c r="K194" s="1782" t="s">
        <v>733</v>
      </c>
      <c r="L194" s="1782" t="s">
        <v>733</v>
      </c>
      <c r="M194" s="1782" t="s">
        <v>744</v>
      </c>
      <c r="N194" s="1782" t="s">
        <v>744</v>
      </c>
      <c r="O194" s="1766"/>
      <c r="P194" s="1766"/>
    </row>
    <row r="195" spans="1:18">
      <c r="A195" s="1784" t="s">
        <v>744</v>
      </c>
      <c r="B195" s="1784" t="s">
        <v>744</v>
      </c>
      <c r="C195" s="1779" t="s">
        <v>744</v>
      </c>
      <c r="D195" s="1779" t="s">
        <v>744</v>
      </c>
      <c r="E195" s="1779" t="s">
        <v>744</v>
      </c>
      <c r="F195" s="1779" t="s">
        <v>744</v>
      </c>
      <c r="G195" s="1779" t="s">
        <v>744</v>
      </c>
      <c r="H195" s="1779" t="s">
        <v>744</v>
      </c>
      <c r="I195" s="1779" t="s">
        <v>744</v>
      </c>
      <c r="J195" s="1781" t="s">
        <v>744</v>
      </c>
      <c r="K195" s="1782" t="s">
        <v>764</v>
      </c>
      <c r="L195" s="1782" t="s">
        <v>744</v>
      </c>
      <c r="M195" s="1782" t="s">
        <v>744</v>
      </c>
      <c r="N195" s="1782" t="s">
        <v>744</v>
      </c>
      <c r="O195" s="1766"/>
      <c r="P195" s="1766"/>
    </row>
    <row r="196" spans="1:18">
      <c r="A196" s="1784" t="s">
        <v>744</v>
      </c>
      <c r="B196" s="1784" t="s">
        <v>744</v>
      </c>
      <c r="C196" s="1779" t="s">
        <v>744</v>
      </c>
      <c r="D196" s="1779" t="s">
        <v>744</v>
      </c>
      <c r="E196" s="1779" t="s">
        <v>744</v>
      </c>
      <c r="F196" s="1779" t="s">
        <v>744</v>
      </c>
      <c r="G196" s="1779" t="s">
        <v>744</v>
      </c>
      <c r="H196" s="1779" t="s">
        <v>744</v>
      </c>
      <c r="I196" s="1779" t="s">
        <v>744</v>
      </c>
      <c r="J196" s="1781" t="s">
        <v>744</v>
      </c>
      <c r="K196" s="1782" t="s">
        <v>835</v>
      </c>
      <c r="L196" s="1782" t="s">
        <v>835</v>
      </c>
      <c r="M196" s="1782" t="s">
        <v>835</v>
      </c>
      <c r="N196" s="1782" t="s">
        <v>834</v>
      </c>
      <c r="O196" s="1766"/>
      <c r="P196" s="1766"/>
    </row>
    <row r="197" spans="1:18">
      <c r="A197" s="1784" t="s">
        <v>744</v>
      </c>
      <c r="B197" s="1784" t="s">
        <v>744</v>
      </c>
      <c r="C197" s="1779" t="s">
        <v>744</v>
      </c>
      <c r="D197" s="1779" t="s">
        <v>744</v>
      </c>
      <c r="E197" s="1779" t="s">
        <v>744</v>
      </c>
      <c r="F197" s="1779" t="s">
        <v>744</v>
      </c>
      <c r="G197" s="1779" t="s">
        <v>744</v>
      </c>
      <c r="H197" s="1779" t="s">
        <v>744</v>
      </c>
      <c r="I197" s="1779" t="s">
        <v>744</v>
      </c>
      <c r="J197" s="1781" t="s">
        <v>744</v>
      </c>
      <c r="K197" s="1782" t="s">
        <v>728</v>
      </c>
      <c r="L197" s="1782" t="s">
        <v>728</v>
      </c>
      <c r="M197" s="1782" t="s">
        <v>728</v>
      </c>
      <c r="N197" s="1782" t="s">
        <v>836</v>
      </c>
      <c r="O197" s="1766"/>
      <c r="P197" s="1766"/>
    </row>
    <row r="198" spans="1:18">
      <c r="A198" s="1784" t="s">
        <v>744</v>
      </c>
      <c r="B198" s="1784" t="s">
        <v>744</v>
      </c>
      <c r="C198" s="1779" t="s">
        <v>744</v>
      </c>
      <c r="D198" s="1779" t="s">
        <v>744</v>
      </c>
      <c r="E198" s="1779" t="s">
        <v>744</v>
      </c>
      <c r="F198" s="1779" t="s">
        <v>744</v>
      </c>
      <c r="G198" s="1779" t="s">
        <v>744</v>
      </c>
      <c r="H198" s="1779" t="s">
        <v>744</v>
      </c>
      <c r="I198" s="1779" t="s">
        <v>744</v>
      </c>
      <c r="J198" s="1781" t="s">
        <v>744</v>
      </c>
      <c r="K198" s="1782" t="s">
        <v>730</v>
      </c>
      <c r="L198" s="1782" t="s">
        <v>730</v>
      </c>
      <c r="M198" s="1782" t="s">
        <v>730</v>
      </c>
      <c r="N198" s="1782" t="s">
        <v>729</v>
      </c>
      <c r="O198" s="1766"/>
      <c r="P198" s="1766"/>
    </row>
    <row r="199" spans="1:18">
      <c r="A199" s="1784" t="s">
        <v>744</v>
      </c>
      <c r="B199" s="1784" t="s">
        <v>744</v>
      </c>
      <c r="C199" s="1779" t="s">
        <v>744</v>
      </c>
      <c r="D199" s="1779" t="s">
        <v>744</v>
      </c>
      <c r="E199" s="1779" t="s">
        <v>744</v>
      </c>
      <c r="F199" s="1779" t="s">
        <v>744</v>
      </c>
      <c r="G199" s="1779" t="s">
        <v>744</v>
      </c>
      <c r="H199" s="1779" t="s">
        <v>744</v>
      </c>
      <c r="I199" s="1779" t="s">
        <v>744</v>
      </c>
      <c r="J199" s="1781" t="s">
        <v>744</v>
      </c>
      <c r="K199" s="1782" t="s">
        <v>732</v>
      </c>
      <c r="L199" s="1782" t="s">
        <v>732</v>
      </c>
      <c r="M199" s="1782" t="s">
        <v>732</v>
      </c>
      <c r="N199" s="1782" t="s">
        <v>731</v>
      </c>
      <c r="O199" s="1766"/>
      <c r="P199" s="1766"/>
    </row>
    <row r="200" spans="1:18">
      <c r="A200" s="1784" t="s">
        <v>744</v>
      </c>
      <c r="B200" s="1784" t="s">
        <v>744</v>
      </c>
      <c r="C200" s="1784" t="s">
        <v>744</v>
      </c>
      <c r="D200" s="1784" t="s">
        <v>744</v>
      </c>
      <c r="E200" s="1784" t="s">
        <v>744</v>
      </c>
      <c r="F200" s="1784" t="s">
        <v>744</v>
      </c>
      <c r="G200" s="1784" t="s">
        <v>744</v>
      </c>
      <c r="H200" s="1784" t="s">
        <v>744</v>
      </c>
      <c r="I200" s="1784" t="s">
        <v>744</v>
      </c>
      <c r="J200" s="1782" t="s">
        <v>744</v>
      </c>
      <c r="K200" s="1782" t="s">
        <v>744</v>
      </c>
      <c r="L200" s="1782" t="s">
        <v>827</v>
      </c>
      <c r="M200" s="1782" t="s">
        <v>744</v>
      </c>
      <c r="N200" s="1782" t="s">
        <v>744</v>
      </c>
      <c r="O200" s="1766"/>
      <c r="P200" s="1766"/>
    </row>
    <row r="201" spans="1:18">
      <c r="A201" s="1784" t="s">
        <v>744</v>
      </c>
      <c r="B201" s="1784" t="s">
        <v>744</v>
      </c>
      <c r="C201" s="1784" t="s">
        <v>744</v>
      </c>
      <c r="D201" s="1784" t="s">
        <v>744</v>
      </c>
      <c r="E201" s="1784" t="s">
        <v>744</v>
      </c>
      <c r="F201" s="1784" t="s">
        <v>744</v>
      </c>
      <c r="G201" s="1784" t="s">
        <v>744</v>
      </c>
      <c r="H201" s="1784" t="s">
        <v>744</v>
      </c>
      <c r="I201" s="1784" t="s">
        <v>744</v>
      </c>
      <c r="J201" s="1782" t="s">
        <v>744</v>
      </c>
      <c r="K201" s="1782" t="s">
        <v>744</v>
      </c>
      <c r="L201" s="1782" t="s">
        <v>744</v>
      </c>
      <c r="M201" s="1782" t="s">
        <v>824</v>
      </c>
      <c r="N201" s="1782" t="s">
        <v>827</v>
      </c>
      <c r="O201" s="1766"/>
      <c r="P201" s="1766"/>
    </row>
    <row r="202" spans="1:18">
      <c r="A202" s="1793">
        <f>COUNTIF(A7:A201,"&lt;&gt;-")</f>
        <v>131</v>
      </c>
      <c r="B202" s="1793">
        <f>COUNTIF(B7:B188,"&lt;&gt;-")</f>
        <v>130</v>
      </c>
      <c r="C202" s="1793">
        <f>COUNTIF(C7:C188,"&lt;&gt;-")</f>
        <v>133</v>
      </c>
      <c r="D202" s="1793">
        <f>COUNTIF(D7:D188,"&lt;&gt;-")</f>
        <v>130</v>
      </c>
      <c r="E202" s="1793">
        <f>COUNTIF(E7:E188,"&lt;&gt;-")</f>
        <v>129</v>
      </c>
      <c r="F202" s="1793">
        <v>140</v>
      </c>
      <c r="G202" s="1793">
        <f t="shared" ref="G202:N202" si="0">COUNTIF(G7:G188,"&lt;&gt;-")</f>
        <v>135</v>
      </c>
      <c r="H202" s="1793">
        <f t="shared" si="0"/>
        <v>125</v>
      </c>
      <c r="I202" s="1793">
        <f t="shared" si="0"/>
        <v>113</v>
      </c>
      <c r="J202" s="1793">
        <f t="shared" si="0"/>
        <v>92</v>
      </c>
      <c r="K202" s="1793">
        <f t="shared" si="0"/>
        <v>92</v>
      </c>
      <c r="L202" s="1793">
        <f t="shared" si="0"/>
        <v>92</v>
      </c>
      <c r="M202" s="1793">
        <f t="shared" si="0"/>
        <v>84</v>
      </c>
      <c r="N202" s="1793">
        <f t="shared" si="0"/>
        <v>79</v>
      </c>
      <c r="O202" s="1766"/>
      <c r="P202" s="1766"/>
    </row>
    <row r="203" spans="1:18">
      <c r="D203" s="1794"/>
      <c r="E203" s="1794"/>
      <c r="F203" s="1794"/>
      <c r="G203" s="1794"/>
      <c r="H203" s="1794"/>
      <c r="I203" s="1794"/>
      <c r="J203" s="1794"/>
      <c r="K203" s="1794"/>
      <c r="L203" s="1794"/>
      <c r="M203" s="1794"/>
      <c r="O203" s="1766"/>
      <c r="P203" s="1766"/>
    </row>
    <row r="204" spans="1:18" ht="13">
      <c r="A204" s="1766" t="s">
        <v>767</v>
      </c>
      <c r="E204" s="1766"/>
      <c r="F204" s="1766"/>
      <c r="G204" s="1795"/>
      <c r="H204" s="1795"/>
      <c r="K204" s="1767"/>
      <c r="L204" s="1767"/>
      <c r="M204" s="1796"/>
      <c r="N204" s="1796"/>
      <c r="O204" s="1796"/>
      <c r="P204" s="1796"/>
      <c r="Q204" s="1792"/>
      <c r="R204" s="1792"/>
    </row>
    <row r="205" spans="1:18" ht="9.75" customHeight="1">
      <c r="E205" s="1766"/>
      <c r="F205" s="1795"/>
      <c r="G205" s="1795"/>
      <c r="K205" s="1767"/>
      <c r="O205" s="1766"/>
      <c r="Q205" s="1767"/>
    </row>
    <row r="206" spans="1:18">
      <c r="E206" s="1766"/>
      <c r="K206" s="1767"/>
      <c r="O206" s="1766"/>
      <c r="Q206" s="1767"/>
    </row>
    <row r="207" spans="1:18">
      <c r="E207" s="1766"/>
      <c r="K207" s="1767"/>
      <c r="O207" s="1766"/>
      <c r="Q207" s="1767"/>
    </row>
  </sheetData>
  <phoneticPr fontId="30" type="noConversion"/>
  <pageMargins left="0.55000000000000004" right="0.41" top="0.33" bottom="0.37" header="0.25" footer="0.23"/>
  <pageSetup paperSize="9" scale="65" fitToHeight="2" orientation="portrait"/>
  <headerFooter alignWithMargins="0">
    <oddFooter>&amp;R&amp;P/&amp;N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95011-1F06-904E-97AE-D8553BCE8C5D}">
  <sheetPr codeName="Tabelle2">
    <pageSetUpPr fitToPage="1"/>
  </sheetPr>
  <dimension ref="A1:C87"/>
  <sheetViews>
    <sheetView topLeftCell="A70" workbookViewId="0">
      <selection activeCell="A77" sqref="A77"/>
    </sheetView>
  </sheetViews>
  <sheetFormatPr baseColWidth="10" defaultColWidth="11.3984375" defaultRowHeight="13"/>
  <cols>
    <col min="1" max="1" width="25.59765625" style="1846" customWidth="1"/>
    <col min="2" max="2" width="23" style="1846" customWidth="1"/>
    <col min="3" max="3" width="28.59765625" style="1846" customWidth="1"/>
    <col min="4" max="4" width="7.796875" style="1846" customWidth="1"/>
    <col min="5" max="5" width="4.59765625" style="1846" customWidth="1"/>
    <col min="6" max="16384" width="11.3984375" style="1846"/>
  </cols>
  <sheetData>
    <row r="1" spans="1:2" ht="14">
      <c r="A1" s="1845" t="s">
        <v>1599</v>
      </c>
    </row>
    <row r="2" spans="1:2" ht="16">
      <c r="A2" s="1847"/>
    </row>
    <row r="3" spans="1:2" ht="14">
      <c r="A3" s="1845" t="s">
        <v>1600</v>
      </c>
    </row>
    <row r="4" spans="1:2" ht="15.75" customHeight="1"/>
    <row r="5" spans="1:2" ht="21" customHeight="1">
      <c r="A5" s="1848" t="s">
        <v>1634</v>
      </c>
      <c r="B5" s="1849" t="s">
        <v>1601</v>
      </c>
    </row>
    <row r="6" spans="1:2" ht="18.75" customHeight="1">
      <c r="A6" s="1850" t="s">
        <v>1602</v>
      </c>
      <c r="B6" s="1851" t="s">
        <v>1603</v>
      </c>
    </row>
    <row r="7" spans="1:2" ht="41.25" customHeight="1">
      <c r="A7" s="1852" t="s">
        <v>1604</v>
      </c>
      <c r="B7" s="1853" t="s">
        <v>1605</v>
      </c>
    </row>
    <row r="8" spans="1:2" ht="22.5" customHeight="1">
      <c r="A8" s="1854" t="s">
        <v>1606</v>
      </c>
      <c r="B8" s="1855" t="s">
        <v>744</v>
      </c>
    </row>
    <row r="9" spans="1:2" ht="14">
      <c r="A9" s="1854" t="s">
        <v>1607</v>
      </c>
      <c r="B9" s="1856">
        <v>0.1</v>
      </c>
    </row>
    <row r="10" spans="1:2" ht="14">
      <c r="A10" s="1854" t="s">
        <v>1608</v>
      </c>
      <c r="B10" s="1856">
        <v>0.2</v>
      </c>
    </row>
    <row r="11" spans="1:2" ht="14">
      <c r="A11" s="1854" t="s">
        <v>1609</v>
      </c>
      <c r="B11" s="1856">
        <v>0.35</v>
      </c>
    </row>
    <row r="12" spans="1:2" ht="14">
      <c r="A12" s="1854" t="s">
        <v>1610</v>
      </c>
      <c r="B12" s="1856">
        <v>0.4</v>
      </c>
    </row>
    <row r="13" spans="1:2" ht="25.5" customHeight="1">
      <c r="A13" s="1857"/>
    </row>
    <row r="14" spans="1:2" ht="21" customHeight="1">
      <c r="A14" s="1848" t="s">
        <v>1634</v>
      </c>
      <c r="B14" s="1858" t="s">
        <v>1611</v>
      </c>
    </row>
    <row r="15" spans="1:2" ht="19.5" customHeight="1">
      <c r="A15" s="1859" t="s">
        <v>1602</v>
      </c>
      <c r="B15" s="1860" t="s">
        <v>1603</v>
      </c>
    </row>
    <row r="16" spans="1:2" ht="42" customHeight="1">
      <c r="A16" s="1852" t="s">
        <v>1604</v>
      </c>
      <c r="B16" s="1853" t="s">
        <v>1605</v>
      </c>
    </row>
    <row r="17" spans="1:3" ht="24" customHeight="1">
      <c r="A17" s="1861" t="s">
        <v>1635</v>
      </c>
      <c r="B17" s="1855" t="s">
        <v>744</v>
      </c>
    </row>
    <row r="18" spans="1:3" ht="14">
      <c r="A18" s="1862" t="s">
        <v>1636</v>
      </c>
      <c r="B18" s="1863">
        <v>0.08</v>
      </c>
    </row>
    <row r="19" spans="1:3" ht="14">
      <c r="A19" s="1854" t="s">
        <v>1608</v>
      </c>
      <c r="B19" s="1863">
        <v>0.15</v>
      </c>
    </row>
    <row r="20" spans="1:3" ht="14">
      <c r="A20" s="1854" t="s">
        <v>1609</v>
      </c>
      <c r="B20" s="1863">
        <v>0.3</v>
      </c>
    </row>
    <row r="21" spans="1:3" ht="14">
      <c r="A21" s="1854" t="s">
        <v>1610</v>
      </c>
      <c r="B21" s="1856">
        <v>0.4</v>
      </c>
    </row>
    <row r="22" spans="1:3" ht="24" customHeight="1">
      <c r="A22" s="1857"/>
    </row>
    <row r="23" spans="1:3" ht="21" customHeight="1">
      <c r="A23" s="1848" t="s">
        <v>1634</v>
      </c>
      <c r="B23" s="1858" t="s">
        <v>1612</v>
      </c>
      <c r="C23" s="1864"/>
    </row>
    <row r="24" spans="1:3" ht="21.75" customHeight="1">
      <c r="A24" s="1859" t="s">
        <v>1602</v>
      </c>
      <c r="B24" s="1860" t="s">
        <v>1603</v>
      </c>
      <c r="C24" s="1865"/>
    </row>
    <row r="25" spans="1:3" ht="21" customHeight="1">
      <c r="A25" s="1993" t="s">
        <v>1604</v>
      </c>
      <c r="B25" s="1995" t="s">
        <v>1605</v>
      </c>
      <c r="C25" s="1866" t="s">
        <v>1613</v>
      </c>
    </row>
    <row r="26" spans="1:3" ht="29.25" customHeight="1">
      <c r="A26" s="1994"/>
      <c r="B26" s="1996"/>
      <c r="C26" s="1867" t="s">
        <v>1614</v>
      </c>
    </row>
    <row r="27" spans="1:3" ht="18.75" customHeight="1">
      <c r="A27" s="1868" t="s">
        <v>1615</v>
      </c>
      <c r="B27" s="1855" t="s">
        <v>744</v>
      </c>
      <c r="C27" s="1869" t="s">
        <v>744</v>
      </c>
    </row>
    <row r="28" spans="1:3" ht="14">
      <c r="A28" s="1854" t="s">
        <v>1616</v>
      </c>
      <c r="B28" s="1856">
        <v>0.08</v>
      </c>
      <c r="C28" s="1870">
        <v>170</v>
      </c>
    </row>
    <row r="29" spans="1:3" ht="14">
      <c r="A29" s="1854" t="s">
        <v>1608</v>
      </c>
      <c r="B29" s="1856">
        <v>0.15</v>
      </c>
      <c r="C29" s="1870">
        <v>370</v>
      </c>
    </row>
    <row r="30" spans="1:3" ht="14">
      <c r="A30" s="1854" t="s">
        <v>1609</v>
      </c>
      <c r="B30" s="1856">
        <v>0.3</v>
      </c>
      <c r="C30" s="1870">
        <v>970</v>
      </c>
    </row>
    <row r="31" spans="1:3" ht="14">
      <c r="A31" s="1854" t="s">
        <v>1610</v>
      </c>
      <c r="B31" s="1856">
        <v>0.4</v>
      </c>
      <c r="C31" s="1870">
        <v>1270</v>
      </c>
    </row>
    <row r="32" spans="1:3" ht="25.5" customHeight="1">
      <c r="A32" s="1857"/>
    </row>
    <row r="33" spans="1:3" ht="15" customHeight="1">
      <c r="A33" s="1857"/>
    </row>
    <row r="34" spans="1:3" ht="21" customHeight="1">
      <c r="A34" s="1848" t="s">
        <v>1634</v>
      </c>
      <c r="B34" s="1871">
        <v>2004</v>
      </c>
      <c r="C34" s="1864"/>
    </row>
    <row r="35" spans="1:3" ht="21.75" customHeight="1">
      <c r="A35" s="1859" t="s">
        <v>1602</v>
      </c>
      <c r="B35" s="1872" t="s">
        <v>1637</v>
      </c>
      <c r="C35" s="1865"/>
    </row>
    <row r="36" spans="1:3" ht="19.5" customHeight="1">
      <c r="A36" s="1993" t="s">
        <v>1604</v>
      </c>
      <c r="B36" s="1995" t="s">
        <v>1605</v>
      </c>
      <c r="C36" s="1866" t="s">
        <v>1613</v>
      </c>
    </row>
    <row r="37" spans="1:3" ht="42" customHeight="1">
      <c r="A37" s="1994"/>
      <c r="B37" s="1996"/>
      <c r="C37" s="1867" t="s">
        <v>1617</v>
      </c>
    </row>
    <row r="38" spans="1:3" ht="16.5" customHeight="1">
      <c r="A38" s="1861" t="s">
        <v>1638</v>
      </c>
      <c r="B38" s="1855" t="s">
        <v>744</v>
      </c>
      <c r="C38" s="1869" t="s">
        <v>744</v>
      </c>
    </row>
    <row r="39" spans="1:3" ht="14">
      <c r="A39" s="1854" t="s">
        <v>1616</v>
      </c>
      <c r="B39" s="1863">
        <v>0.03</v>
      </c>
      <c r="C39" s="1870">
        <v>80</v>
      </c>
    </row>
    <row r="40" spans="1:3" ht="14">
      <c r="A40" s="1854" t="s">
        <v>1608</v>
      </c>
      <c r="B40" s="1863">
        <v>0.09</v>
      </c>
      <c r="C40" s="1870">
        <v>240</v>
      </c>
    </row>
    <row r="41" spans="1:3" ht="14">
      <c r="A41" s="1854" t="s">
        <v>1609</v>
      </c>
      <c r="B41" s="1863">
        <v>0.24</v>
      </c>
      <c r="C41" s="1870">
        <v>720</v>
      </c>
    </row>
    <row r="42" spans="1:3" ht="14">
      <c r="A42" s="1854" t="s">
        <v>1610</v>
      </c>
      <c r="B42" s="1863">
        <v>0.3</v>
      </c>
      <c r="C42" s="1870">
        <v>960</v>
      </c>
    </row>
    <row r="43" spans="1:3" ht="22.5" customHeight="1">
      <c r="A43" s="1857"/>
    </row>
    <row r="44" spans="1:3" ht="21" customHeight="1">
      <c r="A44" s="1848" t="s">
        <v>1634</v>
      </c>
      <c r="B44" s="1871">
        <v>2005</v>
      </c>
      <c r="C44" s="1864"/>
    </row>
    <row r="45" spans="1:3" ht="21" customHeight="1">
      <c r="A45" s="1859" t="s">
        <v>1602</v>
      </c>
      <c r="B45" s="1860" t="s">
        <v>1618</v>
      </c>
      <c r="C45" s="1865"/>
    </row>
    <row r="46" spans="1:3" ht="20.25" customHeight="1">
      <c r="A46" s="1993" t="s">
        <v>1604</v>
      </c>
      <c r="B46" s="1995" t="s">
        <v>1605</v>
      </c>
      <c r="C46" s="1866" t="s">
        <v>1613</v>
      </c>
    </row>
    <row r="47" spans="1:3" ht="41.25" customHeight="1">
      <c r="A47" s="1994"/>
      <c r="B47" s="1996"/>
      <c r="C47" s="1873" t="s">
        <v>1617</v>
      </c>
    </row>
    <row r="48" spans="1:3" ht="15" customHeight="1">
      <c r="A48" s="1854" t="s">
        <v>1619</v>
      </c>
      <c r="B48" s="1855" t="s">
        <v>744</v>
      </c>
      <c r="C48" s="1869" t="s">
        <v>744</v>
      </c>
    </row>
    <row r="49" spans="1:3" ht="14">
      <c r="A49" s="1874" t="s">
        <v>1620</v>
      </c>
      <c r="B49" s="1863">
        <v>0.5</v>
      </c>
      <c r="C49" s="1870">
        <v>160</v>
      </c>
    </row>
    <row r="50" spans="1:3" ht="14">
      <c r="A50" s="1874" t="s">
        <v>1621</v>
      </c>
      <c r="B50" s="1863">
        <v>0.5</v>
      </c>
      <c r="C50" s="1870">
        <v>560</v>
      </c>
    </row>
    <row r="51" spans="1:3" ht="14">
      <c r="A51" s="1854" t="s">
        <v>1622</v>
      </c>
      <c r="B51" s="1863">
        <v>0.5</v>
      </c>
      <c r="C51" s="1869">
        <v>960</v>
      </c>
    </row>
    <row r="52" spans="1:3" ht="14">
      <c r="A52" s="1874" t="s">
        <v>1623</v>
      </c>
      <c r="B52" s="1863">
        <v>0.5</v>
      </c>
      <c r="C52" s="1870">
        <v>1360</v>
      </c>
    </row>
    <row r="53" spans="1:3" ht="14">
      <c r="A53" s="1874" t="s">
        <v>1624</v>
      </c>
      <c r="B53" s="1863">
        <v>0.5</v>
      </c>
      <c r="C53" s="1870">
        <v>1760</v>
      </c>
    </row>
    <row r="54" spans="1:3" ht="22.5" customHeight="1">
      <c r="A54" s="1875"/>
    </row>
    <row r="55" spans="1:3" ht="23.25" customHeight="1">
      <c r="A55" s="1848" t="s">
        <v>1634</v>
      </c>
      <c r="B55" s="1858" t="s">
        <v>1625</v>
      </c>
      <c r="C55" s="1864"/>
    </row>
    <row r="56" spans="1:3" ht="21" customHeight="1">
      <c r="A56" s="1859" t="s">
        <v>1602</v>
      </c>
      <c r="B56" s="1876" t="s">
        <v>1639</v>
      </c>
      <c r="C56" s="1865"/>
    </row>
    <row r="57" spans="1:3" ht="20.25" customHeight="1">
      <c r="A57" s="1993" t="s">
        <v>1604</v>
      </c>
      <c r="B57" s="1995" t="s">
        <v>1605</v>
      </c>
      <c r="C57" s="1866" t="s">
        <v>1613</v>
      </c>
    </row>
    <row r="58" spans="1:3" ht="41.25" customHeight="1">
      <c r="A58" s="1994"/>
      <c r="B58" s="1996"/>
      <c r="C58" s="1873" t="s">
        <v>1617</v>
      </c>
    </row>
    <row r="59" spans="1:3" ht="12.75" customHeight="1">
      <c r="A59" s="1854" t="s">
        <v>1619</v>
      </c>
      <c r="B59" s="1855" t="s">
        <v>744</v>
      </c>
      <c r="C59" s="1869" t="s">
        <v>744</v>
      </c>
    </row>
    <row r="60" spans="1:3" ht="14">
      <c r="A60" s="1868" t="s">
        <v>1620</v>
      </c>
      <c r="B60" s="1877">
        <v>0.5</v>
      </c>
      <c r="C60" s="1878">
        <v>160</v>
      </c>
    </row>
    <row r="61" spans="1:3" ht="14">
      <c r="A61" s="1868" t="s">
        <v>1621</v>
      </c>
      <c r="B61" s="1877">
        <v>0.5</v>
      </c>
      <c r="C61" s="1878">
        <v>560</v>
      </c>
    </row>
    <row r="62" spans="1:3" ht="14">
      <c r="A62" s="1868" t="s">
        <v>1622</v>
      </c>
      <c r="B62" s="1877">
        <v>0.5</v>
      </c>
      <c r="C62" s="1878">
        <v>960</v>
      </c>
    </row>
    <row r="63" spans="1:3" ht="14">
      <c r="A63" s="1868" t="s">
        <v>1623</v>
      </c>
      <c r="B63" s="1877">
        <v>0.5</v>
      </c>
      <c r="C63" s="1878">
        <v>1360</v>
      </c>
    </row>
    <row r="64" spans="1:3" ht="14">
      <c r="A64" s="1868" t="s">
        <v>1624</v>
      </c>
      <c r="B64" s="1877">
        <v>0.5</v>
      </c>
      <c r="C64" s="1878">
        <v>1760</v>
      </c>
    </row>
    <row r="65" spans="1:3" ht="22.5" customHeight="1">
      <c r="A65" s="1875"/>
    </row>
    <row r="66" spans="1:3" ht="23.25" customHeight="1">
      <c r="A66" s="1848" t="s">
        <v>1634</v>
      </c>
      <c r="B66" s="1858" t="s">
        <v>1626</v>
      </c>
      <c r="C66" s="1864"/>
    </row>
    <row r="67" spans="1:3" ht="21" customHeight="1">
      <c r="A67" s="1859" t="s">
        <v>1602</v>
      </c>
      <c r="B67" s="1879" t="s">
        <v>1639</v>
      </c>
      <c r="C67" s="1865"/>
    </row>
    <row r="68" spans="1:3" ht="20.25" customHeight="1">
      <c r="A68" s="1993" t="s">
        <v>1604</v>
      </c>
      <c r="B68" s="1995" t="s">
        <v>1605</v>
      </c>
      <c r="C68" s="1866" t="s">
        <v>1613</v>
      </c>
    </row>
    <row r="69" spans="1:3" ht="41.25" customHeight="1">
      <c r="A69" s="1994"/>
      <c r="B69" s="1996"/>
      <c r="C69" s="1880" t="s">
        <v>1627</v>
      </c>
    </row>
    <row r="70" spans="1:3" ht="12.75" customHeight="1">
      <c r="A70" s="1854" t="s">
        <v>1619</v>
      </c>
      <c r="B70" s="1855" t="s">
        <v>744</v>
      </c>
      <c r="C70" s="1881" t="s">
        <v>744</v>
      </c>
    </row>
    <row r="71" spans="1:3" ht="14">
      <c r="A71" s="1868" t="s">
        <v>1620</v>
      </c>
      <c r="B71" s="1877">
        <v>0.5</v>
      </c>
      <c r="C71" s="1880">
        <f>(0.7*(500-300))</f>
        <v>140</v>
      </c>
    </row>
    <row r="72" spans="1:3" ht="14">
      <c r="A72" s="1868" t="s">
        <v>1621</v>
      </c>
      <c r="B72" s="1877">
        <v>0.5</v>
      </c>
      <c r="C72" s="1880">
        <f>(0.7*(1000-300))</f>
        <v>489.99999999999994</v>
      </c>
    </row>
    <row r="73" spans="1:3" ht="14">
      <c r="A73" s="1868" t="s">
        <v>1622</v>
      </c>
      <c r="B73" s="1877">
        <v>0.5</v>
      </c>
      <c r="C73" s="1880">
        <f>(0.7*(1500-300))</f>
        <v>840</v>
      </c>
    </row>
    <row r="74" spans="1:3" ht="14">
      <c r="A74" s="1868" t="s">
        <v>1623</v>
      </c>
      <c r="B74" s="1877">
        <v>0.5</v>
      </c>
      <c r="C74" s="1880">
        <f>(0.7*(2000-300))</f>
        <v>1190</v>
      </c>
    </row>
    <row r="75" spans="1:3" ht="14">
      <c r="A75" s="1868" t="s">
        <v>1624</v>
      </c>
      <c r="B75" s="1877">
        <v>0.5</v>
      </c>
      <c r="C75" s="1880">
        <f>(0.7*(2500-300))</f>
        <v>1540</v>
      </c>
    </row>
    <row r="76" spans="1:3" ht="15.75" customHeight="1">
      <c r="A76" s="1882" t="s">
        <v>1628</v>
      </c>
    </row>
    <row r="77" spans="1:3" ht="9" customHeight="1">
      <c r="A77" s="1883"/>
    </row>
    <row r="78" spans="1:3">
      <c r="A78" s="1883" t="s">
        <v>1629</v>
      </c>
    </row>
    <row r="79" spans="1:3">
      <c r="A79" s="1883"/>
    </row>
    <row r="80" spans="1:3">
      <c r="A80" s="1883" t="s">
        <v>1630</v>
      </c>
    </row>
    <row r="81" spans="1:1">
      <c r="A81" s="1883" t="s">
        <v>1631</v>
      </c>
    </row>
    <row r="82" spans="1:1">
      <c r="A82" s="1883" t="s">
        <v>1632</v>
      </c>
    </row>
    <row r="83" spans="1:1">
      <c r="A83" s="1883"/>
    </row>
    <row r="84" spans="1:1">
      <c r="A84" s="1884" t="s">
        <v>1633</v>
      </c>
    </row>
    <row r="85" spans="1:1">
      <c r="A85" s="1883"/>
    </row>
    <row r="86" spans="1:1">
      <c r="A86" s="1883"/>
    </row>
    <row r="87" spans="1:1">
      <c r="A87" s="1883"/>
    </row>
  </sheetData>
  <mergeCells count="10">
    <mergeCell ref="A68:A69"/>
    <mergeCell ref="B68:B69"/>
    <mergeCell ref="A25:A26"/>
    <mergeCell ref="B25:B26"/>
    <mergeCell ref="A36:A37"/>
    <mergeCell ref="B36:B37"/>
    <mergeCell ref="A57:A58"/>
    <mergeCell ref="B57:B58"/>
    <mergeCell ref="A46:A47"/>
    <mergeCell ref="B46:B47"/>
  </mergeCells>
  <phoneticPr fontId="30" type="noConversion"/>
  <pageMargins left="0.62992125984251968" right="0.35433070866141736" top="0.35433070866141736" bottom="0.39370078740157483" header="0.23622047244094491" footer="0.19685039370078741"/>
  <pageSetup paperSize="9" fitToHeight="2" orientation="portrait"/>
  <headerFooter alignWithMargins="0"/>
  <rowBreaks count="1" manualBreakCount="1">
    <brk id="3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FE01D-AD35-8E4F-9BB9-CE3B507D21B8}">
  <sheetPr codeName="Tabelle3">
    <pageSetUpPr fitToPage="1"/>
  </sheetPr>
  <dimension ref="A1:C85"/>
  <sheetViews>
    <sheetView topLeftCell="A68" workbookViewId="0">
      <selection activeCell="C83" sqref="C83"/>
    </sheetView>
  </sheetViews>
  <sheetFormatPr baseColWidth="10" defaultColWidth="11.3984375" defaultRowHeight="13"/>
  <cols>
    <col min="1" max="1" width="23.19921875" style="1886" customWidth="1"/>
    <col min="2" max="2" width="23.3984375" style="1886" customWidth="1"/>
    <col min="3" max="3" width="28.796875" style="1886" customWidth="1"/>
    <col min="4" max="4" width="13.3984375" style="1886" customWidth="1"/>
    <col min="5" max="5" width="6" style="1886" customWidth="1"/>
    <col min="6" max="16384" width="11.3984375" style="1886"/>
  </cols>
  <sheetData>
    <row r="1" spans="1:2" ht="14">
      <c r="A1" s="1885" t="s">
        <v>1640</v>
      </c>
    </row>
    <row r="2" spans="1:2" ht="14">
      <c r="A2" s="1887"/>
    </row>
    <row r="3" spans="1:2" ht="14">
      <c r="A3" s="1885" t="s">
        <v>1641</v>
      </c>
    </row>
    <row r="4" spans="1:2" ht="25.5" customHeight="1"/>
    <row r="5" spans="1:2" ht="21.75" customHeight="1">
      <c r="A5" s="1888" t="s">
        <v>2487</v>
      </c>
      <c r="B5" s="1889" t="s">
        <v>1601</v>
      </c>
    </row>
    <row r="6" spans="1:2" ht="21.75" customHeight="1">
      <c r="A6" s="1890" t="s">
        <v>1602</v>
      </c>
      <c r="B6" s="1891" t="s">
        <v>1642</v>
      </c>
    </row>
    <row r="7" spans="1:2" ht="43.5" customHeight="1">
      <c r="A7" s="1892" t="s">
        <v>1604</v>
      </c>
      <c r="B7" s="1893" t="s">
        <v>1605</v>
      </c>
    </row>
    <row r="8" spans="1:2" ht="22.5" customHeight="1">
      <c r="A8" s="1894" t="s">
        <v>1643</v>
      </c>
      <c r="B8" s="1895" t="s">
        <v>744</v>
      </c>
    </row>
    <row r="9" spans="1:2" ht="14">
      <c r="A9" s="1894" t="s">
        <v>1644</v>
      </c>
      <c r="B9" s="1896">
        <v>0.2</v>
      </c>
    </row>
    <row r="10" spans="1:2" ht="14">
      <c r="A10" s="1894" t="s">
        <v>1645</v>
      </c>
      <c r="B10" s="1896">
        <v>0.35</v>
      </c>
    </row>
    <row r="11" spans="1:2" ht="14">
      <c r="A11" s="1894" t="s">
        <v>1646</v>
      </c>
      <c r="B11" s="1896">
        <v>0.4</v>
      </c>
    </row>
    <row r="12" spans="1:2" ht="34.5" customHeight="1">
      <c r="A12" s="1897"/>
    </row>
    <row r="13" spans="1:2" ht="21.75" customHeight="1">
      <c r="A13" s="1888" t="s">
        <v>2487</v>
      </c>
      <c r="B13" s="1898" t="s">
        <v>1611</v>
      </c>
    </row>
    <row r="14" spans="1:2" ht="17.25" customHeight="1">
      <c r="A14" s="1899" t="s">
        <v>1602</v>
      </c>
      <c r="B14" s="1900" t="s">
        <v>1642</v>
      </c>
    </row>
    <row r="15" spans="1:2" ht="33" customHeight="1">
      <c r="A15" s="1892" t="s">
        <v>1604</v>
      </c>
      <c r="B15" s="1893" t="s">
        <v>1605</v>
      </c>
    </row>
    <row r="16" spans="1:2" ht="20.25" customHeight="1">
      <c r="A16" s="1894" t="s">
        <v>1643</v>
      </c>
      <c r="B16" s="1895" t="s">
        <v>744</v>
      </c>
    </row>
    <row r="17" spans="1:3" ht="14">
      <c r="A17" s="1894" t="s">
        <v>1644</v>
      </c>
      <c r="B17" s="1901">
        <v>0.15</v>
      </c>
    </row>
    <row r="18" spans="1:3" ht="14">
      <c r="A18" s="1894" t="s">
        <v>1645</v>
      </c>
      <c r="B18" s="1901">
        <v>0.3</v>
      </c>
    </row>
    <row r="19" spans="1:3" ht="14">
      <c r="A19" s="1894" t="s">
        <v>1646</v>
      </c>
      <c r="B19" s="1896">
        <v>0.4</v>
      </c>
    </row>
    <row r="20" spans="1:3" ht="30.75" customHeight="1">
      <c r="A20" s="1897"/>
    </row>
    <row r="21" spans="1:3" ht="20.25" customHeight="1">
      <c r="A21" s="1888" t="s">
        <v>2487</v>
      </c>
      <c r="B21" s="1898" t="s">
        <v>1612</v>
      </c>
      <c r="C21" s="1902"/>
    </row>
    <row r="22" spans="1:3" ht="25.5" customHeight="1">
      <c r="A22" s="1899" t="s">
        <v>1602</v>
      </c>
      <c r="B22" s="1900" t="s">
        <v>1642</v>
      </c>
      <c r="C22" s="1903"/>
    </row>
    <row r="23" spans="1:3" ht="28">
      <c r="A23" s="1997" t="s">
        <v>1604</v>
      </c>
      <c r="B23" s="1999" t="s">
        <v>1605</v>
      </c>
      <c r="C23" s="1904" t="s">
        <v>1613</v>
      </c>
    </row>
    <row r="24" spans="1:3" ht="39" customHeight="1">
      <c r="A24" s="1998"/>
      <c r="B24" s="2000"/>
      <c r="C24" s="1905" t="s">
        <v>1614</v>
      </c>
    </row>
    <row r="25" spans="1:3" ht="19.5" customHeight="1">
      <c r="A25" s="1894" t="s">
        <v>1643</v>
      </c>
      <c r="B25" s="1895" t="s">
        <v>744</v>
      </c>
      <c r="C25" s="1906" t="s">
        <v>744</v>
      </c>
    </row>
    <row r="26" spans="1:3" ht="14">
      <c r="A26" s="1894" t="s">
        <v>1644</v>
      </c>
      <c r="B26" s="1896">
        <v>0.15</v>
      </c>
      <c r="C26" s="1907">
        <v>150</v>
      </c>
    </row>
    <row r="27" spans="1:3" ht="14">
      <c r="A27" s="1894" t="s">
        <v>1645</v>
      </c>
      <c r="B27" s="1896">
        <v>0.3</v>
      </c>
      <c r="C27" s="1907">
        <v>300</v>
      </c>
    </row>
    <row r="28" spans="1:3" ht="14">
      <c r="A28" s="1894" t="s">
        <v>1646</v>
      </c>
      <c r="B28" s="1896">
        <v>0.4</v>
      </c>
      <c r="C28" s="1907">
        <v>375</v>
      </c>
    </row>
    <row r="29" spans="1:3" ht="30.75" customHeight="1">
      <c r="A29" s="1897"/>
    </row>
    <row r="30" spans="1:3" ht="18.75" customHeight="1">
      <c r="A30" s="1897"/>
    </row>
    <row r="31" spans="1:3" ht="15.75" customHeight="1">
      <c r="A31" s="1888" t="s">
        <v>2487</v>
      </c>
      <c r="B31" s="1908">
        <v>2004</v>
      </c>
      <c r="C31" s="1902"/>
    </row>
    <row r="32" spans="1:3" ht="29.25" customHeight="1">
      <c r="A32" s="1899" t="s">
        <v>1602</v>
      </c>
      <c r="B32" s="1909" t="s">
        <v>1655</v>
      </c>
      <c r="C32" s="1903"/>
    </row>
    <row r="33" spans="1:3" ht="19.5" customHeight="1">
      <c r="A33" s="1997" t="s">
        <v>1604</v>
      </c>
      <c r="B33" s="1999" t="s">
        <v>1605</v>
      </c>
      <c r="C33" s="1910" t="s">
        <v>1613</v>
      </c>
    </row>
    <row r="34" spans="1:3" ht="49.5" customHeight="1">
      <c r="A34" s="1998"/>
      <c r="B34" s="2000"/>
      <c r="C34" s="1905" t="s">
        <v>1617</v>
      </c>
    </row>
    <row r="35" spans="1:3" ht="15" customHeight="1">
      <c r="A35" s="1894" t="s">
        <v>1643</v>
      </c>
      <c r="B35" s="1895" t="s">
        <v>744</v>
      </c>
      <c r="C35" s="1911" t="s">
        <v>744</v>
      </c>
    </row>
    <row r="36" spans="1:3" ht="14">
      <c r="A36" s="1894" t="s">
        <v>1644</v>
      </c>
      <c r="B36" s="1901">
        <v>0.21</v>
      </c>
      <c r="C36" s="1907">
        <v>120</v>
      </c>
    </row>
    <row r="37" spans="1:3" ht="14">
      <c r="A37" s="1894" t="s">
        <v>1645</v>
      </c>
      <c r="B37" s="1912">
        <v>0.37</v>
      </c>
      <c r="C37" s="1907">
        <v>240</v>
      </c>
    </row>
    <row r="38" spans="1:3" ht="14">
      <c r="A38" s="1894" t="s">
        <v>1646</v>
      </c>
      <c r="B38" s="1901">
        <v>0.43</v>
      </c>
      <c r="C38" s="1907">
        <v>300</v>
      </c>
    </row>
    <row r="39" spans="1:3" ht="26.25" customHeight="1">
      <c r="A39" s="1897"/>
    </row>
    <row r="40" spans="1:3" ht="20.25" customHeight="1">
      <c r="A40" s="1888" t="s">
        <v>2487</v>
      </c>
      <c r="B40" s="1908">
        <v>2005</v>
      </c>
      <c r="C40" s="1902"/>
    </row>
    <row r="41" spans="1:3" ht="18" customHeight="1">
      <c r="A41" s="1899" t="s">
        <v>1602</v>
      </c>
      <c r="B41" s="1900" t="s">
        <v>1647</v>
      </c>
      <c r="C41" s="1903"/>
    </row>
    <row r="42" spans="1:3" ht="19.5" customHeight="1">
      <c r="A42" s="1997" t="s">
        <v>1604</v>
      </c>
      <c r="B42" s="1999" t="s">
        <v>1605</v>
      </c>
      <c r="C42" s="1910" t="s">
        <v>1613</v>
      </c>
    </row>
    <row r="43" spans="1:3" ht="42.75" customHeight="1">
      <c r="A43" s="1998"/>
      <c r="B43" s="2000"/>
      <c r="C43" s="1913" t="s">
        <v>1617</v>
      </c>
    </row>
    <row r="44" spans="1:3" ht="15.75" customHeight="1">
      <c r="A44" s="1894" t="s">
        <v>1643</v>
      </c>
      <c r="B44" s="1895" t="s">
        <v>744</v>
      </c>
      <c r="C44" s="1911" t="s">
        <v>744</v>
      </c>
    </row>
    <row r="45" spans="1:3" ht="14">
      <c r="A45" s="1914" t="s">
        <v>1648</v>
      </c>
      <c r="B45" s="1901">
        <v>0.5</v>
      </c>
      <c r="C45" s="1907">
        <v>80</v>
      </c>
    </row>
    <row r="46" spans="1:3" ht="14">
      <c r="A46" s="1914" t="s">
        <v>1649</v>
      </c>
      <c r="B46" s="1901">
        <v>0.5</v>
      </c>
      <c r="C46" s="1907">
        <v>160</v>
      </c>
    </row>
    <row r="47" spans="1:3" ht="14">
      <c r="A47" s="1894" t="s">
        <v>1650</v>
      </c>
      <c r="B47" s="1901">
        <v>0.5</v>
      </c>
      <c r="C47" s="1911">
        <v>240</v>
      </c>
    </row>
    <row r="48" spans="1:3" ht="14">
      <c r="A48" s="1914" t="s">
        <v>1651</v>
      </c>
      <c r="B48" s="1901">
        <v>0.5</v>
      </c>
      <c r="C48" s="1907">
        <v>320</v>
      </c>
    </row>
    <row r="49" spans="1:3" ht="14">
      <c r="A49" s="1914" t="s">
        <v>1652</v>
      </c>
      <c r="B49" s="1901">
        <v>0.5</v>
      </c>
      <c r="C49" s="1907">
        <v>400</v>
      </c>
    </row>
    <row r="50" spans="1:3" ht="14">
      <c r="A50" s="1914" t="s">
        <v>1653</v>
      </c>
      <c r="B50" s="1901">
        <v>0.5</v>
      </c>
      <c r="C50" s="1907">
        <v>480</v>
      </c>
    </row>
    <row r="51" spans="1:3" ht="29.25" customHeight="1">
      <c r="A51" s="1915"/>
    </row>
    <row r="52" spans="1:3" ht="20.25" customHeight="1">
      <c r="A52" s="1888" t="s">
        <v>2487</v>
      </c>
      <c r="B52" s="1898" t="s">
        <v>1625</v>
      </c>
      <c r="C52" s="1902"/>
    </row>
    <row r="53" spans="1:3" ht="18" customHeight="1">
      <c r="A53" s="1899" t="s">
        <v>1602</v>
      </c>
      <c r="B53" s="1916" t="s">
        <v>1656</v>
      </c>
      <c r="C53" s="1903"/>
    </row>
    <row r="54" spans="1:3" ht="20.25" customHeight="1">
      <c r="A54" s="1997" t="s">
        <v>1604</v>
      </c>
      <c r="B54" s="1999" t="s">
        <v>1605</v>
      </c>
      <c r="C54" s="1910" t="s">
        <v>1613</v>
      </c>
    </row>
    <row r="55" spans="1:3" ht="39" customHeight="1">
      <c r="A55" s="1998"/>
      <c r="B55" s="2000"/>
      <c r="C55" s="1913" t="s">
        <v>1617</v>
      </c>
    </row>
    <row r="56" spans="1:3" ht="14.25" customHeight="1">
      <c r="A56" s="1894" t="s">
        <v>1643</v>
      </c>
      <c r="B56" s="1895" t="s">
        <v>744</v>
      </c>
      <c r="C56" s="1911" t="s">
        <v>744</v>
      </c>
    </row>
    <row r="57" spans="1:3" ht="14">
      <c r="A57" s="1917" t="s">
        <v>1648</v>
      </c>
      <c r="B57" s="1918">
        <v>0.5</v>
      </c>
      <c r="C57" s="1906">
        <v>80</v>
      </c>
    </row>
    <row r="58" spans="1:3" ht="14">
      <c r="A58" s="1917" t="s">
        <v>1649</v>
      </c>
      <c r="B58" s="1918">
        <v>0.5</v>
      </c>
      <c r="C58" s="1906">
        <v>160</v>
      </c>
    </row>
    <row r="59" spans="1:3" ht="14">
      <c r="A59" s="1917" t="s">
        <v>1650</v>
      </c>
      <c r="B59" s="1918">
        <v>0.5</v>
      </c>
      <c r="C59" s="1906">
        <v>240</v>
      </c>
    </row>
    <row r="60" spans="1:3" ht="14">
      <c r="A60" s="1917" t="s">
        <v>1651</v>
      </c>
      <c r="B60" s="1918">
        <v>0.5</v>
      </c>
      <c r="C60" s="1906">
        <v>320</v>
      </c>
    </row>
    <row r="61" spans="1:3" ht="14">
      <c r="A61" s="1917" t="s">
        <v>1652</v>
      </c>
      <c r="B61" s="1918">
        <v>0.5</v>
      </c>
      <c r="C61" s="1906">
        <v>400</v>
      </c>
    </row>
    <row r="62" spans="1:3" ht="14">
      <c r="A62" s="1917" t="s">
        <v>1653</v>
      </c>
      <c r="B62" s="1918">
        <v>0.5</v>
      </c>
      <c r="C62" s="1906">
        <v>480</v>
      </c>
    </row>
    <row r="63" spans="1:3" ht="29.25" customHeight="1">
      <c r="A63" s="1915"/>
    </row>
    <row r="64" spans="1:3" ht="20.25" customHeight="1">
      <c r="A64" s="1888" t="s">
        <v>2487</v>
      </c>
      <c r="B64" s="1898" t="s">
        <v>1626</v>
      </c>
      <c r="C64" s="1902"/>
    </row>
    <row r="65" spans="1:3" ht="18" customHeight="1">
      <c r="A65" s="1899" t="s">
        <v>1602</v>
      </c>
      <c r="B65" s="1919" t="s">
        <v>1656</v>
      </c>
      <c r="C65" s="1903"/>
    </row>
    <row r="66" spans="1:3" ht="20.25" customHeight="1">
      <c r="A66" s="1997" t="s">
        <v>1604</v>
      </c>
      <c r="B66" s="1999" t="s">
        <v>1605</v>
      </c>
      <c r="C66" s="1910" t="s">
        <v>1613</v>
      </c>
    </row>
    <row r="67" spans="1:3" ht="39" customHeight="1">
      <c r="A67" s="1998"/>
      <c r="B67" s="2000"/>
      <c r="C67" s="1920" t="s">
        <v>1627</v>
      </c>
    </row>
    <row r="68" spans="1:3" ht="14.25" customHeight="1">
      <c r="A68" s="1894" t="s">
        <v>1643</v>
      </c>
      <c r="B68" s="1895" t="s">
        <v>744</v>
      </c>
      <c r="C68" s="1921" t="s">
        <v>744</v>
      </c>
    </row>
    <row r="69" spans="1:3" ht="14">
      <c r="A69" s="1917" t="s">
        <v>1648</v>
      </c>
      <c r="B69" s="1918">
        <v>0.5</v>
      </c>
      <c r="C69" s="1907">
        <v>70</v>
      </c>
    </row>
    <row r="70" spans="1:3" ht="14">
      <c r="A70" s="1917" t="s">
        <v>1649</v>
      </c>
      <c r="B70" s="1918">
        <v>0.5</v>
      </c>
      <c r="C70" s="1907">
        <v>140</v>
      </c>
    </row>
    <row r="71" spans="1:3" ht="14">
      <c r="A71" s="1917" t="s">
        <v>1650</v>
      </c>
      <c r="B71" s="1918">
        <v>0.5</v>
      </c>
      <c r="C71" s="1907">
        <v>210</v>
      </c>
    </row>
    <row r="72" spans="1:3" ht="14">
      <c r="A72" s="1917" t="s">
        <v>1651</v>
      </c>
      <c r="B72" s="1918">
        <v>0.5</v>
      </c>
      <c r="C72" s="1907">
        <v>280</v>
      </c>
    </row>
    <row r="73" spans="1:3" ht="14">
      <c r="A73" s="1917" t="s">
        <v>1652</v>
      </c>
      <c r="B73" s="1918">
        <v>0.5</v>
      </c>
      <c r="C73" s="1907">
        <v>350</v>
      </c>
    </row>
    <row r="74" spans="1:3" ht="14">
      <c r="A74" s="1917" t="s">
        <v>1653</v>
      </c>
      <c r="B74" s="1918">
        <v>0.5</v>
      </c>
      <c r="C74" s="1907">
        <v>420</v>
      </c>
    </row>
    <row r="75" spans="1:3">
      <c r="A75" s="1922" t="s">
        <v>1628</v>
      </c>
    </row>
    <row r="76" spans="1:3">
      <c r="A76" s="1922"/>
    </row>
    <row r="77" spans="1:3">
      <c r="A77" s="1915" t="s">
        <v>1629</v>
      </c>
    </row>
    <row r="78" spans="1:3">
      <c r="A78" s="1915"/>
    </row>
    <row r="79" spans="1:3">
      <c r="A79" s="1915" t="s">
        <v>1654</v>
      </c>
    </row>
    <row r="80" spans="1:3">
      <c r="A80" s="1915" t="s">
        <v>1632</v>
      </c>
    </row>
    <row r="81" spans="1:1">
      <c r="A81" s="1915"/>
    </row>
    <row r="82" spans="1:1">
      <c r="A82" s="1923" t="s">
        <v>1633</v>
      </c>
    </row>
    <row r="83" spans="1:1">
      <c r="A83" s="1915"/>
    </row>
    <row r="84" spans="1:1">
      <c r="A84" s="1915"/>
    </row>
    <row r="85" spans="1:1">
      <c r="A85" s="1915"/>
    </row>
  </sheetData>
  <mergeCells count="10">
    <mergeCell ref="A23:A24"/>
    <mergeCell ref="B23:B24"/>
    <mergeCell ref="A33:A34"/>
    <mergeCell ref="B33:B34"/>
    <mergeCell ref="A66:A67"/>
    <mergeCell ref="B66:B67"/>
    <mergeCell ref="A54:A55"/>
    <mergeCell ref="B54:B55"/>
    <mergeCell ref="A42:A43"/>
    <mergeCell ref="B42:B43"/>
  </mergeCells>
  <phoneticPr fontId="30" type="noConversion"/>
  <pageMargins left="0.47" right="0.6" top="0.48" bottom="0.54" header="0.35" footer="0.33"/>
  <pageSetup paperSize="9" scale="97" fitToHeight="2" orientation="portrait"/>
  <headerFooter alignWithMargins="0"/>
  <rowBreaks count="1" manualBreakCount="1">
    <brk id="29"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55D57-C8B8-474E-8FD5-5F0F84CD7FE1}">
  <sheetPr codeName="Tabelle4">
    <pageSetUpPr fitToPage="1"/>
  </sheetPr>
  <dimension ref="A1:O59"/>
  <sheetViews>
    <sheetView workbookViewId="0">
      <selection activeCell="D5" sqref="D5"/>
    </sheetView>
  </sheetViews>
  <sheetFormatPr baseColWidth="10" defaultRowHeight="13"/>
  <cols>
    <col min="1" max="1" width="24.796875" customWidth="1"/>
    <col min="2" max="2" width="14.3984375" customWidth="1"/>
    <col min="3" max="3" width="14.59765625" customWidth="1"/>
    <col min="4" max="4" width="14.3984375" customWidth="1"/>
    <col min="5" max="5" width="14.59765625" customWidth="1"/>
    <col min="6" max="6" width="10" customWidth="1"/>
    <col min="7" max="7" width="9.59765625" customWidth="1"/>
    <col min="8" max="8" width="10.59765625" customWidth="1"/>
    <col min="9" max="9" width="11.19921875" customWidth="1"/>
  </cols>
  <sheetData>
    <row r="1" spans="1:10" ht="14">
      <c r="A1" s="1924" t="s">
        <v>1657</v>
      </c>
      <c r="B1" s="130"/>
      <c r="C1" s="130"/>
      <c r="D1" s="130"/>
      <c r="E1" s="130"/>
      <c r="F1" s="130"/>
      <c r="G1" s="130"/>
      <c r="H1" s="130"/>
      <c r="I1" s="130"/>
    </row>
    <row r="2" spans="1:10" ht="14">
      <c r="A2" s="130"/>
      <c r="B2" s="130"/>
      <c r="C2" s="130"/>
      <c r="D2" s="130"/>
      <c r="E2" s="130"/>
      <c r="F2" s="130"/>
      <c r="G2" s="130"/>
      <c r="H2" s="130"/>
      <c r="I2" s="130"/>
    </row>
    <row r="3" spans="1:10" ht="39.75" customHeight="1">
      <c r="A3" s="2013" t="s">
        <v>1687</v>
      </c>
      <c r="B3" s="2013"/>
      <c r="C3" s="2013"/>
      <c r="D3" s="2013"/>
      <c r="E3" s="2013"/>
      <c r="F3" s="2013"/>
      <c r="G3" s="2013"/>
      <c r="H3" s="2013"/>
      <c r="I3" s="2013"/>
      <c r="J3" s="543"/>
    </row>
    <row r="4" spans="1:10" ht="20.25" customHeight="1">
      <c r="A4" s="1925"/>
      <c r="B4" s="1926"/>
      <c r="C4" s="1926"/>
      <c r="D4" s="1926"/>
      <c r="E4" s="1926"/>
      <c r="F4" s="1926"/>
      <c r="G4" s="1926"/>
      <c r="H4" s="1926"/>
      <c r="I4" s="1926"/>
      <c r="J4" s="543"/>
    </row>
    <row r="5" spans="1:10" ht="18.75" customHeight="1">
      <c r="A5" s="1927"/>
      <c r="B5" s="1928"/>
      <c r="C5" s="1928"/>
      <c r="D5" s="1928"/>
      <c r="E5" s="1928"/>
      <c r="G5" s="23"/>
    </row>
    <row r="6" spans="1:10" ht="23.25" customHeight="1">
      <c r="A6" s="2003" t="s">
        <v>1658</v>
      </c>
      <c r="B6" s="2004"/>
      <c r="C6" s="2005"/>
      <c r="D6" s="3"/>
      <c r="E6" s="2"/>
      <c r="F6" s="2"/>
      <c r="G6" s="2"/>
      <c r="H6" s="2"/>
      <c r="I6" s="2"/>
    </row>
    <row r="7" spans="1:10" ht="28.5" customHeight="1">
      <c r="A7" s="2006" t="s">
        <v>1688</v>
      </c>
      <c r="B7" s="2007"/>
      <c r="C7" s="2007"/>
      <c r="D7" s="2008" t="s">
        <v>1659</v>
      </c>
      <c r="E7" s="2009"/>
      <c r="F7" s="2008" t="s">
        <v>1660</v>
      </c>
      <c r="G7" s="2010"/>
      <c r="H7" s="2010"/>
      <c r="I7" s="2009"/>
    </row>
    <row r="8" spans="1:10" ht="41.25" customHeight="1">
      <c r="A8" s="1929" t="s">
        <v>1604</v>
      </c>
      <c r="B8" s="1930" t="s">
        <v>1661</v>
      </c>
      <c r="C8" s="1931" t="s">
        <v>1662</v>
      </c>
      <c r="D8" s="1930" t="s">
        <v>1661</v>
      </c>
      <c r="E8" s="1932" t="s">
        <v>1662</v>
      </c>
      <c r="F8" s="2011" t="s">
        <v>1661</v>
      </c>
      <c r="G8" s="2012"/>
      <c r="H8" s="2001" t="s">
        <v>1662</v>
      </c>
      <c r="I8" s="2002"/>
    </row>
    <row r="9" spans="1:10" ht="13.5" customHeight="1">
      <c r="A9" s="1933" t="s">
        <v>1663</v>
      </c>
      <c r="B9" s="1934">
        <v>6.480558325024921E-2</v>
      </c>
      <c r="C9" s="1935">
        <v>5.2373095959789673E-2</v>
      </c>
      <c r="D9" s="1936">
        <v>4485.6000000000004</v>
      </c>
      <c r="E9" s="1937">
        <v>5485.6</v>
      </c>
      <c r="F9" s="1936" t="s">
        <v>744</v>
      </c>
      <c r="G9" s="1936" t="s">
        <v>744</v>
      </c>
      <c r="H9" s="1937" t="s">
        <v>744</v>
      </c>
      <c r="I9" s="1937" t="s">
        <v>744</v>
      </c>
    </row>
    <row r="10" spans="1:10" ht="13.5" customHeight="1">
      <c r="A10" s="1938" t="s">
        <v>1664</v>
      </c>
      <c r="B10" s="1939">
        <v>6.7033344792024829E-2</v>
      </c>
      <c r="C10" s="1935">
        <v>5.1777111861320835E-2</v>
      </c>
      <c r="D10" s="1936">
        <v>4345.6000000000004</v>
      </c>
      <c r="E10" s="1937">
        <v>5545.6</v>
      </c>
      <c r="F10" s="1936">
        <v>140</v>
      </c>
      <c r="G10" s="1939">
        <v>3.1210986267166039E-2</v>
      </c>
      <c r="H10" s="1937">
        <v>-60</v>
      </c>
      <c r="I10" s="1935">
        <v>-1.093772786933061E-2</v>
      </c>
    </row>
    <row r="11" spans="1:10" ht="13.5" customHeight="1">
      <c r="A11" s="1938" t="s">
        <v>1665</v>
      </c>
      <c r="B11" s="1939">
        <v>7.3335840541556951E-2</v>
      </c>
      <c r="C11" s="1935">
        <v>5.0344853022535219E-2</v>
      </c>
      <c r="D11" s="1936">
        <v>3995.6</v>
      </c>
      <c r="E11" s="1937">
        <v>5695.6</v>
      </c>
      <c r="F11" s="1936">
        <v>490</v>
      </c>
      <c r="G11" s="1939">
        <v>0.10923845193508123</v>
      </c>
      <c r="H11" s="1937">
        <v>-210</v>
      </c>
      <c r="I11" s="1935">
        <v>-3.8282047542657134E-2</v>
      </c>
    </row>
    <row r="12" spans="1:10" ht="13.5" customHeight="1">
      <c r="A12" s="1938" t="s">
        <v>1622</v>
      </c>
      <c r="B12" s="1939">
        <v>8.094645080946461E-2</v>
      </c>
      <c r="C12" s="1935">
        <v>4.8989699601622139E-2</v>
      </c>
      <c r="D12" s="1936">
        <v>3645.6</v>
      </c>
      <c r="E12" s="1937">
        <v>5845.6</v>
      </c>
      <c r="F12" s="1936">
        <v>840</v>
      </c>
      <c r="G12" s="1939">
        <v>0.18726591760299635</v>
      </c>
      <c r="H12" s="1937">
        <v>-360</v>
      </c>
      <c r="I12" s="1935">
        <v>-6.5626367215983666E-2</v>
      </c>
    </row>
    <row r="13" spans="1:10" ht="13.5" customHeight="1">
      <c r="A13" s="1938" t="s">
        <v>1623</v>
      </c>
      <c r="B13" s="1939">
        <v>9.0319592403890647E-2</v>
      </c>
      <c r="C13" s="1935">
        <v>4.7705588368923246E-2</v>
      </c>
      <c r="D13" s="1936">
        <v>3295.6</v>
      </c>
      <c r="E13" s="1937">
        <v>5995.6</v>
      </c>
      <c r="F13" s="1936">
        <v>1190</v>
      </c>
      <c r="G13" s="1939">
        <v>0.26529338327091145</v>
      </c>
      <c r="H13" s="1937">
        <v>-510</v>
      </c>
      <c r="I13" s="1935">
        <v>-9.2970686889310192E-2</v>
      </c>
    </row>
    <row r="14" spans="1:10" ht="13.5" customHeight="1">
      <c r="A14" s="1938" t="s">
        <v>1624</v>
      </c>
      <c r="B14" s="1939">
        <v>0.10214772132006278</v>
      </c>
      <c r="C14" s="1935">
        <v>4.6487075571297165E-2</v>
      </c>
      <c r="D14" s="1936">
        <v>2945.6</v>
      </c>
      <c r="E14" s="1937">
        <v>6145.6</v>
      </c>
      <c r="F14" s="1936">
        <v>1540</v>
      </c>
      <c r="G14" s="1939">
        <v>0.34332084893882653</v>
      </c>
      <c r="H14" s="1937">
        <v>-660</v>
      </c>
      <c r="I14" s="1935">
        <v>-0.12031500656263672</v>
      </c>
    </row>
    <row r="15" spans="1:10" ht="45.75" customHeight="1">
      <c r="A15" s="1927"/>
      <c r="B15" s="1928"/>
      <c r="C15" s="1928"/>
      <c r="D15" s="1928"/>
      <c r="E15" s="1928"/>
      <c r="G15" s="23"/>
    </row>
    <row r="16" spans="1:10" ht="24.75" customHeight="1">
      <c r="A16" s="2003" t="s">
        <v>1666</v>
      </c>
      <c r="B16" s="2004"/>
      <c r="C16" s="2005"/>
      <c r="D16" s="3"/>
      <c r="E16" s="3"/>
      <c r="F16" s="3"/>
      <c r="G16" s="3"/>
      <c r="H16" s="3"/>
      <c r="I16" s="3"/>
    </row>
    <row r="17" spans="1:9" ht="30" customHeight="1">
      <c r="A17" s="2006" t="s">
        <v>1689</v>
      </c>
      <c r="B17" s="2007"/>
      <c r="C17" s="2007"/>
      <c r="D17" s="2008" t="s">
        <v>1659</v>
      </c>
      <c r="E17" s="2009"/>
      <c r="F17" s="2008" t="s">
        <v>1660</v>
      </c>
      <c r="G17" s="2010"/>
      <c r="H17" s="2010"/>
      <c r="I17" s="2009"/>
    </row>
    <row r="18" spans="1:9" ht="36.75" customHeight="1">
      <c r="A18" s="1929" t="s">
        <v>1604</v>
      </c>
      <c r="B18" s="1930" t="s">
        <v>1661</v>
      </c>
      <c r="C18" s="1931" t="s">
        <v>1662</v>
      </c>
      <c r="D18" s="1930" t="s">
        <v>1661</v>
      </c>
      <c r="E18" s="1932" t="s">
        <v>1662</v>
      </c>
      <c r="F18" s="2011" t="s">
        <v>1661</v>
      </c>
      <c r="G18" s="2012"/>
      <c r="H18" s="2001" t="s">
        <v>1662</v>
      </c>
      <c r="I18" s="2002"/>
    </row>
    <row r="19" spans="1:9" ht="15" customHeight="1">
      <c r="A19" s="1933" t="s">
        <v>1663</v>
      </c>
      <c r="B19" s="1934">
        <v>0.1179173047473201</v>
      </c>
      <c r="C19" s="1935">
        <v>9.1865140736158368E-2</v>
      </c>
      <c r="D19" s="1936">
        <v>3942</v>
      </c>
      <c r="E19" s="1937">
        <v>4942</v>
      </c>
      <c r="F19" s="1936" t="s">
        <v>744</v>
      </c>
      <c r="G19" s="1936" t="s">
        <v>744</v>
      </c>
      <c r="H19" s="1937" t="s">
        <v>744</v>
      </c>
      <c r="I19" s="1937" t="s">
        <v>744</v>
      </c>
    </row>
    <row r="20" spans="1:9" ht="15" customHeight="1">
      <c r="A20" s="1938" t="s">
        <v>1664</v>
      </c>
      <c r="B20" s="1939">
        <v>0.12279251077904441</v>
      </c>
      <c r="C20" s="1935">
        <v>9.0663294230517666E-2</v>
      </c>
      <c r="D20" s="1936">
        <v>3802</v>
      </c>
      <c r="E20" s="1937">
        <v>5002</v>
      </c>
      <c r="F20" s="1936">
        <v>140</v>
      </c>
      <c r="G20" s="1939">
        <v>3.5514967021816335E-2</v>
      </c>
      <c r="H20" s="1937">
        <v>-60</v>
      </c>
      <c r="I20" s="1935">
        <v>-1.2140833670578713E-2</v>
      </c>
    </row>
    <row r="21" spans="1:9" ht="15" customHeight="1">
      <c r="A21" s="1938" t="s">
        <v>1665</v>
      </c>
      <c r="B21" s="1939">
        <v>0.1369475001646796</v>
      </c>
      <c r="C21" s="1935">
        <v>8.7791900679869972E-2</v>
      </c>
      <c r="D21" s="1936">
        <v>3452</v>
      </c>
      <c r="E21" s="1937">
        <v>5152</v>
      </c>
      <c r="F21" s="1936">
        <v>490</v>
      </c>
      <c r="G21" s="1939">
        <v>0.12430238457635717</v>
      </c>
      <c r="H21" s="1937">
        <v>-210</v>
      </c>
      <c r="I21" s="1935">
        <v>-4.2492917847025496E-2</v>
      </c>
    </row>
    <row r="22" spans="1:9" ht="15" customHeight="1">
      <c r="A22" s="1938" t="s">
        <v>1622</v>
      </c>
      <c r="B22" s="1939">
        <v>0.15479115479115491</v>
      </c>
      <c r="C22" s="1935">
        <v>8.5096803241782926E-2</v>
      </c>
      <c r="D22" s="1936">
        <v>3102</v>
      </c>
      <c r="E22" s="1937">
        <v>5302</v>
      </c>
      <c r="F22" s="1936">
        <v>840</v>
      </c>
      <c r="G22" s="1939">
        <v>0.21308980213089801</v>
      </c>
      <c r="H22" s="1937">
        <v>-360</v>
      </c>
      <c r="I22" s="1935">
        <v>-7.2845002023472272E-2</v>
      </c>
    </row>
    <row r="23" spans="1:9" ht="15" customHeight="1">
      <c r="A23" s="1938" t="s">
        <v>1623</v>
      </c>
      <c r="B23" s="1939">
        <v>0.17798133721427978</v>
      </c>
      <c r="C23" s="1935">
        <v>8.2562249314959812E-2</v>
      </c>
      <c r="D23" s="1936">
        <v>2752</v>
      </c>
      <c r="E23" s="1937">
        <v>5452</v>
      </c>
      <c r="F23" s="1936">
        <v>1190</v>
      </c>
      <c r="G23" s="1939">
        <v>0.30187721968543885</v>
      </c>
      <c r="H23" s="1937">
        <v>-510</v>
      </c>
      <c r="I23" s="1935">
        <v>-0.10319708619991906</v>
      </c>
    </row>
    <row r="24" spans="1:9" ht="15" customHeight="1">
      <c r="A24" s="1938" t="s">
        <v>1624</v>
      </c>
      <c r="B24" s="1939">
        <v>0.20934447689054481</v>
      </c>
      <c r="C24" s="1935">
        <v>8.017430874243181E-2</v>
      </c>
      <c r="D24" s="1936">
        <v>2402</v>
      </c>
      <c r="E24" s="1937">
        <v>5602</v>
      </c>
      <c r="F24" s="1936">
        <v>1540</v>
      </c>
      <c r="G24" s="1939">
        <v>0.39066463723997968</v>
      </c>
      <c r="H24" s="1937">
        <v>-660</v>
      </c>
      <c r="I24" s="1935">
        <v>-0.13354917037636585</v>
      </c>
    </row>
    <row r="25" spans="1:9" ht="39.75" customHeight="1">
      <c r="A25" s="1927"/>
      <c r="B25" s="1928"/>
      <c r="C25" s="1928"/>
      <c r="D25" s="1928"/>
      <c r="E25" s="1928"/>
      <c r="G25" s="23"/>
    </row>
    <row r="26" spans="1:9" ht="24" customHeight="1">
      <c r="A26" s="2003" t="s">
        <v>1667</v>
      </c>
      <c r="B26" s="2004"/>
      <c r="C26" s="2005"/>
      <c r="D26" s="3"/>
      <c r="E26" s="2"/>
      <c r="F26" s="2"/>
      <c r="G26" s="2"/>
      <c r="H26" s="2"/>
      <c r="I26" s="2"/>
    </row>
    <row r="27" spans="1:9" ht="31.5" customHeight="1">
      <c r="A27" s="2006" t="s">
        <v>1690</v>
      </c>
      <c r="B27" s="2007"/>
      <c r="C27" s="2007"/>
      <c r="D27" s="2008" t="s">
        <v>1668</v>
      </c>
      <c r="E27" s="2009"/>
      <c r="F27" s="2008" t="s">
        <v>1669</v>
      </c>
      <c r="G27" s="2010"/>
      <c r="H27" s="2010"/>
      <c r="I27" s="2009"/>
    </row>
    <row r="28" spans="1:9" ht="39" customHeight="1">
      <c r="A28" s="1929" t="s">
        <v>1604</v>
      </c>
      <c r="B28" s="1930" t="s">
        <v>1661</v>
      </c>
      <c r="C28" s="1931" t="s">
        <v>1670</v>
      </c>
      <c r="D28" s="1930" t="s">
        <v>1661</v>
      </c>
      <c r="E28" s="1932" t="s">
        <v>1670</v>
      </c>
      <c r="F28" s="2011" t="s">
        <v>1661</v>
      </c>
      <c r="G28" s="2012"/>
      <c r="H28" s="2001" t="s">
        <v>1670</v>
      </c>
      <c r="I28" s="2002"/>
    </row>
    <row r="29" spans="1:9" ht="15" customHeight="1">
      <c r="A29" s="1933" t="s">
        <v>1663</v>
      </c>
      <c r="B29" s="1934">
        <v>6.2753638711366522E-2</v>
      </c>
      <c r="C29" s="1935">
        <v>4.6583878367753018E-2</v>
      </c>
      <c r="D29" s="1936">
        <v>1071.5999999999999</v>
      </c>
      <c r="E29" s="1937">
        <v>1421.6</v>
      </c>
      <c r="F29" s="1936" t="s">
        <v>744</v>
      </c>
      <c r="G29" s="1936" t="s">
        <v>744</v>
      </c>
      <c r="H29" s="1937" t="s">
        <v>744</v>
      </c>
      <c r="I29" s="1937" t="s">
        <v>744</v>
      </c>
    </row>
    <row r="30" spans="1:9" ht="15" customHeight="1">
      <c r="A30" s="1938" t="s">
        <v>1648</v>
      </c>
      <c r="B30" s="1939">
        <v>6.7435129017269002E-2</v>
      </c>
      <c r="C30" s="1935">
        <v>4.5577257182040976E-2</v>
      </c>
      <c r="D30" s="1936">
        <v>1001.6</v>
      </c>
      <c r="E30" s="1937">
        <v>1451.6</v>
      </c>
      <c r="F30" s="1936">
        <v>69.999999999999886</v>
      </c>
      <c r="G30" s="1939">
        <v>6.5322881672265673E-2</v>
      </c>
      <c r="H30" s="1937">
        <v>-30</v>
      </c>
      <c r="I30" s="1935">
        <v>-2.1102982554867755E-2</v>
      </c>
    </row>
    <row r="31" spans="1:9" ht="15" customHeight="1">
      <c r="A31" s="1938" t="s">
        <v>1649</v>
      </c>
      <c r="B31" s="1939">
        <v>7.287141666014052E-2</v>
      </c>
      <c r="C31" s="1935">
        <v>4.4613219546450589E-2</v>
      </c>
      <c r="D31" s="1936">
        <v>931.6</v>
      </c>
      <c r="E31" s="1937">
        <v>1481.6</v>
      </c>
      <c r="F31" s="1936">
        <v>140</v>
      </c>
      <c r="G31" s="1939">
        <v>0.13064576334453146</v>
      </c>
      <c r="H31" s="1937">
        <v>-60</v>
      </c>
      <c r="I31" s="1935">
        <v>-4.220596510973551E-2</v>
      </c>
    </row>
    <row r="32" spans="1:9" ht="15" customHeight="1">
      <c r="A32" s="1938" t="s">
        <v>1650</v>
      </c>
      <c r="B32" s="1939">
        <v>7.9261051903738222E-2</v>
      </c>
      <c r="C32" s="1935">
        <v>4.3689119285463596E-2</v>
      </c>
      <c r="D32" s="1936">
        <v>861.6</v>
      </c>
      <c r="E32" s="1937">
        <v>1511.6</v>
      </c>
      <c r="F32" s="1936">
        <v>210</v>
      </c>
      <c r="G32" s="1939">
        <v>0.19596864501679723</v>
      </c>
      <c r="H32" s="1937">
        <v>-90</v>
      </c>
      <c r="I32" s="1935">
        <v>-6.3308947664603266E-2</v>
      </c>
    </row>
    <row r="33" spans="1:15" ht="15" customHeight="1">
      <c r="A33" s="1938" t="s">
        <v>1671</v>
      </c>
      <c r="B33" s="1939">
        <v>8.687891652616142E-2</v>
      </c>
      <c r="C33" s="1935">
        <v>4.2802525021578441E-2</v>
      </c>
      <c r="D33" s="1936">
        <v>791.6</v>
      </c>
      <c r="E33" s="1937">
        <v>1541.6</v>
      </c>
      <c r="F33" s="1936">
        <v>280</v>
      </c>
      <c r="G33" s="1939">
        <v>0.26129152668906303</v>
      </c>
      <c r="H33" s="1937">
        <v>-120</v>
      </c>
      <c r="I33" s="1935">
        <v>-8.4411930219471021E-2</v>
      </c>
    </row>
    <row r="34" spans="1:15" ht="15" customHeight="1">
      <c r="A34" s="1938" t="s">
        <v>1652</v>
      </c>
      <c r="B34" s="1939">
        <v>9.7599348473911052E-2</v>
      </c>
      <c r="C34" s="1935">
        <v>4.2231186312172708E-2</v>
      </c>
      <c r="D34" s="1936">
        <v>711.6</v>
      </c>
      <c r="E34" s="1937">
        <v>1561.6</v>
      </c>
      <c r="F34" s="1936">
        <v>360</v>
      </c>
      <c r="G34" s="1939">
        <v>0.33594624860022387</v>
      </c>
      <c r="H34" s="1937">
        <v>-140</v>
      </c>
      <c r="I34" s="1935">
        <v>-9.8480585256049524E-2</v>
      </c>
    </row>
    <row r="35" spans="1:15" ht="15" customHeight="1">
      <c r="A35" s="1938" t="s">
        <v>1672</v>
      </c>
      <c r="B35" s="1939">
        <v>0.10755298101046362</v>
      </c>
      <c r="C35" s="1935">
        <v>4.1133077297110354E-2</v>
      </c>
      <c r="D35" s="1936">
        <v>651.6</v>
      </c>
      <c r="E35" s="1937">
        <v>1601.6</v>
      </c>
      <c r="F35" s="1936">
        <v>420</v>
      </c>
      <c r="G35" s="1939">
        <v>0.39193729003359457</v>
      </c>
      <c r="H35" s="1937">
        <v>-180</v>
      </c>
      <c r="I35" s="1935">
        <v>-0.12661789532920653</v>
      </c>
    </row>
    <row r="36" spans="1:15" ht="11.25" customHeight="1">
      <c r="A36" s="1940"/>
      <c r="B36" s="1941"/>
      <c r="C36" s="1941"/>
      <c r="D36" s="1942"/>
      <c r="E36" s="1942"/>
      <c r="F36" s="1942"/>
      <c r="G36" s="1941"/>
      <c r="H36" s="1942"/>
      <c r="I36" s="1941"/>
      <c r="L36" s="950"/>
      <c r="M36" s="950"/>
      <c r="N36" s="950"/>
      <c r="O36" s="950"/>
    </row>
    <row r="37" spans="1:15">
      <c r="A37" s="1943" t="s">
        <v>1673</v>
      </c>
    </row>
    <row r="38" spans="1:15">
      <c r="A38" s="2"/>
    </row>
    <row r="39" spans="1:15">
      <c r="A39" s="1943" t="s">
        <v>1674</v>
      </c>
      <c r="C39" s="1944"/>
    </row>
    <row r="40" spans="1:15">
      <c r="A40" s="2"/>
    </row>
    <row r="41" spans="1:15">
      <c r="A41" s="108" t="s">
        <v>1675</v>
      </c>
    </row>
    <row r="42" spans="1:15">
      <c r="A42" s="108" t="s">
        <v>1676</v>
      </c>
    </row>
    <row r="43" spans="1:15">
      <c r="A43" s="108" t="s">
        <v>1677</v>
      </c>
    </row>
    <row r="44" spans="1:15">
      <c r="A44" s="108" t="s">
        <v>1678</v>
      </c>
    </row>
    <row r="45" spans="1:15">
      <c r="A45" s="108" t="s">
        <v>1679</v>
      </c>
    </row>
    <row r="46" spans="1:15">
      <c r="A46" s="1945" t="s">
        <v>1680</v>
      </c>
    </row>
    <row r="47" spans="1:15">
      <c r="A47" s="1945" t="s">
        <v>1681</v>
      </c>
    </row>
    <row r="48" spans="1:15">
      <c r="A48" s="1945" t="s">
        <v>1682</v>
      </c>
    </row>
    <row r="49" spans="1:5">
      <c r="A49" s="108" t="s">
        <v>1683</v>
      </c>
    </row>
    <row r="50" spans="1:5">
      <c r="A50" s="304" t="s">
        <v>1684</v>
      </c>
    </row>
    <row r="51" spans="1:5">
      <c r="A51" s="1946" t="s">
        <v>1685</v>
      </c>
    </row>
    <row r="54" spans="1:5">
      <c r="A54" s="288"/>
    </row>
    <row r="57" spans="1:5">
      <c r="A57" s="23"/>
      <c r="B57" s="23"/>
      <c r="C57" s="23"/>
      <c r="D57" s="23"/>
      <c r="E57" s="23"/>
    </row>
    <row r="59" spans="1:5">
      <c r="A59" s="1947" t="s">
        <v>1686</v>
      </c>
      <c r="B59" s="10"/>
      <c r="C59" s="10"/>
      <c r="D59" s="10"/>
      <c r="E59" s="10"/>
    </row>
  </sheetData>
  <mergeCells count="19">
    <mergeCell ref="F28:G28"/>
    <mergeCell ref="H28:I28"/>
    <mergeCell ref="A3:I3"/>
    <mergeCell ref="F18:G18"/>
    <mergeCell ref="H18:I18"/>
    <mergeCell ref="A26:C26"/>
    <mergeCell ref="A27:C27"/>
    <mergeCell ref="D27:E27"/>
    <mergeCell ref="F27:I27"/>
    <mergeCell ref="F8:G8"/>
    <mergeCell ref="H8:I8"/>
    <mergeCell ref="A16:C16"/>
    <mergeCell ref="A17:C17"/>
    <mergeCell ref="D17:E17"/>
    <mergeCell ref="F17:I17"/>
    <mergeCell ref="A6:C6"/>
    <mergeCell ref="A7:C7"/>
    <mergeCell ref="D7:E7"/>
    <mergeCell ref="F7:I7"/>
  </mergeCells>
  <phoneticPr fontId="0" type="noConversion"/>
  <pageMargins left="0.4" right="0.31" top="0.48" bottom="0.42" header="0.28999999999999998" footer="0.31"/>
  <pageSetup paperSize="9" scale="77" fitToHeight="3"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7C9B2-787C-7D43-86B6-574AA3974A09}">
  <sheetPr>
    <pageSetUpPr fitToPage="1"/>
  </sheetPr>
  <dimension ref="A1:O67"/>
  <sheetViews>
    <sheetView workbookViewId="0">
      <pane ySplit="5" topLeftCell="A6" activePane="bottomLeft" state="frozen"/>
      <selection pane="bottomLeft" activeCell="B17" sqref="B17"/>
    </sheetView>
  </sheetViews>
  <sheetFormatPr baseColWidth="10" defaultColWidth="11.3984375" defaultRowHeight="13"/>
  <cols>
    <col min="1" max="1" width="2.59765625" style="840" customWidth="1"/>
    <col min="2" max="2" width="18.59765625" style="845" customWidth="1"/>
    <col min="3" max="3" width="0.19921875" style="840" customWidth="1"/>
    <col min="4" max="8" width="9.19921875" style="840" customWidth="1"/>
    <col min="9" max="9" width="8.59765625" style="842" customWidth="1"/>
    <col min="10" max="10" width="9.19921875" style="840" customWidth="1"/>
    <col min="11" max="11" width="8.59765625" style="843" customWidth="1"/>
    <col min="12" max="12" width="8.3984375" style="840" customWidth="1"/>
    <col min="13" max="13" width="9.3984375" style="844" customWidth="1"/>
    <col min="14" max="14" width="7.59765625" style="840" customWidth="1"/>
    <col min="15" max="15" width="8.19921875" style="840" customWidth="1"/>
    <col min="16" max="16384" width="11.3984375" style="840"/>
  </cols>
  <sheetData>
    <row r="1" spans="1:15">
      <c r="B1" s="841" t="s">
        <v>1273</v>
      </c>
    </row>
    <row r="3" spans="1:15">
      <c r="B3" s="841" t="s">
        <v>1962</v>
      </c>
    </row>
    <row r="4" spans="1:15">
      <c r="I4" s="846"/>
      <c r="K4" s="847"/>
    </row>
    <row r="5" spans="1:15" ht="37.5" customHeight="1">
      <c r="C5" s="848">
        <v>2000</v>
      </c>
      <c r="D5" s="848">
        <v>2001</v>
      </c>
      <c r="E5" s="848">
        <v>2002</v>
      </c>
      <c r="F5" s="848">
        <v>2003</v>
      </c>
      <c r="G5" s="848">
        <v>2004</v>
      </c>
      <c r="H5" s="848">
        <v>2005</v>
      </c>
      <c r="I5" s="849">
        <v>2006</v>
      </c>
      <c r="J5" s="849">
        <v>2007</v>
      </c>
      <c r="K5" s="849">
        <v>2008</v>
      </c>
      <c r="L5" s="850">
        <v>2009</v>
      </c>
      <c r="M5" s="851" t="s">
        <v>1963</v>
      </c>
      <c r="N5" s="850">
        <v>2010</v>
      </c>
      <c r="O5" s="850">
        <v>2011</v>
      </c>
    </row>
    <row r="6" spans="1:15">
      <c r="A6" s="852">
        <v>1</v>
      </c>
      <c r="B6" s="841" t="s">
        <v>2365</v>
      </c>
      <c r="C6" s="853">
        <v>7265.1130000000003</v>
      </c>
      <c r="D6" s="854">
        <v>7301.05</v>
      </c>
      <c r="E6" s="854">
        <v>7344.6319999999996</v>
      </c>
      <c r="F6" s="854">
        <v>7372.5050000000001</v>
      </c>
      <c r="G6" s="854">
        <v>7383.5739999999996</v>
      </c>
      <c r="H6" s="854">
        <v>7435.8649999999998</v>
      </c>
      <c r="I6" s="854">
        <v>7478.4290000000001</v>
      </c>
      <c r="J6" s="854">
        <v>7537.5873800000008</v>
      </c>
      <c r="K6" s="853">
        <v>7615.5633200000002</v>
      </c>
      <c r="L6" s="855">
        <v>7708.8515100000004</v>
      </c>
      <c r="M6" s="856">
        <v>1.2249676889299455E-2</v>
      </c>
      <c r="N6" s="855"/>
      <c r="O6" s="855"/>
    </row>
    <row r="7" spans="1:15">
      <c r="B7" s="857" t="s">
        <v>1964</v>
      </c>
      <c r="C7" s="855">
        <v>7263.2904821520033</v>
      </c>
      <c r="D7" s="858">
        <v>7277.9087635100614</v>
      </c>
      <c r="E7" s="858">
        <v>7294.8725866470413</v>
      </c>
      <c r="F7" s="858">
        <v>7381</v>
      </c>
      <c r="G7" s="858">
        <v>7369</v>
      </c>
      <c r="H7" s="858">
        <v>7439</v>
      </c>
      <c r="I7" s="858">
        <v>7479.1931914420002</v>
      </c>
      <c r="J7" s="858">
        <v>7540.1476616999998</v>
      </c>
      <c r="K7" s="855">
        <v>7616.5542101510009</v>
      </c>
      <c r="L7" s="855">
        <v>7702.4292549230004</v>
      </c>
      <c r="M7" s="859">
        <v>1.1274789412980102E-2</v>
      </c>
      <c r="N7" s="855">
        <v>7781.1743319099996</v>
      </c>
      <c r="O7" s="855"/>
    </row>
    <row r="8" spans="1:15">
      <c r="B8" s="857" t="s">
        <v>1965</v>
      </c>
      <c r="C8" s="860">
        <v>-2.5085884390196878E-4</v>
      </c>
      <c r="D8" s="861">
        <v>-3.1695764978926233E-3</v>
      </c>
      <c r="E8" s="861">
        <v>-6.774936219126837E-3</v>
      </c>
      <c r="F8" s="861">
        <v>1.1522542202413444E-3</v>
      </c>
      <c r="G8" s="861">
        <v>-1.9738408526818185E-3</v>
      </c>
      <c r="H8" s="861">
        <v>4.2160528734713765E-4</v>
      </c>
      <c r="I8" s="861">
        <v>1.0218609309520232E-4</v>
      </c>
      <c r="J8" s="861">
        <v>3.3966859300260666E-4</v>
      </c>
      <c r="K8" s="861">
        <v>1.3011383522987252E-4</v>
      </c>
      <c r="L8" s="861">
        <v>-8.3310141188597253E-4</v>
      </c>
      <c r="M8" s="856"/>
      <c r="N8" s="855"/>
      <c r="O8" s="855"/>
    </row>
    <row r="9" spans="1:15">
      <c r="B9" s="857" t="s">
        <v>1966</v>
      </c>
      <c r="C9" s="862" t="s">
        <v>744</v>
      </c>
      <c r="D9" s="858">
        <v>7254.1157733654136</v>
      </c>
      <c r="E9" s="858">
        <v>7163.7307153205684</v>
      </c>
      <c r="F9" s="858">
        <v>7316.3455001697612</v>
      </c>
      <c r="G9" s="858">
        <v>7362</v>
      </c>
      <c r="H9" s="858">
        <v>7463</v>
      </c>
      <c r="I9" s="858">
        <v>7592</v>
      </c>
      <c r="J9" s="858">
        <v>7673.1906940349973</v>
      </c>
      <c r="K9" s="855">
        <v>7691.2806604670004</v>
      </c>
      <c r="L9" s="855">
        <v>7722.3599757610018</v>
      </c>
      <c r="M9" s="856"/>
      <c r="N9" s="855">
        <v>7651.4778619709978</v>
      </c>
      <c r="O9" s="855">
        <v>7808.2453008929997</v>
      </c>
    </row>
    <row r="10" spans="1:15">
      <c r="C10" s="853"/>
      <c r="D10" s="854"/>
      <c r="E10" s="854"/>
      <c r="F10" s="854"/>
      <c r="G10" s="854"/>
      <c r="H10" s="854"/>
      <c r="I10" s="854"/>
      <c r="J10" s="854"/>
      <c r="K10" s="853"/>
      <c r="L10" s="855"/>
      <c r="M10" s="856"/>
      <c r="N10" s="855"/>
      <c r="O10" s="855"/>
    </row>
    <row r="11" spans="1:15">
      <c r="A11" s="852">
        <v>2</v>
      </c>
      <c r="B11" s="841" t="s">
        <v>2529</v>
      </c>
      <c r="C11" s="853">
        <v>13441.654683999999</v>
      </c>
      <c r="D11" s="854">
        <v>13997.312</v>
      </c>
      <c r="E11" s="854">
        <v>15355.045232</v>
      </c>
      <c r="F11" s="854">
        <v>16820.111152000001</v>
      </c>
      <c r="G11" s="854">
        <v>18029.704831999999</v>
      </c>
      <c r="H11" s="854">
        <v>18496.419615660001</v>
      </c>
      <c r="I11" s="854">
        <v>19314.688173570001</v>
      </c>
      <c r="J11" s="854">
        <v>19689.141486260003</v>
      </c>
      <c r="K11" s="853">
        <v>19692.267223940002</v>
      </c>
      <c r="L11" s="855">
        <v>20124.767119560001</v>
      </c>
      <c r="M11" s="856">
        <v>2.1962930459028529E-2</v>
      </c>
      <c r="N11" s="855"/>
      <c r="O11" s="855"/>
    </row>
    <row r="12" spans="1:15">
      <c r="B12" s="857" t="str">
        <f>B$7</f>
        <v>Schätzung</v>
      </c>
      <c r="C12" s="855">
        <v>13389.707699910003</v>
      </c>
      <c r="D12" s="858">
        <v>13989.048404499999</v>
      </c>
      <c r="E12" s="858">
        <v>15274.144299349999</v>
      </c>
      <c r="F12" s="858">
        <v>16841</v>
      </c>
      <c r="G12" s="858">
        <v>18003</v>
      </c>
      <c r="H12" s="858">
        <v>18529</v>
      </c>
      <c r="I12" s="858">
        <v>19330</v>
      </c>
      <c r="J12" s="858">
        <v>19702.417918889994</v>
      </c>
      <c r="K12" s="855">
        <v>19699.635458489996</v>
      </c>
      <c r="L12" s="855">
        <v>20167.370254750007</v>
      </c>
      <c r="M12" s="859">
        <v>2.3743322420640478E-2</v>
      </c>
      <c r="N12" s="855">
        <v>22080.785091389997</v>
      </c>
      <c r="O12" s="855"/>
    </row>
    <row r="13" spans="1:15">
      <c r="B13" s="857" t="str">
        <f>B$8</f>
        <v>Abweichung S</v>
      </c>
      <c r="C13" s="860">
        <v>-3.8646271840200308E-3</v>
      </c>
      <c r="D13" s="861">
        <v>-5.9037017250174184E-4</v>
      </c>
      <c r="E13" s="861">
        <v>-5.2686873550462643E-3</v>
      </c>
      <c r="F13" s="861">
        <v>1.2418971439147608E-3</v>
      </c>
      <c r="G13" s="861">
        <v>-1.481157470343164E-3</v>
      </c>
      <c r="H13" s="861">
        <v>1.761442755786824E-3</v>
      </c>
      <c r="I13" s="861">
        <v>7.9275555952040833E-4</v>
      </c>
      <c r="J13" s="861">
        <v>6.7430226143971872E-4</v>
      </c>
      <c r="K13" s="861">
        <v>3.7416892967190307E-4</v>
      </c>
      <c r="L13" s="861">
        <v>2.1169504688876017E-3</v>
      </c>
      <c r="M13" s="859"/>
      <c r="N13" s="855"/>
      <c r="O13" s="855"/>
    </row>
    <row r="14" spans="1:15">
      <c r="B14" s="857" t="str">
        <f>B$9</f>
        <v>Prognose</v>
      </c>
      <c r="C14" s="855" t="s">
        <v>744</v>
      </c>
      <c r="D14" s="858">
        <v>14172.21799859</v>
      </c>
      <c r="E14" s="858">
        <v>15197.887399369996</v>
      </c>
      <c r="F14" s="858">
        <v>16888.705110070001</v>
      </c>
      <c r="G14" s="858">
        <v>18075</v>
      </c>
      <c r="H14" s="858">
        <v>18735</v>
      </c>
      <c r="I14" s="858">
        <v>19932</v>
      </c>
      <c r="J14" s="858">
        <v>20116</v>
      </c>
      <c r="K14" s="855">
        <v>20016.107919189995</v>
      </c>
      <c r="L14" s="855">
        <v>20398.211203859999</v>
      </c>
      <c r="M14" s="859"/>
      <c r="N14" s="855">
        <v>22023.360697910004</v>
      </c>
      <c r="O14" s="855">
        <v>23626.775321820001</v>
      </c>
    </row>
    <row r="15" spans="1:15">
      <c r="C15" s="853"/>
      <c r="D15" s="854"/>
      <c r="E15" s="854"/>
      <c r="F15" s="854"/>
      <c r="G15" s="854"/>
      <c r="H15" s="854"/>
      <c r="I15" s="854"/>
      <c r="J15" s="854"/>
      <c r="K15" s="853"/>
      <c r="L15" s="855"/>
      <c r="M15" s="856"/>
      <c r="N15" s="855"/>
      <c r="O15" s="855"/>
    </row>
    <row r="16" spans="1:15">
      <c r="A16" s="852">
        <v>3</v>
      </c>
      <c r="B16" s="841" t="s">
        <v>1967</v>
      </c>
      <c r="C16" s="853">
        <v>13190.309896999999</v>
      </c>
      <c r="D16" s="854">
        <v>13986.27</v>
      </c>
      <c r="E16" s="854">
        <v>14592.757041999999</v>
      </c>
      <c r="F16" s="854">
        <v>15335.619703</v>
      </c>
      <c r="G16" s="854">
        <v>16307.508545999999</v>
      </c>
      <c r="H16" s="854">
        <v>17352.720035540002</v>
      </c>
      <c r="I16" s="854">
        <v>17563.91560077</v>
      </c>
      <c r="J16" s="854">
        <v>18423.621995400001</v>
      </c>
      <c r="K16" s="853">
        <v>19431.457253839999</v>
      </c>
      <c r="L16" s="855">
        <v>20273.850596579996</v>
      </c>
      <c r="M16" s="856">
        <v>4.3352041575447142E-2</v>
      </c>
      <c r="N16" s="855"/>
      <c r="O16" s="855"/>
    </row>
    <row r="17" spans="1:15">
      <c r="B17" s="857" t="str">
        <f>B$7</f>
        <v>Schätzung</v>
      </c>
      <c r="C17" s="855">
        <v>13263.352588819997</v>
      </c>
      <c r="D17" s="858">
        <v>13868.973949539999</v>
      </c>
      <c r="E17" s="858">
        <v>14545.501535449999</v>
      </c>
      <c r="F17" s="858">
        <v>15382</v>
      </c>
      <c r="G17" s="858">
        <v>16182</v>
      </c>
      <c r="H17" s="858">
        <v>17293</v>
      </c>
      <c r="I17" s="858">
        <v>17953</v>
      </c>
      <c r="J17" s="858">
        <v>18303.805358469996</v>
      </c>
      <c r="K17" s="855">
        <v>19054.4411406</v>
      </c>
      <c r="L17" s="855">
        <v>20141.230242230002</v>
      </c>
      <c r="M17" s="859">
        <v>5.7035999828635164E-2</v>
      </c>
      <c r="N17" s="855">
        <v>21027.802615479995</v>
      </c>
      <c r="O17" s="855"/>
    </row>
    <row r="18" spans="1:15">
      <c r="B18" s="857" t="str">
        <f>B$8</f>
        <v>Abweichung S</v>
      </c>
      <c r="C18" s="860">
        <v>5.5376024058850781E-3</v>
      </c>
      <c r="D18" s="861">
        <v>-8.3865140927495974E-3</v>
      </c>
      <c r="E18" s="861">
        <v>-3.2382850213974468E-3</v>
      </c>
      <c r="F18" s="861">
        <v>3.024351014059512E-3</v>
      </c>
      <c r="G18" s="861">
        <v>-7.6963654899193656E-3</v>
      </c>
      <c r="H18" s="861">
        <v>-3.4415374314625824E-3</v>
      </c>
      <c r="I18" s="861">
        <v>2.2152486272078331E-2</v>
      </c>
      <c r="J18" s="861">
        <v>-6.5034246230150083E-3</v>
      </c>
      <c r="K18" s="861">
        <v>-1.9402359190816454E-2</v>
      </c>
      <c r="L18" s="861">
        <v>-6.5414487355631712E-3</v>
      </c>
      <c r="M18" s="859"/>
      <c r="N18" s="855"/>
      <c r="O18" s="855"/>
    </row>
    <row r="19" spans="1:15">
      <c r="B19" s="857" t="str">
        <f>B$9</f>
        <v>Prognose</v>
      </c>
      <c r="C19" s="855" t="s">
        <v>744</v>
      </c>
      <c r="D19" s="858">
        <v>13873.52074459</v>
      </c>
      <c r="E19" s="858">
        <v>14375.897015919998</v>
      </c>
      <c r="F19" s="858">
        <v>15461.261377419998</v>
      </c>
      <c r="G19" s="858">
        <v>16330</v>
      </c>
      <c r="H19" s="858">
        <v>17180</v>
      </c>
      <c r="I19" s="858">
        <v>18848</v>
      </c>
      <c r="J19" s="858">
        <v>19027</v>
      </c>
      <c r="K19" s="855">
        <v>19109.311929110001</v>
      </c>
      <c r="L19" s="855">
        <v>19772.739618319996</v>
      </c>
      <c r="M19" s="859"/>
      <c r="N19" s="855">
        <v>20559.572438620005</v>
      </c>
      <c r="O19" s="855">
        <v>21871.078093380005</v>
      </c>
    </row>
    <row r="20" spans="1:15">
      <c r="C20" s="853"/>
      <c r="D20" s="854"/>
      <c r="E20" s="854"/>
      <c r="F20" s="854"/>
      <c r="G20" s="854"/>
      <c r="H20" s="854"/>
      <c r="I20" s="854"/>
      <c r="J20" s="854"/>
      <c r="K20" s="853"/>
      <c r="L20" s="855"/>
      <c r="M20" s="856"/>
      <c r="N20" s="855"/>
      <c r="O20" s="855"/>
    </row>
    <row r="21" spans="1:15">
      <c r="A21" s="852">
        <v>4</v>
      </c>
      <c r="B21" s="841" t="s">
        <v>1968</v>
      </c>
      <c r="C21" s="853">
        <v>2288.0175450000002</v>
      </c>
      <c r="D21" s="854">
        <v>2400.1799999999998</v>
      </c>
      <c r="E21" s="854">
        <v>2502.8303667999999</v>
      </c>
      <c r="F21" s="854">
        <v>2588.499652</v>
      </c>
      <c r="G21" s="854">
        <v>2832.3123952999999</v>
      </c>
      <c r="H21" s="854">
        <v>2994.9866096700002</v>
      </c>
      <c r="I21" s="854">
        <v>3038.7113187200002</v>
      </c>
      <c r="J21" s="854">
        <v>3155.0668707</v>
      </c>
      <c r="K21" s="853">
        <v>3290.4542289599999</v>
      </c>
      <c r="L21" s="855">
        <v>3382.471848149999</v>
      </c>
      <c r="M21" s="856">
        <v>2.7965020263807983E-2</v>
      </c>
      <c r="N21" s="855"/>
      <c r="O21" s="855"/>
    </row>
    <row r="22" spans="1:15">
      <c r="B22" s="857" t="str">
        <f>B$7</f>
        <v>Schätzung</v>
      </c>
      <c r="C22" s="855">
        <v>2303.9403716100005</v>
      </c>
      <c r="D22" s="858">
        <v>2425.1343131099998</v>
      </c>
      <c r="E22" s="858">
        <v>2546.0819887000002</v>
      </c>
      <c r="F22" s="858">
        <v>2666</v>
      </c>
      <c r="G22" s="858">
        <v>2901</v>
      </c>
      <c r="H22" s="858">
        <v>3099</v>
      </c>
      <c r="I22" s="858">
        <v>3117</v>
      </c>
      <c r="J22" s="858">
        <v>3178.8702050500001</v>
      </c>
      <c r="K22" s="855">
        <v>3291.5070437099998</v>
      </c>
      <c r="L22" s="855">
        <v>3460.5105451399995</v>
      </c>
      <c r="M22" s="859">
        <v>5.1345325768924477E-2</v>
      </c>
      <c r="N22" s="855">
        <v>3539.6603510399996</v>
      </c>
      <c r="O22" s="855"/>
    </row>
    <row r="23" spans="1:15">
      <c r="B23" s="857" t="str">
        <f>B$8</f>
        <v>Abweichung S</v>
      </c>
      <c r="C23" s="860">
        <v>6.9592239993074845E-3</v>
      </c>
      <c r="D23" s="861">
        <v>1.0396850698697557E-2</v>
      </c>
      <c r="E23" s="861">
        <v>1.7281084037389149E-2</v>
      </c>
      <c r="F23" s="861">
        <v>2.9940258226466954E-2</v>
      </c>
      <c r="G23" s="861">
        <v>2.4251422552816537E-2</v>
      </c>
      <c r="H23" s="861">
        <v>3.472916706678042E-2</v>
      </c>
      <c r="I23" s="861">
        <v>2.5763777163596346E-2</v>
      </c>
      <c r="J23" s="861">
        <v>7.544478556398726E-3</v>
      </c>
      <c r="K23" s="861">
        <v>3.1996030843828294E-4</v>
      </c>
      <c r="L23" s="861">
        <v>2.3071499333448431E-2</v>
      </c>
      <c r="M23" s="859"/>
      <c r="N23" s="855"/>
      <c r="O23" s="855"/>
    </row>
    <row r="24" spans="1:15">
      <c r="B24" s="857" t="str">
        <f>B$9</f>
        <v>Prognose</v>
      </c>
      <c r="C24" s="862"/>
      <c r="D24" s="858">
        <v>2328.0747466299999</v>
      </c>
      <c r="E24" s="858">
        <v>2529.1750094200006</v>
      </c>
      <c r="F24" s="858">
        <v>2692.6295753899999</v>
      </c>
      <c r="G24" s="858">
        <v>3044</v>
      </c>
      <c r="H24" s="858">
        <v>3181</v>
      </c>
      <c r="I24" s="858">
        <v>3305</v>
      </c>
      <c r="J24" s="858">
        <v>3346</v>
      </c>
      <c r="K24" s="855">
        <v>3340.5068328800003</v>
      </c>
      <c r="L24" s="855">
        <v>3435.5770779900013</v>
      </c>
      <c r="M24" s="859"/>
      <c r="N24" s="855">
        <v>3562.1541336899995</v>
      </c>
      <c r="O24" s="855">
        <v>3706.9558405400003</v>
      </c>
    </row>
    <row r="25" spans="1:15">
      <c r="C25" s="853"/>
      <c r="D25" s="854"/>
      <c r="E25" s="854"/>
      <c r="F25" s="854"/>
      <c r="G25" s="854"/>
      <c r="H25" s="854"/>
      <c r="I25" s="854"/>
      <c r="J25" s="854"/>
      <c r="K25" s="853"/>
      <c r="L25" s="855"/>
      <c r="M25" s="856"/>
      <c r="N25" s="855"/>
      <c r="O25" s="855"/>
    </row>
    <row r="26" spans="1:15">
      <c r="A26" s="852">
        <v>5</v>
      </c>
      <c r="B26" s="841" t="s">
        <v>1969</v>
      </c>
      <c r="C26" s="863">
        <v>837.3</v>
      </c>
      <c r="D26" s="863">
        <v>867</v>
      </c>
      <c r="E26" s="864">
        <v>882.5</v>
      </c>
      <c r="F26" s="854">
        <v>863.38168700000006</v>
      </c>
      <c r="G26" s="854">
        <v>903.60567500000002</v>
      </c>
      <c r="H26" s="854">
        <v>910.32016699999997</v>
      </c>
      <c r="I26" s="854">
        <v>993.79577500000005</v>
      </c>
      <c r="J26" s="854">
        <v>1009.51491821</v>
      </c>
      <c r="K26" s="853">
        <v>1107.29201515</v>
      </c>
      <c r="L26" s="855">
        <v>1061.13483432</v>
      </c>
      <c r="M26" s="856">
        <v>-4.1684740970291623E-2</v>
      </c>
      <c r="N26" s="855"/>
      <c r="O26" s="855"/>
    </row>
    <row r="27" spans="1:15">
      <c r="B27" s="857" t="str">
        <f>B$7</f>
        <v>Schätzung</v>
      </c>
      <c r="C27" s="855">
        <v>857.32106895000004</v>
      </c>
      <c r="D27" s="858">
        <v>904.9640978000001</v>
      </c>
      <c r="E27" s="858">
        <v>933.20770917000004</v>
      </c>
      <c r="F27" s="858">
        <v>938</v>
      </c>
      <c r="G27" s="858">
        <v>965</v>
      </c>
      <c r="H27" s="858">
        <v>979</v>
      </c>
      <c r="I27" s="858">
        <v>1005</v>
      </c>
      <c r="J27" s="858">
        <v>1054.2850677999998</v>
      </c>
      <c r="K27" s="855">
        <v>1084.5769063499997</v>
      </c>
      <c r="L27" s="855">
        <v>1135.1004123800001</v>
      </c>
      <c r="M27" s="859">
        <v>4.6583608533608434E-2</v>
      </c>
      <c r="N27" s="855">
        <v>1197.6810391799997</v>
      </c>
      <c r="O27" s="855"/>
    </row>
    <row r="28" spans="1:15">
      <c r="B28" s="857" t="str">
        <f>B$8</f>
        <v>Abweichung S</v>
      </c>
      <c r="C28" s="861">
        <v>2.3911464170548236E-2</v>
      </c>
      <c r="D28" s="861">
        <v>4.3787886735870973E-2</v>
      </c>
      <c r="E28" s="861">
        <v>5.7459160532578046E-2</v>
      </c>
      <c r="F28" s="861">
        <v>8.6425637841910818E-2</v>
      </c>
      <c r="G28" s="861">
        <v>6.7943713390246296E-2</v>
      </c>
      <c r="H28" s="861">
        <v>7.5445799719386031E-2</v>
      </c>
      <c r="I28" s="861">
        <v>1.127417250289664E-2</v>
      </c>
      <c r="J28" s="861">
        <v>4.4348180281855498E-2</v>
      </c>
      <c r="K28" s="861">
        <v>-2.0514108734833725E-2</v>
      </c>
      <c r="L28" s="861">
        <v>6.9704221996820026E-2</v>
      </c>
      <c r="M28" s="859"/>
      <c r="N28" s="855"/>
      <c r="O28" s="855"/>
    </row>
    <row r="29" spans="1:15">
      <c r="B29" s="857" t="str">
        <f>B$9</f>
        <v>Prognose</v>
      </c>
      <c r="C29" s="855" t="s">
        <v>744</v>
      </c>
      <c r="D29" s="858">
        <v>884.35111183000004</v>
      </c>
      <c r="E29" s="858">
        <v>908.60023298000021</v>
      </c>
      <c r="F29" s="858">
        <v>979.25216290999992</v>
      </c>
      <c r="G29" s="858">
        <v>973</v>
      </c>
      <c r="H29" s="858">
        <v>999</v>
      </c>
      <c r="I29" s="858">
        <v>1026</v>
      </c>
      <c r="J29" s="858">
        <v>1041</v>
      </c>
      <c r="K29" s="855">
        <v>1078.9641520900002</v>
      </c>
      <c r="L29" s="855">
        <v>1100.7764457800001</v>
      </c>
      <c r="M29" s="859"/>
      <c r="N29" s="855">
        <v>1165.20861023</v>
      </c>
      <c r="O29" s="855">
        <v>1196.4605248100002</v>
      </c>
    </row>
    <row r="30" spans="1:15">
      <c r="C30" s="853"/>
      <c r="D30" s="854"/>
      <c r="E30" s="854"/>
      <c r="F30" s="854"/>
      <c r="G30" s="865"/>
      <c r="H30" s="854"/>
      <c r="I30" s="854"/>
      <c r="J30" s="854"/>
      <c r="K30" s="853"/>
      <c r="L30" s="855"/>
      <c r="M30" s="856"/>
      <c r="N30" s="855"/>
      <c r="O30" s="855"/>
    </row>
    <row r="31" spans="1:15">
      <c r="A31" s="852">
        <v>6</v>
      </c>
      <c r="B31" s="841" t="s">
        <v>2088</v>
      </c>
      <c r="C31" s="853">
        <v>2832.1064590000001</v>
      </c>
      <c r="D31" s="854">
        <v>2102.63</v>
      </c>
      <c r="E31" s="854">
        <v>1965.5320859999999</v>
      </c>
      <c r="F31" s="854">
        <v>2393.7060728000001</v>
      </c>
      <c r="G31" s="854">
        <v>2968.4810149999998</v>
      </c>
      <c r="H31" s="854">
        <v>3184.4883299199996</v>
      </c>
      <c r="I31" s="854">
        <v>3749.0085763900001</v>
      </c>
      <c r="J31" s="854">
        <v>3970.4438487200005</v>
      </c>
      <c r="K31" s="853">
        <v>3251.9246672899994</v>
      </c>
      <c r="L31" s="855">
        <v>2863.0083966899997</v>
      </c>
      <c r="M31" s="856">
        <v>-0.11959571957861626</v>
      </c>
      <c r="N31" s="855"/>
      <c r="O31" s="855"/>
    </row>
    <row r="32" spans="1:15">
      <c r="B32" s="857" t="str">
        <f>B$7</f>
        <v>Schätzung</v>
      </c>
      <c r="C32" s="855">
        <v>2855.834492</v>
      </c>
      <c r="D32" s="858">
        <v>2349.2245110000003</v>
      </c>
      <c r="E32" s="858">
        <v>1976.764197</v>
      </c>
      <c r="F32" s="858">
        <v>2260</v>
      </c>
      <c r="G32" s="858">
        <v>2984</v>
      </c>
      <c r="H32" s="858">
        <v>3152</v>
      </c>
      <c r="I32" s="858">
        <v>3543</v>
      </c>
      <c r="J32" s="858">
        <v>4165.3955720000013</v>
      </c>
      <c r="K32" s="855">
        <v>3701.8404859999996</v>
      </c>
      <c r="L32" s="855">
        <v>2439.4633089999993</v>
      </c>
      <c r="M32" s="859">
        <v>-0.34101339098056438</v>
      </c>
      <c r="N32" s="855">
        <v>2861.2196719999993</v>
      </c>
      <c r="O32" s="855"/>
    </row>
    <row r="33" spans="1:15">
      <c r="B33" s="857" t="str">
        <f>B$8</f>
        <v>Abweichung S</v>
      </c>
      <c r="C33" s="860">
        <v>8.3782277762178836E-3</v>
      </c>
      <c r="D33" s="861">
        <v>0.11727907953372685</v>
      </c>
      <c r="E33" s="861">
        <v>5.7145396302626938E-3</v>
      </c>
      <c r="F33" s="861">
        <v>-5.5857347867108609E-2</v>
      </c>
      <c r="G33" s="861">
        <v>5.2279212572292622E-3</v>
      </c>
      <c r="H33" s="861">
        <v>-1.0202056517134683E-2</v>
      </c>
      <c r="I33" s="861">
        <v>-5.4950148070445404E-2</v>
      </c>
      <c r="J33" s="861">
        <v>4.910073803029591E-2</v>
      </c>
      <c r="K33" s="861">
        <v>0.13835370272735714</v>
      </c>
      <c r="L33" s="861">
        <v>-0.1479370749242902</v>
      </c>
      <c r="M33" s="859"/>
      <c r="N33" s="855"/>
      <c r="O33" s="855"/>
    </row>
    <row r="34" spans="1:15">
      <c r="B34" s="857" t="str">
        <f>B$9</f>
        <v>Prognose</v>
      </c>
      <c r="C34" s="855" t="s">
        <v>744</v>
      </c>
      <c r="D34" s="858">
        <v>2814.2621860000008</v>
      </c>
      <c r="E34" s="858">
        <v>2347.8065059999999</v>
      </c>
      <c r="F34" s="858">
        <v>2216.3722629999997</v>
      </c>
      <c r="G34" s="858">
        <v>2745</v>
      </c>
      <c r="H34" s="858">
        <v>3240</v>
      </c>
      <c r="I34" s="858">
        <v>3356</v>
      </c>
      <c r="J34" s="858">
        <v>3461</v>
      </c>
      <c r="K34" s="855">
        <v>3956.0224839999996</v>
      </c>
      <c r="L34" s="855">
        <v>3318.8551230000007</v>
      </c>
      <c r="M34" s="859"/>
      <c r="N34" s="855">
        <v>2642.7481510000007</v>
      </c>
      <c r="O34" s="855">
        <v>3237.2481029999994</v>
      </c>
    </row>
    <row r="35" spans="1:15">
      <c r="C35" s="853"/>
      <c r="D35" s="854"/>
      <c r="E35" s="854"/>
      <c r="F35" s="854"/>
      <c r="G35" s="854"/>
      <c r="H35" s="866"/>
      <c r="I35" s="854"/>
      <c r="J35" s="854"/>
      <c r="K35" s="853"/>
      <c r="L35" s="855"/>
      <c r="M35" s="856"/>
      <c r="N35" s="855"/>
      <c r="O35" s="855"/>
    </row>
    <row r="36" spans="1:15">
      <c r="A36" s="852">
        <v>7</v>
      </c>
      <c r="B36" s="841" t="s">
        <v>1970</v>
      </c>
      <c r="C36" s="853">
        <v>3956.2184860000002</v>
      </c>
      <c r="D36" s="854">
        <v>3996.3</v>
      </c>
      <c r="E36" s="854">
        <v>4018.0238040999998</v>
      </c>
      <c r="F36" s="854">
        <v>4264.2535405999997</v>
      </c>
      <c r="G36" s="854">
        <v>4487.9860974000003</v>
      </c>
      <c r="H36" s="854">
        <v>4710.4063184600009</v>
      </c>
      <c r="I36" s="854">
        <v>4989.9724867100003</v>
      </c>
      <c r="J36" s="854">
        <v>5234.0909351299988</v>
      </c>
      <c r="K36" s="853">
        <v>5191.0501722600002</v>
      </c>
      <c r="L36" s="855">
        <v>5095.2223594300003</v>
      </c>
      <c r="M36" s="856">
        <v>-1.8460197773099152E-2</v>
      </c>
      <c r="N36" s="855"/>
      <c r="O36" s="855"/>
    </row>
    <row r="37" spans="1:15">
      <c r="B37" s="857" t="str">
        <f>B$7</f>
        <v>Schätzung</v>
      </c>
      <c r="C37" s="855">
        <v>3962.9471309999999</v>
      </c>
      <c r="D37" s="858">
        <v>3974.075738</v>
      </c>
      <c r="E37" s="858">
        <v>4070.0846579999998</v>
      </c>
      <c r="F37" s="863">
        <v>4272.4598530000003</v>
      </c>
      <c r="G37" s="867">
        <v>4546.5489809999999</v>
      </c>
      <c r="H37" s="858">
        <v>4697</v>
      </c>
      <c r="I37" s="858">
        <v>4866</v>
      </c>
      <c r="J37" s="858">
        <v>5169.9915730000012</v>
      </c>
      <c r="K37" s="855">
        <v>5298.7608519999994</v>
      </c>
      <c r="L37" s="855">
        <v>5335.87583</v>
      </c>
      <c r="M37" s="859">
        <v>7.0044636919199821E-3</v>
      </c>
      <c r="N37" s="855">
        <v>5328.6600139999982</v>
      </c>
      <c r="O37" s="855"/>
    </row>
    <row r="38" spans="1:15">
      <c r="B38" s="857" t="str">
        <f>B$8</f>
        <v>Abweichung S</v>
      </c>
      <c r="C38" s="860">
        <v>1.7007768968804182E-3</v>
      </c>
      <c r="D38" s="861">
        <v>-5.5612096188975002E-3</v>
      </c>
      <c r="E38" s="861">
        <v>1.2956830630738603E-2</v>
      </c>
      <c r="F38" s="868">
        <v>1.9244428882729814E-3</v>
      </c>
      <c r="G38" s="868">
        <v>1.3048811277273531E-2</v>
      </c>
      <c r="H38" s="861">
        <v>-2.8461065890349468E-3</v>
      </c>
      <c r="I38" s="861">
        <v>-2.484432269720549E-2</v>
      </c>
      <c r="J38" s="861">
        <v>-1.2246512894871109E-2</v>
      </c>
      <c r="K38" s="861">
        <v>2.0749304315258676E-2</v>
      </c>
      <c r="L38" s="861">
        <v>4.7231200837507981E-2</v>
      </c>
      <c r="M38" s="856"/>
      <c r="N38" s="855"/>
      <c r="O38" s="855"/>
    </row>
    <row r="39" spans="1:15">
      <c r="B39" s="857" t="str">
        <f>B$9</f>
        <v>Prognose</v>
      </c>
      <c r="C39" s="855" t="s">
        <v>744</v>
      </c>
      <c r="D39" s="858">
        <v>4036.8502759999997</v>
      </c>
      <c r="E39" s="858">
        <v>4069.2909930000001</v>
      </c>
      <c r="F39" s="863">
        <v>4343.5413720000015</v>
      </c>
      <c r="G39" s="863">
        <v>4528.577933999999</v>
      </c>
      <c r="H39" s="858">
        <v>4824.4617770000004</v>
      </c>
      <c r="I39" s="858">
        <v>4891</v>
      </c>
      <c r="J39" s="858">
        <v>5045</v>
      </c>
      <c r="K39" s="855">
        <v>5283.6306359999999</v>
      </c>
      <c r="L39" s="855">
        <v>5364.6168920000009</v>
      </c>
      <c r="M39" s="856"/>
      <c r="N39" s="855">
        <v>5507.9461690000007</v>
      </c>
      <c r="O39" s="855">
        <v>5600.5621659999997</v>
      </c>
    </row>
    <row r="40" spans="1:15">
      <c r="C40" s="853"/>
      <c r="D40" s="854"/>
      <c r="E40" s="854"/>
      <c r="F40" s="854"/>
      <c r="I40" s="854"/>
      <c r="J40" s="854"/>
      <c r="K40" s="853"/>
      <c r="L40" s="855"/>
      <c r="M40" s="856"/>
      <c r="N40" s="855"/>
      <c r="O40" s="855"/>
    </row>
    <row r="41" spans="1:15">
      <c r="A41" s="852">
        <v>8</v>
      </c>
      <c r="B41" s="841" t="s">
        <v>1971</v>
      </c>
      <c r="C41" s="853">
        <v>15478.327442</v>
      </c>
      <c r="D41" s="854">
        <v>16386.46</v>
      </c>
      <c r="E41" s="854">
        <v>17095.587409</v>
      </c>
      <c r="F41" s="854">
        <v>17924.119354999999</v>
      </c>
      <c r="G41" s="854">
        <v>19139.820941000002</v>
      </c>
      <c r="H41" s="854">
        <v>20347.706645210001</v>
      </c>
      <c r="I41" s="854">
        <v>20602.626919490001</v>
      </c>
      <c r="J41" s="854">
        <v>21578.688866100001</v>
      </c>
      <c r="K41" s="853">
        <v>22721.911482799998</v>
      </c>
      <c r="L41" s="855">
        <v>23656.322444729994</v>
      </c>
      <c r="M41" s="856">
        <v>4.1123783209758846E-2</v>
      </c>
      <c r="N41" s="855"/>
      <c r="O41" s="855"/>
    </row>
    <row r="42" spans="1:15">
      <c r="B42" s="857" t="str">
        <f>B$7</f>
        <v>Schätzung</v>
      </c>
      <c r="C42" s="855">
        <v>15567.292960429999</v>
      </c>
      <c r="D42" s="858">
        <v>16294.108262649997</v>
      </c>
      <c r="E42" s="858">
        <v>17091.583524150003</v>
      </c>
      <c r="F42" s="858">
        <v>18048</v>
      </c>
      <c r="G42" s="858">
        <v>19083</v>
      </c>
      <c r="H42" s="858">
        <v>20392</v>
      </c>
      <c r="I42" s="858">
        <v>21069</v>
      </c>
      <c r="J42" s="858">
        <v>21482.675563520002</v>
      </c>
      <c r="K42" s="855">
        <v>22345.948184309997</v>
      </c>
      <c r="L42" s="855">
        <v>23601.740787370007</v>
      </c>
      <c r="M42" s="859">
        <v>5.6197776558962742E-2</v>
      </c>
      <c r="N42" s="855">
        <v>24567.462966520005</v>
      </c>
      <c r="O42" s="855"/>
    </row>
    <row r="43" spans="1:15">
      <c r="B43" s="857" t="str">
        <f>B$8</f>
        <v>Abweichung S</v>
      </c>
      <c r="C43" s="860">
        <v>5.747747536894332E-3</v>
      </c>
      <c r="D43" s="861">
        <v>-5.6358565150741446E-3</v>
      </c>
      <c r="E43" s="861">
        <v>-2.3420574878219025E-4</v>
      </c>
      <c r="F43" s="861">
        <v>6.9113936671842957E-3</v>
      </c>
      <c r="G43" s="861">
        <v>-2.9687289747984957E-3</v>
      </c>
      <c r="H43" s="861">
        <v>2.1768229492549196E-3</v>
      </c>
      <c r="I43" s="861">
        <v>2.2636583302336533E-2</v>
      </c>
      <c r="J43" s="861">
        <v>-4.4494502504660582E-3</v>
      </c>
      <c r="K43" s="861">
        <v>-1.6546288316218405E-2</v>
      </c>
      <c r="L43" s="861">
        <v>-2.3072756759852098E-3</v>
      </c>
      <c r="M43" s="859"/>
      <c r="N43" s="855"/>
      <c r="O43" s="855"/>
    </row>
    <row r="44" spans="1:15">
      <c r="B44" s="857" t="str">
        <f>B$9</f>
        <v>Prognose</v>
      </c>
      <c r="C44" s="855" t="s">
        <v>744</v>
      </c>
      <c r="D44" s="858">
        <v>16201.595491220001</v>
      </c>
      <c r="E44" s="858">
        <v>16905.07202534</v>
      </c>
      <c r="F44" s="858">
        <v>18153.890952810001</v>
      </c>
      <c r="G44" s="858">
        <v>19373</v>
      </c>
      <c r="H44" s="858">
        <v>20361</v>
      </c>
      <c r="I44" s="858">
        <v>21753</v>
      </c>
      <c r="J44" s="858">
        <v>22373</v>
      </c>
      <c r="K44" s="855">
        <v>22449.818761990002</v>
      </c>
      <c r="L44" s="855">
        <v>23208.316696309994</v>
      </c>
      <c r="M44" s="859"/>
      <c r="N44" s="855">
        <v>24121.726572310003</v>
      </c>
      <c r="O44" s="855">
        <v>25578.03393392</v>
      </c>
    </row>
    <row r="48" spans="1:15">
      <c r="B48" s="841" t="s">
        <v>1972</v>
      </c>
      <c r="G48" s="852"/>
      <c r="H48" s="843"/>
    </row>
    <row r="49" spans="2:11">
      <c r="B49" s="869" t="s">
        <v>1973</v>
      </c>
      <c r="G49" s="852"/>
      <c r="H49" s="843"/>
    </row>
    <row r="50" spans="2:11">
      <c r="B50" s="869" t="s">
        <v>1974</v>
      </c>
      <c r="G50" s="852"/>
      <c r="H50" s="843"/>
    </row>
    <row r="51" spans="2:11">
      <c r="B51" s="870" t="s">
        <v>1975</v>
      </c>
      <c r="G51" s="852"/>
      <c r="H51" s="843"/>
    </row>
    <row r="52" spans="2:11">
      <c r="B52" s="869" t="s">
        <v>1976</v>
      </c>
      <c r="G52" s="852"/>
      <c r="H52" s="843"/>
    </row>
    <row r="53" spans="2:11">
      <c r="B53" s="870" t="s">
        <v>1977</v>
      </c>
      <c r="G53" s="852"/>
      <c r="H53" s="843"/>
    </row>
    <row r="54" spans="2:11">
      <c r="B54" s="870" t="s">
        <v>1978</v>
      </c>
      <c r="G54" s="852"/>
      <c r="H54" s="843"/>
    </row>
    <row r="55" spans="2:11">
      <c r="B55" s="870" t="s">
        <v>1979</v>
      </c>
      <c r="G55" s="852"/>
      <c r="H55" s="843"/>
    </row>
    <row r="56" spans="2:11">
      <c r="B56" s="871" t="s">
        <v>1990</v>
      </c>
      <c r="C56" s="872"/>
      <c r="D56" s="872"/>
      <c r="E56" s="872"/>
      <c r="F56" s="872"/>
      <c r="G56" s="873"/>
      <c r="H56" s="874"/>
      <c r="K56" s="874"/>
    </row>
    <row r="57" spans="2:11">
      <c r="B57" s="875" t="s">
        <v>1980</v>
      </c>
      <c r="C57" s="872"/>
      <c r="D57" s="872"/>
      <c r="E57" s="872"/>
      <c r="F57" s="872"/>
      <c r="G57" s="873"/>
      <c r="H57" s="874"/>
      <c r="K57" s="874"/>
    </row>
    <row r="58" spans="2:11">
      <c r="B58" s="875" t="s">
        <v>1981</v>
      </c>
      <c r="C58" s="872"/>
      <c r="D58" s="872"/>
      <c r="E58" s="872"/>
      <c r="F58" s="872"/>
      <c r="G58" s="873"/>
      <c r="H58" s="874"/>
      <c r="K58" s="874"/>
    </row>
    <row r="59" spans="2:11">
      <c r="B59" s="875" t="s">
        <v>1982</v>
      </c>
      <c r="C59" s="872"/>
      <c r="D59" s="872"/>
      <c r="E59" s="872"/>
      <c r="F59" s="872"/>
      <c r="G59" s="873"/>
      <c r="H59" s="874"/>
      <c r="K59" s="874"/>
    </row>
    <row r="60" spans="2:11">
      <c r="B60" s="876" t="s">
        <v>1983</v>
      </c>
      <c r="C60" s="877"/>
      <c r="D60" s="878"/>
      <c r="E60" s="877"/>
      <c r="F60" s="879" t="s">
        <v>744</v>
      </c>
      <c r="G60" s="880" t="s">
        <v>744</v>
      </c>
      <c r="H60" s="880" t="s">
        <v>1984</v>
      </c>
      <c r="I60" s="881" t="s">
        <v>1984</v>
      </c>
      <c r="K60" s="882"/>
    </row>
    <row r="61" spans="2:11">
      <c r="B61" s="883" t="s">
        <v>1985</v>
      </c>
      <c r="C61" s="884"/>
      <c r="D61" s="885"/>
      <c r="E61" s="886"/>
      <c r="F61" s="879" t="s">
        <v>1984</v>
      </c>
      <c r="G61" s="880" t="s">
        <v>744</v>
      </c>
      <c r="H61" s="880" t="s">
        <v>744</v>
      </c>
      <c r="I61" s="881" t="s">
        <v>1984</v>
      </c>
      <c r="K61" s="882"/>
    </row>
    <row r="62" spans="2:11">
      <c r="B62" s="887" t="s">
        <v>1986</v>
      </c>
      <c r="C62" s="888"/>
      <c r="D62" s="888"/>
      <c r="E62" s="889"/>
      <c r="F62" s="890" t="s">
        <v>1984</v>
      </c>
      <c r="G62" s="890" t="s">
        <v>744</v>
      </c>
      <c r="H62" s="890" t="s">
        <v>1984</v>
      </c>
      <c r="I62" s="881" t="s">
        <v>744</v>
      </c>
      <c r="K62" s="882"/>
    </row>
    <row r="63" spans="2:11" ht="14" thickBot="1">
      <c r="B63" s="845" t="s">
        <v>1987</v>
      </c>
      <c r="G63" s="852"/>
      <c r="H63" s="843"/>
    </row>
    <row r="64" spans="2:11" ht="14" thickBot="1">
      <c r="B64" s="891" t="s">
        <v>1988</v>
      </c>
      <c r="G64" s="852"/>
      <c r="H64" s="843"/>
    </row>
    <row r="65" spans="2:8">
      <c r="G65" s="852"/>
      <c r="H65" s="843"/>
    </row>
    <row r="67" spans="2:8">
      <c r="B67" s="845" t="s">
        <v>1989</v>
      </c>
    </row>
  </sheetData>
  <phoneticPr fontId="68" type="noConversion"/>
  <pageMargins left="0.24" right="0.19" top="0.48" bottom="0.35" header="0.33" footer="0.16"/>
  <pageSetup paperSize="9" scale="80" orientation="portrait"/>
  <headerFooter alignWithMargins="0"/>
  <colBreaks count="2" manualBreakCount="2">
    <brk id="11" max="1048575" man="1"/>
    <brk id="27"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6A08B-AF3E-AC4F-9748-239BE237F175}">
  <sheetPr>
    <pageSetUpPr fitToPage="1"/>
  </sheetPr>
  <dimension ref="A1:B18"/>
  <sheetViews>
    <sheetView workbookViewId="0">
      <selection activeCell="C17" sqref="C17"/>
    </sheetView>
  </sheetViews>
  <sheetFormatPr baseColWidth="10" defaultColWidth="11.3984375" defaultRowHeight="13"/>
  <cols>
    <col min="1" max="1" width="5.59765625" style="937" customWidth="1"/>
    <col min="2" max="16384" width="11.3984375" style="937"/>
  </cols>
  <sheetData>
    <row r="1" spans="1:2" ht="16">
      <c r="A1" s="936" t="s">
        <v>1038</v>
      </c>
    </row>
    <row r="3" spans="1:2">
      <c r="A3" s="938">
        <v>1.01</v>
      </c>
      <c r="B3" s="939" t="s">
        <v>1039</v>
      </c>
    </row>
    <row r="4" spans="1:2">
      <c r="A4" s="938">
        <v>1.02</v>
      </c>
      <c r="B4" s="939" t="s">
        <v>1040</v>
      </c>
    </row>
    <row r="5" spans="1:2">
      <c r="A5" s="938">
        <v>1.03</v>
      </c>
      <c r="B5" s="939" t="s">
        <v>1041</v>
      </c>
    </row>
    <row r="6" spans="1:2">
      <c r="A6" s="938">
        <v>1.04</v>
      </c>
      <c r="B6" s="939" t="s">
        <v>1042</v>
      </c>
    </row>
    <row r="7" spans="1:2">
      <c r="A7" s="938">
        <v>1.05</v>
      </c>
      <c r="B7" s="939" t="s">
        <v>1043</v>
      </c>
    </row>
    <row r="8" spans="1:2">
      <c r="A8" s="938">
        <v>1.06</v>
      </c>
      <c r="B8" s="939" t="s">
        <v>516</v>
      </c>
    </row>
    <row r="9" spans="1:2">
      <c r="A9" s="938">
        <v>1.07</v>
      </c>
      <c r="B9" s="930" t="s">
        <v>517</v>
      </c>
    </row>
    <row r="10" spans="1:2">
      <c r="A10" s="938">
        <v>1.08</v>
      </c>
      <c r="B10" s="939" t="s">
        <v>518</v>
      </c>
    </row>
    <row r="11" spans="1:2">
      <c r="A11" s="938">
        <v>1.0900000000000001</v>
      </c>
      <c r="B11" s="939" t="s">
        <v>519</v>
      </c>
    </row>
    <row r="12" spans="1:2">
      <c r="A12" s="938">
        <v>1.1000000000000001</v>
      </c>
      <c r="B12" s="939" t="s">
        <v>520</v>
      </c>
    </row>
    <row r="13" spans="1:2">
      <c r="A13" s="938">
        <v>1.1100000000000001</v>
      </c>
      <c r="B13" s="939" t="s">
        <v>521</v>
      </c>
    </row>
    <row r="14" spans="1:2">
      <c r="A14" s="938">
        <v>1.1200000000000001</v>
      </c>
      <c r="B14" s="939" t="s">
        <v>522</v>
      </c>
    </row>
    <row r="15" spans="1:2">
      <c r="A15" s="938">
        <v>1.1299999999999999</v>
      </c>
      <c r="B15" s="939" t="s">
        <v>523</v>
      </c>
    </row>
    <row r="16" spans="1:2">
      <c r="A16" s="931"/>
      <c r="B16" s="932"/>
    </row>
    <row r="18" spans="1:1">
      <c r="A18" s="933" t="s">
        <v>710</v>
      </c>
    </row>
  </sheetData>
  <phoneticPr fontId="30" type="noConversion"/>
  <pageMargins left="0.46" right="0.46" top="0.63" bottom="0.984251969" header="0.38" footer="0.4921259845"/>
  <pageSetup paperSize="9" scale="97"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A8143-68A7-9546-9265-12AE7AA5806C}">
  <sheetPr>
    <pageSetUpPr fitToPage="1"/>
  </sheetPr>
  <dimension ref="A1:U56"/>
  <sheetViews>
    <sheetView zoomScale="75" workbookViewId="0"/>
  </sheetViews>
  <sheetFormatPr baseColWidth="10" defaultColWidth="11.3984375" defaultRowHeight="13"/>
  <cols>
    <col min="1" max="1" width="2.59765625" style="2" customWidth="1"/>
    <col min="2" max="2" width="3.19921875" style="2" customWidth="1"/>
    <col min="3" max="3" width="55" style="2" customWidth="1"/>
    <col min="4" max="4" width="9.796875" style="288" customWidth="1"/>
    <col min="5" max="5" width="8.59765625" style="288" customWidth="1"/>
    <col min="6" max="6" width="10.19921875" style="2" customWidth="1"/>
    <col min="7" max="8" width="9.3984375" style="2" customWidth="1"/>
    <col min="9" max="9" width="9.3984375" style="277" customWidth="1"/>
    <col min="10" max="10" width="9.3984375" style="2" customWidth="1"/>
    <col min="11" max="12" width="9.3984375" style="277" customWidth="1"/>
    <col min="13" max="13" width="9.3984375" style="2" customWidth="1"/>
    <col min="14" max="15" width="10.796875" style="2" customWidth="1"/>
    <col min="16" max="16" width="11.19921875" style="2" customWidth="1"/>
    <col min="17" max="17" width="10.59765625" style="2" customWidth="1"/>
    <col min="18" max="18" width="5.3984375" style="2" customWidth="1"/>
    <col min="19" max="19" width="11.59765625" style="2" customWidth="1"/>
    <col min="20" max="16384" width="11.3984375" style="2"/>
  </cols>
  <sheetData>
    <row r="1" spans="2:21" ht="12" customHeight="1">
      <c r="C1" s="199"/>
      <c r="D1" s="200"/>
      <c r="E1" s="200"/>
      <c r="F1" s="201"/>
      <c r="G1" s="201"/>
      <c r="H1" s="201"/>
      <c r="I1" s="202"/>
      <c r="K1" s="202"/>
      <c r="L1" s="202"/>
    </row>
    <row r="2" spans="2:21" ht="26.25" customHeight="1">
      <c r="B2" s="203" t="s">
        <v>1838</v>
      </c>
      <c r="C2" s="203"/>
      <c r="D2" s="204"/>
      <c r="E2" s="204"/>
      <c r="F2" s="205"/>
      <c r="G2" s="205"/>
      <c r="H2" s="205"/>
      <c r="I2" s="206"/>
      <c r="J2" s="207"/>
      <c r="K2" s="207"/>
      <c r="L2" s="206"/>
      <c r="M2" s="208"/>
      <c r="N2" s="208"/>
      <c r="O2" s="208"/>
      <c r="P2" s="208"/>
      <c r="Q2" s="208"/>
      <c r="R2" s="177"/>
      <c r="S2" s="177"/>
      <c r="T2" s="177"/>
    </row>
    <row r="3" spans="2:21" ht="72.75" customHeight="1">
      <c r="B3" s="209"/>
      <c r="C3" s="210" t="s">
        <v>1839</v>
      </c>
      <c r="D3" s="211">
        <v>1996</v>
      </c>
      <c r="E3" s="210">
        <v>1997</v>
      </c>
      <c r="F3" s="211">
        <v>1998</v>
      </c>
      <c r="G3" s="210">
        <v>1999</v>
      </c>
      <c r="H3" s="211">
        <v>2000</v>
      </c>
      <c r="I3" s="212">
        <v>2001</v>
      </c>
      <c r="J3" s="213">
        <v>2002</v>
      </c>
      <c r="K3" s="212">
        <v>2003</v>
      </c>
      <c r="L3" s="213">
        <v>2004</v>
      </c>
      <c r="M3" s="212">
        <v>2005</v>
      </c>
      <c r="N3" s="213">
        <v>2006</v>
      </c>
      <c r="O3" s="212">
        <v>2007</v>
      </c>
      <c r="P3" s="213">
        <v>2008</v>
      </c>
      <c r="Q3" s="212">
        <v>2009</v>
      </c>
      <c r="R3" s="214"/>
      <c r="S3" s="215" t="s">
        <v>1840</v>
      </c>
      <c r="T3" s="216" t="s">
        <v>1841</v>
      </c>
      <c r="U3" s="217"/>
    </row>
    <row r="4" spans="2:21" ht="14" customHeight="1">
      <c r="B4" s="209"/>
      <c r="C4" s="210"/>
      <c r="D4" s="211"/>
      <c r="E4" s="210"/>
      <c r="F4" s="211"/>
      <c r="G4" s="210"/>
      <c r="H4" s="211"/>
      <c r="I4" s="212"/>
      <c r="J4" s="218"/>
      <c r="K4" s="212"/>
      <c r="L4" s="213"/>
      <c r="M4" s="212"/>
      <c r="N4" s="213"/>
      <c r="O4" s="212"/>
      <c r="P4" s="213"/>
      <c r="Q4" s="212"/>
      <c r="R4" s="214"/>
      <c r="S4" s="210"/>
      <c r="T4" s="211"/>
      <c r="U4" s="219"/>
    </row>
    <row r="5" spans="2:21" ht="9.75" customHeight="1">
      <c r="B5" s="220"/>
      <c r="C5" s="221"/>
      <c r="D5" s="222"/>
      <c r="E5" s="221"/>
      <c r="F5" s="222"/>
      <c r="G5" s="221"/>
      <c r="H5" s="222"/>
      <c r="I5" s="223"/>
      <c r="J5" s="224"/>
      <c r="K5" s="223"/>
      <c r="L5" s="225"/>
      <c r="M5" s="223"/>
      <c r="N5" s="225"/>
      <c r="O5" s="223"/>
      <c r="P5" s="225"/>
      <c r="Q5" s="223"/>
      <c r="R5" s="226"/>
      <c r="S5" s="227"/>
      <c r="T5" s="224"/>
      <c r="U5" s="219"/>
    </row>
    <row r="6" spans="2:21" ht="20" customHeight="1" thickBot="1">
      <c r="B6" s="228">
        <v>1</v>
      </c>
      <c r="C6" s="229" t="s">
        <v>1071</v>
      </c>
      <c r="D6" s="230">
        <v>145</v>
      </c>
      <c r="E6" s="231">
        <v>129</v>
      </c>
      <c r="F6" s="230">
        <v>118</v>
      </c>
      <c r="G6" s="231">
        <v>109</v>
      </c>
      <c r="H6" s="230">
        <v>101</v>
      </c>
      <c r="I6" s="231">
        <v>99</v>
      </c>
      <c r="J6" s="230">
        <v>93</v>
      </c>
      <c r="K6" s="231">
        <v>93</v>
      </c>
      <c r="L6" s="230">
        <v>92</v>
      </c>
      <c r="M6" s="231">
        <v>85</v>
      </c>
      <c r="N6" s="232">
        <v>87</v>
      </c>
      <c r="O6" s="233">
        <v>87</v>
      </c>
      <c r="P6" s="232">
        <v>86</v>
      </c>
      <c r="Q6" s="233">
        <v>81</v>
      </c>
      <c r="R6" s="234"/>
      <c r="S6" s="235">
        <v>-5.8139534883720922E-2</v>
      </c>
      <c r="T6" s="236">
        <v>-2.9253458179380076E-2</v>
      </c>
      <c r="U6" s="237"/>
    </row>
    <row r="7" spans="2:21" ht="16" customHeight="1" thickBot="1">
      <c r="B7" s="238">
        <v>2</v>
      </c>
      <c r="C7" s="239" t="s">
        <v>0</v>
      </c>
      <c r="D7" s="240">
        <v>7232.6670000000004</v>
      </c>
      <c r="E7" s="241">
        <v>7236.4709999999995</v>
      </c>
      <c r="F7" s="240">
        <v>7246.616</v>
      </c>
      <c r="G7" s="241">
        <v>7270.5219999999999</v>
      </c>
      <c r="H7" s="240">
        <v>7265.1130000000003</v>
      </c>
      <c r="I7" s="241">
        <v>7301.05</v>
      </c>
      <c r="J7" s="240">
        <v>7344.6319999999996</v>
      </c>
      <c r="K7" s="241">
        <v>7372.5050000000001</v>
      </c>
      <c r="L7" s="240">
        <v>7383.5739999999996</v>
      </c>
      <c r="M7" s="241">
        <v>7435.8649999999998</v>
      </c>
      <c r="N7" s="242">
        <v>7478.4268200000015</v>
      </c>
      <c r="O7" s="243">
        <v>7537.5873800000008</v>
      </c>
      <c r="P7" s="242">
        <v>7615.5633200000002</v>
      </c>
      <c r="Q7" s="243">
        <v>7708.8515100000004</v>
      </c>
      <c r="R7" s="234"/>
      <c r="S7" s="235">
        <v>1.2249676889299455E-2</v>
      </c>
      <c r="T7" s="236">
        <v>5.8712812522789815E-3</v>
      </c>
      <c r="U7" s="237"/>
    </row>
    <row r="8" spans="2:21" ht="16" customHeight="1" thickBot="1">
      <c r="B8" s="238" t="s">
        <v>1</v>
      </c>
      <c r="C8" s="239" t="s">
        <v>2</v>
      </c>
      <c r="D8" s="240">
        <v>5599.991</v>
      </c>
      <c r="E8" s="241">
        <v>5669.3249999999998</v>
      </c>
      <c r="F8" s="240">
        <v>5768.6210000000001</v>
      </c>
      <c r="G8" s="241">
        <v>5833.1670000000004</v>
      </c>
      <c r="H8" s="240">
        <v>5947.0349999999999</v>
      </c>
      <c r="I8" s="241">
        <v>6043.9049999999997</v>
      </c>
      <c r="J8" s="187">
        <v>6170.7879999999996</v>
      </c>
      <c r="K8" s="241">
        <v>6105.0770000000002</v>
      </c>
      <c r="L8" s="240">
        <v>6076.2309999999998</v>
      </c>
      <c r="M8" s="241">
        <v>6104.0569999999998</v>
      </c>
      <c r="N8" s="242">
        <v>6139.7749999999996</v>
      </c>
      <c r="O8" s="243">
        <v>6170.95</v>
      </c>
      <c r="P8" s="242">
        <v>6246.7870000000003</v>
      </c>
      <c r="Q8" s="243">
        <v>6463.0730000000003</v>
      </c>
      <c r="R8" s="234"/>
      <c r="S8" s="235">
        <v>3.4623559279354232E-2</v>
      </c>
      <c r="T8" s="236">
        <v>1.0307239754570263E-2</v>
      </c>
      <c r="U8" s="237"/>
    </row>
    <row r="9" spans="2:21" ht="16" customHeight="1" thickBot="1">
      <c r="B9" s="238" t="s">
        <v>3</v>
      </c>
      <c r="C9" s="239" t="s">
        <v>4</v>
      </c>
      <c r="D9" s="244">
        <v>77.42636291702631</v>
      </c>
      <c r="E9" s="245">
        <v>78.343781105458731</v>
      </c>
      <c r="F9" s="244">
        <v>79.604342219872009</v>
      </c>
      <c r="G9" s="245">
        <v>80.230374105188048</v>
      </c>
      <c r="H9" s="244">
        <v>81.857432912605759</v>
      </c>
      <c r="I9" s="245">
        <v>82.781312277001248</v>
      </c>
      <c r="J9" s="246">
        <v>84.017660789539889</v>
      </c>
      <c r="K9" s="245">
        <v>82.808719695680097</v>
      </c>
      <c r="L9" s="244">
        <v>82.293899946015301</v>
      </c>
      <c r="M9" s="245">
        <v>82.08940049341939</v>
      </c>
      <c r="N9" s="247">
        <v>82.099820560923789</v>
      </c>
      <c r="O9" s="248">
        <v>81.869034332839803</v>
      </c>
      <c r="P9" s="247">
        <v>82.026601589353191</v>
      </c>
      <c r="Q9" s="248">
        <v>83.839635406338232</v>
      </c>
      <c r="R9" s="249"/>
      <c r="S9" s="235">
        <v>2.2102998074473135E-2</v>
      </c>
      <c r="T9" s="236">
        <v>4.4100657658392439E-3</v>
      </c>
      <c r="U9" s="237"/>
    </row>
    <row r="10" spans="2:21" ht="16" customHeight="1" thickBot="1">
      <c r="B10" s="238">
        <v>4</v>
      </c>
      <c r="C10" s="239" t="s">
        <v>5</v>
      </c>
      <c r="D10" s="240">
        <v>1117.0840000000001</v>
      </c>
      <c r="E10" s="241">
        <v>1150.1220000000001</v>
      </c>
      <c r="F10" s="240">
        <v>1154.759</v>
      </c>
      <c r="G10" s="241">
        <v>1096.0329999999999</v>
      </c>
      <c r="H10" s="240">
        <v>1097.932</v>
      </c>
      <c r="I10" s="241">
        <v>1193.3150000000001</v>
      </c>
      <c r="J10" s="187">
        <v>1207.239</v>
      </c>
      <c r="K10" s="241">
        <v>1148.028</v>
      </c>
      <c r="L10" s="240">
        <v>1196.146</v>
      </c>
      <c r="M10" s="241">
        <v>1219.4549999999999</v>
      </c>
      <c r="N10" s="242">
        <v>1147.933</v>
      </c>
      <c r="O10" s="243">
        <v>1232.442</v>
      </c>
      <c r="P10" s="242">
        <v>1283.4290000000001</v>
      </c>
      <c r="Q10" s="243">
        <v>1289.3340000000001</v>
      </c>
      <c r="R10" s="234"/>
      <c r="S10" s="235">
        <v>4.6009557209631957E-3</v>
      </c>
      <c r="T10" s="236">
        <v>1.6375483079660746E-2</v>
      </c>
      <c r="U10" s="237"/>
    </row>
    <row r="11" spans="2:21" ht="15.75" customHeight="1" thickBot="1">
      <c r="B11" s="238">
        <v>5</v>
      </c>
      <c r="C11" s="239" t="s">
        <v>6</v>
      </c>
      <c r="D11" s="240">
        <v>18812.841</v>
      </c>
      <c r="E11" s="241">
        <v>18987.651000000002</v>
      </c>
      <c r="F11" s="240">
        <v>17067.058000000001</v>
      </c>
      <c r="G11" s="241">
        <v>12747.16</v>
      </c>
      <c r="H11" s="240">
        <v>12447.351000000001</v>
      </c>
      <c r="I11" s="241">
        <v>12514.1</v>
      </c>
      <c r="J11" s="187">
        <v>12391.460999999999</v>
      </c>
      <c r="K11" s="241">
        <v>11395.671</v>
      </c>
      <c r="L11" s="240">
        <v>11754.955</v>
      </c>
      <c r="M11" s="241">
        <v>11492.861999999999</v>
      </c>
      <c r="N11" s="242">
        <v>11050.112999999999</v>
      </c>
      <c r="O11" s="243">
        <v>11706.005999999999</v>
      </c>
      <c r="P11" s="242">
        <v>11789.734</v>
      </c>
      <c r="Q11" s="243">
        <v>11966.875</v>
      </c>
      <c r="R11" s="234"/>
      <c r="S11" s="235">
        <v>1.5025020920743426E-2</v>
      </c>
      <c r="T11" s="236">
        <v>-6.2967007218684978E-3</v>
      </c>
      <c r="U11" s="237"/>
    </row>
    <row r="12" spans="2:21" ht="15.75" customHeight="1" thickBot="1">
      <c r="B12" s="238" t="s">
        <v>7</v>
      </c>
      <c r="C12" s="239" t="s">
        <v>8</v>
      </c>
      <c r="D12" s="240">
        <v>1538.9393456106855</v>
      </c>
      <c r="E12" s="241">
        <v>1663.8889491853145</v>
      </c>
      <c r="F12" s="240">
        <v>1753.683394842503</v>
      </c>
      <c r="G12" s="241">
        <v>1792.6969718267821</v>
      </c>
      <c r="H12" s="240">
        <v>1850.1645719756871</v>
      </c>
      <c r="I12" s="241">
        <v>1917.1642434992227</v>
      </c>
      <c r="J12" s="240">
        <v>2090.6486849170938</v>
      </c>
      <c r="K12" s="241">
        <v>2281.464868725081</v>
      </c>
      <c r="L12" s="240">
        <v>2441.8668834361247</v>
      </c>
      <c r="M12" s="241">
        <v>2487.4603849935415</v>
      </c>
      <c r="N12" s="242">
        <v>2582.7207564451369</v>
      </c>
      <c r="O12" s="243">
        <v>2612.1277928402606</v>
      </c>
      <c r="P12" s="242">
        <v>2585.7925929424223</v>
      </c>
      <c r="Q12" s="243">
        <v>2610.6051067988465</v>
      </c>
      <c r="R12" s="234"/>
      <c r="S12" s="235">
        <v>9.5957092321119486E-3</v>
      </c>
      <c r="T12" s="236">
        <v>3.8301376658782083E-2</v>
      </c>
      <c r="U12" s="237"/>
    </row>
    <row r="13" spans="2:21" ht="18" customHeight="1" thickBot="1">
      <c r="B13" s="238" t="s">
        <v>9</v>
      </c>
      <c r="C13" s="239" t="s">
        <v>1376</v>
      </c>
      <c r="D13" s="240">
        <v>1722.6034666050571</v>
      </c>
      <c r="E13" s="241">
        <v>1815.591817475673</v>
      </c>
      <c r="F13" s="240">
        <v>1935.2609068839854</v>
      </c>
      <c r="G13" s="241">
        <v>2010.9299604622613</v>
      </c>
      <c r="H13" s="240">
        <v>2130.500577485856</v>
      </c>
      <c r="I13" s="241">
        <v>2244.3977236150963</v>
      </c>
      <c r="J13" s="240">
        <v>2327.6302215005462</v>
      </c>
      <c r="K13" s="241">
        <v>2431.2115563163397</v>
      </c>
      <c r="L13" s="240">
        <v>2592.2163089311498</v>
      </c>
      <c r="M13" s="241">
        <v>2736.4276577385417</v>
      </c>
      <c r="N13" s="242">
        <v>2754.9413018779796</v>
      </c>
      <c r="O13" s="243">
        <v>2862.8111062906178</v>
      </c>
      <c r="P13" s="242">
        <v>2983.6153319253076</v>
      </c>
      <c r="Q13" s="243">
        <v>3068.7220287020409</v>
      </c>
      <c r="R13" s="234"/>
      <c r="S13" s="235">
        <v>2.8524688107771201E-2</v>
      </c>
      <c r="T13" s="236">
        <v>4.3172334052226091E-2</v>
      </c>
      <c r="U13" s="237"/>
    </row>
    <row r="14" spans="2:21" ht="16" customHeight="1" thickBot="1">
      <c r="B14" s="238" t="s">
        <v>10</v>
      </c>
      <c r="C14" s="239" t="s">
        <v>11</v>
      </c>
      <c r="D14" s="240">
        <v>1135.7666791471866</v>
      </c>
      <c r="E14" s="241">
        <v>1207.1705655887454</v>
      </c>
      <c r="F14" s="240">
        <v>1287.8682695481589</v>
      </c>
      <c r="G14" s="241">
        <v>1351.582122301535</v>
      </c>
      <c r="H14" s="240">
        <v>1451.1566242672343</v>
      </c>
      <c r="I14" s="241">
        <v>1548.8249816122338</v>
      </c>
      <c r="J14" s="240">
        <v>1615.4324000167742</v>
      </c>
      <c r="K14" s="241">
        <v>1666.6209287074066</v>
      </c>
      <c r="L14" s="240">
        <v>1751.3120155631952</v>
      </c>
      <c r="M14" s="241">
        <v>1868.8498613140498</v>
      </c>
      <c r="N14" s="242">
        <v>1876.1663221824504</v>
      </c>
      <c r="O14" s="243">
        <v>1947.0011165814174</v>
      </c>
      <c r="P14" s="242">
        <v>2050.4938838838252</v>
      </c>
      <c r="Q14" s="243">
        <v>2108.4877007664654</v>
      </c>
      <c r="R14" s="234"/>
      <c r="S14" s="235">
        <v>2.8282852896295729E-2</v>
      </c>
      <c r="T14" s="236">
        <v>4.5473101036931141E-2</v>
      </c>
      <c r="U14" s="237"/>
    </row>
    <row r="15" spans="2:21" ht="16" customHeight="1" thickBot="1">
      <c r="B15" s="238" t="s">
        <v>12</v>
      </c>
      <c r="C15" s="239" t="s">
        <v>13</v>
      </c>
      <c r="D15" s="240">
        <v>586.83678759613247</v>
      </c>
      <c r="E15" s="241">
        <v>608.42125188692751</v>
      </c>
      <c r="F15" s="240">
        <v>647.39263733582686</v>
      </c>
      <c r="G15" s="241">
        <v>659.34783816072627</v>
      </c>
      <c r="H15" s="240">
        <v>679.34395321862166</v>
      </c>
      <c r="I15" s="241">
        <v>695.57285390457537</v>
      </c>
      <c r="J15" s="240">
        <v>712.19782148377203</v>
      </c>
      <c r="K15" s="241">
        <v>764.59062760893346</v>
      </c>
      <c r="L15" s="240">
        <v>840.90429336795432</v>
      </c>
      <c r="M15" s="241">
        <v>867.57779639624982</v>
      </c>
      <c r="N15" s="242">
        <v>878.77497969552894</v>
      </c>
      <c r="O15" s="243">
        <v>915.80998970920029</v>
      </c>
      <c r="P15" s="242">
        <v>933.12144804148261</v>
      </c>
      <c r="Q15" s="243">
        <v>960.23432793557583</v>
      </c>
      <c r="R15" s="234"/>
      <c r="S15" s="235">
        <v>2.9056110489154463E-2</v>
      </c>
      <c r="T15" s="236">
        <v>3.8308152815315744E-2</v>
      </c>
      <c r="U15" s="237"/>
    </row>
    <row r="16" spans="2:21" ht="16" customHeight="1" thickBot="1">
      <c r="B16" s="238" t="s">
        <v>14</v>
      </c>
      <c r="C16" s="239" t="s">
        <v>15</v>
      </c>
      <c r="D16" s="240">
        <v>232.07645782669101</v>
      </c>
      <c r="E16" s="241">
        <v>245.69743221523311</v>
      </c>
      <c r="F16" s="240">
        <v>289.40857360180263</v>
      </c>
      <c r="G16" s="241">
        <v>301.20274500235331</v>
      </c>
      <c r="H16" s="240">
        <v>314.93213457244229</v>
      </c>
      <c r="I16" s="241">
        <v>328.74449565473458</v>
      </c>
      <c r="J16" s="240">
        <v>340.77001636024784</v>
      </c>
      <c r="K16" s="241">
        <v>351.10178317952989</v>
      </c>
      <c r="L16" s="240">
        <v>383.59639861400456</v>
      </c>
      <c r="M16" s="241">
        <v>402.77581823634512</v>
      </c>
      <c r="N16" s="242">
        <v>406.33028735313604</v>
      </c>
      <c r="O16" s="243">
        <v>418.57781696455766</v>
      </c>
      <c r="P16" s="242">
        <v>432.06970918600405</v>
      </c>
      <c r="Q16" s="243">
        <v>438.77766276367134</v>
      </c>
      <c r="R16" s="234"/>
      <c r="S16" s="235">
        <v>1.5525165118158268E-2</v>
      </c>
      <c r="T16" s="236">
        <v>3.8337546553371515E-2</v>
      </c>
      <c r="U16" s="237"/>
    </row>
    <row r="17" spans="2:21" ht="18.75" customHeight="1" thickBot="1">
      <c r="B17" s="238" t="s">
        <v>16</v>
      </c>
      <c r="C17" s="239" t="s">
        <v>1377</v>
      </c>
      <c r="D17" s="240">
        <v>1490.5270087783663</v>
      </c>
      <c r="E17" s="241">
        <v>1569.89438526044</v>
      </c>
      <c r="F17" s="240">
        <v>1645.8523332821831</v>
      </c>
      <c r="G17" s="241">
        <v>1709.7272154599079</v>
      </c>
      <c r="H17" s="240">
        <v>1815.5684429134135</v>
      </c>
      <c r="I17" s="241">
        <v>1915.651858294355</v>
      </c>
      <c r="J17" s="240">
        <v>1986.8602051130677</v>
      </c>
      <c r="K17" s="241">
        <v>2080.1097731368104</v>
      </c>
      <c r="L17" s="240">
        <v>2208.6199103577751</v>
      </c>
      <c r="M17" s="241">
        <v>2333.6518395021967</v>
      </c>
      <c r="N17" s="242">
        <v>2348.6110145248435</v>
      </c>
      <c r="O17" s="243">
        <v>2444.23328932606</v>
      </c>
      <c r="P17" s="242">
        <v>2551.5456227393033</v>
      </c>
      <c r="Q17" s="243">
        <v>2629.9443659383696</v>
      </c>
      <c r="R17" s="234"/>
      <c r="S17" s="235">
        <v>3.0725981342594411E-2</v>
      </c>
      <c r="T17" s="236">
        <v>4.4003545749414341E-2</v>
      </c>
      <c r="U17" s="237"/>
    </row>
    <row r="18" spans="2:21" ht="15.75" customHeight="1" thickBot="1">
      <c r="B18" s="238" t="s">
        <v>17</v>
      </c>
      <c r="C18" s="250" t="s">
        <v>18</v>
      </c>
      <c r="D18" s="240">
        <v>132.70728197496166</v>
      </c>
      <c r="E18" s="241">
        <v>123.43149540708448</v>
      </c>
      <c r="F18" s="240">
        <v>117.97848775207628</v>
      </c>
      <c r="G18" s="241">
        <v>117.4940565477967</v>
      </c>
      <c r="H18" s="240">
        <v>118.82517959459129</v>
      </c>
      <c r="I18" s="241">
        <v>124.48209504112421</v>
      </c>
      <c r="J18" s="240">
        <v>125.74808222386092</v>
      </c>
      <c r="K18" s="241">
        <v>128.73966972012903</v>
      </c>
      <c r="L18" s="240">
        <v>133.72666834516724</v>
      </c>
      <c r="M18" s="241">
        <v>134.36734701880681</v>
      </c>
      <c r="N18" s="242">
        <v>144.14164993460486</v>
      </c>
      <c r="O18" s="243">
        <v>142.1810814948058</v>
      </c>
      <c r="P18" s="242">
        <v>153.45122296744293</v>
      </c>
      <c r="Q18" s="243">
        <v>147.13788275057848</v>
      </c>
      <c r="R18" s="234"/>
      <c r="S18" s="235">
        <v>-4.1142325846460825E-2</v>
      </c>
      <c r="T18" s="236">
        <v>2.2753231592454126E-2</v>
      </c>
      <c r="U18" s="237"/>
    </row>
    <row r="19" spans="2:21" ht="18" customHeight="1" thickBot="1">
      <c r="B19" s="238" t="s">
        <v>19</v>
      </c>
      <c r="C19" s="239" t="s">
        <v>20</v>
      </c>
      <c r="D19" s="240">
        <v>477.62973077565988</v>
      </c>
      <c r="E19" s="241">
        <v>484.75254775428522</v>
      </c>
      <c r="F19" s="240">
        <v>509.74935597525797</v>
      </c>
      <c r="G19" s="241">
        <v>524.03642778331459</v>
      </c>
      <c r="H19" s="240">
        <v>544.55016542757153</v>
      </c>
      <c r="I19" s="241">
        <v>547.35962635511339</v>
      </c>
      <c r="J19" s="240">
        <v>547.06945209780417</v>
      </c>
      <c r="K19" s="241">
        <v>578.39954541909435</v>
      </c>
      <c r="L19" s="240">
        <v>607.83383459013214</v>
      </c>
      <c r="M19" s="241">
        <v>633.47119917588623</v>
      </c>
      <c r="N19" s="242">
        <v>667.24895580511941</v>
      </c>
      <c r="O19" s="243">
        <v>694.39870760476651</v>
      </c>
      <c r="P19" s="242">
        <v>681.63705744882441</v>
      </c>
      <c r="Q19" s="243">
        <v>660.95738811681952</v>
      </c>
      <c r="R19" s="234"/>
      <c r="S19" s="235">
        <v>-3.0338241012604406E-2</v>
      </c>
      <c r="T19" s="236">
        <v>2.3484331381207868E-2</v>
      </c>
      <c r="U19" s="237"/>
    </row>
    <row r="20" spans="2:21" ht="19.5" customHeight="1" thickBot="1">
      <c r="B20" s="238" t="s">
        <v>21</v>
      </c>
      <c r="C20" s="239" t="s">
        <v>22</v>
      </c>
      <c r="D20" s="240">
        <v>394.88575237875602</v>
      </c>
      <c r="E20" s="241">
        <v>413.44461478530076</v>
      </c>
      <c r="F20" s="240">
        <v>411.98967338686089</v>
      </c>
      <c r="G20" s="241">
        <v>423.27251702147385</v>
      </c>
      <c r="H20" s="240">
        <v>389.82276793217119</v>
      </c>
      <c r="I20" s="241">
        <v>287.99008361810974</v>
      </c>
      <c r="J20" s="240">
        <v>267.61478124431557</v>
      </c>
      <c r="K20" s="241">
        <v>324.68015590359045</v>
      </c>
      <c r="L20" s="240">
        <v>402.03849991887398</v>
      </c>
      <c r="M20" s="241">
        <v>428.26064350549666</v>
      </c>
      <c r="N20" s="242">
        <v>501.3097896958493</v>
      </c>
      <c r="O20" s="243">
        <v>526.75261307816504</v>
      </c>
      <c r="P20" s="242">
        <v>427.01039051829446</v>
      </c>
      <c r="Q20" s="243">
        <v>371.39233943941923</v>
      </c>
      <c r="R20" s="234"/>
      <c r="S20" s="235">
        <v>-0.13024987755302031</v>
      </c>
      <c r="T20" s="236">
        <v>-1.2990603899403541E-2</v>
      </c>
      <c r="U20" s="237"/>
    </row>
    <row r="21" spans="2:21" ht="16" customHeight="1" thickBot="1">
      <c r="B21" s="238" t="s">
        <v>23</v>
      </c>
      <c r="C21" s="239" t="s">
        <v>24</v>
      </c>
      <c r="D21" s="240">
        <v>11130.63582</v>
      </c>
      <c r="E21" s="241">
        <v>12040.684128000001</v>
      </c>
      <c r="F21" s="240">
        <v>12708.270148</v>
      </c>
      <c r="G21" s="241">
        <v>13033.842773</v>
      </c>
      <c r="H21" s="240">
        <v>13441.654683999999</v>
      </c>
      <c r="I21" s="241">
        <v>13997.312</v>
      </c>
      <c r="J21" s="240">
        <v>15355.045232</v>
      </c>
      <c r="K21" s="241">
        <v>16820.111152000001</v>
      </c>
      <c r="L21" s="240">
        <v>18029.704831999999</v>
      </c>
      <c r="M21" s="241">
        <v>18496.419615660001</v>
      </c>
      <c r="N21" s="242">
        <v>19314.688173570001</v>
      </c>
      <c r="O21" s="243">
        <v>19689.141486260003</v>
      </c>
      <c r="P21" s="242">
        <v>19692.267223940002</v>
      </c>
      <c r="Q21" s="243">
        <v>20124.767119560001</v>
      </c>
      <c r="R21" s="234"/>
      <c r="S21" s="235">
        <v>2.1962930459028529E-2</v>
      </c>
      <c r="T21" s="236">
        <v>4.4397536065774235E-2</v>
      </c>
      <c r="U21" s="237"/>
    </row>
    <row r="22" spans="2:21" ht="18" customHeight="1" thickBot="1">
      <c r="B22" s="238" t="s">
        <v>25</v>
      </c>
      <c r="C22" s="239" t="s">
        <v>1378</v>
      </c>
      <c r="D22" s="240">
        <v>12459.017247</v>
      </c>
      <c r="E22" s="241">
        <v>13138.477535</v>
      </c>
      <c r="F22" s="240">
        <v>14024.092651999999</v>
      </c>
      <c r="G22" s="241">
        <v>14620.510517999999</v>
      </c>
      <c r="H22" s="240">
        <v>15478.327442</v>
      </c>
      <c r="I22" s="241">
        <v>16386.46</v>
      </c>
      <c r="J22" s="240">
        <v>17095.587409</v>
      </c>
      <c r="K22" s="241">
        <v>17924.119354999999</v>
      </c>
      <c r="L22" s="240">
        <v>19139.820941000002</v>
      </c>
      <c r="M22" s="241">
        <v>20347.706645210001</v>
      </c>
      <c r="N22" s="242">
        <v>20602.626919490001</v>
      </c>
      <c r="O22" s="243">
        <v>21578.688866100001</v>
      </c>
      <c r="P22" s="242">
        <v>22721.911482799998</v>
      </c>
      <c r="Q22" s="243">
        <v>23656.322444729994</v>
      </c>
      <c r="R22" s="234"/>
      <c r="S22" s="235">
        <v>4.1123783209758846E-2</v>
      </c>
      <c r="T22" s="236">
        <v>4.9297092220043082E-2</v>
      </c>
      <c r="U22" s="237"/>
    </row>
    <row r="23" spans="2:21" ht="16" customHeight="1" thickBot="1">
      <c r="B23" s="238" t="s">
        <v>26</v>
      </c>
      <c r="C23" s="239" t="s">
        <v>27</v>
      </c>
      <c r="D23" s="240">
        <v>1678.5317379999999</v>
      </c>
      <c r="E23" s="241">
        <v>1777.9823429999999</v>
      </c>
      <c r="F23" s="240">
        <v>2097.2328000000002</v>
      </c>
      <c r="G23" s="241">
        <v>2189.9011839999998</v>
      </c>
      <c r="H23" s="240">
        <v>2288.0175450000002</v>
      </c>
      <c r="I23" s="241">
        <v>2400.1799999999998</v>
      </c>
      <c r="J23" s="240">
        <v>2502.8303667999999</v>
      </c>
      <c r="K23" s="241">
        <v>2588.499652</v>
      </c>
      <c r="L23" s="240">
        <v>2832.3123952999999</v>
      </c>
      <c r="M23" s="241">
        <v>2994.9866096700002</v>
      </c>
      <c r="N23" s="242">
        <v>3038.7113187200002</v>
      </c>
      <c r="O23" s="243">
        <v>3155.0668707</v>
      </c>
      <c r="P23" s="242">
        <v>3290.4542289599999</v>
      </c>
      <c r="Q23" s="243">
        <v>3382.471848149999</v>
      </c>
      <c r="R23" s="234"/>
      <c r="S23" s="235">
        <v>2.7965020263807983E-2</v>
      </c>
      <c r="T23" s="236">
        <v>4.4433918323987687E-2</v>
      </c>
      <c r="U23" s="237"/>
    </row>
    <row r="24" spans="2:21" ht="18.75" customHeight="1" thickBot="1">
      <c r="B24" s="238" t="s">
        <v>28</v>
      </c>
      <c r="C24" s="239" t="s">
        <v>1379</v>
      </c>
      <c r="D24" s="240">
        <v>10780.485509</v>
      </c>
      <c r="E24" s="241">
        <v>11360.495192</v>
      </c>
      <c r="F24" s="240">
        <v>11926.859852</v>
      </c>
      <c r="G24" s="241">
        <v>12430.609334000001</v>
      </c>
      <c r="H24" s="240">
        <v>13190.309896999999</v>
      </c>
      <c r="I24" s="241">
        <v>13986.27</v>
      </c>
      <c r="J24" s="240">
        <v>14592.757041999999</v>
      </c>
      <c r="K24" s="241">
        <v>15335.619703</v>
      </c>
      <c r="L24" s="240">
        <v>16307.508545999999</v>
      </c>
      <c r="M24" s="241">
        <v>17352.720035540002</v>
      </c>
      <c r="N24" s="242">
        <v>17563.91560077</v>
      </c>
      <c r="O24" s="243">
        <v>18423.621995400001</v>
      </c>
      <c r="P24" s="242">
        <v>19431.457253839999</v>
      </c>
      <c r="Q24" s="243">
        <v>20273.850596579996</v>
      </c>
      <c r="R24" s="234"/>
      <c r="S24" s="235">
        <v>4.3352041575447142E-2</v>
      </c>
      <c r="T24" s="236">
        <v>5.0133184194885549E-2</v>
      </c>
      <c r="U24" s="237"/>
    </row>
    <row r="25" spans="2:21" ht="15.75" customHeight="1" thickBot="1">
      <c r="B25" s="238" t="s">
        <v>29</v>
      </c>
      <c r="C25" s="239" t="s">
        <v>30</v>
      </c>
      <c r="D25" s="240">
        <v>959.82757900000001</v>
      </c>
      <c r="E25" s="241">
        <v>893.208437</v>
      </c>
      <c r="F25" s="240">
        <v>854.94479699999999</v>
      </c>
      <c r="G25" s="241">
        <v>854.24312299999997</v>
      </c>
      <c r="H25" s="240">
        <v>863.27835700000003</v>
      </c>
      <c r="I25" s="241">
        <v>908.85</v>
      </c>
      <c r="J25" s="240">
        <v>923.57338863999996</v>
      </c>
      <c r="K25" s="241">
        <v>949.13385871000003</v>
      </c>
      <c r="L25" s="240">
        <v>987.38075149999997</v>
      </c>
      <c r="M25" s="241">
        <v>999.13745283999992</v>
      </c>
      <c r="N25" s="242">
        <v>1077.9527807500003</v>
      </c>
      <c r="O25" s="243">
        <v>1071.7023255499998</v>
      </c>
      <c r="P25" s="242">
        <v>1168.61750504</v>
      </c>
      <c r="Q25" s="243">
        <v>1134.26408962</v>
      </c>
      <c r="R25" s="234"/>
      <c r="S25" s="235">
        <v>-2.9396629155254761E-2</v>
      </c>
      <c r="T25" s="236">
        <v>2.8758103466810514E-2</v>
      </c>
      <c r="U25" s="237"/>
    </row>
    <row r="26" spans="2:21" ht="15.75" customHeight="1" thickBot="1">
      <c r="B26" s="238">
        <v>11</v>
      </c>
      <c r="C26" s="239" t="s">
        <v>31</v>
      </c>
      <c r="D26" s="240">
        <v>-319.932346</v>
      </c>
      <c r="E26" s="241">
        <v>70.171887999999996</v>
      </c>
      <c r="F26" s="240">
        <v>-3.3297E-2</v>
      </c>
      <c r="G26" s="241">
        <v>-49.386769999999999</v>
      </c>
      <c r="H26" s="240">
        <v>-305.95411300000001</v>
      </c>
      <c r="I26" s="241">
        <v>-789.7</v>
      </c>
      <c r="J26" s="240">
        <v>-223.6723628</v>
      </c>
      <c r="K26" s="241">
        <v>399.72993602999998</v>
      </c>
      <c r="L26" s="240">
        <v>514.14165576000005</v>
      </c>
      <c r="M26" s="241">
        <v>171.42467388000034</v>
      </c>
      <c r="N26" s="242">
        <v>490.9499524699998</v>
      </c>
      <c r="O26" s="243">
        <v>178.66007693999958</v>
      </c>
      <c r="P26" s="242">
        <v>-755.31870567999954</v>
      </c>
      <c r="Q26" s="243">
        <v>-471.60922202999967</v>
      </c>
      <c r="R26" s="234"/>
      <c r="S26" s="235" t="s">
        <v>744</v>
      </c>
      <c r="T26" s="236" t="s">
        <v>744</v>
      </c>
      <c r="U26" s="237"/>
    </row>
    <row r="27" spans="2:21" ht="18" customHeight="1" thickBot="1">
      <c r="B27" s="238" t="s">
        <v>32</v>
      </c>
      <c r="C27" s="239" t="s">
        <v>33</v>
      </c>
      <c r="D27" s="240">
        <v>3454.5367919999999</v>
      </c>
      <c r="E27" s="241">
        <v>3507.8977540000001</v>
      </c>
      <c r="F27" s="240">
        <v>3693.9578390000001</v>
      </c>
      <c r="G27" s="241">
        <v>3810.0183769999999</v>
      </c>
      <c r="H27" s="240">
        <v>3956.2184860000002</v>
      </c>
      <c r="I27" s="241">
        <v>3996.3</v>
      </c>
      <c r="J27" s="240">
        <v>4018.0238040999998</v>
      </c>
      <c r="K27" s="241">
        <v>4264.2535405999997</v>
      </c>
      <c r="L27" s="240">
        <v>4487.9860974000003</v>
      </c>
      <c r="M27" s="241">
        <v>4710.4063184600009</v>
      </c>
      <c r="N27" s="242">
        <v>4989.9724867100003</v>
      </c>
      <c r="O27" s="243">
        <v>5234.0909351299988</v>
      </c>
      <c r="P27" s="242">
        <v>5191.0501722600002</v>
      </c>
      <c r="Q27" s="243">
        <v>5095.2223594300003</v>
      </c>
      <c r="R27" s="234"/>
      <c r="S27" s="235">
        <v>-1.8460197773099152E-2</v>
      </c>
      <c r="T27" s="236">
        <v>2.9493495748047494E-2</v>
      </c>
      <c r="U27" s="237"/>
    </row>
    <row r="28" spans="2:21" ht="19.5" customHeight="1" thickBot="1">
      <c r="B28" s="238" t="s">
        <v>34</v>
      </c>
      <c r="C28" s="239" t="s">
        <v>1380</v>
      </c>
      <c r="D28" s="251">
        <v>0.3204435263250443</v>
      </c>
      <c r="E28" s="252">
        <v>0.30878035637656381</v>
      </c>
      <c r="F28" s="251">
        <v>0.30971755221728081</v>
      </c>
      <c r="G28" s="252">
        <v>0.30650294564232661</v>
      </c>
      <c r="H28" s="251">
        <v>0.29993370261147551</v>
      </c>
      <c r="I28" s="252">
        <v>0.28573021970832824</v>
      </c>
      <c r="J28" s="251">
        <v>0.27534370595875501</v>
      </c>
      <c r="K28" s="252">
        <v>0.27806202965282278</v>
      </c>
      <c r="L28" s="251">
        <v>0.27520979582750793</v>
      </c>
      <c r="M28" s="252">
        <v>0.27145060306468599</v>
      </c>
      <c r="N28" s="253">
        <v>0.28410364750848838</v>
      </c>
      <c r="O28" s="254">
        <v>0.28409673930765861</v>
      </c>
      <c r="P28" s="253">
        <v>0.26714672525315397</v>
      </c>
      <c r="Q28" s="254">
        <v>0.25131991257198649</v>
      </c>
      <c r="R28" s="234"/>
      <c r="S28" s="235" t="s">
        <v>744</v>
      </c>
      <c r="T28" s="236" t="s">
        <v>744</v>
      </c>
      <c r="U28" s="237"/>
    </row>
    <row r="29" spans="2:21" ht="19.5" customHeight="1" thickBot="1">
      <c r="B29" s="238" t="s">
        <v>35</v>
      </c>
      <c r="C29" s="239" t="s">
        <v>36</v>
      </c>
      <c r="D29" s="240">
        <v>2856.0771500000001</v>
      </c>
      <c r="E29" s="241">
        <v>2991.8799650000001</v>
      </c>
      <c r="F29" s="240">
        <v>2985.5309590000002</v>
      </c>
      <c r="G29" s="241">
        <v>3077.412147</v>
      </c>
      <c r="H29" s="240">
        <v>2832.1064590000001</v>
      </c>
      <c r="I29" s="241">
        <v>2102.63</v>
      </c>
      <c r="J29" s="240">
        <v>1965.5320859999999</v>
      </c>
      <c r="K29" s="241">
        <v>2393.7060728000001</v>
      </c>
      <c r="L29" s="240">
        <v>2968.4810149999998</v>
      </c>
      <c r="M29" s="241">
        <v>3184.4883299199996</v>
      </c>
      <c r="N29" s="242">
        <v>3749.0085763900001</v>
      </c>
      <c r="O29" s="243">
        <v>3970.4438487200005</v>
      </c>
      <c r="P29" s="242">
        <v>3251.9246672899994</v>
      </c>
      <c r="Q29" s="243">
        <v>2863.0083966899997</v>
      </c>
      <c r="R29" s="234"/>
      <c r="S29" s="235">
        <v>-0.11959571957861626</v>
      </c>
      <c r="T29" s="236">
        <v>-7.1955941362550346E-3</v>
      </c>
      <c r="U29" s="237"/>
    </row>
    <row r="30" spans="2:21" s="265" customFormat="1" ht="19.5" customHeight="1" thickBot="1">
      <c r="B30" s="255" t="s">
        <v>37</v>
      </c>
      <c r="C30" s="256" t="s">
        <v>1381</v>
      </c>
      <c r="D30" s="257">
        <v>0.25659604681954279</v>
      </c>
      <c r="E30" s="258">
        <v>0.24848089470618492</v>
      </c>
      <c r="F30" s="257">
        <v>0.23492819433570639</v>
      </c>
      <c r="G30" s="258">
        <v>0.23610935014307161</v>
      </c>
      <c r="H30" s="257">
        <v>0.21069626661151625</v>
      </c>
      <c r="I30" s="258">
        <v>0.15</v>
      </c>
      <c r="J30" s="257">
        <v>0.12800562009999999</v>
      </c>
      <c r="K30" s="258">
        <v>0.1423121436</v>
      </c>
      <c r="L30" s="257">
        <v>0.1646439053</v>
      </c>
      <c r="M30" s="258">
        <v>0.17216782469748099</v>
      </c>
      <c r="N30" s="259">
        <v>0.19410142906268091</v>
      </c>
      <c r="O30" s="260">
        <v>0.20165652481550608</v>
      </c>
      <c r="P30" s="259">
        <v>0.16513713887330433</v>
      </c>
      <c r="Q30" s="260">
        <v>0.14226293301587259</v>
      </c>
      <c r="R30" s="261"/>
      <c r="S30" s="262" t="s">
        <v>744</v>
      </c>
      <c r="T30" s="263" t="s">
        <v>744</v>
      </c>
      <c r="U30" s="264"/>
    </row>
    <row r="31" spans="2:21" ht="17.25" customHeight="1">
      <c r="B31" s="266" t="s">
        <v>1837</v>
      </c>
      <c r="C31" s="266"/>
      <c r="D31" s="267"/>
      <c r="E31" s="267"/>
      <c r="F31" s="267"/>
      <c r="G31" s="267"/>
      <c r="H31" s="267"/>
      <c r="I31" s="268"/>
      <c r="K31" s="268"/>
      <c r="L31" s="269"/>
    </row>
    <row r="32" spans="2:21" ht="13.5" customHeight="1">
      <c r="B32" s="270"/>
      <c r="C32" s="270"/>
      <c r="D32" s="271"/>
      <c r="E32" s="271"/>
      <c r="F32" s="271"/>
      <c r="G32" s="271"/>
      <c r="H32" s="271"/>
      <c r="I32" s="272"/>
      <c r="K32" s="272"/>
      <c r="L32" s="272"/>
    </row>
    <row r="33" spans="1:12" ht="12" customHeight="1">
      <c r="B33" s="201" t="s">
        <v>1598</v>
      </c>
      <c r="C33" s="201"/>
      <c r="D33" s="271"/>
      <c r="E33" s="271"/>
      <c r="F33" s="271"/>
      <c r="G33" s="271"/>
      <c r="H33" s="271"/>
      <c r="I33" s="272"/>
      <c r="K33" s="272"/>
      <c r="L33" s="272"/>
    </row>
    <row r="34" spans="1:12" ht="12.75" customHeight="1">
      <c r="B34" s="201" t="s">
        <v>120</v>
      </c>
      <c r="C34" s="201"/>
      <c r="D34" s="271"/>
      <c r="E34" s="271"/>
      <c r="F34" s="271"/>
      <c r="G34" s="271"/>
      <c r="H34" s="271"/>
      <c r="I34" s="272"/>
      <c r="K34" s="272"/>
      <c r="L34" s="272"/>
    </row>
    <row r="35" spans="1:12" ht="12" customHeight="1">
      <c r="B35" s="3" t="s">
        <v>121</v>
      </c>
      <c r="C35" s="3"/>
      <c r="D35" s="46"/>
      <c r="E35" s="46"/>
      <c r="F35" s="1"/>
      <c r="G35" s="1"/>
      <c r="H35" s="1"/>
      <c r="I35" s="16"/>
      <c r="K35" s="16"/>
      <c r="L35" s="16"/>
    </row>
    <row r="36" spans="1:12" ht="12" customHeight="1">
      <c r="B36" s="3" t="s">
        <v>963</v>
      </c>
      <c r="C36" s="3"/>
      <c r="D36" s="46"/>
      <c r="E36" s="46"/>
      <c r="F36" s="1"/>
      <c r="G36" s="1"/>
      <c r="H36" s="1"/>
      <c r="I36" s="16"/>
      <c r="K36" s="16"/>
      <c r="L36" s="16"/>
    </row>
    <row r="37" spans="1:12" ht="11.25" customHeight="1">
      <c r="B37" s="273"/>
      <c r="C37" s="273"/>
      <c r="D37" s="274"/>
      <c r="E37" s="274"/>
      <c r="F37" s="275"/>
      <c r="G37" s="275"/>
      <c r="H37" s="275"/>
      <c r="I37" s="276"/>
      <c r="K37" s="276"/>
      <c r="L37" s="276"/>
    </row>
    <row r="38" spans="1:12">
      <c r="B38" s="3" t="s">
        <v>964</v>
      </c>
      <c r="C38" s="3"/>
      <c r="D38" s="36"/>
      <c r="E38" s="36"/>
    </row>
    <row r="39" spans="1:12">
      <c r="B39" s="3" t="s">
        <v>965</v>
      </c>
      <c r="C39" s="3"/>
      <c r="D39" s="36"/>
      <c r="E39" s="36"/>
    </row>
    <row r="40" spans="1:12">
      <c r="B40" s="3" t="s">
        <v>966</v>
      </c>
      <c r="C40" s="3"/>
      <c r="D40" s="36"/>
      <c r="E40" s="36"/>
    </row>
    <row r="41" spans="1:12">
      <c r="A41" s="168"/>
      <c r="B41" s="278">
        <v>1</v>
      </c>
      <c r="C41" s="279" t="s">
        <v>154</v>
      </c>
      <c r="D41" s="280"/>
      <c r="E41" s="281" t="s">
        <v>14</v>
      </c>
      <c r="F41" s="282" t="s">
        <v>155</v>
      </c>
      <c r="G41" s="283"/>
      <c r="H41" s="283"/>
      <c r="I41" s="284"/>
      <c r="J41" s="283"/>
      <c r="K41" s="284"/>
      <c r="L41" s="270"/>
    </row>
    <row r="42" spans="1:12">
      <c r="A42" s="168"/>
      <c r="B42" s="278">
        <v>2</v>
      </c>
      <c r="C42" s="285" t="s">
        <v>156</v>
      </c>
      <c r="D42" s="280"/>
      <c r="E42" s="286" t="s">
        <v>28</v>
      </c>
      <c r="F42" s="283" t="s">
        <v>157</v>
      </c>
      <c r="G42" s="283"/>
      <c r="H42" s="283"/>
      <c r="I42" s="284"/>
      <c r="J42" s="283"/>
      <c r="K42" s="284"/>
      <c r="L42" s="270"/>
    </row>
    <row r="43" spans="1:12">
      <c r="A43" s="168"/>
      <c r="B43" s="278" t="s">
        <v>1</v>
      </c>
      <c r="C43" s="283" t="s">
        <v>1356</v>
      </c>
      <c r="D43" s="280"/>
      <c r="E43" s="286" t="s">
        <v>28</v>
      </c>
      <c r="F43" s="283" t="s">
        <v>157</v>
      </c>
      <c r="G43" s="283"/>
      <c r="H43" s="283"/>
      <c r="I43" s="284"/>
      <c r="J43" s="283"/>
      <c r="K43" s="284"/>
      <c r="L43" s="270"/>
    </row>
    <row r="44" spans="1:12">
      <c r="A44" s="168"/>
      <c r="B44" s="278" t="s">
        <v>3</v>
      </c>
      <c r="C44" s="282" t="s">
        <v>1357</v>
      </c>
      <c r="D44" s="280"/>
      <c r="E44" s="286" t="s">
        <v>16</v>
      </c>
      <c r="F44" s="283" t="s">
        <v>1358</v>
      </c>
      <c r="G44" s="283"/>
      <c r="H44" s="283"/>
      <c r="I44" s="284"/>
      <c r="J44" s="283"/>
      <c r="K44" s="284"/>
      <c r="L44" s="270"/>
    </row>
    <row r="45" spans="1:12">
      <c r="A45" s="168"/>
      <c r="B45" s="278">
        <v>4</v>
      </c>
      <c r="C45" s="283" t="s">
        <v>1359</v>
      </c>
      <c r="D45" s="287"/>
      <c r="E45" s="286" t="s">
        <v>29</v>
      </c>
      <c r="F45" s="283" t="s">
        <v>1360</v>
      </c>
      <c r="G45" s="283"/>
      <c r="H45" s="283"/>
      <c r="I45" s="284"/>
      <c r="J45" s="283"/>
      <c r="K45" s="284"/>
      <c r="L45" s="270"/>
    </row>
    <row r="46" spans="1:12">
      <c r="A46" s="168"/>
      <c r="B46" s="278">
        <v>5</v>
      </c>
      <c r="C46" s="283" t="s">
        <v>1359</v>
      </c>
      <c r="D46" s="287"/>
      <c r="E46" s="286" t="s">
        <v>17</v>
      </c>
      <c r="F46" s="283" t="s">
        <v>1361</v>
      </c>
      <c r="G46" s="283"/>
      <c r="H46" s="283"/>
      <c r="I46" s="284"/>
      <c r="J46" s="283"/>
      <c r="K46" s="284"/>
      <c r="L46" s="270"/>
    </row>
    <row r="47" spans="1:12">
      <c r="A47" s="168"/>
      <c r="B47" s="278" t="s">
        <v>23</v>
      </c>
      <c r="C47" s="283" t="s">
        <v>1362</v>
      </c>
      <c r="D47" s="287"/>
      <c r="E47" s="286">
        <v>11</v>
      </c>
      <c r="F47" s="283" t="s">
        <v>1363</v>
      </c>
      <c r="G47" s="283"/>
      <c r="H47" s="283"/>
      <c r="I47" s="284"/>
      <c r="J47" s="283"/>
      <c r="K47" s="284"/>
      <c r="L47" s="270"/>
    </row>
    <row r="48" spans="1:12">
      <c r="A48" s="168"/>
      <c r="B48" s="278" t="s">
        <v>7</v>
      </c>
      <c r="C48" s="282" t="s">
        <v>1364</v>
      </c>
      <c r="D48" s="287"/>
      <c r="E48" s="286" t="s">
        <v>32</v>
      </c>
      <c r="F48" s="283" t="s">
        <v>1365</v>
      </c>
      <c r="G48" s="283"/>
      <c r="H48" s="283"/>
      <c r="I48" s="284"/>
      <c r="J48" s="283"/>
      <c r="K48" s="284"/>
      <c r="L48" s="270"/>
    </row>
    <row r="49" spans="1:12">
      <c r="A49" s="168"/>
      <c r="B49" s="278" t="s">
        <v>25</v>
      </c>
      <c r="C49" s="283" t="s">
        <v>1366</v>
      </c>
      <c r="D49" s="287"/>
      <c r="E49" s="286" t="s">
        <v>19</v>
      </c>
      <c r="F49" s="283" t="s">
        <v>1367</v>
      </c>
      <c r="G49" s="283"/>
      <c r="H49" s="283"/>
      <c r="I49" s="284"/>
      <c r="J49" s="283"/>
      <c r="K49" s="284"/>
      <c r="L49" s="270"/>
    </row>
    <row r="50" spans="1:12">
      <c r="A50" s="168"/>
      <c r="B50" s="278" t="s">
        <v>9</v>
      </c>
      <c r="C50" s="282" t="s">
        <v>1368</v>
      </c>
      <c r="D50" s="287"/>
      <c r="E50" s="286" t="s">
        <v>34</v>
      </c>
      <c r="F50" s="282" t="s">
        <v>1369</v>
      </c>
      <c r="G50" s="283"/>
      <c r="H50" s="283"/>
      <c r="I50" s="284"/>
      <c r="J50" s="283"/>
      <c r="K50" s="284"/>
      <c r="L50" s="270"/>
    </row>
    <row r="51" spans="1:12">
      <c r="A51" s="168"/>
      <c r="B51" s="278" t="s">
        <v>10</v>
      </c>
      <c r="C51" s="283" t="s">
        <v>1370</v>
      </c>
      <c r="D51" s="287"/>
      <c r="E51" s="286" t="s">
        <v>35</v>
      </c>
      <c r="F51" s="283" t="s">
        <v>1371</v>
      </c>
      <c r="G51" s="283"/>
      <c r="H51" s="283"/>
      <c r="I51" s="284"/>
      <c r="J51" s="283"/>
      <c r="K51" s="284"/>
      <c r="L51" s="270"/>
    </row>
    <row r="52" spans="1:12">
      <c r="A52" s="168"/>
      <c r="B52" s="278" t="s">
        <v>12</v>
      </c>
      <c r="C52" s="283" t="s">
        <v>1372</v>
      </c>
      <c r="D52" s="287"/>
      <c r="E52" s="286" t="s">
        <v>21</v>
      </c>
      <c r="F52" s="283" t="s">
        <v>1373</v>
      </c>
      <c r="G52" s="283"/>
      <c r="H52" s="283"/>
      <c r="I52" s="284"/>
      <c r="J52" s="283"/>
      <c r="K52" s="284"/>
      <c r="L52" s="270"/>
    </row>
    <row r="53" spans="1:12">
      <c r="A53" s="168"/>
      <c r="B53" s="278" t="s">
        <v>26</v>
      </c>
      <c r="C53" s="283" t="s">
        <v>1374</v>
      </c>
      <c r="D53" s="287"/>
      <c r="E53" s="286" t="s">
        <v>37</v>
      </c>
      <c r="F53" s="283" t="s">
        <v>1375</v>
      </c>
      <c r="G53" s="283"/>
      <c r="H53" s="283"/>
      <c r="I53" s="284"/>
      <c r="J53" s="283"/>
      <c r="K53" s="284"/>
      <c r="L53" s="270"/>
    </row>
    <row r="56" spans="1:12">
      <c r="A56" s="2" t="s">
        <v>710</v>
      </c>
    </row>
  </sheetData>
  <phoneticPr fontId="0" type="noConversion"/>
  <pageMargins left="0.27559055118110237" right="0.23622047244094491" top="0.31496062992125984" bottom="0.31496062992125984" header="0.19685039370078741" footer="0.23622047244094491"/>
  <pageSetup paperSize="9" scale="61" orientation="landscape"/>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C2CB8-25D2-7B49-9CA6-C0496D777441}">
  <sheetPr>
    <pageSetUpPr fitToPage="1"/>
  </sheetPr>
  <dimension ref="A1:E39"/>
  <sheetViews>
    <sheetView topLeftCell="A23" zoomScale="75" workbookViewId="0">
      <selection activeCell="A35" sqref="A35"/>
    </sheetView>
  </sheetViews>
  <sheetFormatPr baseColWidth="10" defaultColWidth="11.3984375" defaultRowHeight="13"/>
  <cols>
    <col min="1" max="1" width="8.59765625" style="2" customWidth="1"/>
    <col min="2" max="2" width="48.59765625" style="87" customWidth="1"/>
    <col min="3" max="3" width="17.796875" style="2" customWidth="1"/>
    <col min="4" max="4" width="16.59765625" style="7" customWidth="1"/>
    <col min="5" max="5" width="18" style="7" customWidth="1"/>
    <col min="6" max="16384" width="11.3984375" style="2"/>
  </cols>
  <sheetData>
    <row r="1" spans="1:5" s="1" customFormat="1" ht="14" customHeight="1">
      <c r="B1" s="289"/>
      <c r="D1" s="144"/>
      <c r="E1" s="144"/>
    </row>
    <row r="2" spans="1:5" s="1" customFormat="1" ht="39" customHeight="1">
      <c r="A2" s="2014" t="s">
        <v>2564</v>
      </c>
      <c r="B2" s="2015"/>
      <c r="C2" s="2015"/>
      <c r="D2" s="2015"/>
      <c r="E2" s="48">
        <v>2009</v>
      </c>
    </row>
    <row r="3" spans="1:5" ht="39" customHeight="1">
      <c r="A3" s="119" t="s">
        <v>1382</v>
      </c>
      <c r="B3" s="119"/>
      <c r="C3" s="120" t="s">
        <v>2526</v>
      </c>
      <c r="D3" s="148" t="s">
        <v>2527</v>
      </c>
      <c r="E3" s="290" t="s">
        <v>1567</v>
      </c>
    </row>
    <row r="4" spans="1:5" ht="38" customHeight="1">
      <c r="A4" s="291"/>
      <c r="B4" s="292"/>
      <c r="C4" s="129" t="s">
        <v>2528</v>
      </c>
      <c r="D4" s="153" t="s">
        <v>2528</v>
      </c>
      <c r="E4" s="293" t="s">
        <v>2528</v>
      </c>
    </row>
    <row r="5" spans="1:5" ht="30" customHeight="1" thickBot="1">
      <c r="A5" s="131">
        <v>61</v>
      </c>
      <c r="B5" s="131" t="s">
        <v>2529</v>
      </c>
      <c r="C5" s="185">
        <v>19358866340.41</v>
      </c>
      <c r="D5" s="184">
        <v>765900774.65999997</v>
      </c>
      <c r="E5" s="294">
        <v>20124767115.07</v>
      </c>
    </row>
    <row r="6" spans="1:5" ht="20" customHeight="1" thickBot="1">
      <c r="A6" s="135">
        <v>64</v>
      </c>
      <c r="B6" s="135" t="s">
        <v>2530</v>
      </c>
      <c r="C6" s="188">
        <v>-72220939.620000005</v>
      </c>
      <c r="D6" s="187">
        <v>-2963740.69</v>
      </c>
      <c r="E6" s="295">
        <v>-75184680.310000002</v>
      </c>
    </row>
    <row r="7" spans="1:5" ht="20" customHeight="1" thickBot="1">
      <c r="A7" s="135">
        <v>65</v>
      </c>
      <c r="B7" s="135" t="s">
        <v>2531</v>
      </c>
      <c r="C7" s="188">
        <v>7745325.5099999998</v>
      </c>
      <c r="D7" s="187">
        <v>315039.28999999998</v>
      </c>
      <c r="E7" s="295">
        <v>8060364.7999999998</v>
      </c>
    </row>
    <row r="8" spans="1:5" ht="27" customHeight="1" thickBot="1">
      <c r="A8" s="136" t="s">
        <v>2532</v>
      </c>
      <c r="B8" s="136" t="s">
        <v>2533</v>
      </c>
      <c r="C8" s="296">
        <v>19294390726.369999</v>
      </c>
      <c r="D8" s="297">
        <v>763252073.25</v>
      </c>
      <c r="E8" s="298">
        <v>20057642799.619999</v>
      </c>
    </row>
    <row r="9" spans="1:5" ht="20" customHeight="1" thickBot="1">
      <c r="A9" s="135">
        <v>66</v>
      </c>
      <c r="B9" s="135" t="s">
        <v>2534</v>
      </c>
      <c r="C9" s="188">
        <v>-41293183.590000004</v>
      </c>
      <c r="D9" s="187">
        <v>-1566228.94</v>
      </c>
      <c r="E9" s="295">
        <v>-42859412.530000001</v>
      </c>
    </row>
    <row r="10" spans="1:5" ht="27" customHeight="1" thickBot="1">
      <c r="A10" s="136" t="s">
        <v>2535</v>
      </c>
      <c r="B10" s="136" t="s">
        <v>2536</v>
      </c>
      <c r="C10" s="296">
        <v>19253097542.759998</v>
      </c>
      <c r="D10" s="297">
        <v>761685844.33000004</v>
      </c>
      <c r="E10" s="298">
        <v>20014783387.09</v>
      </c>
    </row>
    <row r="11" spans="1:5" ht="20" customHeight="1" thickBot="1">
      <c r="A11" s="135">
        <v>67</v>
      </c>
      <c r="B11" s="135" t="s">
        <v>2537</v>
      </c>
      <c r="C11" s="188">
        <v>1698196059.77</v>
      </c>
      <c r="D11" s="187">
        <v>70507700.129999995</v>
      </c>
      <c r="E11" s="295">
        <v>1768703759.9000001</v>
      </c>
    </row>
    <row r="12" spans="1:5" ht="20" customHeight="1" thickBot="1">
      <c r="A12" s="135">
        <v>68</v>
      </c>
      <c r="B12" s="135" t="s">
        <v>2538</v>
      </c>
      <c r="C12" s="188">
        <v>-1689139944.72</v>
      </c>
      <c r="D12" s="187">
        <v>-69033841.519999996</v>
      </c>
      <c r="E12" s="295">
        <v>-1758173786.24</v>
      </c>
    </row>
    <row r="13" spans="1:5" ht="20" customHeight="1" thickBot="1">
      <c r="A13" s="135">
        <v>69</v>
      </c>
      <c r="B13" s="135" t="s">
        <v>2539</v>
      </c>
      <c r="C13" s="188">
        <v>141687009.53999999</v>
      </c>
      <c r="D13" s="187">
        <v>4839731.74</v>
      </c>
      <c r="E13" s="295">
        <v>146526741.28</v>
      </c>
    </row>
    <row r="14" spans="1:5" ht="27" customHeight="1" thickBot="1">
      <c r="A14" s="136">
        <v>6</v>
      </c>
      <c r="B14" s="136" t="s">
        <v>2540</v>
      </c>
      <c r="C14" s="296">
        <v>19403840667.310001</v>
      </c>
      <c r="D14" s="297">
        <v>767999434.64999998</v>
      </c>
      <c r="E14" s="298">
        <v>20171840101.959999</v>
      </c>
    </row>
    <row r="15" spans="1:5" ht="20" customHeight="1" thickBot="1">
      <c r="A15" s="135">
        <v>31</v>
      </c>
      <c r="B15" s="135" t="s">
        <v>2541</v>
      </c>
      <c r="C15" s="188">
        <v>22897012107.369999</v>
      </c>
      <c r="D15" s="187">
        <v>759310334.73000002</v>
      </c>
      <c r="E15" s="295">
        <v>23656322442.099998</v>
      </c>
    </row>
    <row r="16" spans="1:5" ht="20" customHeight="1" thickBot="1">
      <c r="A16" s="135">
        <v>32</v>
      </c>
      <c r="B16" s="135" t="s">
        <v>2542</v>
      </c>
      <c r="C16" s="188">
        <v>-3288845318.21</v>
      </c>
      <c r="D16" s="187">
        <v>-93626529.939999998</v>
      </c>
      <c r="E16" s="295">
        <v>-3382471848.1500001</v>
      </c>
    </row>
    <row r="17" spans="1:5" ht="27" customHeight="1" thickBot="1">
      <c r="A17" s="136" t="s">
        <v>2543</v>
      </c>
      <c r="B17" s="136" t="s">
        <v>2544</v>
      </c>
      <c r="C17" s="296">
        <v>19608166789.119999</v>
      </c>
      <c r="D17" s="297">
        <v>665683804.79999995</v>
      </c>
      <c r="E17" s="298">
        <v>20273850593.919998</v>
      </c>
    </row>
    <row r="18" spans="1:5" ht="20" customHeight="1" thickBot="1">
      <c r="A18" s="135">
        <v>34</v>
      </c>
      <c r="B18" s="135" t="s">
        <v>2545</v>
      </c>
      <c r="C18" s="188">
        <v>81998309</v>
      </c>
      <c r="D18" s="187">
        <v>1381425.64</v>
      </c>
      <c r="E18" s="295">
        <v>83379734.640000001</v>
      </c>
    </row>
    <row r="19" spans="1:5" ht="20" customHeight="1" thickBot="1">
      <c r="A19" s="135">
        <v>35</v>
      </c>
      <c r="B19" s="135" t="s">
        <v>2546</v>
      </c>
      <c r="C19" s="188">
        <v>-124789417.68000001</v>
      </c>
      <c r="D19" s="187">
        <v>6408296.7599999998</v>
      </c>
      <c r="E19" s="295">
        <v>-118381120.92</v>
      </c>
    </row>
    <row r="20" spans="1:5" ht="27" customHeight="1" thickBot="1">
      <c r="A20" s="136" t="s">
        <v>2547</v>
      </c>
      <c r="B20" s="136" t="s">
        <v>2548</v>
      </c>
      <c r="C20" s="296">
        <v>19565375680.389999</v>
      </c>
      <c r="D20" s="297">
        <v>673473527.21000004</v>
      </c>
      <c r="E20" s="298">
        <v>20238849207.599998</v>
      </c>
    </row>
    <row r="21" spans="1:5" ht="20" customHeight="1" thickBot="1">
      <c r="A21" s="135">
        <v>36</v>
      </c>
      <c r="B21" s="135" t="s">
        <v>2549</v>
      </c>
      <c r="C21" s="188">
        <v>-40999097</v>
      </c>
      <c r="D21" s="187">
        <v>-1416324.4</v>
      </c>
      <c r="E21" s="295">
        <v>-42415421.399999999</v>
      </c>
    </row>
    <row r="22" spans="1:5" ht="20" customHeight="1" thickBot="1">
      <c r="A22" s="135">
        <v>37</v>
      </c>
      <c r="B22" s="135" t="s">
        <v>2550</v>
      </c>
      <c r="C22" s="188">
        <v>64964767.960000001</v>
      </c>
      <c r="D22" s="187">
        <v>-99051023.049999997</v>
      </c>
      <c r="E22" s="295">
        <v>-34086255.090000004</v>
      </c>
    </row>
    <row r="23" spans="1:5" ht="27" customHeight="1" thickBot="1">
      <c r="A23" s="136">
        <v>3</v>
      </c>
      <c r="B23" s="136" t="s">
        <v>2551</v>
      </c>
      <c r="C23" s="296">
        <v>19589341351.349998</v>
      </c>
      <c r="D23" s="297">
        <v>573006179.74000001</v>
      </c>
      <c r="E23" s="298">
        <v>20162347531.09</v>
      </c>
    </row>
    <row r="24" spans="1:5" ht="21" customHeight="1" thickBot="1">
      <c r="A24" s="135" t="s">
        <v>2552</v>
      </c>
      <c r="B24" s="135" t="s">
        <v>2553</v>
      </c>
      <c r="C24" s="188">
        <v>1015608706.3</v>
      </c>
      <c r="D24" s="187">
        <v>45526128.020000003</v>
      </c>
      <c r="E24" s="295">
        <v>1061134834.3200001</v>
      </c>
    </row>
    <row r="25" spans="1:5" ht="21" customHeight="1" thickBot="1">
      <c r="A25" s="135">
        <v>48</v>
      </c>
      <c r="B25" s="135" t="s">
        <v>2554</v>
      </c>
      <c r="C25" s="188">
        <v>69602332.599999994</v>
      </c>
      <c r="D25" s="187">
        <v>3526922.7</v>
      </c>
      <c r="E25" s="295">
        <v>73129255.299999997</v>
      </c>
    </row>
    <row r="26" spans="1:5" ht="21" customHeight="1" thickBot="1">
      <c r="A26" s="135">
        <v>49</v>
      </c>
      <c r="B26" s="135" t="s">
        <v>2555</v>
      </c>
      <c r="C26" s="188">
        <v>14968350.98</v>
      </c>
      <c r="D26" s="187">
        <v>793109.09</v>
      </c>
      <c r="E26" s="295">
        <v>15761460.07</v>
      </c>
    </row>
    <row r="27" spans="1:5" ht="27" customHeight="1" thickBot="1">
      <c r="A27" s="136">
        <v>4</v>
      </c>
      <c r="B27" s="136" t="s">
        <v>2556</v>
      </c>
      <c r="C27" s="296">
        <v>1100179389.8199999</v>
      </c>
      <c r="D27" s="297">
        <v>49846159.799999997</v>
      </c>
      <c r="E27" s="298">
        <v>1150025549.6199999</v>
      </c>
    </row>
    <row r="28" spans="1:5" ht="27" customHeight="1" thickBot="1">
      <c r="A28" s="136" t="s">
        <v>2557</v>
      </c>
      <c r="B28" s="136" t="s">
        <v>2558</v>
      </c>
      <c r="C28" s="296">
        <v>20689520741.139999</v>
      </c>
      <c r="D28" s="297">
        <v>622852339.51999998</v>
      </c>
      <c r="E28" s="298">
        <v>21312373080.66</v>
      </c>
    </row>
    <row r="29" spans="1:5" ht="27" customHeight="1" thickBot="1">
      <c r="A29" s="136"/>
      <c r="B29" s="136" t="s">
        <v>2559</v>
      </c>
      <c r="C29" s="296">
        <v>-1285680073.8099999</v>
      </c>
      <c r="D29" s="297">
        <v>145147095.13</v>
      </c>
      <c r="E29" s="298">
        <v>-1140532978.6800001</v>
      </c>
    </row>
    <row r="30" spans="1:5" ht="27" customHeight="1" thickBot="1">
      <c r="A30" s="136">
        <v>7</v>
      </c>
      <c r="B30" s="136" t="s">
        <v>2560</v>
      </c>
      <c r="C30" s="296">
        <v>640659774.34000003</v>
      </c>
      <c r="D30" s="297">
        <v>28263982.359999999</v>
      </c>
      <c r="E30" s="298">
        <v>668923756.70000005</v>
      </c>
    </row>
    <row r="31" spans="1:5" ht="34.5" customHeight="1" thickBot="1">
      <c r="A31" s="299"/>
      <c r="B31" s="299" t="s">
        <v>2561</v>
      </c>
      <c r="C31" s="300">
        <v>-645020299.47000003</v>
      </c>
      <c r="D31" s="301">
        <v>173411077.44</v>
      </c>
      <c r="E31" s="302">
        <v>-471609222.02999997</v>
      </c>
    </row>
    <row r="32" spans="1:5" ht="19.5" customHeight="1">
      <c r="A32" s="2" t="s">
        <v>1837</v>
      </c>
    </row>
    <row r="34" spans="1:1">
      <c r="A34" s="303" t="s">
        <v>2562</v>
      </c>
    </row>
    <row r="35" spans="1:1">
      <c r="A35" s="304"/>
    </row>
    <row r="36" spans="1:1">
      <c r="A36" s="2" t="s">
        <v>2563</v>
      </c>
    </row>
    <row r="39" spans="1:1">
      <c r="A39" s="2" t="s">
        <v>710</v>
      </c>
    </row>
  </sheetData>
  <mergeCells count="1">
    <mergeCell ref="A2:D2"/>
  </mergeCells>
  <phoneticPr fontId="0" type="noConversion"/>
  <pageMargins left="0.62" right="0.69" top="0.71" bottom="0.49" header="0.42" footer="0.4921259845"/>
  <pageSetup paperSize="9" scale="81" orientation="portrait" horizontalDpi="1200" verticalDpi="12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A936D-AB35-474A-A417-959A6767E06F}">
  <sheetPr>
    <pageSetUpPr fitToPage="1"/>
  </sheetPr>
  <dimension ref="A1:E39"/>
  <sheetViews>
    <sheetView zoomScale="75" workbookViewId="0">
      <selection activeCell="A33" sqref="A33"/>
    </sheetView>
  </sheetViews>
  <sheetFormatPr baseColWidth="10" defaultColWidth="11.3984375" defaultRowHeight="13"/>
  <cols>
    <col min="1" max="1" width="8.796875" style="2" customWidth="1"/>
    <col min="2" max="2" width="48.796875" style="87" customWidth="1"/>
    <col min="3" max="3" width="16.796875" style="2" customWidth="1"/>
    <col min="4" max="4" width="16.796875" style="7" customWidth="1"/>
    <col min="5" max="5" width="18.19921875" style="7" customWidth="1"/>
    <col min="6" max="16384" width="11.3984375" style="2"/>
  </cols>
  <sheetData>
    <row r="1" spans="1:5" s="1" customFormat="1" ht="14" customHeight="1">
      <c r="B1" s="289"/>
      <c r="D1" s="144"/>
      <c r="E1" s="144"/>
    </row>
    <row r="2" spans="1:5" s="1" customFormat="1" ht="28" customHeight="1">
      <c r="A2" s="48" t="s">
        <v>1045</v>
      </c>
      <c r="B2" s="289"/>
      <c r="D2" s="144"/>
      <c r="E2" s="48">
        <v>2009</v>
      </c>
    </row>
    <row r="3" spans="1:5" ht="39" customHeight="1">
      <c r="A3" s="119" t="s">
        <v>1382</v>
      </c>
      <c r="B3" s="119"/>
      <c r="C3" s="120" t="s">
        <v>2526</v>
      </c>
      <c r="D3" s="148" t="s">
        <v>2527</v>
      </c>
      <c r="E3" s="290" t="s">
        <v>1567</v>
      </c>
    </row>
    <row r="4" spans="1:5" ht="39" customHeight="1">
      <c r="A4" s="291"/>
      <c r="B4" s="292"/>
      <c r="C4" s="129" t="s">
        <v>2528</v>
      </c>
      <c r="D4" s="153" t="s">
        <v>2528</v>
      </c>
      <c r="E4" s="293" t="s">
        <v>2528</v>
      </c>
    </row>
    <row r="5" spans="1:5" ht="30" customHeight="1" thickBot="1">
      <c r="A5" s="131">
        <v>61</v>
      </c>
      <c r="B5" s="131" t="s">
        <v>2529</v>
      </c>
      <c r="C5" s="185">
        <v>7397113934.71</v>
      </c>
      <c r="D5" s="184">
        <v>366120485.92000002</v>
      </c>
      <c r="E5" s="294">
        <v>7763234420.6300001</v>
      </c>
    </row>
    <row r="6" spans="1:5" ht="19.5" customHeight="1" thickBot="1">
      <c r="A6" s="135">
        <v>64</v>
      </c>
      <c r="B6" s="135" t="s">
        <v>2530</v>
      </c>
      <c r="C6" s="188">
        <v>-26048559.32</v>
      </c>
      <c r="D6" s="187">
        <v>-1330315.25</v>
      </c>
      <c r="E6" s="295">
        <v>-27378874.57</v>
      </c>
    </row>
    <row r="7" spans="1:5" ht="19.5" customHeight="1" thickBot="1">
      <c r="A7" s="135">
        <v>65</v>
      </c>
      <c r="B7" s="135" t="s">
        <v>2531</v>
      </c>
      <c r="C7" s="188">
        <v>3553200.45</v>
      </c>
      <c r="D7" s="187">
        <v>172504.58</v>
      </c>
      <c r="E7" s="295">
        <v>3725705.03</v>
      </c>
    </row>
    <row r="8" spans="1:5" ht="27" customHeight="1" thickBot="1">
      <c r="A8" s="136" t="s">
        <v>2532</v>
      </c>
      <c r="B8" s="136" t="s">
        <v>2533</v>
      </c>
      <c r="C8" s="296">
        <v>7374618575.8999996</v>
      </c>
      <c r="D8" s="297">
        <v>364962675.24000001</v>
      </c>
      <c r="E8" s="298">
        <v>7739581251.1400003</v>
      </c>
    </row>
    <row r="9" spans="1:5" ht="19.5" customHeight="1" thickBot="1">
      <c r="A9" s="135">
        <v>66</v>
      </c>
      <c r="B9" s="135" t="s">
        <v>2534</v>
      </c>
      <c r="C9" s="188">
        <v>-20539398.300000001</v>
      </c>
      <c r="D9" s="187">
        <v>-944322.25</v>
      </c>
      <c r="E9" s="295">
        <v>-21483720.550000001</v>
      </c>
    </row>
    <row r="10" spans="1:5" ht="27" customHeight="1" thickBot="1">
      <c r="A10" s="136" t="s">
        <v>2535</v>
      </c>
      <c r="B10" s="136" t="s">
        <v>2536</v>
      </c>
      <c r="C10" s="296">
        <v>7354079177.5799999</v>
      </c>
      <c r="D10" s="297">
        <v>364018353.01999998</v>
      </c>
      <c r="E10" s="298">
        <v>7718097530.6000004</v>
      </c>
    </row>
    <row r="11" spans="1:5" ht="19.5" customHeight="1" thickBot="1">
      <c r="A11" s="135">
        <v>67</v>
      </c>
      <c r="B11" s="135" t="s">
        <v>2537</v>
      </c>
      <c r="C11" s="188">
        <v>855451859.63999999</v>
      </c>
      <c r="D11" s="187">
        <v>42898378.189999998</v>
      </c>
      <c r="E11" s="295">
        <v>898350237.83000004</v>
      </c>
    </row>
    <row r="12" spans="1:5" ht="19.5" customHeight="1" thickBot="1">
      <c r="A12" s="135">
        <v>68</v>
      </c>
      <c r="B12" s="135" t="s">
        <v>2538</v>
      </c>
      <c r="C12" s="188">
        <v>-853674420.72000003</v>
      </c>
      <c r="D12" s="187">
        <v>-41975221.07</v>
      </c>
      <c r="E12" s="295">
        <v>-895649641.78999996</v>
      </c>
    </row>
    <row r="13" spans="1:5" ht="19.5" customHeight="1" thickBot="1">
      <c r="A13" s="135">
        <v>69</v>
      </c>
      <c r="B13" s="135" t="s">
        <v>2539</v>
      </c>
      <c r="C13" s="188">
        <v>47198650.710000001</v>
      </c>
      <c r="D13" s="187">
        <v>2229906.9900000002</v>
      </c>
      <c r="E13" s="295">
        <v>49428557.700000003</v>
      </c>
    </row>
    <row r="14" spans="1:5" ht="27" customHeight="1" thickBot="1">
      <c r="A14" s="136">
        <v>6</v>
      </c>
      <c r="B14" s="136" t="s">
        <v>2540</v>
      </c>
      <c r="C14" s="296">
        <v>7403055267.2200003</v>
      </c>
      <c r="D14" s="297">
        <v>367171417.11000001</v>
      </c>
      <c r="E14" s="298">
        <v>7770226684.3299999</v>
      </c>
    </row>
    <row r="15" spans="1:5" ht="20" customHeight="1" thickBot="1">
      <c r="A15" s="135">
        <v>31</v>
      </c>
      <c r="B15" s="135" t="s">
        <v>2541</v>
      </c>
      <c r="C15" s="188">
        <v>11810721745.25</v>
      </c>
      <c r="D15" s="187">
        <v>396365591.47000003</v>
      </c>
      <c r="E15" s="295">
        <v>12207087336.719999</v>
      </c>
    </row>
    <row r="16" spans="1:5" ht="20" customHeight="1" thickBot="1">
      <c r="A16" s="135">
        <v>32</v>
      </c>
      <c r="B16" s="135" t="s">
        <v>2542</v>
      </c>
      <c r="C16" s="188">
        <v>-1121080371.45</v>
      </c>
      <c r="D16" s="187">
        <v>-32544564.32</v>
      </c>
      <c r="E16" s="295">
        <v>-1153624935.77</v>
      </c>
    </row>
    <row r="17" spans="1:5" ht="27" customHeight="1" thickBot="1">
      <c r="A17" s="136" t="s">
        <v>2543</v>
      </c>
      <c r="B17" s="136" t="s">
        <v>2544</v>
      </c>
      <c r="C17" s="296">
        <v>10689641373.77</v>
      </c>
      <c r="D17" s="297">
        <v>363821027.16000003</v>
      </c>
      <c r="E17" s="298">
        <v>11053462400.93</v>
      </c>
    </row>
    <row r="18" spans="1:5" ht="20" customHeight="1" thickBot="1">
      <c r="A18" s="135">
        <v>34</v>
      </c>
      <c r="B18" s="135" t="s">
        <v>2545</v>
      </c>
      <c r="C18" s="188">
        <v>33212636.41</v>
      </c>
      <c r="D18" s="187">
        <v>405680.93</v>
      </c>
      <c r="E18" s="295">
        <v>33618317.340000004</v>
      </c>
    </row>
    <row r="19" spans="1:5" ht="20" customHeight="1" thickBot="1">
      <c r="A19" s="135">
        <v>35</v>
      </c>
      <c r="B19" s="135" t="s">
        <v>2546</v>
      </c>
      <c r="C19" s="188">
        <v>-173886889.31999999</v>
      </c>
      <c r="D19" s="187">
        <v>-2431766.5099999998</v>
      </c>
      <c r="E19" s="295">
        <v>-176318655.83000001</v>
      </c>
    </row>
    <row r="20" spans="1:5" ht="27" customHeight="1" thickBot="1">
      <c r="A20" s="136" t="s">
        <v>2547</v>
      </c>
      <c r="B20" s="136" t="s">
        <v>2548</v>
      </c>
      <c r="C20" s="296">
        <v>10548967120.83</v>
      </c>
      <c r="D20" s="297">
        <v>361794941.55000001</v>
      </c>
      <c r="E20" s="298">
        <v>10910762062.379999</v>
      </c>
    </row>
    <row r="21" spans="1:5" ht="19.5" customHeight="1" thickBot="1">
      <c r="A21" s="135">
        <v>36</v>
      </c>
      <c r="B21" s="135" t="s">
        <v>2549</v>
      </c>
      <c r="C21" s="188">
        <v>-21726532.23</v>
      </c>
      <c r="D21" s="187">
        <v>-797154.31</v>
      </c>
      <c r="E21" s="295">
        <v>-22523686.539999999</v>
      </c>
    </row>
    <row r="22" spans="1:5" ht="19.5" customHeight="1" thickBot="1">
      <c r="A22" s="135">
        <v>37</v>
      </c>
      <c r="B22" s="135" t="s">
        <v>2550</v>
      </c>
      <c r="C22" s="188">
        <v>-1520225803.3800001</v>
      </c>
      <c r="D22" s="187">
        <v>-112584510.95</v>
      </c>
      <c r="E22" s="295">
        <v>-1632810314.3299999</v>
      </c>
    </row>
    <row r="23" spans="1:5" ht="27" customHeight="1" thickBot="1">
      <c r="A23" s="136">
        <v>3</v>
      </c>
      <c r="B23" s="136" t="s">
        <v>2551</v>
      </c>
      <c r="C23" s="296">
        <v>9007014785.2299995</v>
      </c>
      <c r="D23" s="297">
        <v>248413276.27000001</v>
      </c>
      <c r="E23" s="298">
        <v>9255428061.5</v>
      </c>
    </row>
    <row r="24" spans="1:5" ht="20" customHeight="1" thickBot="1">
      <c r="A24" s="135" t="s">
        <v>2552</v>
      </c>
      <c r="B24" s="135" t="s">
        <v>2553</v>
      </c>
      <c r="C24" s="188">
        <v>415276065.82999998</v>
      </c>
      <c r="D24" s="187">
        <v>23015497.48</v>
      </c>
      <c r="E24" s="295">
        <v>438291563.31</v>
      </c>
    </row>
    <row r="25" spans="1:5" ht="20" customHeight="1" thickBot="1">
      <c r="A25" s="135">
        <v>48</v>
      </c>
      <c r="B25" s="135" t="s">
        <v>2554</v>
      </c>
      <c r="C25" s="188">
        <v>30814784.050000001</v>
      </c>
      <c r="D25" s="187">
        <v>1895719.7</v>
      </c>
      <c r="E25" s="295">
        <v>32710503.75</v>
      </c>
    </row>
    <row r="26" spans="1:5" ht="20" customHeight="1" thickBot="1">
      <c r="A26" s="135">
        <v>49</v>
      </c>
      <c r="B26" s="135" t="s">
        <v>2555</v>
      </c>
      <c r="C26" s="188">
        <v>6989539.6399999997</v>
      </c>
      <c r="D26" s="187">
        <v>422276.57</v>
      </c>
      <c r="E26" s="295">
        <v>7411816.21</v>
      </c>
    </row>
    <row r="27" spans="1:5" ht="27" customHeight="1" thickBot="1">
      <c r="A27" s="136">
        <v>4</v>
      </c>
      <c r="B27" s="136" t="s">
        <v>2556</v>
      </c>
      <c r="C27" s="296">
        <v>453080389.52999997</v>
      </c>
      <c r="D27" s="297">
        <v>25333493.739999998</v>
      </c>
      <c r="E27" s="298">
        <v>478413883.26999998</v>
      </c>
    </row>
    <row r="28" spans="1:5" ht="27" customHeight="1" thickBot="1">
      <c r="A28" s="136" t="s">
        <v>2557</v>
      </c>
      <c r="B28" s="136" t="s">
        <v>2558</v>
      </c>
      <c r="C28" s="296">
        <v>9460095174.7399998</v>
      </c>
      <c r="D28" s="297">
        <v>273746770.00999999</v>
      </c>
      <c r="E28" s="298">
        <v>9733841944.75</v>
      </c>
    </row>
    <row r="29" spans="1:5" ht="27" customHeight="1" thickBot="1">
      <c r="A29" s="136"/>
      <c r="B29" s="136" t="s">
        <v>2559</v>
      </c>
      <c r="C29" s="296">
        <v>-2057039907.54</v>
      </c>
      <c r="D29" s="297">
        <v>93424647.099999994</v>
      </c>
      <c r="E29" s="298">
        <v>-1963615260.4400001</v>
      </c>
    </row>
    <row r="30" spans="1:5" ht="27" customHeight="1" thickBot="1">
      <c r="A30" s="136">
        <v>7</v>
      </c>
      <c r="B30" s="136" t="s">
        <v>2560</v>
      </c>
      <c r="C30" s="296">
        <v>266826009.37</v>
      </c>
      <c r="D30" s="297">
        <v>14878307.689999999</v>
      </c>
      <c r="E30" s="298">
        <v>281704317.06</v>
      </c>
    </row>
    <row r="31" spans="1:5" ht="34.5" customHeight="1" thickBot="1">
      <c r="A31" s="299"/>
      <c r="B31" s="299" t="s">
        <v>2561</v>
      </c>
      <c r="C31" s="300">
        <v>-1790213898.1500001</v>
      </c>
      <c r="D31" s="301">
        <v>108302954.79000001</v>
      </c>
      <c r="E31" s="302">
        <v>-1681910943.3599999</v>
      </c>
    </row>
    <row r="32" spans="1:5" ht="19.5" customHeight="1">
      <c r="A32" s="2" t="s">
        <v>1837</v>
      </c>
    </row>
    <row r="33" spans="1:1" ht="14.25" customHeight="1"/>
    <row r="34" spans="1:1" ht="19.5" customHeight="1">
      <c r="A34" s="2" t="s">
        <v>2565</v>
      </c>
    </row>
    <row r="36" spans="1:1">
      <c r="A36" s="2" t="s">
        <v>1044</v>
      </c>
    </row>
    <row r="39" spans="1:1">
      <c r="A39" s="2" t="s">
        <v>710</v>
      </c>
    </row>
  </sheetData>
  <phoneticPr fontId="0" type="noConversion"/>
  <pageMargins left="0.64" right="0.7" top="0.94" bottom="0.49" header="0.57999999999999996" footer="0.4921259845"/>
  <pageSetup paperSize="9" scale="81" orientation="portrait" horizontalDpi="1200" verticalDpi="12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41AEF-352C-D944-819A-C9BF76F06367}">
  <sheetPr>
    <pageSetUpPr fitToPage="1"/>
  </sheetPr>
  <dimension ref="A1:E39"/>
  <sheetViews>
    <sheetView topLeftCell="A23" zoomScale="75" workbookViewId="0">
      <selection activeCell="A33" sqref="A33"/>
    </sheetView>
  </sheetViews>
  <sheetFormatPr baseColWidth="10" defaultColWidth="11.3984375" defaultRowHeight="13"/>
  <cols>
    <col min="1" max="1" width="8.796875" style="2" customWidth="1"/>
    <col min="2" max="2" width="50.19921875" style="87" customWidth="1"/>
    <col min="3" max="3" width="16.796875" style="2" customWidth="1"/>
    <col min="4" max="4" width="16.796875" style="7" customWidth="1"/>
    <col min="5" max="5" width="17.3984375" style="7" customWidth="1"/>
    <col min="6" max="16384" width="11.3984375" style="2"/>
  </cols>
  <sheetData>
    <row r="1" spans="1:5" s="1" customFormat="1" ht="14" customHeight="1">
      <c r="B1" s="289"/>
      <c r="D1" s="144"/>
      <c r="E1" s="144"/>
    </row>
    <row r="2" spans="1:5" s="1" customFormat="1" ht="28" customHeight="1">
      <c r="A2" s="48" t="s">
        <v>1047</v>
      </c>
      <c r="B2" s="289"/>
      <c r="D2" s="144"/>
      <c r="E2" s="48">
        <v>2009</v>
      </c>
    </row>
    <row r="3" spans="1:5" ht="39" customHeight="1">
      <c r="A3" s="119" t="s">
        <v>1382</v>
      </c>
      <c r="B3" s="119"/>
      <c r="C3" s="120" t="s">
        <v>2526</v>
      </c>
      <c r="D3" s="148" t="s">
        <v>2527</v>
      </c>
      <c r="E3" s="147" t="s">
        <v>1567</v>
      </c>
    </row>
    <row r="4" spans="1:5" ht="39" customHeight="1">
      <c r="A4" s="291"/>
      <c r="B4" s="292"/>
      <c r="C4" s="129" t="s">
        <v>2528</v>
      </c>
      <c r="D4" s="153" t="s">
        <v>2528</v>
      </c>
      <c r="E4" s="154" t="s">
        <v>2528</v>
      </c>
    </row>
    <row r="5" spans="1:5" ht="30" customHeight="1" thickBot="1">
      <c r="A5" s="131">
        <v>61</v>
      </c>
      <c r="B5" s="131" t="s">
        <v>2529</v>
      </c>
      <c r="C5" s="185">
        <v>5984893487.8100004</v>
      </c>
      <c r="D5" s="184">
        <v>207589616.25999999</v>
      </c>
      <c r="E5" s="294">
        <v>6192483104.0699997</v>
      </c>
    </row>
    <row r="6" spans="1:5" ht="20" customHeight="1" thickBot="1">
      <c r="A6" s="135">
        <v>64</v>
      </c>
      <c r="B6" s="135" t="s">
        <v>2530</v>
      </c>
      <c r="C6" s="188">
        <v>-28264117.809999999</v>
      </c>
      <c r="D6" s="187">
        <v>-1012372.31</v>
      </c>
      <c r="E6" s="295">
        <v>-29276490.120000001</v>
      </c>
    </row>
    <row r="7" spans="1:5" ht="20" customHeight="1" thickBot="1">
      <c r="A7" s="135">
        <v>65</v>
      </c>
      <c r="B7" s="135" t="s">
        <v>2531</v>
      </c>
      <c r="C7" s="188">
        <v>2293884.48</v>
      </c>
      <c r="D7" s="187">
        <v>77234.5</v>
      </c>
      <c r="E7" s="295">
        <v>2371118.98</v>
      </c>
    </row>
    <row r="8" spans="1:5" ht="27" customHeight="1" thickBot="1">
      <c r="A8" s="136" t="s">
        <v>2532</v>
      </c>
      <c r="B8" s="136" t="s">
        <v>2533</v>
      </c>
      <c r="C8" s="296">
        <v>5958923254.4799995</v>
      </c>
      <c r="D8" s="297">
        <v>206654478.44999999</v>
      </c>
      <c r="E8" s="298">
        <v>6165577732.9300003</v>
      </c>
    </row>
    <row r="9" spans="1:5" ht="20" customHeight="1" thickBot="1">
      <c r="A9" s="135">
        <v>66</v>
      </c>
      <c r="B9" s="135" t="s">
        <v>2534</v>
      </c>
      <c r="C9" s="188">
        <v>-11773755.859999999</v>
      </c>
      <c r="D9" s="187">
        <v>-351407.83</v>
      </c>
      <c r="E9" s="295">
        <v>-12125163.689999999</v>
      </c>
    </row>
    <row r="10" spans="1:5" ht="27" customHeight="1" thickBot="1">
      <c r="A10" s="136" t="s">
        <v>2535</v>
      </c>
      <c r="B10" s="136" t="s">
        <v>2536</v>
      </c>
      <c r="C10" s="296">
        <v>5947149498.6499996</v>
      </c>
      <c r="D10" s="297">
        <v>206303070.61000001</v>
      </c>
      <c r="E10" s="298">
        <v>6153452569.2600002</v>
      </c>
    </row>
    <row r="11" spans="1:5" ht="20" customHeight="1" thickBot="1">
      <c r="A11" s="135">
        <v>67</v>
      </c>
      <c r="B11" s="135" t="s">
        <v>2537</v>
      </c>
      <c r="C11" s="188">
        <v>411035308.85000002</v>
      </c>
      <c r="D11" s="187">
        <v>13775060.34</v>
      </c>
      <c r="E11" s="295">
        <v>424810369.19</v>
      </c>
    </row>
    <row r="12" spans="1:5" ht="20" customHeight="1" thickBot="1">
      <c r="A12" s="135">
        <v>68</v>
      </c>
      <c r="B12" s="135" t="s">
        <v>2538</v>
      </c>
      <c r="C12" s="188">
        <v>-408076301.44999999</v>
      </c>
      <c r="D12" s="187">
        <v>-13558131.380000001</v>
      </c>
      <c r="E12" s="295">
        <v>-421634432.82999998</v>
      </c>
    </row>
    <row r="13" spans="1:5" ht="20" customHeight="1" thickBot="1">
      <c r="A13" s="135">
        <v>69</v>
      </c>
      <c r="B13" s="135" t="s">
        <v>2539</v>
      </c>
      <c r="C13" s="188">
        <v>49341449.409999996</v>
      </c>
      <c r="D13" s="187">
        <v>1381418.1</v>
      </c>
      <c r="E13" s="295">
        <v>50722867.509999998</v>
      </c>
    </row>
    <row r="14" spans="1:5" ht="27" customHeight="1" thickBot="1">
      <c r="A14" s="136">
        <v>6</v>
      </c>
      <c r="B14" s="136" t="s">
        <v>2540</v>
      </c>
      <c r="C14" s="296">
        <v>5999449955.4300003</v>
      </c>
      <c r="D14" s="297">
        <v>207901417.65000001</v>
      </c>
      <c r="E14" s="298">
        <v>6207351373.0799999</v>
      </c>
    </row>
    <row r="15" spans="1:5" ht="20" customHeight="1" thickBot="1">
      <c r="A15" s="135">
        <v>31</v>
      </c>
      <c r="B15" s="135" t="s">
        <v>2541</v>
      </c>
      <c r="C15" s="188">
        <v>5587015727.6000004</v>
      </c>
      <c r="D15" s="187">
        <v>170809894.34</v>
      </c>
      <c r="E15" s="295">
        <v>5757825621.9399996</v>
      </c>
    </row>
    <row r="16" spans="1:5" ht="20" customHeight="1" thickBot="1">
      <c r="A16" s="135">
        <v>32</v>
      </c>
      <c r="B16" s="135" t="s">
        <v>2542</v>
      </c>
      <c r="C16" s="188">
        <v>-1156032094.8399999</v>
      </c>
      <c r="D16" s="187">
        <v>-31904985.699999999</v>
      </c>
      <c r="E16" s="295">
        <v>-1187937080.54</v>
      </c>
    </row>
    <row r="17" spans="1:5" ht="27" customHeight="1" thickBot="1">
      <c r="A17" s="136" t="s">
        <v>2543</v>
      </c>
      <c r="B17" s="136" t="s">
        <v>2544</v>
      </c>
      <c r="C17" s="296">
        <v>4430983632.75</v>
      </c>
      <c r="D17" s="297">
        <v>138904908.63999999</v>
      </c>
      <c r="E17" s="298">
        <v>4569888541.3900003</v>
      </c>
    </row>
    <row r="18" spans="1:5" ht="20" customHeight="1" thickBot="1">
      <c r="A18" s="135">
        <v>34</v>
      </c>
      <c r="B18" s="135" t="s">
        <v>2545</v>
      </c>
      <c r="C18" s="188">
        <v>15732593.810000001</v>
      </c>
      <c r="D18" s="187">
        <v>272511.7</v>
      </c>
      <c r="E18" s="295">
        <v>16005105.51</v>
      </c>
    </row>
    <row r="19" spans="1:5" ht="20" customHeight="1" thickBot="1">
      <c r="A19" s="135">
        <v>35</v>
      </c>
      <c r="B19" s="135" t="s">
        <v>2546</v>
      </c>
      <c r="C19" s="188">
        <v>-108849700.12</v>
      </c>
      <c r="D19" s="187">
        <v>1545687.2</v>
      </c>
      <c r="E19" s="295">
        <v>-107304012.92</v>
      </c>
    </row>
    <row r="20" spans="1:5" ht="27" customHeight="1" thickBot="1">
      <c r="A20" s="136" t="s">
        <v>2547</v>
      </c>
      <c r="B20" s="136" t="s">
        <v>2548</v>
      </c>
      <c r="C20" s="296">
        <v>4337866526.4200001</v>
      </c>
      <c r="D20" s="297">
        <v>140723107.58000001</v>
      </c>
      <c r="E20" s="298">
        <v>4478589634</v>
      </c>
    </row>
    <row r="21" spans="1:5" ht="20" customHeight="1" thickBot="1">
      <c r="A21" s="135">
        <v>36</v>
      </c>
      <c r="B21" s="135" t="s">
        <v>2549</v>
      </c>
      <c r="C21" s="188">
        <v>-11100726.890000001</v>
      </c>
      <c r="D21" s="187">
        <v>-319935.73</v>
      </c>
      <c r="E21" s="295">
        <v>-11420662.619999999</v>
      </c>
    </row>
    <row r="22" spans="1:5" ht="20" customHeight="1" thickBot="1">
      <c r="A22" s="135">
        <v>37</v>
      </c>
      <c r="B22" s="135" t="s">
        <v>2550</v>
      </c>
      <c r="C22" s="188">
        <v>527261439.20999998</v>
      </c>
      <c r="D22" s="187">
        <v>-12994628.140000001</v>
      </c>
      <c r="E22" s="295">
        <v>514266811.06999999</v>
      </c>
    </row>
    <row r="23" spans="1:5" ht="27" customHeight="1" thickBot="1">
      <c r="A23" s="136">
        <v>3</v>
      </c>
      <c r="B23" s="136" t="s">
        <v>2551</v>
      </c>
      <c r="C23" s="296">
        <v>4854027238.75</v>
      </c>
      <c r="D23" s="297">
        <v>127408543.69</v>
      </c>
      <c r="E23" s="298">
        <v>4981435782.4399996</v>
      </c>
    </row>
    <row r="24" spans="1:5" ht="20" customHeight="1" thickBot="1">
      <c r="A24" s="135" t="s">
        <v>2552</v>
      </c>
      <c r="B24" s="135" t="s">
        <v>2553</v>
      </c>
      <c r="C24" s="188">
        <v>311923488.88</v>
      </c>
      <c r="D24" s="187">
        <v>12466343.560000001</v>
      </c>
      <c r="E24" s="295">
        <v>324389832.44</v>
      </c>
    </row>
    <row r="25" spans="1:5" ht="20" customHeight="1" thickBot="1">
      <c r="A25" s="135">
        <v>48</v>
      </c>
      <c r="B25" s="135" t="s">
        <v>2554</v>
      </c>
      <c r="C25" s="188">
        <v>18137067.350000001</v>
      </c>
      <c r="D25" s="187">
        <v>846620.26</v>
      </c>
      <c r="E25" s="295">
        <v>18983687.609999999</v>
      </c>
    </row>
    <row r="26" spans="1:5" ht="20" customHeight="1" thickBot="1">
      <c r="A26" s="135">
        <v>49</v>
      </c>
      <c r="B26" s="135" t="s">
        <v>2555</v>
      </c>
      <c r="C26" s="188">
        <v>4133610.15</v>
      </c>
      <c r="D26" s="187">
        <v>203479.95</v>
      </c>
      <c r="E26" s="295">
        <v>4337090.0999999996</v>
      </c>
    </row>
    <row r="27" spans="1:5" ht="27" customHeight="1" thickBot="1">
      <c r="A27" s="136">
        <v>4</v>
      </c>
      <c r="B27" s="136" t="s">
        <v>2556</v>
      </c>
      <c r="C27" s="296">
        <v>334194166.36000001</v>
      </c>
      <c r="D27" s="297">
        <v>13516443.77</v>
      </c>
      <c r="E27" s="298">
        <v>347710610.13</v>
      </c>
    </row>
    <row r="28" spans="1:5" ht="27" customHeight="1" thickBot="1">
      <c r="A28" s="136" t="s">
        <v>2557</v>
      </c>
      <c r="B28" s="136" t="s">
        <v>2558</v>
      </c>
      <c r="C28" s="296">
        <v>5188221405.0900002</v>
      </c>
      <c r="D28" s="297">
        <v>140924987.43000001</v>
      </c>
      <c r="E28" s="298">
        <v>5329146392.5200005</v>
      </c>
    </row>
    <row r="29" spans="1:5" ht="27" customHeight="1" thickBot="1">
      <c r="A29" s="136"/>
      <c r="B29" s="136" t="s">
        <v>2559</v>
      </c>
      <c r="C29" s="296">
        <v>811228550.35000002</v>
      </c>
      <c r="D29" s="297">
        <v>66976430.219999999</v>
      </c>
      <c r="E29" s="298">
        <v>878204980.57000005</v>
      </c>
    </row>
    <row r="30" spans="1:5" ht="27" customHeight="1" thickBot="1">
      <c r="A30" s="136">
        <v>7</v>
      </c>
      <c r="B30" s="136" t="s">
        <v>2560</v>
      </c>
      <c r="C30" s="296">
        <v>198239585.91999999</v>
      </c>
      <c r="D30" s="297">
        <v>7610088.5099999998</v>
      </c>
      <c r="E30" s="298">
        <v>205849674.43000001</v>
      </c>
    </row>
    <row r="31" spans="1:5" ht="34.5" customHeight="1" thickBot="1">
      <c r="A31" s="299"/>
      <c r="B31" s="299" t="s">
        <v>2561</v>
      </c>
      <c r="C31" s="300">
        <v>1009468136.29</v>
      </c>
      <c r="D31" s="301">
        <v>74586518.719999999</v>
      </c>
      <c r="E31" s="302">
        <v>1084054655.01</v>
      </c>
    </row>
    <row r="32" spans="1:5" ht="19.5" customHeight="1">
      <c r="A32" s="2" t="s">
        <v>1837</v>
      </c>
    </row>
    <row r="34" spans="1:1">
      <c r="A34" s="2" t="s">
        <v>2565</v>
      </c>
    </row>
    <row r="36" spans="1:1">
      <c r="A36" s="2" t="s">
        <v>1046</v>
      </c>
    </row>
    <row r="39" spans="1:1">
      <c r="A39" s="2" t="s">
        <v>710</v>
      </c>
    </row>
  </sheetData>
  <phoneticPr fontId="0" type="noConversion"/>
  <pageMargins left="0.59055118110236227" right="0.6692913385826772" top="0.84" bottom="0.86614173228346458" header="0.59055118110236227" footer="0.51181102362204722"/>
  <pageSetup paperSize="9" scale="82" orientation="portrait" horizontalDpi="1200" verticalDpi="12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F81F2-174C-8B4B-89C4-9E9FF9C182CE}">
  <sheetPr>
    <pageSetUpPr fitToPage="1"/>
  </sheetPr>
  <dimension ref="A1:E39"/>
  <sheetViews>
    <sheetView topLeftCell="A31" zoomScale="75" workbookViewId="0">
      <selection activeCell="G53" sqref="G53"/>
    </sheetView>
  </sheetViews>
  <sheetFormatPr baseColWidth="10" defaultColWidth="11.3984375" defaultRowHeight="13"/>
  <cols>
    <col min="1" max="1" width="8.796875" style="2" customWidth="1"/>
    <col min="2" max="2" width="52.19921875" style="87" customWidth="1"/>
    <col min="3" max="3" width="16.796875" style="2" customWidth="1"/>
    <col min="4" max="5" width="16.796875" style="7" customWidth="1"/>
    <col min="6" max="16384" width="11.3984375" style="2"/>
  </cols>
  <sheetData>
    <row r="1" spans="1:5" s="1" customFormat="1" ht="14" customHeight="1">
      <c r="B1" s="289"/>
      <c r="D1" s="144"/>
      <c r="E1" s="144"/>
    </row>
    <row r="2" spans="1:5" s="1" customFormat="1" ht="28" customHeight="1">
      <c r="A2" s="48" t="s">
        <v>1049</v>
      </c>
      <c r="B2" s="289"/>
      <c r="D2" s="144"/>
      <c r="E2" s="48">
        <v>2009</v>
      </c>
    </row>
    <row r="3" spans="1:5" ht="39" customHeight="1">
      <c r="A3" s="119" t="s">
        <v>1382</v>
      </c>
      <c r="B3" s="119"/>
      <c r="C3" s="120" t="s">
        <v>2526</v>
      </c>
      <c r="D3" s="148" t="s">
        <v>2527</v>
      </c>
      <c r="E3" s="290" t="s">
        <v>1567</v>
      </c>
    </row>
    <row r="4" spans="1:5" ht="39" customHeight="1">
      <c r="A4" s="291"/>
      <c r="B4" s="292"/>
      <c r="C4" s="129" t="s">
        <v>2528</v>
      </c>
      <c r="D4" s="153" t="s">
        <v>2528</v>
      </c>
      <c r="E4" s="293" t="s">
        <v>2528</v>
      </c>
    </row>
    <row r="5" spans="1:5" ht="30" customHeight="1" thickBot="1">
      <c r="A5" s="131">
        <v>61</v>
      </c>
      <c r="B5" s="131" t="s">
        <v>2529</v>
      </c>
      <c r="C5" s="185">
        <v>15465970.609999999</v>
      </c>
      <c r="D5" s="184">
        <v>434943.62</v>
      </c>
      <c r="E5" s="294">
        <v>15900914.23</v>
      </c>
    </row>
    <row r="6" spans="1:5" ht="20" customHeight="1" thickBot="1">
      <c r="A6" s="135">
        <v>64</v>
      </c>
      <c r="B6" s="135" t="s">
        <v>2530</v>
      </c>
      <c r="C6" s="188">
        <v>-46356.32</v>
      </c>
      <c r="D6" s="187">
        <v>-1335.87</v>
      </c>
      <c r="E6" s="295">
        <v>-47692.19</v>
      </c>
    </row>
    <row r="7" spans="1:5" ht="20" customHeight="1" thickBot="1">
      <c r="A7" s="135">
        <v>65</v>
      </c>
      <c r="B7" s="135" t="s">
        <v>2531</v>
      </c>
      <c r="C7" s="188">
        <v>1677.11</v>
      </c>
      <c r="D7" s="187">
        <v>44.06</v>
      </c>
      <c r="E7" s="295">
        <v>1721.17</v>
      </c>
    </row>
    <row r="8" spans="1:5" ht="26.25" customHeight="1" thickBot="1">
      <c r="A8" s="136" t="s">
        <v>2532</v>
      </c>
      <c r="B8" s="136" t="s">
        <v>2533</v>
      </c>
      <c r="C8" s="296">
        <v>15421291.42</v>
      </c>
      <c r="D8" s="297">
        <v>433651.81</v>
      </c>
      <c r="E8" s="298">
        <v>15854943.23</v>
      </c>
    </row>
    <row r="9" spans="1:5" ht="20" customHeight="1" thickBot="1">
      <c r="A9" s="135">
        <v>66</v>
      </c>
      <c r="B9" s="135" t="s">
        <v>2534</v>
      </c>
      <c r="C9" s="188">
        <v>-51.96</v>
      </c>
      <c r="D9" s="187">
        <v>-1.95</v>
      </c>
      <c r="E9" s="295">
        <v>-53.91</v>
      </c>
    </row>
    <row r="10" spans="1:5" ht="27" customHeight="1" thickBot="1">
      <c r="A10" s="136" t="s">
        <v>2535</v>
      </c>
      <c r="B10" s="136" t="s">
        <v>2536</v>
      </c>
      <c r="C10" s="296">
        <v>15421239.460000001</v>
      </c>
      <c r="D10" s="297">
        <v>433649.86</v>
      </c>
      <c r="E10" s="298">
        <v>15854889.32</v>
      </c>
    </row>
    <row r="11" spans="1:5" ht="20" customHeight="1" thickBot="1">
      <c r="A11" s="135">
        <v>67</v>
      </c>
      <c r="B11" s="135" t="s">
        <v>2537</v>
      </c>
      <c r="C11" s="188">
        <v>471231.49</v>
      </c>
      <c r="D11" s="187">
        <v>14124.9</v>
      </c>
      <c r="E11" s="295">
        <v>485356.39</v>
      </c>
    </row>
    <row r="12" spans="1:5" ht="20" customHeight="1" thickBot="1">
      <c r="A12" s="135">
        <v>68</v>
      </c>
      <c r="B12" s="135" t="s">
        <v>2538</v>
      </c>
      <c r="C12" s="188">
        <v>-471834.73</v>
      </c>
      <c r="D12" s="187">
        <v>-14135.95</v>
      </c>
      <c r="E12" s="295">
        <v>-485970.68</v>
      </c>
    </row>
    <row r="13" spans="1:5" ht="20" customHeight="1" thickBot="1">
      <c r="A13" s="135">
        <v>69</v>
      </c>
      <c r="B13" s="135" t="s">
        <v>2539</v>
      </c>
      <c r="C13" s="188">
        <v>43346.87</v>
      </c>
      <c r="D13" s="187">
        <v>1149.77</v>
      </c>
      <c r="E13" s="295">
        <v>44496.639999999999</v>
      </c>
    </row>
    <row r="14" spans="1:5" ht="27" customHeight="1" thickBot="1">
      <c r="A14" s="136">
        <v>6</v>
      </c>
      <c r="B14" s="136" t="s">
        <v>2540</v>
      </c>
      <c r="C14" s="296">
        <v>15463983.09</v>
      </c>
      <c r="D14" s="297">
        <v>434788.58</v>
      </c>
      <c r="E14" s="298">
        <v>15898771.67</v>
      </c>
    </row>
    <row r="15" spans="1:5" ht="20" customHeight="1" thickBot="1">
      <c r="A15" s="135">
        <v>31</v>
      </c>
      <c r="B15" s="135" t="s">
        <v>2541</v>
      </c>
      <c r="C15" s="188">
        <v>9783863.1699999999</v>
      </c>
      <c r="D15" s="187">
        <v>264412.33</v>
      </c>
      <c r="E15" s="295">
        <v>10048275.5</v>
      </c>
    </row>
    <row r="16" spans="1:5" ht="20" customHeight="1" thickBot="1">
      <c r="A16" s="135">
        <v>32</v>
      </c>
      <c r="B16" s="135" t="s">
        <v>2542</v>
      </c>
      <c r="C16" s="188">
        <v>-1344091.31</v>
      </c>
      <c r="D16" s="187">
        <v>-31985.01</v>
      </c>
      <c r="E16" s="295">
        <v>-1376076.32</v>
      </c>
    </row>
    <row r="17" spans="1:5" ht="27" customHeight="1" thickBot="1">
      <c r="A17" s="136" t="s">
        <v>2543</v>
      </c>
      <c r="B17" s="136" t="s">
        <v>2544</v>
      </c>
      <c r="C17" s="296">
        <v>8439771.8699999992</v>
      </c>
      <c r="D17" s="297">
        <v>232427.32</v>
      </c>
      <c r="E17" s="298">
        <v>8672199.1899999995</v>
      </c>
    </row>
    <row r="18" spans="1:5" ht="20" customHeight="1" thickBot="1">
      <c r="A18" s="135">
        <v>34</v>
      </c>
      <c r="B18" s="135" t="s">
        <v>2545</v>
      </c>
      <c r="C18" s="188">
        <v>13548.78</v>
      </c>
      <c r="D18" s="187">
        <v>430.97</v>
      </c>
      <c r="E18" s="295">
        <v>13979.75</v>
      </c>
    </row>
    <row r="19" spans="1:5" ht="20" customHeight="1" thickBot="1">
      <c r="A19" s="135">
        <v>35</v>
      </c>
      <c r="B19" s="135" t="s">
        <v>2546</v>
      </c>
      <c r="C19" s="188">
        <v>-320255.53000000003</v>
      </c>
      <c r="D19" s="187">
        <v>-8455.6299999999992</v>
      </c>
      <c r="E19" s="295">
        <v>-328711.15999999997</v>
      </c>
    </row>
    <row r="20" spans="1:5" ht="27" customHeight="1" thickBot="1">
      <c r="A20" s="136" t="s">
        <v>2547</v>
      </c>
      <c r="B20" s="136" t="s">
        <v>2548</v>
      </c>
      <c r="C20" s="296">
        <v>8133065.1100000003</v>
      </c>
      <c r="D20" s="297">
        <v>224402.67</v>
      </c>
      <c r="E20" s="298">
        <v>8357467.7800000003</v>
      </c>
    </row>
    <row r="21" spans="1:5" ht="20" customHeight="1" thickBot="1">
      <c r="A21" s="135">
        <v>36</v>
      </c>
      <c r="B21" s="135" t="s">
        <v>2549</v>
      </c>
      <c r="C21" s="188">
        <v>0</v>
      </c>
      <c r="D21" s="187">
        <v>0</v>
      </c>
      <c r="E21" s="295">
        <v>0</v>
      </c>
    </row>
    <row r="22" spans="1:5" ht="20" customHeight="1" thickBot="1">
      <c r="A22" s="135">
        <v>37</v>
      </c>
      <c r="B22" s="135" t="s">
        <v>2550</v>
      </c>
      <c r="C22" s="188">
        <v>2339051.31</v>
      </c>
      <c r="D22" s="187">
        <v>61697.05</v>
      </c>
      <c r="E22" s="295">
        <v>2400748.36</v>
      </c>
    </row>
    <row r="23" spans="1:5" ht="26.25" customHeight="1" thickBot="1">
      <c r="A23" s="136">
        <v>3</v>
      </c>
      <c r="B23" s="136" t="s">
        <v>2551</v>
      </c>
      <c r="C23" s="296">
        <v>10472116.42</v>
      </c>
      <c r="D23" s="297">
        <v>286099.71999999997</v>
      </c>
      <c r="E23" s="298">
        <v>10758216.140000001</v>
      </c>
    </row>
    <row r="24" spans="1:5" ht="20" customHeight="1" thickBot="1">
      <c r="A24" s="135" t="s">
        <v>2552</v>
      </c>
      <c r="B24" s="135" t="s">
        <v>2553</v>
      </c>
      <c r="C24" s="188">
        <v>845433.01</v>
      </c>
      <c r="D24" s="187">
        <v>24728.63</v>
      </c>
      <c r="E24" s="295">
        <v>870161.64</v>
      </c>
    </row>
    <row r="25" spans="1:5" ht="20" customHeight="1" thickBot="1">
      <c r="A25" s="135">
        <v>48</v>
      </c>
      <c r="B25" s="135" t="s">
        <v>2554</v>
      </c>
      <c r="C25" s="188">
        <v>61202.12</v>
      </c>
      <c r="D25" s="187">
        <v>1855.22</v>
      </c>
      <c r="E25" s="295">
        <v>63057.34</v>
      </c>
    </row>
    <row r="26" spans="1:5" ht="20" customHeight="1" thickBot="1">
      <c r="A26" s="135">
        <v>49</v>
      </c>
      <c r="B26" s="135" t="s">
        <v>2555</v>
      </c>
      <c r="C26" s="188">
        <v>55677.51</v>
      </c>
      <c r="D26" s="187">
        <v>1718.27</v>
      </c>
      <c r="E26" s="295">
        <v>57395.78</v>
      </c>
    </row>
    <row r="27" spans="1:5" ht="27" customHeight="1" thickBot="1">
      <c r="A27" s="136">
        <v>4</v>
      </c>
      <c r="B27" s="136" t="s">
        <v>2556</v>
      </c>
      <c r="C27" s="296">
        <v>962312.63</v>
      </c>
      <c r="D27" s="297">
        <v>28302.13</v>
      </c>
      <c r="E27" s="298">
        <v>990614.76</v>
      </c>
    </row>
    <row r="28" spans="1:5" ht="27" customHeight="1" thickBot="1">
      <c r="A28" s="136" t="s">
        <v>2557</v>
      </c>
      <c r="B28" s="136" t="s">
        <v>2558</v>
      </c>
      <c r="C28" s="296">
        <v>11434429.050000001</v>
      </c>
      <c r="D28" s="297">
        <v>314401.84999999998</v>
      </c>
      <c r="E28" s="298">
        <v>11748830.9</v>
      </c>
    </row>
    <row r="29" spans="1:5" ht="27" customHeight="1" thickBot="1">
      <c r="A29" s="136"/>
      <c r="B29" s="136" t="s">
        <v>2559</v>
      </c>
      <c r="C29" s="296">
        <v>4029554.04</v>
      </c>
      <c r="D29" s="297">
        <v>120386.72</v>
      </c>
      <c r="E29" s="298">
        <v>4149940.76</v>
      </c>
    </row>
    <row r="30" spans="1:5" ht="27" customHeight="1" thickBot="1">
      <c r="A30" s="136">
        <v>7</v>
      </c>
      <c r="B30" s="136" t="s">
        <v>2560</v>
      </c>
      <c r="C30" s="296">
        <v>209756.79</v>
      </c>
      <c r="D30" s="297">
        <v>6188.14</v>
      </c>
      <c r="E30" s="298">
        <v>215944.93</v>
      </c>
    </row>
    <row r="31" spans="1:5" ht="34.5" customHeight="1" thickBot="1">
      <c r="A31" s="299"/>
      <c r="B31" s="299" t="s">
        <v>2561</v>
      </c>
      <c r="C31" s="300">
        <v>4239310.82</v>
      </c>
      <c r="D31" s="301">
        <v>126574.86</v>
      </c>
      <c r="E31" s="302">
        <v>4365885.68</v>
      </c>
    </row>
    <row r="32" spans="1:5" ht="20.25" customHeight="1">
      <c r="A32" s="2" t="s">
        <v>1837</v>
      </c>
    </row>
    <row r="34" spans="1:1">
      <c r="A34" s="2" t="s">
        <v>2565</v>
      </c>
    </row>
    <row r="36" spans="1:1">
      <c r="A36" s="2" t="s">
        <v>1048</v>
      </c>
    </row>
    <row r="39" spans="1:1">
      <c r="A39" s="2" t="s">
        <v>710</v>
      </c>
    </row>
  </sheetData>
  <phoneticPr fontId="0" type="noConversion"/>
  <pageMargins left="0.62992125984251968" right="0.70866141732283472" top="0.70866141732283472" bottom="0.6692913385826772" header="0.51181102362204722" footer="0.38"/>
  <pageSetup paperSize="9" scale="80" orientation="portrait" horizontalDpi="1200" verticalDpi="12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BB8D2-68C6-9343-A1CF-7C9413F218CC}">
  <sheetPr>
    <pageSetUpPr fitToPage="1"/>
  </sheetPr>
  <dimension ref="A1:E39"/>
  <sheetViews>
    <sheetView zoomScale="75" workbookViewId="0">
      <selection activeCell="A33" sqref="A33"/>
    </sheetView>
  </sheetViews>
  <sheetFormatPr baseColWidth="10" defaultColWidth="11.3984375" defaultRowHeight="13"/>
  <cols>
    <col min="1" max="1" width="8.796875" style="2" customWidth="1"/>
    <col min="2" max="2" width="48.796875" style="87" customWidth="1"/>
    <col min="3" max="3" width="16.796875" style="2" customWidth="1"/>
    <col min="4" max="5" width="16.796875" style="7" customWidth="1"/>
    <col min="6" max="16384" width="11.3984375" style="2"/>
  </cols>
  <sheetData>
    <row r="1" spans="1:5" s="1" customFormat="1" ht="14" customHeight="1">
      <c r="B1" s="289"/>
      <c r="D1" s="144"/>
      <c r="E1" s="144"/>
    </row>
    <row r="2" spans="1:5" s="1" customFormat="1" ht="42" customHeight="1">
      <c r="A2" s="2014" t="s">
        <v>1051</v>
      </c>
      <c r="B2" s="2015"/>
      <c r="C2" s="2015"/>
      <c r="D2" s="2015"/>
      <c r="E2" s="48">
        <v>2009</v>
      </c>
    </row>
    <row r="3" spans="1:5" ht="39" customHeight="1">
      <c r="A3" s="119" t="s">
        <v>1382</v>
      </c>
      <c r="B3" s="119"/>
      <c r="C3" s="120" t="s">
        <v>2526</v>
      </c>
      <c r="D3" s="148" t="s">
        <v>2527</v>
      </c>
      <c r="E3" s="290" t="s">
        <v>1567</v>
      </c>
    </row>
    <row r="4" spans="1:5" ht="39" customHeight="1">
      <c r="A4" s="291"/>
      <c r="B4" s="292"/>
      <c r="C4" s="129" t="s">
        <v>2528</v>
      </c>
      <c r="D4" s="153" t="s">
        <v>2528</v>
      </c>
      <c r="E4" s="293" t="s">
        <v>2528</v>
      </c>
    </row>
    <row r="5" spans="1:5" ht="30" customHeight="1" thickBot="1">
      <c r="A5" s="131">
        <v>61</v>
      </c>
      <c r="B5" s="131" t="s">
        <v>2529</v>
      </c>
      <c r="C5" s="185">
        <v>5961392947.2799997</v>
      </c>
      <c r="D5" s="184">
        <v>191755728.86000001</v>
      </c>
      <c r="E5" s="294">
        <v>6153148676.1400003</v>
      </c>
    </row>
    <row r="6" spans="1:5" ht="20" customHeight="1" thickBot="1">
      <c r="A6" s="135">
        <v>64</v>
      </c>
      <c r="B6" s="135" t="s">
        <v>2530</v>
      </c>
      <c r="C6" s="188">
        <v>-17861906.170000002</v>
      </c>
      <c r="D6" s="187">
        <v>-619717.26</v>
      </c>
      <c r="E6" s="295">
        <v>-18481623.43</v>
      </c>
    </row>
    <row r="7" spans="1:5" ht="20" customHeight="1" thickBot="1">
      <c r="A7" s="135">
        <v>65</v>
      </c>
      <c r="B7" s="135" t="s">
        <v>2531</v>
      </c>
      <c r="C7" s="188">
        <v>1896563.47</v>
      </c>
      <c r="D7" s="187">
        <v>65256.15</v>
      </c>
      <c r="E7" s="295">
        <v>1961819.62</v>
      </c>
    </row>
    <row r="8" spans="1:5" ht="27" customHeight="1" thickBot="1">
      <c r="A8" s="136" t="s">
        <v>2532</v>
      </c>
      <c r="B8" s="136" t="s">
        <v>2533</v>
      </c>
      <c r="C8" s="296">
        <v>5945427604.5699997</v>
      </c>
      <c r="D8" s="297">
        <v>191201267.75</v>
      </c>
      <c r="E8" s="298">
        <v>6136628872.3199997</v>
      </c>
    </row>
    <row r="9" spans="1:5" ht="20" customHeight="1" thickBot="1">
      <c r="A9" s="135">
        <v>66</v>
      </c>
      <c r="B9" s="135" t="s">
        <v>2534</v>
      </c>
      <c r="C9" s="188">
        <v>-8979977.4700000007</v>
      </c>
      <c r="D9" s="187">
        <v>-270496.90999999997</v>
      </c>
      <c r="E9" s="295">
        <v>-9250474.3800000008</v>
      </c>
    </row>
    <row r="10" spans="1:5" ht="30" customHeight="1" thickBot="1">
      <c r="A10" s="136" t="s">
        <v>2535</v>
      </c>
      <c r="B10" s="136" t="s">
        <v>2536</v>
      </c>
      <c r="C10" s="296">
        <v>5936447627.0699997</v>
      </c>
      <c r="D10" s="297">
        <v>190930770.84</v>
      </c>
      <c r="E10" s="298">
        <v>6127378397.9099998</v>
      </c>
    </row>
    <row r="11" spans="1:5" ht="20" customHeight="1" thickBot="1">
      <c r="A11" s="135">
        <v>67</v>
      </c>
      <c r="B11" s="135" t="s">
        <v>2537</v>
      </c>
      <c r="C11" s="188">
        <v>431237659.79000002</v>
      </c>
      <c r="D11" s="187">
        <v>13820136.699999999</v>
      </c>
      <c r="E11" s="295">
        <v>445057796.49000001</v>
      </c>
    </row>
    <row r="12" spans="1:5" ht="20" customHeight="1" thickBot="1">
      <c r="A12" s="135">
        <v>68</v>
      </c>
      <c r="B12" s="135" t="s">
        <v>2538</v>
      </c>
      <c r="C12" s="188">
        <v>-426917387.81999999</v>
      </c>
      <c r="D12" s="187">
        <v>-13486353.119999999</v>
      </c>
      <c r="E12" s="295">
        <v>-440403740.94</v>
      </c>
    </row>
    <row r="13" spans="1:5" ht="20" customHeight="1" thickBot="1">
      <c r="A13" s="135">
        <v>69</v>
      </c>
      <c r="B13" s="135" t="s">
        <v>2539</v>
      </c>
      <c r="C13" s="188">
        <v>45103562.549999997</v>
      </c>
      <c r="D13" s="187">
        <v>1227256.8799999999</v>
      </c>
      <c r="E13" s="295">
        <v>46330819.43</v>
      </c>
    </row>
    <row r="14" spans="1:5" ht="27" customHeight="1" thickBot="1">
      <c r="A14" s="136">
        <v>6</v>
      </c>
      <c r="B14" s="136" t="s">
        <v>2540</v>
      </c>
      <c r="C14" s="296">
        <v>5985871461.5699997</v>
      </c>
      <c r="D14" s="297">
        <v>192491811.31</v>
      </c>
      <c r="E14" s="298">
        <v>6178363272.8800001</v>
      </c>
    </row>
    <row r="15" spans="1:5" ht="20" customHeight="1" thickBot="1">
      <c r="A15" s="135">
        <v>31</v>
      </c>
      <c r="B15" s="135" t="s">
        <v>2541</v>
      </c>
      <c r="C15" s="188">
        <v>5489490771.3500004</v>
      </c>
      <c r="D15" s="187">
        <v>191870436.59</v>
      </c>
      <c r="E15" s="295">
        <v>5681361207.9399996</v>
      </c>
    </row>
    <row r="16" spans="1:5" ht="20" customHeight="1" thickBot="1">
      <c r="A16" s="135">
        <v>32</v>
      </c>
      <c r="B16" s="135" t="s">
        <v>2542</v>
      </c>
      <c r="C16" s="188">
        <v>-1010388760.61</v>
      </c>
      <c r="D16" s="187">
        <v>-29144994.91</v>
      </c>
      <c r="E16" s="295">
        <v>-1039533755.52</v>
      </c>
    </row>
    <row r="17" spans="1:5" ht="27" customHeight="1" thickBot="1">
      <c r="A17" s="136" t="s">
        <v>2543</v>
      </c>
      <c r="B17" s="136" t="s">
        <v>2544</v>
      </c>
      <c r="C17" s="296">
        <v>4479102010.7299995</v>
      </c>
      <c r="D17" s="297">
        <v>162725441.68000001</v>
      </c>
      <c r="E17" s="298">
        <v>4641827452.4099998</v>
      </c>
    </row>
    <row r="18" spans="1:5" ht="20" customHeight="1" thickBot="1">
      <c r="A18" s="135">
        <v>34</v>
      </c>
      <c r="B18" s="135" t="s">
        <v>2545</v>
      </c>
      <c r="C18" s="188">
        <v>33039530</v>
      </c>
      <c r="D18" s="187">
        <v>702802.04</v>
      </c>
      <c r="E18" s="295">
        <v>33742332.039999999</v>
      </c>
    </row>
    <row r="19" spans="1:5" ht="20" customHeight="1" thickBot="1">
      <c r="A19" s="135">
        <v>35</v>
      </c>
      <c r="B19" s="135" t="s">
        <v>2546</v>
      </c>
      <c r="C19" s="188">
        <v>158267427.28999999</v>
      </c>
      <c r="D19" s="187">
        <v>7302831.7000000002</v>
      </c>
      <c r="E19" s="295">
        <v>165570258.99000001</v>
      </c>
    </row>
    <row r="20" spans="1:5" ht="27" customHeight="1" thickBot="1">
      <c r="A20" s="136" t="s">
        <v>2547</v>
      </c>
      <c r="B20" s="136" t="s">
        <v>2548</v>
      </c>
      <c r="C20" s="296">
        <v>4670408968.0299997</v>
      </c>
      <c r="D20" s="297">
        <v>170731075.41</v>
      </c>
      <c r="E20" s="298">
        <v>4841140043.4399996</v>
      </c>
    </row>
    <row r="21" spans="1:5" ht="20" customHeight="1" thickBot="1">
      <c r="A21" s="135">
        <v>36</v>
      </c>
      <c r="B21" s="135" t="s">
        <v>2549</v>
      </c>
      <c r="C21" s="188">
        <v>-8171837.8799999999</v>
      </c>
      <c r="D21" s="187">
        <v>-299234.36</v>
      </c>
      <c r="E21" s="295">
        <v>-8471072.2400000002</v>
      </c>
    </row>
    <row r="22" spans="1:5" ht="20" customHeight="1" thickBot="1">
      <c r="A22" s="135">
        <v>37</v>
      </c>
      <c r="B22" s="135" t="s">
        <v>2550</v>
      </c>
      <c r="C22" s="188">
        <v>1055590080.8200001</v>
      </c>
      <c r="D22" s="187">
        <v>26466418.989999998</v>
      </c>
      <c r="E22" s="295">
        <v>1082056499.8099999</v>
      </c>
    </row>
    <row r="23" spans="1:5" ht="27" customHeight="1" thickBot="1">
      <c r="A23" s="136">
        <v>3</v>
      </c>
      <c r="B23" s="136" t="s">
        <v>2551</v>
      </c>
      <c r="C23" s="296">
        <v>5717827210.9499998</v>
      </c>
      <c r="D23" s="297">
        <v>196898260.06</v>
      </c>
      <c r="E23" s="298">
        <v>5914725471.0100002</v>
      </c>
    </row>
    <row r="24" spans="1:5" ht="20" customHeight="1" thickBot="1">
      <c r="A24" s="135" t="s">
        <v>2552</v>
      </c>
      <c r="B24" s="135" t="s">
        <v>2553</v>
      </c>
      <c r="C24" s="188">
        <v>287563718.57999998</v>
      </c>
      <c r="D24" s="187">
        <v>10019558.35</v>
      </c>
      <c r="E24" s="295">
        <v>297583276.93000001</v>
      </c>
    </row>
    <row r="25" spans="1:5" ht="20" customHeight="1" thickBot="1">
      <c r="A25" s="135">
        <v>48</v>
      </c>
      <c r="B25" s="135" t="s">
        <v>2554</v>
      </c>
      <c r="C25" s="188">
        <v>20589279.079999998</v>
      </c>
      <c r="D25" s="187">
        <v>782727.52</v>
      </c>
      <c r="E25" s="295">
        <v>21372006.600000001</v>
      </c>
    </row>
    <row r="26" spans="1:5" ht="20" customHeight="1" thickBot="1">
      <c r="A26" s="135">
        <v>49</v>
      </c>
      <c r="B26" s="135" t="s">
        <v>2555</v>
      </c>
      <c r="C26" s="188">
        <v>3789523.68</v>
      </c>
      <c r="D26" s="187">
        <v>165634.29999999999</v>
      </c>
      <c r="E26" s="295">
        <v>3955157.98</v>
      </c>
    </row>
    <row r="27" spans="1:5" ht="27" customHeight="1" thickBot="1">
      <c r="A27" s="136">
        <v>4</v>
      </c>
      <c r="B27" s="136" t="s">
        <v>2556</v>
      </c>
      <c r="C27" s="296">
        <v>311942521.30000001</v>
      </c>
      <c r="D27" s="297">
        <v>10967920.16</v>
      </c>
      <c r="E27" s="298">
        <v>322910441.45999998</v>
      </c>
    </row>
    <row r="28" spans="1:5" ht="27" customHeight="1" thickBot="1">
      <c r="A28" s="136" t="s">
        <v>2557</v>
      </c>
      <c r="B28" s="136" t="s">
        <v>2558</v>
      </c>
      <c r="C28" s="296">
        <v>6029769732.2600002</v>
      </c>
      <c r="D28" s="297">
        <v>207866180.22999999</v>
      </c>
      <c r="E28" s="298">
        <v>6237635912.4899998</v>
      </c>
    </row>
    <row r="29" spans="1:5" ht="27" customHeight="1" thickBot="1">
      <c r="A29" s="136"/>
      <c r="B29" s="136" t="s">
        <v>2559</v>
      </c>
      <c r="C29" s="296">
        <v>-43898270.659999996</v>
      </c>
      <c r="D29" s="297">
        <v>-15374368.91</v>
      </c>
      <c r="E29" s="298">
        <v>-59272639.57</v>
      </c>
    </row>
    <row r="30" spans="1:5" ht="27" customHeight="1" thickBot="1">
      <c r="A30" s="136">
        <v>7</v>
      </c>
      <c r="B30" s="136" t="s">
        <v>2560</v>
      </c>
      <c r="C30" s="296">
        <v>175384422.25999999</v>
      </c>
      <c r="D30" s="297">
        <v>5769398.0199999996</v>
      </c>
      <c r="E30" s="298">
        <v>181153820.28</v>
      </c>
    </row>
    <row r="31" spans="1:5" ht="34.5" customHeight="1" thickBot="1">
      <c r="A31" s="299"/>
      <c r="B31" s="299" t="s">
        <v>2561</v>
      </c>
      <c r="C31" s="300">
        <v>131486151.56999999</v>
      </c>
      <c r="D31" s="301">
        <v>-9604970.9299999997</v>
      </c>
      <c r="E31" s="302">
        <v>121881180.64</v>
      </c>
    </row>
    <row r="32" spans="1:5" ht="18.75" customHeight="1">
      <c r="A32" s="2" t="s">
        <v>1837</v>
      </c>
    </row>
    <row r="34" spans="1:1">
      <c r="A34" s="2" t="s">
        <v>2565</v>
      </c>
    </row>
    <row r="36" spans="1:1">
      <c r="A36" s="2" t="s">
        <v>1050</v>
      </c>
    </row>
    <row r="39" spans="1:1">
      <c r="A39" s="2" t="s">
        <v>710</v>
      </c>
    </row>
  </sheetData>
  <mergeCells count="1">
    <mergeCell ref="A2:D2"/>
  </mergeCells>
  <phoneticPr fontId="0" type="noConversion"/>
  <pageMargins left="0.64" right="0.56000000000000005" top="0.96" bottom="0.49" header="0.53" footer="0.4921259845"/>
  <pageSetup paperSize="9" scale="84" orientation="portrait" horizontalDpi="1200" verticalDpi="12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CC648-D6DD-B94C-B6AB-2B2230F4BCDB}">
  <sheetPr>
    <pageSetUpPr fitToPage="1"/>
  </sheetPr>
  <dimension ref="A1:E48"/>
  <sheetViews>
    <sheetView zoomScale="75" workbookViewId="0">
      <selection activeCell="A41" sqref="A41"/>
    </sheetView>
  </sheetViews>
  <sheetFormatPr baseColWidth="10" defaultColWidth="11.3984375" defaultRowHeight="13"/>
  <cols>
    <col min="1" max="1" width="8.796875" style="2" customWidth="1"/>
    <col min="2" max="2" width="48.796875" style="87" customWidth="1"/>
    <col min="3" max="3" width="16.796875" style="2" customWidth="1"/>
    <col min="4" max="4" width="16.796875" style="7" customWidth="1"/>
    <col min="5" max="5" width="16.796875" style="323" customWidth="1"/>
    <col min="6" max="16384" width="11.3984375" style="2"/>
  </cols>
  <sheetData>
    <row r="1" spans="1:5" s="1" customFormat="1" ht="54.75" customHeight="1">
      <c r="A1" s="2016" t="s">
        <v>1063</v>
      </c>
      <c r="B1" s="2017"/>
      <c r="C1" s="2017"/>
      <c r="D1" s="2017"/>
      <c r="E1" s="48">
        <v>2009</v>
      </c>
    </row>
    <row r="2" spans="1:5" s="1" customFormat="1" ht="10.5" customHeight="1">
      <c r="A2" s="198"/>
      <c r="B2" s="198"/>
      <c r="C2" s="198"/>
      <c r="D2" s="198"/>
      <c r="E2" s="198"/>
    </row>
    <row r="3" spans="1:5" ht="39" customHeight="1">
      <c r="A3" s="305" t="s">
        <v>1382</v>
      </c>
      <c r="B3" s="306"/>
      <c r="C3" s="120" t="s">
        <v>2526</v>
      </c>
      <c r="D3" s="148" t="s">
        <v>2527</v>
      </c>
      <c r="E3" s="290" t="s">
        <v>1567</v>
      </c>
    </row>
    <row r="4" spans="1:5" ht="25.5" customHeight="1">
      <c r="A4" s="291"/>
      <c r="B4" s="292"/>
      <c r="C4" s="129" t="s">
        <v>2528</v>
      </c>
      <c r="D4" s="153" t="s">
        <v>2528</v>
      </c>
      <c r="E4" s="293" t="s">
        <v>2528</v>
      </c>
    </row>
    <row r="5" spans="1:5" ht="30" customHeight="1" thickBot="1">
      <c r="A5" s="131">
        <v>61.1</v>
      </c>
      <c r="B5" s="131" t="s">
        <v>1052</v>
      </c>
      <c r="C5" s="170">
        <v>106192147.83</v>
      </c>
      <c r="D5" s="171">
        <v>2558081.3199999998</v>
      </c>
      <c r="E5" s="307">
        <v>108750229.15000001</v>
      </c>
    </row>
    <row r="6" spans="1:5" ht="22.5" customHeight="1" thickBot="1">
      <c r="A6" s="308">
        <v>61.2</v>
      </c>
      <c r="B6" s="308" t="s">
        <v>1053</v>
      </c>
      <c r="C6" s="170">
        <v>5232632.8600000003</v>
      </c>
      <c r="D6" s="171">
        <v>335239.34000000003</v>
      </c>
      <c r="E6" s="307">
        <v>5567872.2000000002</v>
      </c>
    </row>
    <row r="7" spans="1:5" ht="20" customHeight="1" thickBot="1">
      <c r="A7" s="135">
        <v>64</v>
      </c>
      <c r="B7" s="135" t="s">
        <v>2530</v>
      </c>
      <c r="C7" s="170">
        <v>-472305.88</v>
      </c>
      <c r="D7" s="171">
        <v>-15903.21</v>
      </c>
      <c r="E7" s="307">
        <v>-488209.09</v>
      </c>
    </row>
    <row r="8" spans="1:5" ht="20" customHeight="1" thickBot="1">
      <c r="A8" s="135">
        <v>65</v>
      </c>
      <c r="B8" s="135" t="s">
        <v>2531</v>
      </c>
      <c r="C8" s="170">
        <v>34717.08</v>
      </c>
      <c r="D8" s="171">
        <v>1366.63</v>
      </c>
      <c r="E8" s="307">
        <v>36083.71</v>
      </c>
    </row>
    <row r="9" spans="1:5" ht="27" customHeight="1" thickBot="1">
      <c r="A9" s="136" t="s">
        <v>2532</v>
      </c>
      <c r="B9" s="136" t="s">
        <v>2533</v>
      </c>
      <c r="C9" s="170">
        <v>110987191.88</v>
      </c>
      <c r="D9" s="171">
        <v>2878784.05</v>
      </c>
      <c r="E9" s="307">
        <v>113865975.93000001</v>
      </c>
    </row>
    <row r="10" spans="1:5" ht="20" customHeight="1" thickBot="1">
      <c r="A10" s="135">
        <v>66</v>
      </c>
      <c r="B10" s="135" t="s">
        <v>2534</v>
      </c>
      <c r="C10" s="170">
        <v>-38442.71</v>
      </c>
      <c r="D10" s="171">
        <v>-676.65</v>
      </c>
      <c r="E10" s="307">
        <v>-39119.360000000001</v>
      </c>
    </row>
    <row r="11" spans="1:5" ht="27" customHeight="1" thickBot="1">
      <c r="A11" s="136" t="s">
        <v>2535</v>
      </c>
      <c r="B11" s="136" t="s">
        <v>2536</v>
      </c>
      <c r="C11" s="170">
        <v>110948749.17</v>
      </c>
      <c r="D11" s="171">
        <v>2878107.4</v>
      </c>
      <c r="E11" s="307">
        <v>113826856.56999999</v>
      </c>
    </row>
    <row r="12" spans="1:5" ht="21" customHeight="1" thickBot="1">
      <c r="A12" s="135">
        <v>67</v>
      </c>
      <c r="B12" s="135" t="s">
        <v>2537</v>
      </c>
      <c r="C12" s="170">
        <v>1766461.41</v>
      </c>
      <c r="D12" s="171">
        <v>62715.33</v>
      </c>
      <c r="E12" s="307">
        <v>1829176.74</v>
      </c>
    </row>
    <row r="13" spans="1:5" ht="21" customHeight="1" thickBot="1">
      <c r="A13" s="135">
        <v>68</v>
      </c>
      <c r="B13" s="135" t="s">
        <v>2538</v>
      </c>
      <c r="C13" s="170">
        <v>-1757468.62</v>
      </c>
      <c r="D13" s="171">
        <v>-62389.87</v>
      </c>
      <c r="E13" s="307">
        <v>-1819858.49</v>
      </c>
    </row>
    <row r="14" spans="1:5" ht="21" customHeight="1" thickBot="1">
      <c r="A14" s="135">
        <v>69</v>
      </c>
      <c r="B14" s="135" t="s">
        <v>2539</v>
      </c>
      <c r="C14" s="170">
        <v>201234.11</v>
      </c>
      <c r="D14" s="171">
        <v>4309.49</v>
      </c>
      <c r="E14" s="307">
        <v>205543.6</v>
      </c>
    </row>
    <row r="15" spans="1:5" ht="27" customHeight="1" thickBot="1">
      <c r="A15" s="136">
        <v>6</v>
      </c>
      <c r="B15" s="136" t="s">
        <v>2540</v>
      </c>
      <c r="C15" s="170">
        <v>111158976.09</v>
      </c>
      <c r="D15" s="171">
        <v>2882742.35</v>
      </c>
      <c r="E15" s="307">
        <v>114041718.44</v>
      </c>
    </row>
    <row r="16" spans="1:5" ht="20" customHeight="1" thickBot="1">
      <c r="A16" s="135">
        <v>31.1</v>
      </c>
      <c r="B16" s="135" t="s">
        <v>1054</v>
      </c>
      <c r="C16" s="170">
        <v>67339030.879999995</v>
      </c>
      <c r="D16" s="171">
        <v>1704768.5</v>
      </c>
      <c r="E16" s="307">
        <v>69043799.379999995</v>
      </c>
    </row>
    <row r="17" spans="1:5" ht="20" customHeight="1" thickBot="1">
      <c r="A17" s="135">
        <v>31.2</v>
      </c>
      <c r="B17" s="135" t="s">
        <v>1055</v>
      </c>
      <c r="C17" s="170">
        <v>5660910.71</v>
      </c>
      <c r="D17" s="171">
        <v>157570.01</v>
      </c>
      <c r="E17" s="307">
        <v>5818480.7199999997</v>
      </c>
    </row>
    <row r="18" spans="1:5" ht="20" customHeight="1" thickBot="1">
      <c r="A18" s="135">
        <v>32</v>
      </c>
      <c r="B18" s="135" t="s">
        <v>2542</v>
      </c>
      <c r="C18" s="170">
        <v>-4683629.08</v>
      </c>
      <c r="D18" s="171">
        <v>-95826.72</v>
      </c>
      <c r="E18" s="307">
        <v>-4779455.8</v>
      </c>
    </row>
    <row r="19" spans="1:5" ht="27" customHeight="1" thickBot="1">
      <c r="A19" s="136" t="s">
        <v>2543</v>
      </c>
      <c r="B19" s="136" t="s">
        <v>2544</v>
      </c>
      <c r="C19" s="170">
        <v>68316312.510000005</v>
      </c>
      <c r="D19" s="171">
        <v>1766511.77</v>
      </c>
      <c r="E19" s="307">
        <v>70082824.280000001</v>
      </c>
    </row>
    <row r="20" spans="1:5" ht="20" customHeight="1" thickBot="1">
      <c r="A20" s="135">
        <v>34</v>
      </c>
      <c r="B20" s="135" t="s">
        <v>2545</v>
      </c>
      <c r="C20" s="170">
        <v>146446.31</v>
      </c>
      <c r="D20" s="171">
        <v>4004.87</v>
      </c>
      <c r="E20" s="307">
        <v>150451.18</v>
      </c>
    </row>
    <row r="21" spans="1:5" ht="20" customHeight="1" thickBot="1">
      <c r="A21" s="135">
        <v>35</v>
      </c>
      <c r="B21" s="135" t="s">
        <v>2546</v>
      </c>
      <c r="C21" s="170">
        <v>17081172.890000001</v>
      </c>
      <c r="D21" s="171">
        <v>209701.34</v>
      </c>
      <c r="E21" s="307">
        <v>17290874.23</v>
      </c>
    </row>
    <row r="22" spans="1:5" ht="20" customHeight="1" thickBot="1">
      <c r="A22" s="135">
        <v>35.1</v>
      </c>
      <c r="B22" s="135" t="s">
        <v>1056</v>
      </c>
      <c r="C22" s="170">
        <v>1462011.16</v>
      </c>
      <c r="D22" s="171">
        <v>43317.29</v>
      </c>
      <c r="E22" s="307">
        <v>1505328.45</v>
      </c>
    </row>
    <row r="23" spans="1:5" ht="27" customHeight="1" thickBot="1">
      <c r="A23" s="136" t="s">
        <v>2547</v>
      </c>
      <c r="B23" s="136" t="s">
        <v>2548</v>
      </c>
      <c r="C23" s="170">
        <v>87005942.849999994</v>
      </c>
      <c r="D23" s="171">
        <v>2023535.3</v>
      </c>
      <c r="E23" s="307">
        <v>89029478.150000006</v>
      </c>
    </row>
    <row r="24" spans="1:5" ht="20" customHeight="1" thickBot="1">
      <c r="A24" s="135">
        <v>36</v>
      </c>
      <c r="B24" s="135" t="s">
        <v>2549</v>
      </c>
      <c r="C24" s="170">
        <v>-22376.18</v>
      </c>
      <c r="D24" s="171">
        <v>-1052.58</v>
      </c>
      <c r="E24" s="307">
        <v>-23428.76</v>
      </c>
    </row>
    <row r="25" spans="1:5" ht="20" customHeight="1" thickBot="1">
      <c r="A25" s="135">
        <v>37</v>
      </c>
      <c r="B25" s="135" t="s">
        <v>2550</v>
      </c>
      <c r="C25" s="170">
        <v>21267665.149999999</v>
      </c>
      <c r="D25" s="171">
        <v>456400.78</v>
      </c>
      <c r="E25" s="307">
        <v>21724065.93</v>
      </c>
    </row>
    <row r="26" spans="1:5" ht="27" customHeight="1" thickBot="1">
      <c r="A26" s="136">
        <v>3</v>
      </c>
      <c r="B26" s="136" t="s">
        <v>2551</v>
      </c>
      <c r="C26" s="170">
        <v>108251231.83</v>
      </c>
      <c r="D26" s="171">
        <v>2478883.5</v>
      </c>
      <c r="E26" s="307">
        <v>110730115.33</v>
      </c>
    </row>
    <row r="27" spans="1:5" ht="20" customHeight="1" thickBot="1">
      <c r="A27" s="135" t="s">
        <v>2552</v>
      </c>
      <c r="B27" s="135" t="s">
        <v>2553</v>
      </c>
      <c r="C27" s="170">
        <v>7111493.7999999998</v>
      </c>
      <c r="D27" s="171">
        <v>151685.07999999999</v>
      </c>
      <c r="E27" s="307">
        <v>7263178.8799999999</v>
      </c>
    </row>
    <row r="28" spans="1:5" ht="20" customHeight="1" thickBot="1">
      <c r="A28" s="135">
        <v>48</v>
      </c>
      <c r="B28" s="135" t="s">
        <v>2554</v>
      </c>
      <c r="C28" s="170">
        <v>414245.71</v>
      </c>
      <c r="D28" s="171">
        <v>6991.46</v>
      </c>
      <c r="E28" s="307">
        <v>421237.17</v>
      </c>
    </row>
    <row r="29" spans="1:5" ht="20" customHeight="1" thickBot="1">
      <c r="A29" s="135">
        <v>49</v>
      </c>
      <c r="B29" s="135" t="s">
        <v>2555</v>
      </c>
      <c r="C29" s="170">
        <v>372857.98</v>
      </c>
      <c r="D29" s="171">
        <v>3923.5</v>
      </c>
      <c r="E29" s="307">
        <v>376781.48</v>
      </c>
    </row>
    <row r="30" spans="1:5" ht="27" customHeight="1" thickBot="1">
      <c r="A30" s="136">
        <v>4</v>
      </c>
      <c r="B30" s="136" t="s">
        <v>2556</v>
      </c>
      <c r="C30" s="170">
        <v>7898597.5</v>
      </c>
      <c r="D30" s="171">
        <v>162600.04</v>
      </c>
      <c r="E30" s="307">
        <v>8061197.54</v>
      </c>
    </row>
    <row r="31" spans="1:5" ht="27" customHeight="1" thickBot="1">
      <c r="A31" s="136" t="s">
        <v>2557</v>
      </c>
      <c r="B31" s="136" t="s">
        <v>2558</v>
      </c>
      <c r="C31" s="170">
        <v>116149829.31999999</v>
      </c>
      <c r="D31" s="171">
        <v>2641483.5299999998</v>
      </c>
      <c r="E31" s="307">
        <v>118791312.84999999</v>
      </c>
    </row>
    <row r="32" spans="1:5" ht="27" customHeight="1" thickBot="1">
      <c r="A32" s="136"/>
      <c r="B32" s="136" t="s">
        <v>2559</v>
      </c>
      <c r="C32" s="188">
        <v>-4990853.2300000004</v>
      </c>
      <c r="D32" s="187">
        <v>241258.81</v>
      </c>
      <c r="E32" s="295">
        <v>-4749594.42</v>
      </c>
    </row>
    <row r="33" spans="1:5" ht="27" customHeight="1" thickBot="1">
      <c r="A33" s="136">
        <v>7</v>
      </c>
      <c r="B33" s="136" t="s">
        <v>2560</v>
      </c>
      <c r="C33" s="188">
        <v>289492.44</v>
      </c>
      <c r="D33" s="187">
        <v>17584.07</v>
      </c>
      <c r="E33" s="295">
        <v>307076.51</v>
      </c>
    </row>
    <row r="34" spans="1:5" ht="27.75" customHeight="1" thickBot="1">
      <c r="A34" s="309"/>
      <c r="B34" s="309" t="s">
        <v>2561</v>
      </c>
      <c r="C34" s="310">
        <v>-4701360.82</v>
      </c>
      <c r="D34" s="311">
        <v>258842.92</v>
      </c>
      <c r="E34" s="312">
        <v>-4442517.9000000004</v>
      </c>
    </row>
    <row r="35" spans="1:5" ht="22.5" customHeight="1">
      <c r="A35" s="313"/>
      <c r="B35" s="313"/>
      <c r="C35" s="314"/>
      <c r="D35" s="314"/>
      <c r="E35" s="315"/>
    </row>
    <row r="36" spans="1:5" ht="24" customHeight="1">
      <c r="A36" s="316" t="s">
        <v>1064</v>
      </c>
      <c r="B36" s="317"/>
      <c r="C36" s="317"/>
      <c r="D36" s="317"/>
      <c r="E36" s="317"/>
    </row>
    <row r="37" spans="1:5" ht="21" customHeight="1" thickBot="1">
      <c r="A37" s="318"/>
      <c r="B37" s="318" t="s">
        <v>1057</v>
      </c>
      <c r="C37" s="319" t="s">
        <v>744</v>
      </c>
      <c r="D37" s="320" t="s">
        <v>744</v>
      </c>
      <c r="E37" s="172">
        <v>38377336.759999998</v>
      </c>
    </row>
    <row r="38" spans="1:5" ht="21" customHeight="1" thickBot="1">
      <c r="A38" s="136"/>
      <c r="B38" s="136" t="s">
        <v>1058</v>
      </c>
      <c r="C38" s="296" t="s">
        <v>744</v>
      </c>
      <c r="D38" s="297" t="s">
        <v>744</v>
      </c>
      <c r="E38" s="298">
        <v>-2995767.51</v>
      </c>
    </row>
    <row r="39" spans="1:5" ht="21" customHeight="1" thickBot="1">
      <c r="A39" s="136"/>
      <c r="B39" s="136" t="s">
        <v>1059</v>
      </c>
      <c r="C39" s="296" t="s">
        <v>744</v>
      </c>
      <c r="D39" s="297" t="s">
        <v>744</v>
      </c>
      <c r="E39" s="298">
        <v>35381569.25</v>
      </c>
    </row>
    <row r="40" spans="1:5" ht="15.75" customHeight="1">
      <c r="A40" s="140" t="s">
        <v>1837</v>
      </c>
      <c r="B40" s="321"/>
      <c r="C40" s="140"/>
      <c r="D40" s="164"/>
      <c r="E40" s="322"/>
    </row>
    <row r="42" spans="1:5">
      <c r="A42" s="2" t="s">
        <v>1060</v>
      </c>
    </row>
    <row r="43" spans="1:5">
      <c r="A43" s="324" t="s">
        <v>1061</v>
      </c>
    </row>
    <row r="45" spans="1:5">
      <c r="A45" s="2" t="s">
        <v>1062</v>
      </c>
    </row>
    <row r="48" spans="1:5">
      <c r="A48" s="2" t="s">
        <v>710</v>
      </c>
    </row>
  </sheetData>
  <mergeCells count="1">
    <mergeCell ref="A1:D1"/>
  </mergeCells>
  <phoneticPr fontId="0" type="noConversion"/>
  <pageMargins left="0.47244094488188981" right="0.59055118110236227" top="0.5" bottom="0.3" header="0.26" footer="0.19"/>
  <pageSetup paperSize="9" scale="76" orientation="portrait" horizontalDpi="1200" verticalDpi="12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17D67-4ED5-694B-8721-EEA2A34214DC}">
  <sheetPr>
    <pageSetUpPr fitToPage="1"/>
  </sheetPr>
  <dimension ref="A1:J26"/>
  <sheetViews>
    <sheetView zoomScale="75" workbookViewId="0">
      <selection activeCell="H20" sqref="H20"/>
    </sheetView>
  </sheetViews>
  <sheetFormatPr baseColWidth="10" defaultColWidth="11.3984375" defaultRowHeight="13"/>
  <cols>
    <col min="1" max="1" width="14.3984375" style="2" customWidth="1"/>
    <col min="2" max="2" width="17.3984375" style="2" customWidth="1"/>
    <col min="3" max="5" width="15.3984375" style="2" customWidth="1"/>
    <col min="6" max="6" width="16.3984375" style="2" customWidth="1"/>
    <col min="7" max="16384" width="11.3984375" style="2"/>
  </cols>
  <sheetData>
    <row r="1" spans="1:10" s="1" customFormat="1" ht="14" customHeight="1"/>
    <row r="2" spans="1:10" s="1" customFormat="1" ht="26.25" customHeight="1">
      <c r="A2" s="2014" t="s">
        <v>524</v>
      </c>
      <c r="B2" s="2018"/>
      <c r="C2" s="2018"/>
      <c r="D2" s="2018"/>
      <c r="E2" s="2018"/>
      <c r="F2" s="2018"/>
    </row>
    <row r="3" spans="1:10" ht="24" customHeight="1">
      <c r="A3" s="119" t="s">
        <v>1065</v>
      </c>
      <c r="B3" s="120" t="s">
        <v>2251</v>
      </c>
      <c r="C3" s="121" t="s">
        <v>2252</v>
      </c>
      <c r="D3" s="120" t="s">
        <v>2253</v>
      </c>
      <c r="E3" s="121" t="s">
        <v>2254</v>
      </c>
      <c r="F3" s="120" t="s">
        <v>1567</v>
      </c>
    </row>
    <row r="4" spans="1:10" ht="15" customHeight="1">
      <c r="A4" s="325"/>
      <c r="B4" s="123" t="s">
        <v>2255</v>
      </c>
      <c r="C4" s="124" t="s">
        <v>2256</v>
      </c>
      <c r="D4" s="123" t="s">
        <v>2257</v>
      </c>
      <c r="E4" s="150" t="s">
        <v>2258</v>
      </c>
      <c r="F4" s="123"/>
    </row>
    <row r="5" spans="1:10" ht="15" customHeight="1">
      <c r="A5" s="325"/>
      <c r="B5" s="123" t="s">
        <v>2259</v>
      </c>
      <c r="C5" s="124" t="s">
        <v>2260</v>
      </c>
      <c r="D5" s="123"/>
      <c r="E5" s="150" t="s">
        <v>2261</v>
      </c>
      <c r="F5" s="123"/>
    </row>
    <row r="6" spans="1:10" ht="21.75" customHeight="1">
      <c r="A6" s="326"/>
      <c r="B6" s="129"/>
      <c r="C6" s="128"/>
      <c r="D6" s="129"/>
      <c r="E6" s="153" t="s">
        <v>2262</v>
      </c>
      <c r="F6" s="129"/>
    </row>
    <row r="7" spans="1:10" ht="1.5" customHeight="1" thickBot="1">
      <c r="A7" s="327">
        <v>1996</v>
      </c>
      <c r="B7" s="439">
        <v>-991.77532199999996</v>
      </c>
      <c r="C7" s="440">
        <v>663.77988200000004</v>
      </c>
      <c r="D7" s="439">
        <v>3.1671990000000001</v>
      </c>
      <c r="E7" s="440">
        <v>4.8958959999999996</v>
      </c>
      <c r="F7" s="439">
        <v>-319.932346</v>
      </c>
      <c r="G7" s="7"/>
    </row>
    <row r="8" spans="1:10" ht="0.75" hidden="1" customHeight="1" thickBot="1">
      <c r="A8" s="328">
        <v>1997</v>
      </c>
      <c r="B8" s="441">
        <v>-876.45968600000003</v>
      </c>
      <c r="C8" s="442">
        <v>838.25617299999999</v>
      </c>
      <c r="D8" s="441">
        <v>-2.0302950000000002</v>
      </c>
      <c r="E8" s="442">
        <v>110.40569600000001</v>
      </c>
      <c r="F8" s="441">
        <v>70.171887999999996</v>
      </c>
      <c r="G8" s="7"/>
      <c r="H8" s="8"/>
      <c r="I8" s="8"/>
      <c r="J8" s="8"/>
    </row>
    <row r="9" spans="1:10" ht="25.5" hidden="1" customHeight="1" thickBot="1">
      <c r="A9" s="328">
        <v>1998</v>
      </c>
      <c r="B9" s="441">
        <v>-430.86645099999998</v>
      </c>
      <c r="C9" s="442">
        <v>357.97673800000001</v>
      </c>
      <c r="D9" s="441">
        <v>4.5447670000000002</v>
      </c>
      <c r="E9" s="442">
        <v>68.311649000000003</v>
      </c>
      <c r="F9" s="441">
        <v>-3.3297E-2</v>
      </c>
      <c r="G9" s="7"/>
    </row>
    <row r="10" spans="1:10" ht="20.25" customHeight="1" thickBot="1">
      <c r="A10" s="328">
        <v>1999</v>
      </c>
      <c r="B10" s="441">
        <v>-927.49870799999997</v>
      </c>
      <c r="C10" s="442">
        <v>825.43840799999998</v>
      </c>
      <c r="D10" s="441">
        <v>3.6142530000000002</v>
      </c>
      <c r="E10" s="442">
        <v>49.059277000000002</v>
      </c>
      <c r="F10" s="441">
        <v>-49.386769999999999</v>
      </c>
      <c r="G10" s="7"/>
    </row>
    <row r="11" spans="1:10" ht="19.5" customHeight="1" thickBot="1">
      <c r="A11" s="328">
        <v>2000</v>
      </c>
      <c r="B11" s="441">
        <v>-1105.229685</v>
      </c>
      <c r="C11" s="442">
        <v>733.25541792999991</v>
      </c>
      <c r="D11" s="441">
        <v>3.8776509400000001</v>
      </c>
      <c r="E11" s="442">
        <v>62.142502969999995</v>
      </c>
      <c r="F11" s="441">
        <v>-305.95411339999998</v>
      </c>
      <c r="G11" s="7"/>
    </row>
    <row r="12" spans="1:10" ht="19.5" customHeight="1" thickBot="1">
      <c r="A12" s="328">
        <v>2001</v>
      </c>
      <c r="B12" s="441">
        <v>-1433.3465880000001</v>
      </c>
      <c r="C12" s="442">
        <v>618.03701349999994</v>
      </c>
      <c r="D12" s="441">
        <v>2.4723382099999998</v>
      </c>
      <c r="E12" s="442">
        <v>23.119861409999999</v>
      </c>
      <c r="F12" s="441">
        <v>-789.71737487999997</v>
      </c>
      <c r="G12" s="7"/>
    </row>
    <row r="13" spans="1:10" ht="19.5" customHeight="1" thickBot="1">
      <c r="A13" s="328">
        <v>2002</v>
      </c>
      <c r="B13" s="441">
        <v>-1276.900302</v>
      </c>
      <c r="C13" s="442">
        <v>976.64273475999994</v>
      </c>
      <c r="D13" s="441">
        <v>4.2638926399999999</v>
      </c>
      <c r="E13" s="442">
        <v>72.321311690000002</v>
      </c>
      <c r="F13" s="441">
        <v>-223.67236291000003</v>
      </c>
      <c r="G13" s="7"/>
    </row>
    <row r="14" spans="1:10" ht="19.5" customHeight="1" thickBot="1">
      <c r="A14" s="328">
        <v>2003</v>
      </c>
      <c r="B14" s="441">
        <v>-1199.9593440000001</v>
      </c>
      <c r="C14" s="442">
        <v>1406.6882224999999</v>
      </c>
      <c r="D14" s="441">
        <v>4.8424903200000005</v>
      </c>
      <c r="E14" s="442">
        <v>188.15856750999998</v>
      </c>
      <c r="F14" s="441">
        <v>399.72993632999999</v>
      </c>
      <c r="G14" s="7"/>
    </row>
    <row r="15" spans="1:10" ht="19.5" customHeight="1" thickBot="1">
      <c r="A15" s="328">
        <v>2004</v>
      </c>
      <c r="B15" s="441">
        <v>-1391.6407119999999</v>
      </c>
      <c r="C15" s="442">
        <v>1634.9812055999998</v>
      </c>
      <c r="D15" s="441">
        <v>5.2363249600000001</v>
      </c>
      <c r="E15" s="442">
        <v>265.5648372</v>
      </c>
      <c r="F15" s="441">
        <v>514.14165575999982</v>
      </c>
      <c r="G15" s="7"/>
    </row>
    <row r="16" spans="1:10" ht="19.5" customHeight="1" thickBot="1">
      <c r="A16" s="328">
        <v>2005</v>
      </c>
      <c r="B16" s="441">
        <v>-1649.4161382499999</v>
      </c>
      <c r="C16" s="442">
        <v>1546.15646917</v>
      </c>
      <c r="D16" s="441">
        <v>5.0852622199999997</v>
      </c>
      <c r="E16" s="442">
        <v>269.59908074000003</v>
      </c>
      <c r="F16" s="441">
        <v>171.42467388000009</v>
      </c>
      <c r="G16" s="7"/>
    </row>
    <row r="17" spans="1:7" ht="19.5" customHeight="1" thickBot="1">
      <c r="A17" s="328">
        <v>2006</v>
      </c>
      <c r="B17" s="441">
        <v>-1546.9894788199999</v>
      </c>
      <c r="C17" s="442">
        <v>1652.4787121400002</v>
      </c>
      <c r="D17" s="441">
        <v>4.8317589400000003</v>
      </c>
      <c r="E17" s="442">
        <v>380.62896021</v>
      </c>
      <c r="F17" s="441">
        <v>490.94995247000014</v>
      </c>
      <c r="G17" s="7"/>
    </row>
    <row r="18" spans="1:7" ht="19.5" customHeight="1" thickBot="1">
      <c r="A18" s="328">
        <v>2007</v>
      </c>
      <c r="B18" s="441">
        <v>-1647.7206760699999</v>
      </c>
      <c r="C18" s="442">
        <v>1490.2231348800001</v>
      </c>
      <c r="D18" s="441">
        <v>5.3827035700000003</v>
      </c>
      <c r="E18" s="442">
        <v>330.77491456000001</v>
      </c>
      <c r="F18" s="441">
        <v>178.66007694000018</v>
      </c>
      <c r="G18" s="7"/>
    </row>
    <row r="19" spans="1:7" ht="19.5" customHeight="1" thickBot="1">
      <c r="A19" s="328">
        <v>2008</v>
      </c>
      <c r="B19" s="441">
        <v>-2065.22871609</v>
      </c>
      <c r="C19" s="442">
        <v>1210.1395178499999</v>
      </c>
      <c r="D19" s="441">
        <v>3.7607259900000001</v>
      </c>
      <c r="E19" s="442">
        <v>96.009766569999996</v>
      </c>
      <c r="F19" s="441">
        <v>-755.31870568000011</v>
      </c>
      <c r="G19" s="7"/>
    </row>
    <row r="20" spans="1:7" ht="30" customHeight="1" thickBot="1">
      <c r="A20" s="329">
        <v>2009</v>
      </c>
      <c r="B20" s="690">
        <v>-1681.9109433599999</v>
      </c>
      <c r="C20" s="935">
        <v>1084.05465501</v>
      </c>
      <c r="D20" s="690">
        <v>4.3658856799999999</v>
      </c>
      <c r="E20" s="935">
        <v>121.88118064</v>
      </c>
      <c r="F20" s="690">
        <v>-471.60922202999984</v>
      </c>
      <c r="G20" s="330"/>
    </row>
    <row r="21" spans="1:7" ht="20" customHeight="1">
      <c r="A21" s="140" t="s">
        <v>1837</v>
      </c>
      <c r="B21" s="140"/>
      <c r="C21" s="140"/>
      <c r="D21" s="140"/>
      <c r="E21" s="140"/>
      <c r="F21" s="140"/>
    </row>
    <row r="22" spans="1:7" ht="12" customHeight="1">
      <c r="A22" s="141"/>
      <c r="B22" s="141"/>
      <c r="C22" s="141"/>
      <c r="D22" s="141"/>
      <c r="E22" s="141"/>
      <c r="F22" s="141"/>
    </row>
    <row r="23" spans="1:7">
      <c r="A23" s="2" t="s">
        <v>2263</v>
      </c>
    </row>
    <row r="26" spans="1:7">
      <c r="A26" s="2" t="s">
        <v>710</v>
      </c>
    </row>
  </sheetData>
  <mergeCells count="1">
    <mergeCell ref="A2:F2"/>
  </mergeCells>
  <phoneticPr fontId="0" type="noConversion"/>
  <pageMargins left="0.6" right="0.65" top="1.01" bottom="0.49" header="0.53" footer="0.4921259845"/>
  <pageSetup paperSize="9" scale="85" orientation="portrait"/>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D7448-6E28-CB48-82B6-5F20E928604F}">
  <sheetPr>
    <pageSetUpPr fitToPage="1"/>
  </sheetPr>
  <dimension ref="A1:J26"/>
  <sheetViews>
    <sheetView zoomScale="75" workbookViewId="0">
      <selection activeCell="H2" sqref="H2"/>
    </sheetView>
  </sheetViews>
  <sheetFormatPr baseColWidth="10" defaultColWidth="11.3984375" defaultRowHeight="13"/>
  <cols>
    <col min="1" max="1" width="14.3984375" style="2" customWidth="1"/>
    <col min="2" max="6" width="15.3984375" style="2" customWidth="1"/>
    <col min="7" max="7" width="16.19921875" style="2" customWidth="1"/>
    <col min="8" max="16384" width="11.3984375" style="2"/>
  </cols>
  <sheetData>
    <row r="1" spans="1:10" s="1" customFormat="1" ht="14" customHeight="1"/>
    <row r="2" spans="1:10" s="1" customFormat="1" ht="39" customHeight="1">
      <c r="A2" s="2014" t="s">
        <v>525</v>
      </c>
      <c r="B2" s="2018"/>
      <c r="C2" s="2018"/>
      <c r="D2" s="2018"/>
      <c r="E2" s="2018"/>
      <c r="F2" s="398"/>
    </row>
    <row r="3" spans="1:10" ht="24" customHeight="1">
      <c r="A3" s="119" t="s">
        <v>2320</v>
      </c>
      <c r="B3" s="120" t="s">
        <v>2251</v>
      </c>
      <c r="C3" s="121" t="s">
        <v>2252</v>
      </c>
      <c r="D3" s="120" t="s">
        <v>2253</v>
      </c>
      <c r="E3" s="121" t="s">
        <v>2254</v>
      </c>
      <c r="F3" s="120" t="s">
        <v>1567</v>
      </c>
    </row>
    <row r="4" spans="1:10" ht="15" customHeight="1">
      <c r="A4" s="325"/>
      <c r="B4" s="123" t="s">
        <v>2255</v>
      </c>
      <c r="C4" s="124" t="s">
        <v>2256</v>
      </c>
      <c r="D4" s="123" t="s">
        <v>2124</v>
      </c>
      <c r="E4" s="150" t="s">
        <v>2125</v>
      </c>
      <c r="F4" s="123"/>
    </row>
    <row r="5" spans="1:10" ht="15" customHeight="1">
      <c r="A5" s="325"/>
      <c r="B5" s="123" t="s">
        <v>2259</v>
      </c>
      <c r="C5" s="124" t="s">
        <v>2260</v>
      </c>
      <c r="D5" s="123" t="s">
        <v>2300</v>
      </c>
      <c r="E5" s="150" t="s">
        <v>2126</v>
      </c>
      <c r="F5" s="123"/>
    </row>
    <row r="6" spans="1:10" ht="24" customHeight="1">
      <c r="A6" s="326"/>
      <c r="B6" s="129"/>
      <c r="C6" s="128"/>
      <c r="D6" s="129"/>
      <c r="E6" s="153" t="s">
        <v>2262</v>
      </c>
      <c r="F6" s="129"/>
    </row>
    <row r="7" spans="1:10" ht="1.5" customHeight="1" thickBot="1">
      <c r="A7" s="327">
        <v>1996</v>
      </c>
      <c r="B7" s="170">
        <v>-209.25119249563258</v>
      </c>
      <c r="C7" s="171">
        <v>287.88798918153714</v>
      </c>
      <c r="D7" s="170">
        <v>113.8133893919793</v>
      </c>
      <c r="E7" s="171">
        <v>40.26296485139558</v>
      </c>
      <c r="F7" s="170">
        <v>-44.467447531910054</v>
      </c>
    </row>
    <row r="8" spans="1:10" ht="0.75" hidden="1" customHeight="1" thickBot="1">
      <c r="A8" s="328">
        <v>1997</v>
      </c>
      <c r="B8" s="188">
        <v>-214.61582270081155</v>
      </c>
      <c r="C8" s="187">
        <v>306.33942450638875</v>
      </c>
      <c r="D8" s="188">
        <v>-176.63955107012353</v>
      </c>
      <c r="E8" s="187">
        <v>288.19554520703849</v>
      </c>
      <c r="F8" s="188">
        <v>9.7260962701001628</v>
      </c>
      <c r="H8" s="8"/>
      <c r="I8" s="8"/>
      <c r="J8" s="8"/>
    </row>
    <row r="9" spans="1:10" ht="19.5" hidden="1" customHeight="1" thickBot="1">
      <c r="A9" s="328">
        <v>1998</v>
      </c>
      <c r="B9" s="188">
        <v>-107.28033046607707</v>
      </c>
      <c r="C9" s="187">
        <v>131.29687859897859</v>
      </c>
      <c r="D9" s="188">
        <v>384.2379945891106</v>
      </c>
      <c r="E9" s="187">
        <v>138.27149421099506</v>
      </c>
      <c r="F9" s="188">
        <v>-4.5935747895146139E-3</v>
      </c>
    </row>
    <row r="10" spans="1:10" ht="20" customHeight="1" thickBot="1">
      <c r="A10" s="328">
        <v>1999</v>
      </c>
      <c r="B10" s="188">
        <v>-231.94750851767455</v>
      </c>
      <c r="C10" s="187">
        <v>303.95700464199626</v>
      </c>
      <c r="D10" s="188">
        <v>352.33505556638721</v>
      </c>
      <c r="E10" s="187">
        <v>90.53364520474635</v>
      </c>
      <c r="F10" s="188">
        <v>-6.7964685777290796</v>
      </c>
    </row>
    <row r="11" spans="1:10" ht="20" customHeight="1" thickBot="1">
      <c r="A11" s="328">
        <v>2000</v>
      </c>
      <c r="B11" s="188">
        <v>-281.80831964955939</v>
      </c>
      <c r="C11" s="187">
        <v>265.81296038591444</v>
      </c>
      <c r="D11" s="188">
        <v>395.23503618387525</v>
      </c>
      <c r="E11" s="187">
        <v>107.54256442516194</v>
      </c>
      <c r="F11" s="188">
        <v>-42.095410127886048</v>
      </c>
    </row>
    <row r="12" spans="1:10" ht="20" customHeight="1" thickBot="1">
      <c r="A12" s="328">
        <v>2001</v>
      </c>
      <c r="B12" s="188">
        <v>-369.21073383560986</v>
      </c>
      <c r="C12" s="187">
        <v>218.09355776804139</v>
      </c>
      <c r="D12" s="188">
        <v>264.67596724119471</v>
      </c>
      <c r="E12" s="187">
        <v>38.795684474417683</v>
      </c>
      <c r="F12" s="188">
        <v>-107.86592232759077</v>
      </c>
    </row>
    <row r="13" spans="1:10" ht="20" customHeight="1" thickBot="1">
      <c r="A13" s="328">
        <v>2002</v>
      </c>
      <c r="B13" s="188">
        <v>-334.90929649130862</v>
      </c>
      <c r="C13" s="187">
        <v>327.64230472151957</v>
      </c>
      <c r="D13" s="188">
        <v>482.61376796830785</v>
      </c>
      <c r="E13" s="187">
        <v>129.83261678350553</v>
      </c>
      <c r="F13" s="188">
        <v>-30.392888912290669</v>
      </c>
    </row>
    <row r="14" spans="1:10" ht="20" customHeight="1" thickBot="1">
      <c r="A14" s="328">
        <v>2003</v>
      </c>
      <c r="B14" s="188">
        <v>-326.58442193959615</v>
      </c>
      <c r="C14" s="187">
        <v>452.73392575127201</v>
      </c>
      <c r="D14" s="188">
        <v>582.24002885655887</v>
      </c>
      <c r="E14" s="187">
        <v>311.77683579562023</v>
      </c>
      <c r="F14" s="188">
        <v>54.067330132819563</v>
      </c>
    </row>
    <row r="15" spans="1:10" ht="20" customHeight="1" thickBot="1">
      <c r="A15" s="328">
        <v>2004</v>
      </c>
      <c r="B15" s="188">
        <v>-382.39377988050956</v>
      </c>
      <c r="C15" s="187">
        <v>540.52128193947215</v>
      </c>
      <c r="D15" s="188">
        <v>646.61953074833286</v>
      </c>
      <c r="E15" s="187">
        <v>355.14430610645576</v>
      </c>
      <c r="F15" s="188">
        <v>69.291571070195104</v>
      </c>
    </row>
    <row r="16" spans="1:10" ht="20" customHeight="1" thickBot="1">
      <c r="A16" s="328">
        <v>2005</v>
      </c>
      <c r="B16" s="188">
        <v>-457.46233703722402</v>
      </c>
      <c r="C16" s="187">
        <v>526.06943385550483</v>
      </c>
      <c r="D16" s="188">
        <v>659.48154843729731</v>
      </c>
      <c r="E16" s="187">
        <v>297.53361969202518</v>
      </c>
      <c r="F16" s="188">
        <v>22.983877251046639</v>
      </c>
    </row>
    <row r="17" spans="1:6" ht="20" customHeight="1" thickBot="1">
      <c r="A17" s="328">
        <v>2006</v>
      </c>
      <c r="B17" s="188">
        <v>-460.949938416431</v>
      </c>
      <c r="C17" s="187">
        <v>592.83257515796822</v>
      </c>
      <c r="D17" s="188">
        <v>669.21868975069253</v>
      </c>
      <c r="E17" s="187">
        <v>280.53307562761364</v>
      </c>
      <c r="F17" s="188">
        <v>65.394207090333808</v>
      </c>
    </row>
    <row r="18" spans="1:6" ht="20" customHeight="1" thickBot="1">
      <c r="A18" s="328">
        <v>2007</v>
      </c>
      <c r="B18" s="188">
        <v>-523.18043356720625</v>
      </c>
      <c r="C18" s="187">
        <v>577.6616172956227</v>
      </c>
      <c r="D18" s="188">
        <v>779.76293930175291</v>
      </c>
      <c r="E18" s="187">
        <v>179.66674102290708</v>
      </c>
      <c r="F18" s="188">
        <v>23.57885238636468</v>
      </c>
    </row>
    <row r="19" spans="1:6" ht="20" customHeight="1" thickBot="1">
      <c r="A19" s="328">
        <v>2008</v>
      </c>
      <c r="B19" s="188">
        <v>-695.79333085705503</v>
      </c>
      <c r="C19" s="187">
        <v>505.40006483827597</v>
      </c>
      <c r="D19" s="188">
        <v>573.54369223730373</v>
      </c>
      <c r="E19" s="187">
        <v>41.734830202162946</v>
      </c>
      <c r="F19" s="188">
        <v>-98.482009802061683</v>
      </c>
    </row>
    <row r="20" spans="1:6" s="277" customFormat="1" ht="30" customHeight="1" thickBot="1">
      <c r="A20" s="329">
        <v>2009</v>
      </c>
      <c r="B20" s="191">
        <v>-617.40706927192127</v>
      </c>
      <c r="C20" s="190">
        <v>501.83068232343282</v>
      </c>
      <c r="D20" s="191">
        <v>710.13104749512036</v>
      </c>
      <c r="E20" s="190">
        <v>42.639330908197657</v>
      </c>
      <c r="F20" s="191">
        <v>-60.861268998486345</v>
      </c>
    </row>
    <row r="21" spans="1:6" ht="20" customHeight="1">
      <c r="A21" s="140" t="s">
        <v>1837</v>
      </c>
      <c r="B21" s="140"/>
      <c r="C21" s="140"/>
      <c r="D21" s="140"/>
      <c r="E21" s="140"/>
      <c r="F21" s="140"/>
    </row>
    <row r="23" spans="1:6">
      <c r="A23" s="2" t="s">
        <v>526</v>
      </c>
    </row>
    <row r="26" spans="1:6">
      <c r="A26" s="2" t="s">
        <v>710</v>
      </c>
    </row>
  </sheetData>
  <mergeCells count="1">
    <mergeCell ref="A2:E2"/>
  </mergeCells>
  <phoneticPr fontId="0" type="noConversion"/>
  <pageMargins left="0.57999999999999996" right="0.72" top="1.1000000000000001" bottom="0.49" header="0.57999999999999996" footer="0.4921259845"/>
  <pageSetup paperSize="9" scale="83" orientation="portrait" horizontalDpi="4294967292" verticalDpi="4294967292"/>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D1248-85A5-A244-B236-AD023653BB17}">
  <sheetPr>
    <pageSetUpPr fitToPage="1"/>
  </sheetPr>
  <dimension ref="A1:J26"/>
  <sheetViews>
    <sheetView topLeftCell="A6" zoomScale="75" workbookViewId="0">
      <selection activeCell="A3" sqref="A3"/>
    </sheetView>
  </sheetViews>
  <sheetFormatPr baseColWidth="10" defaultColWidth="11.3984375" defaultRowHeight="13"/>
  <cols>
    <col min="1" max="1" width="14.3984375" style="2" customWidth="1"/>
    <col min="2" max="7" width="15.3984375" style="2" customWidth="1"/>
    <col min="8" max="8" width="17.59765625" style="2" customWidth="1"/>
    <col min="9" max="16384" width="11.3984375" style="2"/>
  </cols>
  <sheetData>
    <row r="1" spans="1:10" s="1" customFormat="1" ht="14" customHeight="1"/>
    <row r="2" spans="1:10" s="1" customFormat="1" ht="28" customHeight="1">
      <c r="A2" s="118" t="s">
        <v>527</v>
      </c>
      <c r="H2" s="715"/>
    </row>
    <row r="3" spans="1:10" ht="24" customHeight="1">
      <c r="A3" s="119" t="s">
        <v>2320</v>
      </c>
      <c r="B3" s="120" t="s">
        <v>2251</v>
      </c>
      <c r="C3" s="121" t="s">
        <v>2252</v>
      </c>
      <c r="D3" s="120" t="s">
        <v>2253</v>
      </c>
      <c r="E3" s="121" t="s">
        <v>2254</v>
      </c>
      <c r="F3" s="120" t="s">
        <v>1567</v>
      </c>
      <c r="G3" s="121" t="s">
        <v>528</v>
      </c>
      <c r="H3" s="123" t="s">
        <v>529</v>
      </c>
    </row>
    <row r="4" spans="1:10" ht="15" customHeight="1">
      <c r="A4" s="325"/>
      <c r="B4" s="123" t="s">
        <v>2255</v>
      </c>
      <c r="C4" s="124" t="s">
        <v>2256</v>
      </c>
      <c r="D4" s="123" t="s">
        <v>2124</v>
      </c>
      <c r="E4" s="124" t="s">
        <v>2125</v>
      </c>
      <c r="F4" s="123"/>
      <c r="G4" s="124" t="s">
        <v>529</v>
      </c>
      <c r="H4" s="934" t="s">
        <v>530</v>
      </c>
    </row>
    <row r="5" spans="1:10" ht="15" customHeight="1">
      <c r="A5" s="325"/>
      <c r="B5" s="123" t="s">
        <v>2259</v>
      </c>
      <c r="C5" s="124" t="s">
        <v>2260</v>
      </c>
      <c r="D5" s="123" t="s">
        <v>2300</v>
      </c>
      <c r="E5" s="124" t="s">
        <v>2126</v>
      </c>
      <c r="F5" s="123"/>
      <c r="G5" s="940" t="s">
        <v>530</v>
      </c>
      <c r="H5" s="392" t="s">
        <v>531</v>
      </c>
    </row>
    <row r="6" spans="1:10" ht="20.25" customHeight="1">
      <c r="A6" s="326"/>
      <c r="B6" s="129"/>
      <c r="C6" s="128"/>
      <c r="D6" s="129"/>
      <c r="E6" s="128" t="s">
        <v>2262</v>
      </c>
      <c r="F6" s="129"/>
      <c r="G6" s="128" t="s">
        <v>532</v>
      </c>
      <c r="H6" s="129"/>
    </row>
    <row r="7" spans="1:10" ht="1.5" customHeight="1" thickBot="1">
      <c r="A7" s="941">
        <v>1996</v>
      </c>
      <c r="B7" s="439">
        <v>649.20907799999998</v>
      </c>
      <c r="C7" s="440">
        <v>296.20469200000002</v>
      </c>
      <c r="D7" s="942">
        <v>2.7034440000000002</v>
      </c>
      <c r="E7" s="440">
        <v>11.710364999999999</v>
      </c>
      <c r="F7" s="439">
        <v>959.82757900000001</v>
      </c>
      <c r="G7" s="157">
        <v>8.160992566527614E-2</v>
      </c>
      <c r="H7" s="439">
        <v>11761.162275000001</v>
      </c>
    </row>
    <row r="8" spans="1:10" ht="20.25" hidden="1" customHeight="1" thickBot="1">
      <c r="A8" s="943">
        <v>1997</v>
      </c>
      <c r="B8" s="441">
        <v>500.88918699999999</v>
      </c>
      <c r="C8" s="442">
        <v>356.20229</v>
      </c>
      <c r="D8" s="944">
        <v>0.94700200000000001</v>
      </c>
      <c r="E8" s="442">
        <v>35.169956999999997</v>
      </c>
      <c r="F8" s="441">
        <v>893.208437</v>
      </c>
      <c r="G8" s="945">
        <v>7.2355407590263501E-2</v>
      </c>
      <c r="H8" s="441">
        <v>12344.736444</v>
      </c>
      <c r="I8" s="8"/>
      <c r="J8" s="8"/>
    </row>
    <row r="9" spans="1:10" ht="20.25" hidden="1" customHeight="1" thickBot="1">
      <c r="A9" s="943">
        <v>1998</v>
      </c>
      <c r="B9" s="441">
        <v>457.36546700000002</v>
      </c>
      <c r="C9" s="442">
        <v>348.23780499999998</v>
      </c>
      <c r="D9" s="944">
        <v>0.77532999999999996</v>
      </c>
      <c r="E9" s="442">
        <v>48.566195999999998</v>
      </c>
      <c r="F9" s="441">
        <v>854.94479699999999</v>
      </c>
      <c r="G9" s="945">
        <v>6.5539994260804965E-2</v>
      </c>
      <c r="H9" s="441">
        <v>13044.627279</v>
      </c>
    </row>
    <row r="10" spans="1:10" ht="20.25" customHeight="1" thickBot="1">
      <c r="A10" s="943">
        <v>1999</v>
      </c>
      <c r="B10" s="441">
        <v>466.63042200000001</v>
      </c>
      <c r="C10" s="442">
        <v>332.81061399999999</v>
      </c>
      <c r="D10" s="944">
        <v>0.65314099999999997</v>
      </c>
      <c r="E10" s="442">
        <v>54.148946000000002</v>
      </c>
      <c r="F10" s="441">
        <v>854.24312299999997</v>
      </c>
      <c r="G10" s="945">
        <v>6.3520258007815578E-2</v>
      </c>
      <c r="H10" s="441">
        <v>13448.357260999999</v>
      </c>
    </row>
    <row r="11" spans="1:10" ht="20" customHeight="1" thickBot="1">
      <c r="A11" s="943">
        <v>2000</v>
      </c>
      <c r="B11" s="441">
        <v>463.03968730999998</v>
      </c>
      <c r="C11" s="442">
        <v>338.66405874999998</v>
      </c>
      <c r="D11" s="944">
        <v>0.69213239999999998</v>
      </c>
      <c r="E11" s="442">
        <v>60.882478249999998</v>
      </c>
      <c r="F11" s="441">
        <v>863.27835670999991</v>
      </c>
      <c r="G11" s="945">
        <v>6.0778319554744782E-2</v>
      </c>
      <c r="H11" s="441">
        <v>14203.722035000001</v>
      </c>
    </row>
    <row r="12" spans="1:10" ht="20" customHeight="1" thickBot="1">
      <c r="A12" s="943">
        <v>2001</v>
      </c>
      <c r="B12" s="441">
        <v>473.4058023</v>
      </c>
      <c r="C12" s="442">
        <v>367.78467855999997</v>
      </c>
      <c r="D12" s="944">
        <v>0.74993127000000004</v>
      </c>
      <c r="E12" s="442">
        <v>66.915939469999998</v>
      </c>
      <c r="F12" s="441">
        <v>908.85635160000004</v>
      </c>
      <c r="G12" s="945">
        <v>6.0883052653460515E-2</v>
      </c>
      <c r="H12" s="441">
        <v>14927.903775999999</v>
      </c>
    </row>
    <row r="13" spans="1:10" ht="20" customHeight="1" thickBot="1">
      <c r="A13" s="943">
        <v>2002</v>
      </c>
      <c r="B13" s="441">
        <v>472.86005104000003</v>
      </c>
      <c r="C13" s="442">
        <v>381.94053387999998</v>
      </c>
      <c r="D13" s="944">
        <v>0.68625539000000002</v>
      </c>
      <c r="E13" s="442">
        <v>68.086548329999999</v>
      </c>
      <c r="F13" s="441">
        <v>923.57338864000008</v>
      </c>
      <c r="G13" s="945">
        <v>5.9305732530714958E-2</v>
      </c>
      <c r="H13" s="441">
        <v>15573.087949999999</v>
      </c>
    </row>
    <row r="14" spans="1:10" ht="20" customHeight="1" thickBot="1">
      <c r="A14" s="943">
        <v>2003</v>
      </c>
      <c r="B14" s="441">
        <v>470.97029786000002</v>
      </c>
      <c r="C14" s="442">
        <v>408.59478426000004</v>
      </c>
      <c r="D14" s="944">
        <v>0.69236929000000003</v>
      </c>
      <c r="E14" s="442">
        <v>68.876407299999997</v>
      </c>
      <c r="F14" s="441">
        <v>949.13385871000003</v>
      </c>
      <c r="G14" s="945">
        <v>5.7102364889053812E-2</v>
      </c>
      <c r="H14" s="441">
        <v>16621.620847999999</v>
      </c>
    </row>
    <row r="15" spans="1:10" ht="20" customHeight="1" thickBot="1">
      <c r="A15" s="943">
        <v>2004</v>
      </c>
      <c r="B15" s="441">
        <v>484.89785329</v>
      </c>
      <c r="C15" s="442">
        <v>415.93059272000005</v>
      </c>
      <c r="D15" s="944">
        <v>0.72310930000000007</v>
      </c>
      <c r="E15" s="442">
        <v>85.829196190000005</v>
      </c>
      <c r="F15" s="441">
        <v>987.38075149999997</v>
      </c>
      <c r="G15" s="945">
        <v>5.6068315584587115E-2</v>
      </c>
      <c r="H15" s="441">
        <v>17610.315936999999</v>
      </c>
    </row>
    <row r="16" spans="1:10" ht="20" customHeight="1" thickBot="1">
      <c r="A16" s="943">
        <v>2005</v>
      </c>
      <c r="B16" s="441">
        <v>499.70172670000005</v>
      </c>
      <c r="C16" s="442">
        <v>398.93824144999996</v>
      </c>
      <c r="D16" s="944">
        <v>0.73337903999999998</v>
      </c>
      <c r="E16" s="442">
        <v>99.764105649999991</v>
      </c>
      <c r="F16" s="441">
        <v>999.13745284000004</v>
      </c>
      <c r="G16" s="945">
        <v>5.3974609336098663E-2</v>
      </c>
      <c r="H16" s="441">
        <v>18511.249365759999</v>
      </c>
    </row>
    <row r="17" spans="1:9" ht="20" customHeight="1" thickBot="1">
      <c r="A17" s="943">
        <v>2006</v>
      </c>
      <c r="B17" s="441">
        <v>508.33811201999998</v>
      </c>
      <c r="C17" s="442">
        <v>413.42068921999999</v>
      </c>
      <c r="D17" s="944">
        <v>0.82242013000000003</v>
      </c>
      <c r="E17" s="442">
        <v>155.37155938000001</v>
      </c>
      <c r="F17" s="441">
        <v>1077.9527807500001</v>
      </c>
      <c r="G17" s="945">
        <v>5.6978300934543424E-2</v>
      </c>
      <c r="H17" s="441">
        <v>18918.654348580003</v>
      </c>
    </row>
    <row r="18" spans="1:9" ht="20" customHeight="1" thickBot="1">
      <c r="A18" s="943">
        <v>2007</v>
      </c>
      <c r="B18" s="441">
        <v>481.02098633999998</v>
      </c>
      <c r="C18" s="442">
        <v>375.93586996999994</v>
      </c>
      <c r="D18" s="944">
        <v>0.73084894999999994</v>
      </c>
      <c r="E18" s="442">
        <v>214.01462028999998</v>
      </c>
      <c r="F18" s="441">
        <v>1071.7023255499998</v>
      </c>
      <c r="G18" s="945">
        <v>5.4317232192756151E-2</v>
      </c>
      <c r="H18" s="441">
        <v>19730.429594549998</v>
      </c>
    </row>
    <row r="19" spans="1:9" ht="20" customHeight="1" thickBot="1">
      <c r="A19" s="943">
        <v>2008</v>
      </c>
      <c r="B19" s="441">
        <v>494.93695520999995</v>
      </c>
      <c r="C19" s="442">
        <v>380.25120643000002</v>
      </c>
      <c r="D19" s="944">
        <v>1.0176752199999999</v>
      </c>
      <c r="E19" s="442">
        <v>292.41166817999999</v>
      </c>
      <c r="F19" s="441">
        <v>1168.61750504</v>
      </c>
      <c r="G19" s="945">
        <v>5.6945041751302432E-2</v>
      </c>
      <c r="H19" s="441">
        <v>20521.848243500001</v>
      </c>
    </row>
    <row r="20" spans="1:9" ht="27" customHeight="1" thickBot="1">
      <c r="A20" s="946">
        <v>2009</v>
      </c>
      <c r="B20" s="690">
        <v>471.00206706</v>
      </c>
      <c r="C20" s="935">
        <v>343.37352005000002</v>
      </c>
      <c r="D20" s="947">
        <v>0.93321898000000003</v>
      </c>
      <c r="E20" s="935">
        <v>318.95528353000003</v>
      </c>
      <c r="F20" s="690">
        <v>1134.26408962</v>
      </c>
      <c r="G20" s="948">
        <v>5.3220919384584751E-2</v>
      </c>
      <c r="H20" s="949">
        <v>21312.37308066</v>
      </c>
      <c r="I20" s="7"/>
    </row>
    <row r="21" spans="1:9" ht="20" customHeight="1">
      <c r="A21" s="140" t="s">
        <v>1837</v>
      </c>
      <c r="B21" s="140"/>
      <c r="C21" s="140"/>
      <c r="D21" s="140"/>
      <c r="E21" s="140"/>
      <c r="F21" s="140"/>
      <c r="G21" s="140"/>
    </row>
    <row r="22" spans="1:9">
      <c r="F22" s="950"/>
    </row>
    <row r="23" spans="1:9">
      <c r="A23" s="2" t="s">
        <v>533</v>
      </c>
    </row>
    <row r="26" spans="1:9">
      <c r="A26" s="2" t="s">
        <v>710</v>
      </c>
    </row>
  </sheetData>
  <phoneticPr fontId="0" type="noConversion"/>
  <pageMargins left="0.48" right="0.56000000000000005" top="0.94" bottom="0.49" header="0.57999999999999996" footer="0.4921259845"/>
  <pageSetup paperSize="9" scale="74" orientation="portrait" horizontalDpi="1200" verticalDpi="120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801AD-98D3-BE4D-AC02-9A772FAAB8CA}">
  <sheetPr>
    <pageSetUpPr fitToPage="1"/>
  </sheetPr>
  <dimension ref="A1:J26"/>
  <sheetViews>
    <sheetView zoomScale="75" workbookViewId="0">
      <selection activeCell="I3" sqref="I3"/>
    </sheetView>
  </sheetViews>
  <sheetFormatPr baseColWidth="10" defaultColWidth="11.3984375" defaultRowHeight="13"/>
  <cols>
    <col min="1" max="1" width="19.59765625" style="2" customWidth="1"/>
    <col min="2" max="7" width="14.796875" style="2" customWidth="1"/>
    <col min="8" max="8" width="15.3984375" style="2" customWidth="1"/>
    <col min="9" max="16384" width="11.3984375" style="2"/>
  </cols>
  <sheetData>
    <row r="1" spans="1:10" s="1" customFormat="1" ht="14" customHeight="1"/>
    <row r="2" spans="1:10" s="1" customFormat="1" ht="39" customHeight="1">
      <c r="A2" s="2014" t="s">
        <v>2171</v>
      </c>
      <c r="B2" s="2018"/>
      <c r="C2" s="2018"/>
      <c r="D2" s="2018"/>
      <c r="E2" s="2018"/>
      <c r="F2" s="2018"/>
      <c r="G2" s="2018"/>
    </row>
    <row r="3" spans="1:10" ht="24" customHeight="1">
      <c r="A3" s="119" t="s">
        <v>2320</v>
      </c>
      <c r="B3" s="120" t="s">
        <v>2251</v>
      </c>
      <c r="C3" s="121" t="s">
        <v>2252</v>
      </c>
      <c r="D3" s="120" t="s">
        <v>2253</v>
      </c>
      <c r="E3" s="121" t="s">
        <v>2254</v>
      </c>
      <c r="F3" s="120" t="s">
        <v>1567</v>
      </c>
      <c r="G3" s="121" t="s">
        <v>1801</v>
      </c>
    </row>
    <row r="4" spans="1:10" ht="15" customHeight="1">
      <c r="A4" s="325"/>
      <c r="B4" s="123" t="s">
        <v>2255</v>
      </c>
      <c r="C4" s="124" t="s">
        <v>2256</v>
      </c>
      <c r="D4" s="123" t="s">
        <v>2124</v>
      </c>
      <c r="E4" s="150" t="s">
        <v>2125</v>
      </c>
      <c r="F4" s="123"/>
      <c r="G4" s="124" t="s">
        <v>1802</v>
      </c>
    </row>
    <row r="5" spans="1:10" ht="15" customHeight="1">
      <c r="A5" s="325"/>
      <c r="B5" s="123" t="s">
        <v>2259</v>
      </c>
      <c r="C5" s="124" t="s">
        <v>2260</v>
      </c>
      <c r="D5" s="123" t="s">
        <v>2300</v>
      </c>
      <c r="E5" s="150" t="s">
        <v>2126</v>
      </c>
      <c r="F5" s="123"/>
      <c r="G5" s="124" t="s">
        <v>1806</v>
      </c>
    </row>
    <row r="6" spans="1:10" ht="24" customHeight="1">
      <c r="A6" s="326"/>
      <c r="B6" s="129"/>
      <c r="C6" s="128"/>
      <c r="D6" s="129"/>
      <c r="E6" s="153" t="s">
        <v>2262</v>
      </c>
      <c r="F6" s="129"/>
      <c r="G6" s="128"/>
    </row>
    <row r="7" spans="1:10" ht="1.5" customHeight="1" thickBot="1">
      <c r="A7" s="327">
        <v>1996</v>
      </c>
      <c r="B7" s="170">
        <v>136.97434362103451</v>
      </c>
      <c r="C7" s="171">
        <v>128.46694435673865</v>
      </c>
      <c r="D7" s="170">
        <v>97.148339801638642</v>
      </c>
      <c r="E7" s="171">
        <v>96.303927696179215</v>
      </c>
      <c r="F7" s="170">
        <v>133.40658749416588</v>
      </c>
      <c r="G7" s="157">
        <v>0.15128629508664851</v>
      </c>
    </row>
    <row r="8" spans="1:10" ht="0.75" hidden="1" customHeight="1" thickBot="1">
      <c r="A8" s="328">
        <v>1997</v>
      </c>
      <c r="B8" s="188">
        <v>122.6511004066257</v>
      </c>
      <c r="C8" s="187">
        <v>130.17357705334524</v>
      </c>
      <c r="D8" s="188">
        <v>82.390986601705237</v>
      </c>
      <c r="E8" s="187">
        <v>91.805271826945415</v>
      </c>
      <c r="F8" s="188">
        <v>123.8021591713151</v>
      </c>
      <c r="G8" s="158">
        <v>-7.1993658658503643E-2</v>
      </c>
      <c r="H8" s="8"/>
      <c r="I8" s="8"/>
      <c r="J8" s="8"/>
    </row>
    <row r="9" spans="1:10" ht="19.5" hidden="1" customHeight="1" thickBot="1">
      <c r="A9" s="328">
        <v>1998</v>
      </c>
      <c r="B9" s="188">
        <v>113.87825236718575</v>
      </c>
      <c r="C9" s="187">
        <v>127.72488252200283</v>
      </c>
      <c r="D9" s="188">
        <v>65.550388907676705</v>
      </c>
      <c r="E9" s="187">
        <v>98.304177799368475</v>
      </c>
      <c r="F9" s="188">
        <v>117.94614727831004</v>
      </c>
      <c r="G9" s="158">
        <v>-4.7301371253966752E-2</v>
      </c>
    </row>
    <row r="10" spans="1:10" ht="20" customHeight="1" thickBot="1">
      <c r="A10" s="328">
        <v>1999</v>
      </c>
      <c r="B10" s="188">
        <v>116.69424749371302</v>
      </c>
      <c r="C10" s="187">
        <v>122.55319883843305</v>
      </c>
      <c r="D10" s="188">
        <v>63.671378436342366</v>
      </c>
      <c r="E10" s="187">
        <v>99.926084629721899</v>
      </c>
      <c r="F10" s="188">
        <v>117.55853932562621</v>
      </c>
      <c r="G10" s="158">
        <v>-3.2863129625523811E-3</v>
      </c>
    </row>
    <row r="11" spans="1:10" ht="20" customHeight="1" thickBot="1">
      <c r="A11" s="328">
        <v>2000</v>
      </c>
      <c r="B11" s="188">
        <v>118.06454168111537</v>
      </c>
      <c r="C11" s="187">
        <v>122.76935680445337</v>
      </c>
      <c r="D11" s="188">
        <v>70.546570176332693</v>
      </c>
      <c r="E11" s="187">
        <v>105.36199101482934</v>
      </c>
      <c r="F11" s="188">
        <v>118.77616573412266</v>
      </c>
      <c r="G11" s="158">
        <v>1.0357617706730186E-2</v>
      </c>
    </row>
    <row r="12" spans="1:10" ht="20" customHeight="1" thickBot="1">
      <c r="A12" s="328">
        <v>2001</v>
      </c>
      <c r="B12" s="188">
        <v>121.94294466707073</v>
      </c>
      <c r="C12" s="187">
        <v>129.78424801045657</v>
      </c>
      <c r="D12" s="188">
        <v>80.283831495557223</v>
      </c>
      <c r="E12" s="187">
        <v>112.28655864106896</v>
      </c>
      <c r="F12" s="188">
        <v>124.13887771371346</v>
      </c>
      <c r="G12" s="158">
        <v>4.514973139977501E-2</v>
      </c>
    </row>
    <row r="13" spans="1:10" ht="20" customHeight="1" thickBot="1">
      <c r="A13" s="328">
        <v>2002</v>
      </c>
      <c r="B13" s="188">
        <v>124.02317297960094</v>
      </c>
      <c r="C13" s="187">
        <v>128.13270639622655</v>
      </c>
      <c r="D13" s="188">
        <v>77.674633842671199</v>
      </c>
      <c r="E13" s="187">
        <v>122.23028773775435</v>
      </c>
      <c r="F13" s="188">
        <v>125.49634223061366</v>
      </c>
      <c r="G13" s="158">
        <v>1.0935047439616501E-2</v>
      </c>
    </row>
    <row r="14" spans="1:10" ht="20" customHeight="1" thickBot="1">
      <c r="A14" s="328">
        <v>2003</v>
      </c>
      <c r="B14" s="188">
        <v>128.18064482468625</v>
      </c>
      <c r="C14" s="187">
        <v>131.50371046027854</v>
      </c>
      <c r="D14" s="188">
        <v>83.247479860526639</v>
      </c>
      <c r="E14" s="187">
        <v>114.12750752273389</v>
      </c>
      <c r="F14" s="188">
        <v>128.37951080237647</v>
      </c>
      <c r="G14" s="158">
        <v>2.2974124349095865E-2</v>
      </c>
    </row>
    <row r="15" spans="1:10" ht="20" customHeight="1" thickBot="1">
      <c r="A15" s="328">
        <v>2004</v>
      </c>
      <c r="B15" s="188">
        <v>133.23979485267307</v>
      </c>
      <c r="C15" s="187">
        <v>137.50576239336979</v>
      </c>
      <c r="D15" s="188">
        <v>89.294801185477908</v>
      </c>
      <c r="E15" s="187">
        <v>114.78082206198195</v>
      </c>
      <c r="F15" s="188">
        <v>133.07064842814813</v>
      </c>
      <c r="G15" s="158">
        <v>3.6541170755768453E-2</v>
      </c>
    </row>
    <row r="16" spans="1:10" ht="20" customHeight="1" thickBot="1">
      <c r="A16" s="328">
        <v>2005</v>
      </c>
      <c r="B16" s="188">
        <v>138.59129568130271</v>
      </c>
      <c r="C16" s="187">
        <v>135.73607782113612</v>
      </c>
      <c r="D16" s="188">
        <v>95.10816236545196</v>
      </c>
      <c r="E16" s="187">
        <v>110.10117463274447</v>
      </c>
      <c r="F16" s="188">
        <v>133.96001901729241</v>
      </c>
      <c r="G16" s="158">
        <v>6.6834467228473445E-3</v>
      </c>
    </row>
    <row r="17" spans="1:7" ht="20" customHeight="1" thickBot="1">
      <c r="A17" s="328">
        <v>2006</v>
      </c>
      <c r="B17" s="188">
        <v>151.46736589900746</v>
      </c>
      <c r="C17" s="187">
        <v>148.31613261539576</v>
      </c>
      <c r="D17" s="188">
        <v>113.9086052631579</v>
      </c>
      <c r="E17" s="187">
        <v>114.51273017660594</v>
      </c>
      <c r="F17" s="188">
        <v>143.58259334442883</v>
      </c>
      <c r="G17" s="158">
        <v>7.1831688273306951E-2</v>
      </c>
    </row>
    <row r="18" spans="1:7" ht="20" customHeight="1" thickBot="1">
      <c r="A18" s="328">
        <v>2007</v>
      </c>
      <c r="B18" s="188">
        <v>152.73266388118995</v>
      </c>
      <c r="C18" s="187">
        <v>145.72564172666276</v>
      </c>
      <c r="D18" s="188">
        <v>105.8741054613936</v>
      </c>
      <c r="E18" s="187">
        <v>116.24614705110733</v>
      </c>
      <c r="F18" s="188">
        <v>141.43904653502142</v>
      </c>
      <c r="G18" s="158">
        <v>-1.4929015833175735E-2</v>
      </c>
    </row>
    <row r="19" spans="1:7" ht="20" customHeight="1" thickBot="1">
      <c r="A19" s="328">
        <v>2008</v>
      </c>
      <c r="B19" s="188">
        <v>166.74852036814676</v>
      </c>
      <c r="C19" s="187">
        <v>158.8072958116353</v>
      </c>
      <c r="D19" s="188">
        <v>155.20439530272989</v>
      </c>
      <c r="E19" s="187">
        <v>127.10947809383383</v>
      </c>
      <c r="F19" s="188">
        <v>152.36985357406002</v>
      </c>
      <c r="G19" s="158">
        <v>7.7282810559190507E-2</v>
      </c>
    </row>
    <row r="20" spans="1:7" ht="26.25" customHeight="1" thickBot="1">
      <c r="A20" s="329">
        <v>2009</v>
      </c>
      <c r="B20" s="191">
        <v>172.89857527390382</v>
      </c>
      <c r="C20" s="190">
        <v>158.95450202822192</v>
      </c>
      <c r="D20" s="191">
        <v>151.79228692257647</v>
      </c>
      <c r="E20" s="190">
        <v>111.58441203096042</v>
      </c>
      <c r="F20" s="191">
        <v>146.37701861838218</v>
      </c>
      <c r="G20" s="161">
        <v>-3.9330844094858874E-2</v>
      </c>
    </row>
    <row r="21" spans="1:7" ht="20.25" customHeight="1">
      <c r="A21" s="140" t="s">
        <v>1837</v>
      </c>
      <c r="B21" s="140"/>
      <c r="C21" s="140"/>
      <c r="D21" s="140"/>
      <c r="E21" s="140"/>
      <c r="F21" s="140"/>
      <c r="G21" s="140"/>
    </row>
    <row r="23" spans="1:7">
      <c r="A23" s="2" t="s">
        <v>2172</v>
      </c>
    </row>
    <row r="26" spans="1:7">
      <c r="A26" s="2" t="s">
        <v>710</v>
      </c>
    </row>
  </sheetData>
  <mergeCells count="1">
    <mergeCell ref="A2:G2"/>
  </mergeCells>
  <phoneticPr fontId="0" type="noConversion"/>
  <pageMargins left="0.55000000000000004" right="0.55000000000000004" top="1.0900000000000001" bottom="0.49" header="0.53" footer="0.4921259845"/>
  <pageSetup paperSize="9" scale="74" orientation="portrait" horizontalDpi="4294967292" verticalDpi="4294967292"/>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2C971-3514-5F4B-9DE4-EC2480B1F3B8}">
  <sheetPr>
    <pageSetUpPr fitToPage="1"/>
  </sheetPr>
  <dimension ref="A1:K30"/>
  <sheetViews>
    <sheetView topLeftCell="A10" zoomScale="75" workbookViewId="0">
      <selection activeCell="E6" sqref="E6"/>
    </sheetView>
  </sheetViews>
  <sheetFormatPr baseColWidth="10" defaultColWidth="11.3984375" defaultRowHeight="13"/>
  <cols>
    <col min="1" max="1" width="17.796875" style="2" customWidth="1"/>
    <col min="2" max="2" width="17.3984375" style="2" customWidth="1"/>
    <col min="3" max="5" width="15.3984375" style="2" customWidth="1"/>
    <col min="6" max="6" width="16.19921875" style="488" customWidth="1"/>
    <col min="7" max="7" width="18.3984375" style="2" customWidth="1"/>
    <col min="8" max="16384" width="11.3984375" style="2"/>
  </cols>
  <sheetData>
    <row r="1" spans="1:11" s="1" customFormat="1" ht="14" customHeight="1">
      <c r="F1" s="587"/>
    </row>
    <row r="2" spans="1:11" s="1" customFormat="1" ht="28" customHeight="1">
      <c r="A2" s="118" t="s">
        <v>2173</v>
      </c>
      <c r="F2" s="398"/>
      <c r="G2" s="698"/>
    </row>
    <row r="3" spans="1:11" ht="24" customHeight="1">
      <c r="A3" s="119" t="s">
        <v>2320</v>
      </c>
      <c r="B3" s="120" t="s">
        <v>2174</v>
      </c>
      <c r="C3" s="306" t="s">
        <v>1801</v>
      </c>
      <c r="D3" s="120" t="s">
        <v>2184</v>
      </c>
      <c r="E3" s="644" t="s">
        <v>2175</v>
      </c>
      <c r="F3" s="588" t="s">
        <v>2175</v>
      </c>
      <c r="G3" s="700"/>
    </row>
    <row r="4" spans="1:11" ht="15" customHeight="1">
      <c r="A4" s="325"/>
      <c r="B4" s="149" t="s">
        <v>2088</v>
      </c>
      <c r="C4" s="122" t="s">
        <v>1802</v>
      </c>
      <c r="D4" s="149" t="s">
        <v>2176</v>
      </c>
      <c r="E4" s="645" t="s">
        <v>2177</v>
      </c>
      <c r="F4" s="589" t="s">
        <v>2177</v>
      </c>
      <c r="G4" s="700"/>
    </row>
    <row r="5" spans="1:11" ht="15" customHeight="1">
      <c r="A5" s="325"/>
      <c r="B5" s="392" t="s">
        <v>2334</v>
      </c>
      <c r="C5" s="122" t="s">
        <v>1806</v>
      </c>
      <c r="D5" s="123" t="s">
        <v>2178</v>
      </c>
      <c r="E5" s="645" t="s">
        <v>2185</v>
      </c>
      <c r="F5" s="589" t="s">
        <v>2186</v>
      </c>
      <c r="G5" s="700"/>
    </row>
    <row r="6" spans="1:11" ht="22.5" customHeight="1">
      <c r="A6" s="326"/>
      <c r="B6" s="129"/>
      <c r="C6" s="126"/>
      <c r="D6" s="129" t="s">
        <v>2179</v>
      </c>
      <c r="E6" s="128"/>
      <c r="F6" s="590"/>
      <c r="G6" s="790"/>
    </row>
    <row r="7" spans="1:11" ht="1.5" customHeight="1" thickBot="1">
      <c r="A7" s="327">
        <v>1996</v>
      </c>
      <c r="B7" s="170">
        <v>2856.0771495999998</v>
      </c>
      <c r="C7" s="375" t="s">
        <v>1854</v>
      </c>
      <c r="D7" s="170">
        <v>394.88575237875602</v>
      </c>
      <c r="E7" s="157">
        <v>0.25659604678130066</v>
      </c>
      <c r="F7" s="576">
        <v>0.16889043725722225</v>
      </c>
      <c r="G7" s="951"/>
    </row>
    <row r="8" spans="1:11" ht="0.75" hidden="1" customHeight="1" thickBot="1">
      <c r="A8" s="328">
        <v>1997</v>
      </c>
      <c r="B8" s="188">
        <v>2991.8799653000001</v>
      </c>
      <c r="C8" s="364">
        <v>4.7548721055738929E-2</v>
      </c>
      <c r="D8" s="188">
        <v>413.44461478530076</v>
      </c>
      <c r="E8" s="158">
        <v>0.24848089473110047</v>
      </c>
      <c r="F8" s="457">
        <v>0.17196051689003333</v>
      </c>
      <c r="G8" s="951"/>
      <c r="I8" s="8"/>
      <c r="J8" s="8"/>
      <c r="K8" s="8"/>
    </row>
    <row r="9" spans="1:11" ht="22.5" hidden="1" customHeight="1" thickBot="1">
      <c r="A9" s="328">
        <v>1998</v>
      </c>
      <c r="B9" s="188">
        <v>2985.5309591999999</v>
      </c>
      <c r="C9" s="364">
        <v>-2.1220791521171876E-3</v>
      </c>
      <c r="D9" s="188">
        <v>411.98967338686089</v>
      </c>
      <c r="E9" s="158">
        <v>0.23492819435144413</v>
      </c>
      <c r="F9" s="457">
        <v>0.16909401257090675</v>
      </c>
      <c r="G9" s="951"/>
    </row>
    <row r="10" spans="1:11" ht="22.5" customHeight="1" thickBot="1">
      <c r="A10" s="328">
        <v>1999</v>
      </c>
      <c r="B10" s="188">
        <v>3077.4121471999997</v>
      </c>
      <c r="C10" s="364">
        <v>3.0775493289347849E-2</v>
      </c>
      <c r="D10" s="188">
        <v>423.27251702147385</v>
      </c>
      <c r="E10" s="158">
        <v>0.23610935015841622</v>
      </c>
      <c r="F10" s="457">
        <v>0.17151239307717711</v>
      </c>
      <c r="G10" s="951"/>
    </row>
    <row r="11" spans="1:11" ht="20" customHeight="1" thickBot="1">
      <c r="A11" s="328">
        <v>2000</v>
      </c>
      <c r="B11" s="188">
        <v>2832.1064589000002</v>
      </c>
      <c r="C11" s="364">
        <v>-7.9711678698347957E-2</v>
      </c>
      <c r="D11" s="188">
        <v>389.82276793217119</v>
      </c>
      <c r="E11" s="158">
        <v>0.21069626660407667</v>
      </c>
      <c r="F11" s="457">
        <v>0.16991133453450352</v>
      </c>
      <c r="G11" s="951"/>
    </row>
    <row r="12" spans="1:11" ht="20" customHeight="1" thickBot="1">
      <c r="A12" s="328">
        <v>2001</v>
      </c>
      <c r="B12" s="188">
        <v>2102.6392701999998</v>
      </c>
      <c r="C12" s="364">
        <v>-0.25757053955638659</v>
      </c>
      <c r="D12" s="188">
        <v>287.99008361810974</v>
      </c>
      <c r="E12" s="158">
        <v>0.15021735666544661</v>
      </c>
      <c r="F12" s="457">
        <v>0.16939255966928513</v>
      </c>
      <c r="G12" s="951"/>
    </row>
    <row r="13" spans="1:11" ht="20" customHeight="1" thickBot="1">
      <c r="A13" s="328">
        <v>2002</v>
      </c>
      <c r="B13" s="188">
        <v>1965.5320859999999</v>
      </c>
      <c r="C13" s="364">
        <v>-6.5207183249725215E-2</v>
      </c>
      <c r="D13" s="188">
        <v>267.61478124431557</v>
      </c>
      <c r="E13" s="158">
        <v>0.12800562007019203</v>
      </c>
      <c r="F13" s="457">
        <v>0.16961724397646502</v>
      </c>
      <c r="G13" s="951"/>
    </row>
    <row r="14" spans="1:11" ht="20" customHeight="1" thickBot="1">
      <c r="A14" s="328">
        <v>2003</v>
      </c>
      <c r="B14" s="188">
        <v>2393.7060728000001</v>
      </c>
      <c r="C14" s="364">
        <v>0.2178412603130612</v>
      </c>
      <c r="D14" s="188">
        <v>324.68015590359045</v>
      </c>
      <c r="E14" s="158">
        <v>0.14231214354211111</v>
      </c>
      <c r="F14" s="457">
        <v>0.170648522304884</v>
      </c>
      <c r="G14" s="951"/>
    </row>
    <row r="15" spans="1:11" ht="20" customHeight="1" thickBot="1">
      <c r="A15" s="328">
        <v>2004</v>
      </c>
      <c r="B15" s="188">
        <v>2968.4810149999998</v>
      </c>
      <c r="C15" s="364">
        <v>0.24011926473815798</v>
      </c>
      <c r="D15" s="188">
        <v>402.03849991887398</v>
      </c>
      <c r="E15" s="158">
        <v>0.16464390527007836</v>
      </c>
      <c r="F15" s="457">
        <v>0.16498531532934302</v>
      </c>
      <c r="G15" s="951"/>
    </row>
    <row r="16" spans="1:11" ht="20" customHeight="1" thickBot="1">
      <c r="A16" s="328">
        <v>2005</v>
      </c>
      <c r="B16" s="188">
        <v>3184.4883300000001</v>
      </c>
      <c r="C16" s="364">
        <v>7.2766951820980502E-2</v>
      </c>
      <c r="D16" s="188">
        <v>428.26064350549666</v>
      </c>
      <c r="E16" s="158">
        <v>0.17216782468933323</v>
      </c>
      <c r="F16" s="457">
        <v>0.16198747607257327</v>
      </c>
      <c r="G16" s="951"/>
    </row>
    <row r="17" spans="1:7" ht="20" customHeight="1" thickBot="1">
      <c r="A17" s="328">
        <v>2006</v>
      </c>
      <c r="B17" s="188">
        <v>3749.0085764</v>
      </c>
      <c r="C17" s="364">
        <v>0.17727188417738679</v>
      </c>
      <c r="D17" s="188">
        <v>501.3096435628392</v>
      </c>
      <c r="E17" s="158">
        <v>0.19410142905887745</v>
      </c>
      <c r="F17" s="457">
        <v>0.16226794774511255</v>
      </c>
      <c r="G17" s="951"/>
    </row>
    <row r="18" spans="1:7" ht="20" customHeight="1" thickBot="1">
      <c r="A18" s="328">
        <v>2007</v>
      </c>
      <c r="B18" s="188">
        <v>3970.4438487200005</v>
      </c>
      <c r="C18" s="364">
        <v>5.9065021540344008E-2</v>
      </c>
      <c r="D18" s="188">
        <v>526.75277940082935</v>
      </c>
      <c r="E18" s="158">
        <v>0.20165652481540366</v>
      </c>
      <c r="F18" s="457">
        <v>0.14404868700935056</v>
      </c>
      <c r="G18" s="951"/>
    </row>
    <row r="19" spans="1:7" ht="20" customHeight="1" thickBot="1">
      <c r="A19" s="328">
        <v>2008</v>
      </c>
      <c r="B19" s="188">
        <v>3251.9246672899999</v>
      </c>
      <c r="C19" s="364">
        <v>-0.18096696712173332</v>
      </c>
      <c r="D19" s="188">
        <v>427.01052060248747</v>
      </c>
      <c r="E19" s="158">
        <v>0.16513713887296896</v>
      </c>
      <c r="F19" s="457">
        <v>0.12504203657801569</v>
      </c>
      <c r="G19" s="951"/>
    </row>
    <row r="20" spans="1:7" ht="30" customHeight="1" thickBot="1">
      <c r="A20" s="329">
        <v>2009</v>
      </c>
      <c r="B20" s="191">
        <v>2863.0083966900002</v>
      </c>
      <c r="C20" s="377">
        <v>-0.11959571957861626</v>
      </c>
      <c r="D20" s="191">
        <v>371.39247578148081</v>
      </c>
      <c r="E20" s="161">
        <v>0.14226293301594328</v>
      </c>
      <c r="F20" s="614">
        <v>0.11570685531661619</v>
      </c>
      <c r="G20" s="952"/>
    </row>
    <row r="21" spans="1:7" ht="20" customHeight="1">
      <c r="A21" s="140" t="s">
        <v>1837</v>
      </c>
      <c r="B21" s="140"/>
      <c r="C21" s="140"/>
      <c r="D21" s="140"/>
      <c r="E21" s="140"/>
      <c r="F21" s="653"/>
      <c r="G21" s="141"/>
    </row>
    <row r="22" spans="1:7" ht="14.25" customHeight="1">
      <c r="A22" s="141"/>
      <c r="B22" s="141"/>
      <c r="C22" s="141"/>
      <c r="D22" s="141"/>
      <c r="E22" s="141"/>
      <c r="F22" s="654"/>
      <c r="G22" s="141"/>
    </row>
    <row r="23" spans="1:7" ht="12.75" customHeight="1">
      <c r="A23" s="141" t="s">
        <v>2180</v>
      </c>
      <c r="B23" s="141"/>
      <c r="C23" s="141"/>
      <c r="D23" s="141"/>
      <c r="E23" s="141"/>
      <c r="F23" s="654"/>
      <c r="G23" s="141"/>
    </row>
    <row r="24" spans="1:7">
      <c r="A24" s="2" t="s">
        <v>2181</v>
      </c>
    </row>
    <row r="25" spans="1:7">
      <c r="A25" s="141" t="s">
        <v>2182</v>
      </c>
    </row>
    <row r="27" spans="1:7">
      <c r="A27" s="2" t="s">
        <v>2183</v>
      </c>
    </row>
    <row r="30" spans="1:7">
      <c r="A30" s="2" t="s">
        <v>710</v>
      </c>
    </row>
  </sheetData>
  <phoneticPr fontId="0" type="noConversion"/>
  <pageMargins left="0.57999999999999996" right="0.69" top="0.94" bottom="0.49" header="0.53" footer="0.4921259845"/>
  <pageSetup paperSize="9" scale="77" orientation="portrait" horizontalDpi="4294967292" verticalDpi="4294967292"/>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9D8BA-365C-2C44-ABA5-C0778E207094}">
  <sheetPr>
    <pageSetUpPr fitToPage="1"/>
  </sheetPr>
  <dimension ref="A1:K29"/>
  <sheetViews>
    <sheetView zoomScale="75" workbookViewId="0">
      <selection activeCell="I18" sqref="I18"/>
    </sheetView>
  </sheetViews>
  <sheetFormatPr baseColWidth="10" defaultColWidth="11.3984375" defaultRowHeight="13"/>
  <cols>
    <col min="1" max="1" width="17.59765625" style="2" customWidth="1"/>
    <col min="2" max="2" width="16.796875" style="2" customWidth="1"/>
    <col min="3" max="5" width="15.3984375" style="2" customWidth="1"/>
    <col min="6" max="6" width="15.3984375" style="488" customWidth="1"/>
    <col min="7" max="7" width="15.3984375" style="2" customWidth="1"/>
    <col min="8" max="16384" width="11.3984375" style="2"/>
  </cols>
  <sheetData>
    <row r="1" spans="1:11" s="1" customFormat="1" ht="14" customHeight="1">
      <c r="F1" s="587"/>
    </row>
    <row r="2" spans="1:11" s="1" customFormat="1" ht="27.75" customHeight="1">
      <c r="A2" s="2014" t="s">
        <v>2187</v>
      </c>
      <c r="B2" s="2018"/>
      <c r="C2" s="2018"/>
      <c r="D2" s="2018"/>
      <c r="E2" s="2018"/>
      <c r="F2" s="2018"/>
      <c r="G2" s="398"/>
    </row>
    <row r="3" spans="1:11" ht="24" customHeight="1">
      <c r="A3" s="119" t="s">
        <v>2320</v>
      </c>
      <c r="B3" s="120" t="s">
        <v>2174</v>
      </c>
      <c r="C3" s="121" t="s">
        <v>1801</v>
      </c>
      <c r="D3" s="120" t="s">
        <v>2188</v>
      </c>
      <c r="E3" s="121" t="s">
        <v>1801</v>
      </c>
      <c r="F3" s="588" t="s">
        <v>1970</v>
      </c>
      <c r="G3" s="700"/>
    </row>
    <row r="4" spans="1:11" ht="15" customHeight="1">
      <c r="A4" s="325"/>
      <c r="B4" s="149" t="s">
        <v>2189</v>
      </c>
      <c r="C4" s="124" t="s">
        <v>1802</v>
      </c>
      <c r="D4" s="149" t="s">
        <v>2190</v>
      </c>
      <c r="E4" s="124" t="s">
        <v>1802</v>
      </c>
      <c r="F4" s="589" t="s">
        <v>2191</v>
      </c>
      <c r="G4" s="700"/>
    </row>
    <row r="5" spans="1:11" ht="15" customHeight="1">
      <c r="A5" s="325"/>
      <c r="B5" s="123" t="s">
        <v>2192</v>
      </c>
      <c r="C5" s="124" t="s">
        <v>1806</v>
      </c>
      <c r="D5" s="123" t="s">
        <v>900</v>
      </c>
      <c r="E5" s="124" t="s">
        <v>1806</v>
      </c>
      <c r="F5" s="589" t="s">
        <v>2193</v>
      </c>
      <c r="G5" s="700"/>
    </row>
    <row r="6" spans="1:11" ht="24" customHeight="1">
      <c r="A6" s="326"/>
      <c r="B6" s="129" t="s">
        <v>2334</v>
      </c>
      <c r="C6" s="128"/>
      <c r="D6" s="129" t="s">
        <v>2196</v>
      </c>
      <c r="E6" s="128"/>
      <c r="F6" s="590" t="s">
        <v>2197</v>
      </c>
      <c r="G6" s="790"/>
    </row>
    <row r="7" spans="1:11" ht="2.25" customHeight="1" thickBot="1">
      <c r="A7" s="327">
        <v>1996</v>
      </c>
      <c r="B7" s="170">
        <v>3454.5367919999999</v>
      </c>
      <c r="C7" s="157" t="s">
        <v>1854</v>
      </c>
      <c r="D7" s="170">
        <v>477.62973077565988</v>
      </c>
      <c r="E7" s="157" t="s">
        <v>1854</v>
      </c>
      <c r="F7" s="576">
        <v>0.3204435263250443</v>
      </c>
      <c r="G7" s="951"/>
    </row>
    <row r="8" spans="1:11" ht="0.75" hidden="1" customHeight="1" thickBot="1">
      <c r="A8" s="328">
        <v>1997</v>
      </c>
      <c r="B8" s="188">
        <v>3507.8977540000001</v>
      </c>
      <c r="C8" s="158">
        <v>1.5446632996809664E-2</v>
      </c>
      <c r="D8" s="188">
        <v>484.75254775428522</v>
      </c>
      <c r="E8" s="158">
        <v>1.4912842563334664E-2</v>
      </c>
      <c r="F8" s="457">
        <v>0.30878035637656381</v>
      </c>
      <c r="G8" s="951"/>
      <c r="I8" s="8"/>
      <c r="J8" s="8"/>
      <c r="K8" s="8"/>
    </row>
    <row r="9" spans="1:11" ht="19.5" hidden="1" customHeight="1" thickBot="1">
      <c r="A9" s="328">
        <v>1998</v>
      </c>
      <c r="B9" s="188">
        <v>3693.9578390000001</v>
      </c>
      <c r="C9" s="158">
        <v>5.3040338700818382E-2</v>
      </c>
      <c r="D9" s="188">
        <v>509.74935597525797</v>
      </c>
      <c r="E9" s="158">
        <v>5.1566120357232882E-2</v>
      </c>
      <c r="F9" s="457">
        <v>0.30971755221728081</v>
      </c>
      <c r="G9" s="951"/>
    </row>
    <row r="10" spans="1:11" ht="20" customHeight="1" thickBot="1">
      <c r="A10" s="328">
        <v>1999</v>
      </c>
      <c r="B10" s="188">
        <v>3810.0183766999999</v>
      </c>
      <c r="C10" s="158">
        <v>3.1419020670636219E-2</v>
      </c>
      <c r="D10" s="188">
        <v>524.03642778331459</v>
      </c>
      <c r="E10" s="158">
        <v>2.8027640723002865E-2</v>
      </c>
      <c r="F10" s="457">
        <v>0.30650294561819263</v>
      </c>
      <c r="G10" s="951"/>
    </row>
    <row r="11" spans="1:11" ht="20" customHeight="1" thickBot="1">
      <c r="A11" s="328">
        <v>2000</v>
      </c>
      <c r="B11" s="188">
        <v>3956.2184863000002</v>
      </c>
      <c r="C11" s="158">
        <v>3.8372547096906594E-2</v>
      </c>
      <c r="D11" s="188">
        <v>544.55016542757153</v>
      </c>
      <c r="E11" s="158">
        <v>3.9145632930577913E-2</v>
      </c>
      <c r="F11" s="457">
        <v>0.29993370263899466</v>
      </c>
      <c r="G11" s="951"/>
    </row>
    <row r="12" spans="1:11" ht="20" customHeight="1" thickBot="1">
      <c r="A12" s="328">
        <v>2001</v>
      </c>
      <c r="B12" s="188">
        <v>3996.3588403000003</v>
      </c>
      <c r="C12" s="158">
        <v>1.0146141862235935E-2</v>
      </c>
      <c r="D12" s="188">
        <v>547.35962635511339</v>
      </c>
      <c r="E12" s="158">
        <v>5.1592325297264803E-3</v>
      </c>
      <c r="F12" s="457">
        <v>0.28573440049664334</v>
      </c>
      <c r="G12" s="951"/>
    </row>
    <row r="13" spans="1:11" ht="20" customHeight="1" thickBot="1">
      <c r="A13" s="328">
        <v>2002</v>
      </c>
      <c r="B13" s="188">
        <v>4018.0238040999998</v>
      </c>
      <c r="C13" s="158">
        <v>5.4211757917047021E-3</v>
      </c>
      <c r="D13" s="188">
        <v>547.06945209780417</v>
      </c>
      <c r="E13" s="158">
        <v>-5.3013456480431012E-4</v>
      </c>
      <c r="F13" s="457">
        <v>0.27534370592196139</v>
      </c>
      <c r="G13" s="951"/>
    </row>
    <row r="14" spans="1:11" ht="20" customHeight="1" thickBot="1">
      <c r="A14" s="328">
        <v>2003</v>
      </c>
      <c r="B14" s="188">
        <v>4264.2535405999997</v>
      </c>
      <c r="C14" s="158">
        <v>6.1281303572354805E-2</v>
      </c>
      <c r="D14" s="188">
        <v>578.39954541909435</v>
      </c>
      <c r="E14" s="158">
        <v>5.7268950406847131E-2</v>
      </c>
      <c r="F14" s="457">
        <v>0.27806202962780097</v>
      </c>
      <c r="G14" s="951"/>
    </row>
    <row r="15" spans="1:11" ht="20" customHeight="1" thickBot="1">
      <c r="A15" s="328">
        <v>2004</v>
      </c>
      <c r="B15" s="188">
        <v>4487.9860973999994</v>
      </c>
      <c r="C15" s="158">
        <v>5.2466992093654796E-2</v>
      </c>
      <c r="D15" s="188">
        <v>607.83383459013214</v>
      </c>
      <c r="E15" s="158">
        <v>5.0889198313097593E-2</v>
      </c>
      <c r="F15" s="457">
        <v>0.27520979583864619</v>
      </c>
      <c r="G15" s="951"/>
    </row>
    <row r="16" spans="1:11" ht="20" customHeight="1" thickBot="1">
      <c r="A16" s="328">
        <v>2005</v>
      </c>
      <c r="B16" s="188">
        <v>4710.4063185000005</v>
      </c>
      <c r="C16" s="158">
        <v>4.9559026314465314E-2</v>
      </c>
      <c r="D16" s="188">
        <v>633.47119917588623</v>
      </c>
      <c r="E16" s="158">
        <v>4.2178245314431359E-2</v>
      </c>
      <c r="F16" s="457">
        <v>0.27145060304290114</v>
      </c>
      <c r="G16" s="951"/>
    </row>
    <row r="17" spans="1:7" ht="20" customHeight="1" thickBot="1">
      <c r="A17" s="328">
        <v>2006</v>
      </c>
      <c r="B17" s="188">
        <v>4989.9724866999995</v>
      </c>
      <c r="C17" s="158">
        <v>5.9350754329198757E-2</v>
      </c>
      <c r="D17" s="188">
        <v>667.24876129732593</v>
      </c>
      <c r="E17" s="158">
        <v>5.3321385668965833E-2</v>
      </c>
      <c r="F17" s="457">
        <v>0.28410364747524469</v>
      </c>
      <c r="G17" s="951"/>
    </row>
    <row r="18" spans="1:7" ht="20" customHeight="1" thickBot="1">
      <c r="A18" s="328">
        <v>2007</v>
      </c>
      <c r="B18" s="188">
        <v>5234.0909351299997</v>
      </c>
      <c r="C18" s="158">
        <v>4.8921802491027788E-2</v>
      </c>
      <c r="D18" s="188">
        <v>694.39892686185294</v>
      </c>
      <c r="E18" s="158">
        <v>4.0689720445099345E-2</v>
      </c>
      <c r="F18" s="457">
        <v>0.28409673931984064</v>
      </c>
      <c r="G18" s="951"/>
    </row>
    <row r="19" spans="1:7" ht="20" customHeight="1" thickBot="1">
      <c r="A19" s="328">
        <v>2008</v>
      </c>
      <c r="B19" s="188">
        <v>5191.0501722600002</v>
      </c>
      <c r="C19" s="158">
        <v>-8.2231591700327455E-3</v>
      </c>
      <c r="D19" s="188">
        <v>681.6372651023346</v>
      </c>
      <c r="E19" s="158">
        <v>-1.8377997525415551E-2</v>
      </c>
      <c r="F19" s="457">
        <v>0.2671467252402307</v>
      </c>
      <c r="G19" s="951"/>
    </row>
    <row r="20" spans="1:7" ht="30" customHeight="1" thickBot="1">
      <c r="A20" s="329">
        <v>2009</v>
      </c>
      <c r="B20" s="191">
        <v>5095.2223594300003</v>
      </c>
      <c r="C20" s="161">
        <v>-1.8460197773099152E-2</v>
      </c>
      <c r="D20" s="191">
        <v>660.95763076127741</v>
      </c>
      <c r="E20" s="161">
        <v>-3.0338180436705664E-2</v>
      </c>
      <c r="F20" s="614">
        <v>0.25131991260496045</v>
      </c>
      <c r="G20" s="952"/>
    </row>
    <row r="21" spans="1:7" ht="20" customHeight="1">
      <c r="A21" s="140" t="s">
        <v>1837</v>
      </c>
      <c r="B21" s="140"/>
      <c r="C21" s="140"/>
      <c r="D21" s="140"/>
      <c r="E21" s="140"/>
      <c r="F21" s="653"/>
      <c r="G21" s="141"/>
    </row>
    <row r="22" spans="1:7" ht="12.75" customHeight="1">
      <c r="A22" s="141"/>
      <c r="B22" s="141"/>
      <c r="C22" s="141"/>
      <c r="D22" s="141"/>
      <c r="E22" s="141"/>
      <c r="F22" s="654"/>
      <c r="G22" s="141"/>
    </row>
    <row r="23" spans="1:7" ht="12.75" customHeight="1">
      <c r="A23" s="2" t="s">
        <v>2180</v>
      </c>
      <c r="B23" s="141"/>
      <c r="C23" s="141"/>
      <c r="D23" s="141"/>
      <c r="E23" s="141"/>
      <c r="F23" s="654"/>
      <c r="G23" s="141"/>
    </row>
    <row r="24" spans="1:7" ht="12.75" customHeight="1">
      <c r="A24" s="2" t="s">
        <v>2194</v>
      </c>
    </row>
    <row r="26" spans="1:7">
      <c r="A26" s="2" t="s">
        <v>2195</v>
      </c>
    </row>
    <row r="29" spans="1:7">
      <c r="A29" s="2" t="s">
        <v>710</v>
      </c>
    </row>
  </sheetData>
  <mergeCells count="1">
    <mergeCell ref="A2:F2"/>
  </mergeCells>
  <phoneticPr fontId="0" type="noConversion"/>
  <pageMargins left="0.62" right="0.78740157480314965" top="0.99" bottom="0.49" header="0.6" footer="0.4921259845"/>
  <pageSetup paperSize="9" scale="80" orientation="portrait" horizontalDpi="4294967292" verticalDpi="4294967292"/>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A7CEA-4AC0-684D-BD1E-9E595B07935D}">
  <sheetPr>
    <pageSetUpPr fitToPage="1"/>
  </sheetPr>
  <dimension ref="A1:B29"/>
  <sheetViews>
    <sheetView topLeftCell="A9" workbookViewId="0">
      <selection activeCell="E27" sqref="E27"/>
    </sheetView>
  </sheetViews>
  <sheetFormatPr baseColWidth="10" defaultColWidth="11.3984375" defaultRowHeight="13"/>
  <cols>
    <col min="1" max="1" width="5.59765625" style="1113" customWidth="1"/>
    <col min="2" max="7" width="11.3984375" style="1113"/>
    <col min="8" max="8" width="12" style="1113" customWidth="1"/>
    <col min="9" max="16384" width="11.3984375" style="1113"/>
  </cols>
  <sheetData>
    <row r="1" spans="1:2" ht="16">
      <c r="A1" s="1112" t="s">
        <v>162</v>
      </c>
    </row>
    <row r="2" spans="1:2" ht="16">
      <c r="A2" s="1112"/>
    </row>
    <row r="3" spans="1:2" s="1116" customFormat="1">
      <c r="A3" s="1114">
        <v>2.0099999999999998</v>
      </c>
      <c r="B3" s="1115" t="s">
        <v>163</v>
      </c>
    </row>
    <row r="4" spans="1:2" s="1116" customFormat="1">
      <c r="A4" s="1114">
        <v>2.02</v>
      </c>
      <c r="B4" s="1115" t="s">
        <v>164</v>
      </c>
    </row>
    <row r="5" spans="1:2" s="1116" customFormat="1">
      <c r="A5" s="1114">
        <v>2.0299999999999998</v>
      </c>
      <c r="B5" s="1114" t="s">
        <v>165</v>
      </c>
    </row>
    <row r="6" spans="1:2" s="1116" customFormat="1">
      <c r="A6" s="1114">
        <v>2.04</v>
      </c>
      <c r="B6" s="1114" t="s">
        <v>166</v>
      </c>
    </row>
    <row r="7" spans="1:2" s="1116" customFormat="1">
      <c r="A7" s="1114">
        <v>2.0499999999999998</v>
      </c>
      <c r="B7" s="1114" t="s">
        <v>167</v>
      </c>
    </row>
    <row r="8" spans="1:2" s="1116" customFormat="1">
      <c r="A8" s="1114">
        <v>2.06</v>
      </c>
      <c r="B8" s="1114" t="s">
        <v>511</v>
      </c>
    </row>
    <row r="9" spans="1:2" s="1116" customFormat="1">
      <c r="A9" s="1114">
        <v>2.0699999999999998</v>
      </c>
      <c r="B9" s="1114" t="s">
        <v>512</v>
      </c>
    </row>
    <row r="10" spans="1:2" s="1116" customFormat="1">
      <c r="A10" s="1114">
        <v>2.08</v>
      </c>
      <c r="B10" s="1114" t="s">
        <v>513</v>
      </c>
    </row>
    <row r="11" spans="1:2" s="1116" customFormat="1">
      <c r="A11" s="1114">
        <v>2.09</v>
      </c>
      <c r="B11" s="1114" t="s">
        <v>514</v>
      </c>
    </row>
    <row r="12" spans="1:2">
      <c r="A12" s="1117">
        <v>2.1</v>
      </c>
      <c r="B12" s="1115" t="s">
        <v>515</v>
      </c>
    </row>
    <row r="13" spans="1:2">
      <c r="A13" s="1117">
        <v>2.11</v>
      </c>
      <c r="B13" s="1115" t="s">
        <v>2566</v>
      </c>
    </row>
    <row r="14" spans="1:2">
      <c r="A14" s="1114">
        <v>2.12</v>
      </c>
      <c r="B14" s="1114" t="s">
        <v>2567</v>
      </c>
    </row>
    <row r="15" spans="1:2">
      <c r="A15" s="1114">
        <v>2.13</v>
      </c>
      <c r="B15" s="1115" t="s">
        <v>2568</v>
      </c>
    </row>
    <row r="16" spans="1:2">
      <c r="A16" s="1114">
        <v>2.14</v>
      </c>
      <c r="B16" s="1115" t="s">
        <v>2569</v>
      </c>
    </row>
    <row r="17" spans="1:2">
      <c r="A17" s="1114">
        <v>2.15</v>
      </c>
      <c r="B17" s="1115" t="s">
        <v>2570</v>
      </c>
    </row>
    <row r="18" spans="1:2">
      <c r="A18" s="1114">
        <v>2.16</v>
      </c>
      <c r="B18" s="1115" t="s">
        <v>2571</v>
      </c>
    </row>
    <row r="19" spans="1:2">
      <c r="A19" s="1114">
        <v>2.17</v>
      </c>
      <c r="B19" s="1115" t="s">
        <v>2572</v>
      </c>
    </row>
    <row r="20" spans="1:2">
      <c r="A20" s="1114">
        <v>2.1800000000000002</v>
      </c>
      <c r="B20" s="1115" t="s">
        <v>2573</v>
      </c>
    </row>
    <row r="21" spans="1:2">
      <c r="A21" s="1114">
        <v>2.19</v>
      </c>
      <c r="B21" s="1115" t="s">
        <v>2574</v>
      </c>
    </row>
    <row r="22" spans="1:2">
      <c r="A22" s="1118" t="s">
        <v>755</v>
      </c>
      <c r="B22" s="1115" t="s">
        <v>2575</v>
      </c>
    </row>
    <row r="23" spans="1:2">
      <c r="A23" s="1114">
        <v>2.21</v>
      </c>
      <c r="B23" s="1115" t="s">
        <v>2576</v>
      </c>
    </row>
    <row r="24" spans="1:2">
      <c r="A24" s="1114">
        <v>2.2200000000000002</v>
      </c>
      <c r="B24" s="1115" t="s">
        <v>2577</v>
      </c>
    </row>
    <row r="25" spans="1:2">
      <c r="A25" s="1114">
        <v>2.23</v>
      </c>
      <c r="B25" s="1115" t="s">
        <v>2578</v>
      </c>
    </row>
    <row r="26" spans="1:2">
      <c r="A26" s="1114">
        <v>2.2400000000000002</v>
      </c>
      <c r="B26" s="1115" t="s">
        <v>2579</v>
      </c>
    </row>
    <row r="27" spans="1:2">
      <c r="A27" s="1114"/>
    </row>
    <row r="29" spans="1:2">
      <c r="A29" s="1119" t="s">
        <v>710</v>
      </c>
    </row>
  </sheetData>
  <phoneticPr fontId="30" type="noConversion"/>
  <pageMargins left="0.46" right="0.35" top="0.88" bottom="0.984251969" header="0.4921259845" footer="0.4921259845"/>
  <pageSetup paperSize="9" orientation="portrait"/>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8586D-1AE9-F04A-B51C-581DDD64532B}">
  <sheetPr>
    <pageSetUpPr fitToPage="1"/>
  </sheetPr>
  <dimension ref="A1:J26"/>
  <sheetViews>
    <sheetView zoomScale="75" workbookViewId="0"/>
  </sheetViews>
  <sheetFormatPr baseColWidth="10" defaultColWidth="11.3984375" defaultRowHeight="13"/>
  <cols>
    <col min="1" max="1" width="12.796875" style="2" customWidth="1"/>
    <col min="2" max="6" width="15.3984375" style="2" customWidth="1"/>
    <col min="7" max="7" width="14.796875" style="2" customWidth="1"/>
    <col min="8" max="16384" width="11.3984375" style="2"/>
  </cols>
  <sheetData>
    <row r="1" spans="1:10" s="1" customFormat="1" ht="14" customHeight="1">
      <c r="A1" s="271"/>
      <c r="B1" s="271"/>
      <c r="C1" s="271"/>
      <c r="D1" s="271"/>
      <c r="E1" s="271"/>
      <c r="F1" s="271"/>
      <c r="G1" s="271"/>
    </row>
    <row r="2" spans="1:10" s="1" customFormat="1" ht="27.75" customHeight="1">
      <c r="A2" s="2019" t="s">
        <v>942</v>
      </c>
      <c r="B2" s="2018"/>
      <c r="C2" s="2018"/>
      <c r="D2" s="2018"/>
      <c r="E2" s="2018"/>
      <c r="F2" s="2018"/>
      <c r="G2" s="2018"/>
    </row>
    <row r="3" spans="1:10" ht="24" customHeight="1">
      <c r="A3" s="119" t="s">
        <v>2320</v>
      </c>
      <c r="B3" s="120" t="s">
        <v>2251</v>
      </c>
      <c r="C3" s="121" t="s">
        <v>2252</v>
      </c>
      <c r="D3" s="120" t="s">
        <v>2253</v>
      </c>
      <c r="E3" s="121" t="s">
        <v>2254</v>
      </c>
      <c r="F3" s="120" t="s">
        <v>1567</v>
      </c>
      <c r="G3" s="121" t="s">
        <v>1801</v>
      </c>
    </row>
    <row r="4" spans="1:10" ht="15" customHeight="1">
      <c r="A4" s="325"/>
      <c r="B4" s="123" t="s">
        <v>2255</v>
      </c>
      <c r="C4" s="124" t="s">
        <v>2256</v>
      </c>
      <c r="D4" s="123" t="s">
        <v>2124</v>
      </c>
      <c r="E4" s="150" t="s">
        <v>2125</v>
      </c>
      <c r="F4" s="123"/>
      <c r="G4" s="124" t="s">
        <v>1802</v>
      </c>
    </row>
    <row r="5" spans="1:10" ht="15" customHeight="1">
      <c r="A5" s="325"/>
      <c r="B5" s="123" t="s">
        <v>2259</v>
      </c>
      <c r="C5" s="124" t="s">
        <v>2260</v>
      </c>
      <c r="D5" s="123" t="s">
        <v>2300</v>
      </c>
      <c r="E5" s="150" t="s">
        <v>2126</v>
      </c>
      <c r="F5" s="123"/>
      <c r="G5" s="124" t="s">
        <v>1806</v>
      </c>
    </row>
    <row r="6" spans="1:10" ht="24" customHeight="1">
      <c r="A6" s="326"/>
      <c r="B6" s="129"/>
      <c r="C6" s="128"/>
      <c r="D6" s="129"/>
      <c r="E6" s="153" t="s">
        <v>2262</v>
      </c>
      <c r="F6" s="129"/>
      <c r="G6" s="128"/>
    </row>
    <row r="7" spans="1:10" ht="1.5" customHeight="1" thickBot="1">
      <c r="A7" s="327">
        <v>1996</v>
      </c>
      <c r="B7" s="439">
        <v>1089.2648005000001</v>
      </c>
      <c r="C7" s="440">
        <v>580.10166180000022</v>
      </c>
      <c r="D7" s="439">
        <v>4.3753463500000001</v>
      </c>
      <c r="E7" s="440">
        <v>4.7899289500000002</v>
      </c>
      <c r="F7" s="439">
        <v>1678.5317376000003</v>
      </c>
      <c r="G7" s="157" t="s">
        <v>744</v>
      </c>
    </row>
    <row r="8" spans="1:10" ht="0.75" hidden="1" customHeight="1" thickBot="1">
      <c r="A8" s="328">
        <v>1997</v>
      </c>
      <c r="B8" s="441">
        <v>879.95045900000002</v>
      </c>
      <c r="C8" s="442">
        <v>850.70337900000004</v>
      </c>
      <c r="D8" s="441">
        <v>1.7040200000000001</v>
      </c>
      <c r="E8" s="442">
        <v>45.624484000000002</v>
      </c>
      <c r="F8" s="441">
        <v>1777.9823429999999</v>
      </c>
      <c r="G8" s="158">
        <v>5.9248570147500512E-2</v>
      </c>
      <c r="H8" s="8"/>
      <c r="I8" s="8"/>
      <c r="J8" s="8"/>
    </row>
    <row r="9" spans="1:10" ht="19.5" hidden="1" customHeight="1" thickBot="1">
      <c r="A9" s="328">
        <v>1998</v>
      </c>
      <c r="B9" s="441">
        <v>1013.8999679999999</v>
      </c>
      <c r="C9" s="442">
        <v>981.74108000000001</v>
      </c>
      <c r="D9" s="441">
        <v>1.2942830000000001</v>
      </c>
      <c r="E9" s="442">
        <v>100.29746900000001</v>
      </c>
      <c r="F9" s="441">
        <v>2097.2328000000002</v>
      </c>
      <c r="G9" s="158">
        <v>0.17955772072591403</v>
      </c>
    </row>
    <row r="10" spans="1:10" ht="20" customHeight="1" thickBot="1">
      <c r="A10" s="328">
        <v>1999</v>
      </c>
      <c r="B10" s="441">
        <v>1011.36115</v>
      </c>
      <c r="C10" s="442">
        <v>1055.56864</v>
      </c>
      <c r="D10" s="441">
        <v>0.79245500000000002</v>
      </c>
      <c r="E10" s="442">
        <v>122.17894</v>
      </c>
      <c r="F10" s="441">
        <v>2189.9011839999998</v>
      </c>
      <c r="G10" s="158">
        <v>4.4186026463061134E-2</v>
      </c>
    </row>
    <row r="11" spans="1:10" ht="20" customHeight="1" thickBot="1">
      <c r="A11" s="328">
        <v>2000</v>
      </c>
      <c r="B11" s="441">
        <v>1054.450601</v>
      </c>
      <c r="C11" s="442">
        <v>1090.7209829999999</v>
      </c>
      <c r="D11" s="441">
        <v>1.2512209999999999</v>
      </c>
      <c r="E11" s="442">
        <v>141.59474</v>
      </c>
      <c r="F11" s="441">
        <v>2288.0175450000002</v>
      </c>
      <c r="G11" s="158">
        <v>4.4804012946732197E-2</v>
      </c>
    </row>
    <row r="12" spans="1:10" ht="20" customHeight="1" thickBot="1">
      <c r="A12" s="328">
        <v>2001</v>
      </c>
      <c r="B12" s="441">
        <v>1083.514122</v>
      </c>
      <c r="C12" s="442">
        <v>1158.4133609999999</v>
      </c>
      <c r="D12" s="441">
        <v>1.2681009299999999</v>
      </c>
      <c r="E12" s="442">
        <v>156.9939449</v>
      </c>
      <c r="F12" s="441">
        <v>2400.1895288299997</v>
      </c>
      <c r="G12" s="158">
        <v>4.9025840765569706E-2</v>
      </c>
    </row>
    <row r="13" spans="1:10" ht="20" customHeight="1" thickBot="1">
      <c r="A13" s="328">
        <v>2002</v>
      </c>
      <c r="B13" s="441">
        <v>1089.8289460000001</v>
      </c>
      <c r="C13" s="442">
        <v>1244.155033</v>
      </c>
      <c r="D13" s="441">
        <v>1.2603006499999998</v>
      </c>
      <c r="E13" s="442">
        <v>167.5860868</v>
      </c>
      <c r="F13" s="441">
        <v>2502.8303664500004</v>
      </c>
      <c r="G13" s="158">
        <v>4.2763638615669786E-2</v>
      </c>
    </row>
    <row r="14" spans="1:10" ht="20" customHeight="1" thickBot="1">
      <c r="A14" s="328">
        <v>2003</v>
      </c>
      <c r="B14" s="441">
        <v>1079.925866</v>
      </c>
      <c r="C14" s="442">
        <v>1341.49136</v>
      </c>
      <c r="D14" s="441">
        <v>1.2206523200000001</v>
      </c>
      <c r="E14" s="442">
        <v>165.86177330000001</v>
      </c>
      <c r="F14" s="441">
        <v>2588.4996516200003</v>
      </c>
      <c r="G14" s="158">
        <v>3.4228961865886642E-2</v>
      </c>
    </row>
    <row r="15" spans="1:10" ht="20" customHeight="1" thickBot="1">
      <c r="A15" s="328">
        <v>2004</v>
      </c>
      <c r="B15" s="441">
        <v>1255.4702629999999</v>
      </c>
      <c r="C15" s="442">
        <v>1341.301393</v>
      </c>
      <c r="D15" s="441">
        <v>1.3776067599999999</v>
      </c>
      <c r="E15" s="442">
        <v>234.16313299999999</v>
      </c>
      <c r="F15" s="441">
        <v>2832.3123957600001</v>
      </c>
      <c r="G15" s="158">
        <v>9.4190757950232129E-2</v>
      </c>
    </row>
    <row r="16" spans="1:10" ht="20" customHeight="1" thickBot="1">
      <c r="A16" s="328">
        <v>2005</v>
      </c>
      <c r="B16" s="441">
        <v>1328.0246323900001</v>
      </c>
      <c r="C16" s="442">
        <v>1371.8229592</v>
      </c>
      <c r="D16" s="441">
        <v>1.4003180399999999</v>
      </c>
      <c r="E16" s="442">
        <v>293.73870004000003</v>
      </c>
      <c r="F16" s="441">
        <v>2994.9866096700002</v>
      </c>
      <c r="G16" s="158">
        <v>5.7435124089251222E-2</v>
      </c>
    </row>
    <row r="17" spans="1:7" ht="20" customHeight="1" thickBot="1">
      <c r="A17" s="328">
        <v>2006</v>
      </c>
      <c r="B17" s="441">
        <v>1275.3436029700001</v>
      </c>
      <c r="C17" s="442">
        <v>1332.0194115899999</v>
      </c>
      <c r="D17" s="441">
        <v>1.24792378</v>
      </c>
      <c r="E17" s="442">
        <v>430.10038037999999</v>
      </c>
      <c r="F17" s="441">
        <v>3038.7113187199998</v>
      </c>
      <c r="G17" s="158">
        <v>1.4599300347061472E-2</v>
      </c>
    </row>
    <row r="18" spans="1:7" ht="20" customHeight="1" thickBot="1">
      <c r="A18" s="328">
        <v>2007</v>
      </c>
      <c r="B18" s="441">
        <v>1254.93473436</v>
      </c>
      <c r="C18" s="442">
        <v>1283.5501741300002</v>
      </c>
      <c r="D18" s="441">
        <v>1.3477021599999999</v>
      </c>
      <c r="E18" s="442">
        <v>615.23426004999999</v>
      </c>
      <c r="F18" s="441">
        <v>3155.0668707000004</v>
      </c>
      <c r="G18" s="158">
        <v>3.8291084534154862E-2</v>
      </c>
    </row>
    <row r="19" spans="1:7" ht="20" customHeight="1" thickBot="1">
      <c r="A19" s="328">
        <v>2008</v>
      </c>
      <c r="B19" s="441">
        <v>1219.7052699400001</v>
      </c>
      <c r="C19" s="442">
        <v>1260.4115306800002</v>
      </c>
      <c r="D19" s="441">
        <v>1.4081255100000001</v>
      </c>
      <c r="E19" s="442">
        <v>808.9293028300001</v>
      </c>
      <c r="F19" s="441">
        <v>3290.4542289600004</v>
      </c>
      <c r="G19" s="158">
        <v>4.2911089941482627E-2</v>
      </c>
    </row>
    <row r="20" spans="1:7" ht="30" customHeight="1" thickBot="1">
      <c r="A20" s="329">
        <v>2009</v>
      </c>
      <c r="B20" s="690">
        <v>1153.6249357700001</v>
      </c>
      <c r="C20" s="935">
        <v>1187.9370805399999</v>
      </c>
      <c r="D20" s="690">
        <v>1.3760763200000001</v>
      </c>
      <c r="E20" s="935">
        <v>1039.5337555199999</v>
      </c>
      <c r="F20" s="690">
        <v>3382.4718481499999</v>
      </c>
      <c r="G20" s="161">
        <v>2.7965020263808205E-2</v>
      </c>
    </row>
    <row r="21" spans="1:7" ht="20" customHeight="1">
      <c r="A21" s="977" t="s">
        <v>1837</v>
      </c>
      <c r="B21" s="977"/>
      <c r="C21" s="977"/>
      <c r="D21" s="977"/>
      <c r="E21" s="977"/>
      <c r="F21" s="977"/>
      <c r="G21" s="977"/>
    </row>
    <row r="23" spans="1:7">
      <c r="A23" s="2" t="s">
        <v>943</v>
      </c>
    </row>
    <row r="26" spans="1:7">
      <c r="A26" s="2" t="s">
        <v>710</v>
      </c>
    </row>
  </sheetData>
  <mergeCells count="1">
    <mergeCell ref="A2:G2"/>
  </mergeCells>
  <phoneticPr fontId="0" type="noConversion"/>
  <pageMargins left="0.53" right="0.6" top="1.1200000000000001" bottom="0.49" header="0.63" footer="0.4921259845"/>
  <pageSetup paperSize="9" scale="78" orientation="portrait" horizontalDpi="4294967292" verticalDpi="4294967292"/>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02455-BE08-5042-81AD-E296C174E431}">
  <sheetPr>
    <pageSetUpPr fitToPage="1"/>
  </sheetPr>
  <dimension ref="A1:J56"/>
  <sheetViews>
    <sheetView topLeftCell="A36" zoomScale="75" workbookViewId="0">
      <selection activeCell="C55" sqref="C55"/>
    </sheetView>
  </sheetViews>
  <sheetFormatPr baseColWidth="10" defaultColWidth="11.3984375" defaultRowHeight="13"/>
  <cols>
    <col min="1" max="1" width="21.796875" style="2" customWidth="1"/>
    <col min="2" max="3" width="15.796875" style="2" customWidth="1"/>
    <col min="4" max="4" width="19.3984375" style="2" customWidth="1"/>
    <col min="5" max="5" width="14.3984375" style="2" customWidth="1"/>
    <col min="6" max="6" width="20.3984375" style="2" customWidth="1"/>
    <col min="7" max="7" width="16.3984375" style="2" customWidth="1"/>
    <col min="8" max="8" width="13.19921875" style="2" customWidth="1"/>
    <col min="9" max="10" width="13.3984375" style="2" customWidth="1"/>
    <col min="11" max="16384" width="11.3984375" style="2"/>
  </cols>
  <sheetData>
    <row r="1" spans="1:10" s="1" customFormat="1" ht="14" customHeight="1"/>
    <row r="2" spans="1:10" s="1" customFormat="1" ht="39.75" customHeight="1">
      <c r="A2" s="2014" t="s">
        <v>2482</v>
      </c>
      <c r="B2" s="2018"/>
      <c r="C2" s="2018"/>
      <c r="D2" s="2018"/>
      <c r="E2" s="2018"/>
      <c r="F2" s="118"/>
      <c r="G2" s="118"/>
    </row>
    <row r="3" spans="1:10" ht="24" customHeight="1">
      <c r="A3" s="305" t="s">
        <v>2483</v>
      </c>
      <c r="B3" s="120" t="s">
        <v>2251</v>
      </c>
      <c r="C3" s="121" t="s">
        <v>2252</v>
      </c>
      <c r="D3" s="120" t="s">
        <v>2253</v>
      </c>
      <c r="E3" s="121" t="s">
        <v>2254</v>
      </c>
      <c r="F3" s="120" t="s">
        <v>1567</v>
      </c>
      <c r="G3" s="306" t="s">
        <v>1801</v>
      </c>
    </row>
    <row r="4" spans="1:10" ht="15" customHeight="1">
      <c r="A4" s="325"/>
      <c r="B4" s="123" t="s">
        <v>2255</v>
      </c>
      <c r="C4" s="124" t="s">
        <v>2256</v>
      </c>
      <c r="D4" s="123" t="s">
        <v>2124</v>
      </c>
      <c r="E4" s="150" t="s">
        <v>2125</v>
      </c>
      <c r="F4" s="123"/>
      <c r="G4" s="122" t="s">
        <v>1802</v>
      </c>
    </row>
    <row r="5" spans="1:10" ht="15" customHeight="1">
      <c r="A5" s="325"/>
      <c r="B5" s="123" t="s">
        <v>2259</v>
      </c>
      <c r="C5" s="124" t="s">
        <v>2260</v>
      </c>
      <c r="D5" s="123" t="s">
        <v>2300</v>
      </c>
      <c r="E5" s="150" t="s">
        <v>2126</v>
      </c>
      <c r="F5" s="123"/>
      <c r="G5" s="122" t="s">
        <v>1806</v>
      </c>
    </row>
    <row r="6" spans="1:10" ht="24" customHeight="1">
      <c r="A6" s="291" t="s">
        <v>1065</v>
      </c>
      <c r="B6" s="129"/>
      <c r="C6" s="128"/>
      <c r="D6" s="129"/>
      <c r="E6" s="153" t="s">
        <v>2262</v>
      </c>
      <c r="F6" s="129"/>
      <c r="G6" s="152"/>
    </row>
    <row r="7" spans="1:10" ht="1.5" customHeight="1" thickBot="1">
      <c r="A7" s="327">
        <v>1996</v>
      </c>
      <c r="B7" s="170">
        <v>228.61851592074831</v>
      </c>
      <c r="C7" s="171">
        <v>250.28080917066114</v>
      </c>
      <c r="D7" s="170">
        <v>156.40767594799246</v>
      </c>
      <c r="E7" s="171">
        <v>39.181749983856008</v>
      </c>
      <c r="F7" s="170">
        <v>232.07567799264095</v>
      </c>
      <c r="G7" s="375" t="s">
        <v>744</v>
      </c>
    </row>
    <row r="8" spans="1:10" ht="0.75" hidden="1" customHeight="1" thickBot="1">
      <c r="A8" s="328">
        <v>1997</v>
      </c>
      <c r="B8" s="188">
        <v>214.82091350284739</v>
      </c>
      <c r="C8" s="187">
        <v>309.95377266694288</v>
      </c>
      <c r="D8" s="188">
        <v>147.80819168288531</v>
      </c>
      <c r="E8" s="187">
        <v>118.73527169724866</v>
      </c>
      <c r="F8" s="188">
        <v>245.69341951346181</v>
      </c>
      <c r="G8" s="364">
        <v>5.8678021060236452E-2</v>
      </c>
      <c r="H8" s="8"/>
      <c r="I8" s="8"/>
      <c r="J8" s="8"/>
    </row>
    <row r="9" spans="1:10" ht="19.5" hidden="1" customHeight="1" thickBot="1">
      <c r="A9" s="328">
        <v>1998</v>
      </c>
      <c r="B9" s="188">
        <v>252.5128510168046</v>
      </c>
      <c r="C9" s="187">
        <v>360.17625657491357</v>
      </c>
      <c r="D9" s="188">
        <v>109.45734992662796</v>
      </c>
      <c r="E9" s="187">
        <v>203.07165413877752</v>
      </c>
      <c r="F9" s="188">
        <v>289.40816378154983</v>
      </c>
      <c r="G9" s="364">
        <v>0.17792395235759595</v>
      </c>
    </row>
    <row r="10" spans="1:10" ht="20" customHeight="1" thickBot="1">
      <c r="A10" s="328">
        <v>1999</v>
      </c>
      <c r="B10" s="188">
        <v>252.78194503280005</v>
      </c>
      <c r="C10" s="187">
        <v>388.48632413108436</v>
      </c>
      <c r="D10" s="188">
        <v>77.211639339766236</v>
      </c>
      <c r="E10" s="187">
        <v>225.34003908380205</v>
      </c>
      <c r="F10" s="188">
        <v>301.19915324099151</v>
      </c>
      <c r="G10" s="364">
        <v>4.0741730659476838E-2</v>
      </c>
    </row>
    <row r="11" spans="1:10" ht="20" customHeight="1" thickBot="1">
      <c r="A11" s="328">
        <v>2000</v>
      </c>
      <c r="B11" s="188">
        <v>268.97415894253976</v>
      </c>
      <c r="C11" s="187">
        <v>395.55641048968283</v>
      </c>
      <c r="D11" s="188">
        <v>127.58078154223918</v>
      </c>
      <c r="E11" s="187">
        <v>245.13884972744927</v>
      </c>
      <c r="F11" s="188">
        <v>314.93035979343995</v>
      </c>
      <c r="G11" s="364">
        <v>4.5588463329649498E-2</v>
      </c>
    </row>
    <row r="12" spans="1:10" ht="20" customHeight="1" thickBot="1">
      <c r="A12" s="328">
        <v>2001</v>
      </c>
      <c r="B12" s="188">
        <v>279.87221622151498</v>
      </c>
      <c r="C12" s="187">
        <v>409.91519673787701</v>
      </c>
      <c r="D12" s="188">
        <v>136.13273133558098</v>
      </c>
      <c r="E12" s="187">
        <v>264.16982213438177</v>
      </c>
      <c r="F12" s="188">
        <v>328.74580078618828</v>
      </c>
      <c r="G12" s="364">
        <v>4.3868241225805571E-2</v>
      </c>
    </row>
    <row r="13" spans="1:10" ht="20" customHeight="1" thickBot="1">
      <c r="A13" s="328">
        <v>2002</v>
      </c>
      <c r="B13" s="188">
        <v>286.4170414821387</v>
      </c>
      <c r="C13" s="187">
        <v>418.22409665521263</v>
      </c>
      <c r="D13" s="188">
        <v>142.93477715564441</v>
      </c>
      <c r="E13" s="187">
        <v>301.45728171382285</v>
      </c>
      <c r="F13" s="188">
        <v>340.77001631259407</v>
      </c>
      <c r="G13" s="364">
        <v>3.6576027732217797E-2</v>
      </c>
    </row>
    <row r="14" spans="1:10" ht="20" customHeight="1" thickBot="1">
      <c r="A14" s="328">
        <v>2003</v>
      </c>
      <c r="B14" s="188">
        <v>294.74032000405879</v>
      </c>
      <c r="C14" s="187">
        <v>432.96196147343414</v>
      </c>
      <c r="D14" s="188">
        <v>147.17768028203764</v>
      </c>
      <c r="E14" s="187">
        <v>275.60229235265177</v>
      </c>
      <c r="F14" s="188">
        <v>351.10178312798706</v>
      </c>
      <c r="G14" s="364">
        <v>3.0318884645988087E-2</v>
      </c>
    </row>
    <row r="15" spans="1:10" ht="20" customHeight="1" thickBot="1">
      <c r="A15" s="328">
        <v>2004</v>
      </c>
      <c r="B15" s="188">
        <v>346.67767559714537</v>
      </c>
      <c r="C15" s="187">
        <v>445.61742079017637</v>
      </c>
      <c r="D15" s="188">
        <v>170.9555657016069</v>
      </c>
      <c r="E15" s="187">
        <v>314.69406860308436</v>
      </c>
      <c r="F15" s="188">
        <v>383.59639867630506</v>
      </c>
      <c r="G15" s="364">
        <v>9.2550414466202602E-2</v>
      </c>
    </row>
    <row r="16" spans="1:10" ht="20" customHeight="1" thickBot="1">
      <c r="A16" s="328">
        <v>2005</v>
      </c>
      <c r="B16" s="188">
        <v>369.44498634392721</v>
      </c>
      <c r="C16" s="187">
        <v>468.17286197785694</v>
      </c>
      <c r="D16" s="188">
        <v>182.15224262282666</v>
      </c>
      <c r="E16" s="187">
        <v>325.16017542364909</v>
      </c>
      <c r="F16" s="188">
        <v>402.77581823634506</v>
      </c>
      <c r="G16" s="364">
        <v>4.9998956262945482E-2</v>
      </c>
    </row>
    <row r="17" spans="1:7" ht="20" customHeight="1" thickBot="1">
      <c r="A17" s="328">
        <v>2006</v>
      </c>
      <c r="B17" s="188">
        <v>381.48826099648591</v>
      </c>
      <c r="C17" s="187">
        <v>479.72716225398437</v>
      </c>
      <c r="D17" s="188">
        <v>173.51556238627722</v>
      </c>
      <c r="E17" s="187">
        <v>318.22891670236891</v>
      </c>
      <c r="F17" s="188">
        <v>406.33016890579557</v>
      </c>
      <c r="G17" s="364">
        <v>8.8246376979981278E-3</v>
      </c>
    </row>
    <row r="18" spans="1:7" ht="20" customHeight="1" thickBot="1">
      <c r="A18" s="328">
        <v>2007</v>
      </c>
      <c r="B18" s="188">
        <v>400.55455286147281</v>
      </c>
      <c r="C18" s="187">
        <v>500.15854269388518</v>
      </c>
      <c r="D18" s="188">
        <v>196.2585932147031</v>
      </c>
      <c r="E18" s="187">
        <v>335.92959502889681</v>
      </c>
      <c r="F18" s="188">
        <v>418.57794913092192</v>
      </c>
      <c r="G18" s="364">
        <v>3.014243381954218E-2</v>
      </c>
    </row>
    <row r="19" spans="1:7" ht="20" customHeight="1" thickBot="1">
      <c r="A19" s="328">
        <v>2008</v>
      </c>
      <c r="B19" s="188">
        <v>413.84569612436934</v>
      </c>
      <c r="C19" s="187">
        <v>530.13155278898682</v>
      </c>
      <c r="D19" s="188">
        <v>216.27564645013524</v>
      </c>
      <c r="E19" s="187">
        <v>354.13205606736216</v>
      </c>
      <c r="F19" s="188">
        <v>432.06984081146493</v>
      </c>
      <c r="G19" s="364">
        <v>3.223268619036368E-2</v>
      </c>
    </row>
    <row r="20" spans="1:7" ht="21.75" customHeight="1" thickBot="1">
      <c r="A20" s="329">
        <v>2009</v>
      </c>
      <c r="B20" s="191">
        <v>419.73019788908238</v>
      </c>
      <c r="C20" s="190">
        <v>544.40918884592361</v>
      </c>
      <c r="D20" s="191">
        <v>223.50620861263292</v>
      </c>
      <c r="E20" s="190">
        <v>374.97265629912067</v>
      </c>
      <c r="F20" s="191">
        <v>438.77782718478119</v>
      </c>
      <c r="G20" s="909">
        <v>1.5525236292165401E-2</v>
      </c>
    </row>
    <row r="21" spans="1:7" ht="17.25" customHeight="1">
      <c r="A21" s="140" t="s">
        <v>1837</v>
      </c>
      <c r="B21" s="140"/>
      <c r="C21" s="140"/>
      <c r="D21" s="140"/>
      <c r="E21" s="140"/>
      <c r="F21" s="140"/>
      <c r="G21" s="373"/>
    </row>
    <row r="22" spans="1:7">
      <c r="G22" s="374"/>
    </row>
    <row r="23" spans="1:7">
      <c r="A23" s="2" t="s">
        <v>686</v>
      </c>
      <c r="G23" s="374"/>
    </row>
    <row r="24" spans="1:7">
      <c r="G24" s="374"/>
    </row>
    <row r="25" spans="1:7">
      <c r="G25" s="374"/>
    </row>
    <row r="26" spans="1:7" ht="21" customHeight="1">
      <c r="A26" s="918" t="s">
        <v>2201</v>
      </c>
      <c r="G26" s="374"/>
    </row>
    <row r="27" spans="1:7">
      <c r="G27" s="374"/>
    </row>
    <row r="28" spans="1:7" ht="18" customHeight="1">
      <c r="A28" s="305"/>
      <c r="B28" s="120" t="s">
        <v>1798</v>
      </c>
      <c r="C28" s="357" t="s">
        <v>1801</v>
      </c>
      <c r="D28" s="120" t="s">
        <v>611</v>
      </c>
      <c r="E28" s="357" t="s">
        <v>1801</v>
      </c>
      <c r="F28" s="120" t="s">
        <v>2210</v>
      </c>
      <c r="G28" s="357" t="s">
        <v>1801</v>
      </c>
    </row>
    <row r="29" spans="1:7" ht="18" customHeight="1">
      <c r="A29" s="919"/>
      <c r="B29" s="123" t="s">
        <v>1803</v>
      </c>
      <c r="C29" s="358" t="s">
        <v>1802</v>
      </c>
      <c r="D29" s="123" t="s">
        <v>1804</v>
      </c>
      <c r="E29" s="358" t="s">
        <v>1802</v>
      </c>
      <c r="F29" s="123" t="s">
        <v>2211</v>
      </c>
      <c r="G29" s="358" t="s">
        <v>1802</v>
      </c>
    </row>
    <row r="30" spans="1:7" ht="18" customHeight="1">
      <c r="A30" s="325"/>
      <c r="B30" s="123"/>
      <c r="C30" s="358" t="s">
        <v>1806</v>
      </c>
      <c r="D30" s="123"/>
      <c r="E30" s="358" t="s">
        <v>1806</v>
      </c>
      <c r="F30" s="123"/>
      <c r="G30" s="358" t="s">
        <v>1806</v>
      </c>
    </row>
    <row r="31" spans="1:7" ht="18" customHeight="1">
      <c r="A31" s="326" t="s">
        <v>2320</v>
      </c>
      <c r="B31" s="129"/>
      <c r="C31" s="128"/>
      <c r="D31" s="129"/>
      <c r="E31" s="153"/>
      <c r="F31" s="129"/>
      <c r="G31" s="359"/>
    </row>
    <row r="32" spans="1:7" ht="2.25" customHeight="1" thickBot="1">
      <c r="A32" s="327">
        <v>1996</v>
      </c>
      <c r="B32" s="170" t="s">
        <v>744</v>
      </c>
      <c r="C32" s="920" t="s">
        <v>744</v>
      </c>
      <c r="D32" s="170" t="s">
        <v>744</v>
      </c>
      <c r="E32" s="920" t="s">
        <v>744</v>
      </c>
      <c r="F32" s="170" t="s">
        <v>744</v>
      </c>
      <c r="G32" s="375" t="s">
        <v>744</v>
      </c>
    </row>
    <row r="33" spans="1:7" ht="0.75" customHeight="1" thickBot="1">
      <c r="A33" s="327">
        <v>1997</v>
      </c>
      <c r="B33" s="170">
        <v>63.73</v>
      </c>
      <c r="C33" s="364" t="s">
        <v>744</v>
      </c>
      <c r="D33" s="170">
        <v>181.03</v>
      </c>
      <c r="E33" s="364" t="s">
        <v>744</v>
      </c>
      <c r="F33" s="170">
        <v>315.33</v>
      </c>
      <c r="G33" s="364" t="s">
        <v>744</v>
      </c>
    </row>
    <row r="34" spans="1:7" ht="18" hidden="1" customHeight="1" thickBot="1">
      <c r="A34" s="327">
        <v>1998</v>
      </c>
      <c r="B34" s="188">
        <v>67.75</v>
      </c>
      <c r="C34" s="364">
        <v>6.3078612898164188E-2</v>
      </c>
      <c r="D34" s="188">
        <v>220.5</v>
      </c>
      <c r="E34" s="364">
        <v>0.21803016074683756</v>
      </c>
      <c r="F34" s="188">
        <v>369.64</v>
      </c>
      <c r="G34" s="364">
        <v>0.17223226461167673</v>
      </c>
    </row>
    <row r="35" spans="1:7" ht="18" customHeight="1" thickBot="1">
      <c r="A35" s="327">
        <v>1999</v>
      </c>
      <c r="B35" s="188">
        <v>68.52</v>
      </c>
      <c r="C35" s="364">
        <v>1.1365313653136422E-2</v>
      </c>
      <c r="D35" s="188">
        <v>233.83</v>
      </c>
      <c r="E35" s="364">
        <v>6.0453514739229108E-2</v>
      </c>
      <c r="F35" s="188">
        <v>384.99</v>
      </c>
      <c r="G35" s="364">
        <v>4.1526891029109558E-2</v>
      </c>
    </row>
    <row r="36" spans="1:7" ht="18" customHeight="1" thickBot="1">
      <c r="A36" s="327">
        <v>2000</v>
      </c>
      <c r="B36" s="188">
        <v>71.95</v>
      </c>
      <c r="C36" s="364">
        <v>5.0058377116170671E-2</v>
      </c>
      <c r="D36" s="188">
        <v>241.33</v>
      </c>
      <c r="E36" s="364">
        <v>3.2074584099559544E-2</v>
      </c>
      <c r="F36" s="188">
        <v>405.65</v>
      </c>
      <c r="G36" s="364">
        <v>5.3663731525493974E-2</v>
      </c>
    </row>
    <row r="37" spans="1:7" ht="18" customHeight="1" thickBot="1">
      <c r="A37" s="327">
        <v>2001</v>
      </c>
      <c r="B37" s="188">
        <v>75.150000000000006</v>
      </c>
      <c r="C37" s="364">
        <v>4.4475330090340659E-2</v>
      </c>
      <c r="D37" s="188">
        <v>252.17</v>
      </c>
      <c r="E37" s="364">
        <v>4.4917747482699832E-2</v>
      </c>
      <c r="F37" s="188">
        <v>422.68</v>
      </c>
      <c r="G37" s="364">
        <v>4.1982004190805E-2</v>
      </c>
    </row>
    <row r="38" spans="1:7" ht="18" customHeight="1" thickBot="1">
      <c r="A38" s="327">
        <v>2002</v>
      </c>
      <c r="B38" s="188">
        <v>75.16</v>
      </c>
      <c r="C38" s="364">
        <v>1.3306719893524388E-4</v>
      </c>
      <c r="D38" s="188">
        <v>258.77</v>
      </c>
      <c r="E38" s="364">
        <v>2.6172819923067747E-2</v>
      </c>
      <c r="F38" s="188">
        <v>434.56</v>
      </c>
      <c r="G38" s="364">
        <v>2.8106368884262212E-2</v>
      </c>
    </row>
    <row r="39" spans="1:7" ht="18" customHeight="1" thickBot="1">
      <c r="A39" s="327">
        <v>2003</v>
      </c>
      <c r="B39" s="188">
        <v>77.430000000000007</v>
      </c>
      <c r="C39" s="364">
        <v>3.0202235231506336E-2</v>
      </c>
      <c r="D39" s="188">
        <v>267.27999999999997</v>
      </c>
      <c r="E39" s="364">
        <v>3.2886346949028145E-2</v>
      </c>
      <c r="F39" s="188">
        <v>445.21</v>
      </c>
      <c r="G39" s="364">
        <v>2.4507547864506485E-2</v>
      </c>
    </row>
    <row r="40" spans="1:7" ht="18" customHeight="1" thickBot="1">
      <c r="A40" s="327">
        <v>2004</v>
      </c>
      <c r="B40" s="188">
        <v>80.83</v>
      </c>
      <c r="C40" s="364">
        <v>4.391062895518516E-2</v>
      </c>
      <c r="D40" s="188">
        <v>289.83</v>
      </c>
      <c r="E40" s="364">
        <v>8.4368452559114182E-2</v>
      </c>
      <c r="F40" s="188">
        <v>485.65</v>
      </c>
      <c r="G40" s="364">
        <v>9.0833539228678539E-2</v>
      </c>
    </row>
    <row r="41" spans="1:7" ht="18" customHeight="1" thickBot="1">
      <c r="A41" s="327">
        <v>2005</v>
      </c>
      <c r="B41" s="188">
        <v>88.02</v>
      </c>
      <c r="C41" s="364">
        <v>8.8952121736978862E-2</v>
      </c>
      <c r="D41" s="188">
        <v>302.69</v>
      </c>
      <c r="E41" s="364">
        <v>4.4370838077493646E-2</v>
      </c>
      <c r="F41" s="188">
        <v>505.01</v>
      </c>
      <c r="G41" s="364">
        <v>3.9864099660249286E-2</v>
      </c>
    </row>
    <row r="42" spans="1:7" ht="18" customHeight="1" thickBot="1">
      <c r="A42" s="327">
        <v>2006</v>
      </c>
      <c r="B42" s="188">
        <v>89.58</v>
      </c>
      <c r="C42" s="364">
        <v>1.7723244717109843E-2</v>
      </c>
      <c r="D42" s="188">
        <v>304.13</v>
      </c>
      <c r="E42" s="364">
        <v>4.7573424956226518E-3</v>
      </c>
      <c r="F42" s="188">
        <v>510.09</v>
      </c>
      <c r="G42" s="364">
        <v>1.0059206748381122E-2</v>
      </c>
    </row>
    <row r="43" spans="1:7" ht="18" customHeight="1" thickBot="1">
      <c r="A43" s="327">
        <v>2007</v>
      </c>
      <c r="B43" s="188">
        <v>92.79</v>
      </c>
      <c r="C43" s="364">
        <v>3.5833891493637138E-2</v>
      </c>
      <c r="D43" s="188">
        <v>309.54000000000002</v>
      </c>
      <c r="E43" s="364">
        <v>1.7788445730444247E-2</v>
      </c>
      <c r="F43" s="188">
        <v>522.22</v>
      </c>
      <c r="G43" s="364">
        <v>2.3780117234213582E-2</v>
      </c>
    </row>
    <row r="44" spans="1:7" ht="18" customHeight="1" thickBot="1">
      <c r="A44" s="327">
        <v>2008</v>
      </c>
      <c r="B44" s="188">
        <v>95.087019294832501</v>
      </c>
      <c r="C44" s="364">
        <v>2.4755030658826227E-2</v>
      </c>
      <c r="D44" s="188">
        <v>320.79966291492889</v>
      </c>
      <c r="E44" s="364">
        <v>3.6375469777504943E-2</v>
      </c>
      <c r="F44" s="188">
        <v>538.06114670750605</v>
      </c>
      <c r="G44" s="364">
        <v>3.0334239798372353E-2</v>
      </c>
    </row>
    <row r="45" spans="1:7" ht="21" customHeight="1" thickBot="1">
      <c r="A45" s="921">
        <v>2009</v>
      </c>
      <c r="B45" s="1070">
        <v>95.725122980230481</v>
      </c>
      <c r="C45" s="909">
        <v>6.7107339164711455E-3</v>
      </c>
      <c r="D45" s="192">
        <v>334.16938022804311</v>
      </c>
      <c r="E45" s="909">
        <v>4.1676219954943194E-2</v>
      </c>
      <c r="F45" s="192">
        <v>544.22522061426776</v>
      </c>
      <c r="G45" s="909">
        <v>1.1456084395762067E-2</v>
      </c>
    </row>
    <row r="46" spans="1:7" ht="15" customHeight="1">
      <c r="A46" s="474" t="s">
        <v>1837</v>
      </c>
    </row>
    <row r="48" spans="1:7">
      <c r="A48" s="141" t="s">
        <v>687</v>
      </c>
    </row>
    <row r="50" spans="1:7">
      <c r="G50" s="374"/>
    </row>
    <row r="51" spans="1:7">
      <c r="A51" s="418" t="s">
        <v>688</v>
      </c>
    </row>
    <row r="52" spans="1:7">
      <c r="A52" s="2" t="s">
        <v>689</v>
      </c>
    </row>
    <row r="53" spans="1:7">
      <c r="A53" s="2" t="s">
        <v>690</v>
      </c>
    </row>
    <row r="56" spans="1:7">
      <c r="A56" s="2" t="s">
        <v>710</v>
      </c>
    </row>
  </sheetData>
  <mergeCells count="1">
    <mergeCell ref="A2:E2"/>
  </mergeCells>
  <phoneticPr fontId="0" type="noConversion"/>
  <pageMargins left="0.39370078740157483" right="0.39370078740157483" top="0.39370078740157483" bottom="0.33" header="0.23622047244094491" footer="0.21"/>
  <pageSetup paperSize="9" scale="70" orientation="portrait" horizontalDpi="1200" verticalDpi="1200"/>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6BC60-970E-E04A-AAF1-919A65986CFD}">
  <sheetPr>
    <pageSetUpPr fitToPage="1"/>
  </sheetPr>
  <dimension ref="A1:N42"/>
  <sheetViews>
    <sheetView topLeftCell="A24" zoomScale="75" workbookViewId="0">
      <selection activeCell="D36" sqref="D36"/>
    </sheetView>
  </sheetViews>
  <sheetFormatPr baseColWidth="10" defaultColWidth="11.3984375" defaultRowHeight="13"/>
  <cols>
    <col min="1" max="1" width="14" style="2" customWidth="1"/>
    <col min="2" max="2" width="0.3984375" style="2" customWidth="1"/>
    <col min="3" max="3" width="0.19921875" style="2" customWidth="1"/>
    <col min="4" max="11" width="10.3984375" style="2" customWidth="1"/>
    <col min="12" max="13" width="11.3984375" style="2"/>
    <col min="14" max="14" width="11.59765625" style="2" customWidth="1"/>
    <col min="15" max="16384" width="11.3984375" style="2"/>
  </cols>
  <sheetData>
    <row r="1" spans="1:14" s="1" customFormat="1" ht="14" customHeight="1"/>
    <row r="2" spans="1:14" s="1" customFormat="1" ht="33" customHeight="1">
      <c r="A2" s="177" t="s">
        <v>1583</v>
      </c>
      <c r="B2" s="478"/>
      <c r="C2" s="478"/>
      <c r="D2" s="478"/>
      <c r="E2" s="478"/>
      <c r="F2" s="478"/>
      <c r="G2" s="478"/>
      <c r="H2" s="478"/>
      <c r="I2" s="177"/>
      <c r="J2" s="177"/>
      <c r="K2" s="177"/>
      <c r="L2" s="177"/>
      <c r="M2" s="177"/>
      <c r="N2" s="177"/>
    </row>
    <row r="3" spans="1:14" ht="24" customHeight="1">
      <c r="A3" s="178" t="s">
        <v>1797</v>
      </c>
      <c r="B3" s="124">
        <v>1997</v>
      </c>
      <c r="C3" s="123">
        <v>1998</v>
      </c>
      <c r="D3" s="124">
        <v>1999</v>
      </c>
      <c r="E3" s="179">
        <v>2000</v>
      </c>
      <c r="F3" s="180">
        <v>2001</v>
      </c>
      <c r="G3" s="123">
        <v>2002</v>
      </c>
      <c r="H3" s="124">
        <v>2003</v>
      </c>
      <c r="I3" s="123">
        <v>2004</v>
      </c>
      <c r="J3" s="124">
        <v>2005</v>
      </c>
      <c r="K3" s="123">
        <v>2006</v>
      </c>
      <c r="L3" s="124">
        <v>2007</v>
      </c>
      <c r="M3" s="123">
        <v>2008</v>
      </c>
      <c r="N3" s="124">
        <v>2009</v>
      </c>
    </row>
    <row r="4" spans="1:14" ht="15" customHeight="1">
      <c r="A4" s="181"/>
      <c r="B4" s="124"/>
      <c r="C4" s="123"/>
      <c r="D4" s="124"/>
      <c r="E4" s="149"/>
      <c r="F4" s="150"/>
      <c r="G4" s="123"/>
      <c r="H4" s="124"/>
      <c r="I4" s="123"/>
      <c r="J4" s="124"/>
      <c r="K4" s="123"/>
      <c r="L4" s="124"/>
      <c r="M4" s="123"/>
      <c r="N4" s="124"/>
    </row>
    <row r="5" spans="1:14" ht="16" customHeight="1">
      <c r="A5" s="182"/>
      <c r="B5" s="128"/>
      <c r="C5" s="129"/>
      <c r="D5" s="128"/>
      <c r="E5" s="154"/>
      <c r="F5" s="153"/>
      <c r="G5" s="129"/>
      <c r="H5" s="128"/>
      <c r="I5" s="129"/>
      <c r="J5" s="128"/>
      <c r="K5" s="129"/>
      <c r="L5" s="128"/>
      <c r="M5" s="129"/>
      <c r="N5" s="128"/>
    </row>
    <row r="6" spans="1:14" ht="30" customHeight="1" thickBot="1">
      <c r="A6" s="183" t="s">
        <v>1807</v>
      </c>
      <c r="B6" s="184">
        <v>1574.74</v>
      </c>
      <c r="C6" s="185">
        <v>1712.02</v>
      </c>
      <c r="D6" s="184">
        <v>1767.1</v>
      </c>
      <c r="E6" s="185">
        <v>1853.81</v>
      </c>
      <c r="F6" s="184">
        <v>1945.7</v>
      </c>
      <c r="G6" s="185">
        <v>1997.6</v>
      </c>
      <c r="H6" s="171">
        <v>2040.72</v>
      </c>
      <c r="I6" s="170">
        <v>2204.77</v>
      </c>
      <c r="J6" s="171">
        <v>2262.65</v>
      </c>
      <c r="K6" s="170">
        <v>2279.52</v>
      </c>
      <c r="L6" s="171">
        <v>2380.5</v>
      </c>
      <c r="M6" s="170">
        <v>2491.8616173272144</v>
      </c>
      <c r="N6" s="171">
        <v>2595.1602371058643</v>
      </c>
    </row>
    <row r="7" spans="1:14" ht="20" customHeight="1" thickBot="1">
      <c r="A7" s="186" t="s">
        <v>1808</v>
      </c>
      <c r="B7" s="187">
        <v>1405.21</v>
      </c>
      <c r="C7" s="188">
        <v>1555.67</v>
      </c>
      <c r="D7" s="187">
        <v>1637.63</v>
      </c>
      <c r="E7" s="188">
        <v>1832.02</v>
      </c>
      <c r="F7" s="187">
        <v>1887.26</v>
      </c>
      <c r="G7" s="188">
        <v>1965.91</v>
      </c>
      <c r="H7" s="171">
        <v>2126.35</v>
      </c>
      <c r="I7" s="170">
        <v>2366.1</v>
      </c>
      <c r="J7" s="171">
        <v>2494.56</v>
      </c>
      <c r="K7" s="170">
        <v>2565.0300000000002</v>
      </c>
      <c r="L7" s="171">
        <v>2662.74</v>
      </c>
      <c r="M7" s="170">
        <v>2792.8234297533545</v>
      </c>
      <c r="N7" s="171">
        <v>2847.3804001022049</v>
      </c>
    </row>
    <row r="8" spans="1:14" ht="20" customHeight="1" thickBot="1">
      <c r="A8" s="186" t="s">
        <v>1809</v>
      </c>
      <c r="B8" s="187">
        <v>1184.71</v>
      </c>
      <c r="C8" s="188">
        <v>1246.68</v>
      </c>
      <c r="D8" s="187">
        <v>1319.84</v>
      </c>
      <c r="E8" s="188">
        <v>1425.18</v>
      </c>
      <c r="F8" s="187">
        <v>1529.85</v>
      </c>
      <c r="G8" s="188">
        <v>1579.99</v>
      </c>
      <c r="H8" s="171">
        <v>1686.93</v>
      </c>
      <c r="I8" s="170">
        <v>1800.15</v>
      </c>
      <c r="J8" s="171">
        <v>1960.76</v>
      </c>
      <c r="K8" s="170">
        <v>1926.27</v>
      </c>
      <c r="L8" s="171">
        <v>2026.47</v>
      </c>
      <c r="M8" s="170">
        <v>2115.3419598530504</v>
      </c>
      <c r="N8" s="171">
        <v>2239.5335043069604</v>
      </c>
    </row>
    <row r="9" spans="1:14" ht="20" customHeight="1" thickBot="1">
      <c r="A9" s="186" t="s">
        <v>1810</v>
      </c>
      <c r="B9" s="187">
        <v>1223.1600000000001</v>
      </c>
      <c r="C9" s="188">
        <v>1225.93</v>
      </c>
      <c r="D9" s="187">
        <v>1305.03</v>
      </c>
      <c r="E9" s="188">
        <v>1419.01</v>
      </c>
      <c r="F9" s="187">
        <v>1569.55</v>
      </c>
      <c r="G9" s="188">
        <v>1489.15</v>
      </c>
      <c r="H9" s="171">
        <v>1621.62</v>
      </c>
      <c r="I9" s="170">
        <v>1668.24</v>
      </c>
      <c r="J9" s="171">
        <v>1854.56</v>
      </c>
      <c r="K9" s="170">
        <v>1860.39</v>
      </c>
      <c r="L9" s="171">
        <v>1991.41</v>
      </c>
      <c r="M9" s="170">
        <v>2056.4202737698852</v>
      </c>
      <c r="N9" s="171">
        <v>2163.02623550206</v>
      </c>
    </row>
    <row r="10" spans="1:14" ht="20" customHeight="1" thickBot="1">
      <c r="A10" s="186" t="s">
        <v>1811</v>
      </c>
      <c r="B10" s="187">
        <v>1225.3599999999999</v>
      </c>
      <c r="C10" s="188">
        <v>1219.58</v>
      </c>
      <c r="D10" s="187">
        <v>1329.14</v>
      </c>
      <c r="E10" s="188">
        <v>1433.5</v>
      </c>
      <c r="F10" s="187">
        <v>1590.79</v>
      </c>
      <c r="G10" s="188">
        <v>1578.63</v>
      </c>
      <c r="H10" s="171">
        <v>1700.18</v>
      </c>
      <c r="I10" s="170">
        <v>1790.74</v>
      </c>
      <c r="J10" s="171">
        <v>1891.09</v>
      </c>
      <c r="K10" s="170">
        <v>1938.8</v>
      </c>
      <c r="L10" s="171">
        <v>2026.57</v>
      </c>
      <c r="M10" s="170">
        <v>2079.4510203078826</v>
      </c>
      <c r="N10" s="171">
        <v>2224.6461416556958</v>
      </c>
    </row>
    <row r="11" spans="1:14" ht="20" customHeight="1" thickBot="1">
      <c r="A11" s="186" t="s">
        <v>1812</v>
      </c>
      <c r="B11" s="187">
        <v>1181.44</v>
      </c>
      <c r="C11" s="188">
        <v>1263.81</v>
      </c>
      <c r="D11" s="187">
        <v>1289.94</v>
      </c>
      <c r="E11" s="188">
        <v>1396.65</v>
      </c>
      <c r="F11" s="187">
        <v>1431.96</v>
      </c>
      <c r="G11" s="188">
        <v>1455.13</v>
      </c>
      <c r="H11" s="171">
        <v>1567.61</v>
      </c>
      <c r="I11" s="170">
        <v>1619.38</v>
      </c>
      <c r="J11" s="171">
        <v>1745.05</v>
      </c>
      <c r="K11" s="170">
        <v>1793.54</v>
      </c>
      <c r="L11" s="171">
        <v>1937.03</v>
      </c>
      <c r="M11" s="170">
        <v>2016.7732516325768</v>
      </c>
      <c r="N11" s="171">
        <v>2058.8767642458251</v>
      </c>
    </row>
    <row r="12" spans="1:14" ht="20" customHeight="1" thickBot="1">
      <c r="A12" s="186" t="s">
        <v>1813</v>
      </c>
      <c r="B12" s="187">
        <v>1090.96</v>
      </c>
      <c r="C12" s="188">
        <v>1128.8900000000001</v>
      </c>
      <c r="D12" s="187">
        <v>1207.8499999999999</v>
      </c>
      <c r="E12" s="188">
        <v>1351.49</v>
      </c>
      <c r="F12" s="187">
        <v>1381.42</v>
      </c>
      <c r="G12" s="188">
        <v>1410.12</v>
      </c>
      <c r="H12" s="171">
        <v>1526.73</v>
      </c>
      <c r="I12" s="170">
        <v>1555.61</v>
      </c>
      <c r="J12" s="171">
        <v>1650.2</v>
      </c>
      <c r="K12" s="170">
        <v>1705.83</v>
      </c>
      <c r="L12" s="171">
        <v>1862.27</v>
      </c>
      <c r="M12" s="170">
        <v>1917.3528882445571</v>
      </c>
      <c r="N12" s="171">
        <v>1987.0067973913037</v>
      </c>
    </row>
    <row r="13" spans="1:14" ht="20" customHeight="1" thickBot="1">
      <c r="A13" s="186" t="s">
        <v>1814</v>
      </c>
      <c r="B13" s="187">
        <v>1304</v>
      </c>
      <c r="C13" s="188">
        <v>1339.52</v>
      </c>
      <c r="D13" s="187">
        <v>1481.14</v>
      </c>
      <c r="E13" s="188">
        <v>1589.34</v>
      </c>
      <c r="F13" s="187">
        <v>1656.5</v>
      </c>
      <c r="G13" s="188">
        <v>1719.94</v>
      </c>
      <c r="H13" s="171">
        <v>1747.83</v>
      </c>
      <c r="I13" s="170">
        <v>1865.56</v>
      </c>
      <c r="J13" s="171">
        <v>1970.12</v>
      </c>
      <c r="K13" s="170">
        <v>1960.34</v>
      </c>
      <c r="L13" s="171">
        <v>2031.72</v>
      </c>
      <c r="M13" s="170">
        <v>2173.5117444409648</v>
      </c>
      <c r="N13" s="171">
        <v>2247.2239645196319</v>
      </c>
    </row>
    <row r="14" spans="1:14" ht="20" customHeight="1" thickBot="1">
      <c r="A14" s="186" t="s">
        <v>1815</v>
      </c>
      <c r="B14" s="187">
        <v>1159.56</v>
      </c>
      <c r="C14" s="188">
        <v>1229.81</v>
      </c>
      <c r="D14" s="187">
        <v>1290.81</v>
      </c>
      <c r="E14" s="188">
        <v>1395.64</v>
      </c>
      <c r="F14" s="187">
        <v>1563.95</v>
      </c>
      <c r="G14" s="188">
        <v>1651.83</v>
      </c>
      <c r="H14" s="171">
        <v>1695.75</v>
      </c>
      <c r="I14" s="170">
        <v>1773.25</v>
      </c>
      <c r="J14" s="171">
        <v>1866.95</v>
      </c>
      <c r="K14" s="170">
        <v>1885.95</v>
      </c>
      <c r="L14" s="171">
        <v>2018.81</v>
      </c>
      <c r="M14" s="170">
        <v>2067.7010235788703</v>
      </c>
      <c r="N14" s="171">
        <v>2181.154562467118</v>
      </c>
    </row>
    <row r="15" spans="1:14" ht="20" customHeight="1" thickBot="1">
      <c r="A15" s="186" t="s">
        <v>1816</v>
      </c>
      <c r="B15" s="187">
        <v>1675.91</v>
      </c>
      <c r="C15" s="188">
        <v>1574.84</v>
      </c>
      <c r="D15" s="187">
        <v>1642.48</v>
      </c>
      <c r="E15" s="188">
        <v>1704.33</v>
      </c>
      <c r="F15" s="187">
        <v>1823.19</v>
      </c>
      <c r="G15" s="188">
        <v>1920.23</v>
      </c>
      <c r="H15" s="171">
        <v>1947.27</v>
      </c>
      <c r="I15" s="170">
        <v>2008.7</v>
      </c>
      <c r="J15" s="171">
        <v>2140.27</v>
      </c>
      <c r="K15" s="170">
        <v>2205.13</v>
      </c>
      <c r="L15" s="171">
        <v>2285.81</v>
      </c>
      <c r="M15" s="170">
        <v>2346.8264861348903</v>
      </c>
      <c r="N15" s="171">
        <v>2443.415487617106</v>
      </c>
    </row>
    <row r="16" spans="1:14" ht="20" customHeight="1" thickBot="1">
      <c r="A16" s="186" t="s">
        <v>1817</v>
      </c>
      <c r="B16" s="187">
        <v>1324.05</v>
      </c>
      <c r="C16" s="188">
        <v>1482.28</v>
      </c>
      <c r="D16" s="187">
        <v>1547.69</v>
      </c>
      <c r="E16" s="188">
        <v>1646.33</v>
      </c>
      <c r="F16" s="187">
        <v>1724.47</v>
      </c>
      <c r="G16" s="188">
        <v>1839.3</v>
      </c>
      <c r="H16" s="171">
        <v>2005.14</v>
      </c>
      <c r="I16" s="170">
        <v>2081.4</v>
      </c>
      <c r="J16" s="171">
        <v>2189.8200000000002</v>
      </c>
      <c r="K16" s="170">
        <v>2259.56</v>
      </c>
      <c r="L16" s="171">
        <v>2380.6</v>
      </c>
      <c r="M16" s="170">
        <v>2485.6816571564432</v>
      </c>
      <c r="N16" s="171">
        <v>2523.1512987399551</v>
      </c>
    </row>
    <row r="17" spans="1:14" ht="20" customHeight="1" thickBot="1">
      <c r="A17" s="186" t="s">
        <v>1818</v>
      </c>
      <c r="B17" s="187">
        <v>2231.2399999999998</v>
      </c>
      <c r="C17" s="188">
        <v>2342.92</v>
      </c>
      <c r="D17" s="187">
        <v>2423.2199999999998</v>
      </c>
      <c r="E17" s="188">
        <v>2585.5100000000002</v>
      </c>
      <c r="F17" s="187">
        <v>2736.33</v>
      </c>
      <c r="G17" s="188">
        <v>2755.5</v>
      </c>
      <c r="H17" s="171">
        <v>2805.3</v>
      </c>
      <c r="I17" s="170">
        <v>2883.22</v>
      </c>
      <c r="J17" s="171">
        <v>3141.52</v>
      </c>
      <c r="K17" s="170">
        <v>3162.18</v>
      </c>
      <c r="L17" s="171">
        <v>3290.8</v>
      </c>
      <c r="M17" s="170">
        <v>3701.1725486253081</v>
      </c>
      <c r="N17" s="171">
        <v>3773.6015111169786</v>
      </c>
    </row>
    <row r="18" spans="1:14" ht="20" customHeight="1" thickBot="1">
      <c r="A18" s="186" t="s">
        <v>1819</v>
      </c>
      <c r="B18" s="187">
        <v>1605.13</v>
      </c>
      <c r="C18" s="188">
        <v>1649.3</v>
      </c>
      <c r="D18" s="187">
        <v>1769.72</v>
      </c>
      <c r="E18" s="188">
        <v>1894.49</v>
      </c>
      <c r="F18" s="187">
        <v>2012</v>
      </c>
      <c r="G18" s="188">
        <v>2085.25</v>
      </c>
      <c r="H18" s="171">
        <v>2167.37</v>
      </c>
      <c r="I18" s="170">
        <v>2197.11</v>
      </c>
      <c r="J18" s="171">
        <v>2359.2199999999998</v>
      </c>
      <c r="K18" s="170">
        <v>2386.52</v>
      </c>
      <c r="L18" s="171">
        <v>2508.2199999999998</v>
      </c>
      <c r="M18" s="170">
        <v>2712.8333111027127</v>
      </c>
      <c r="N18" s="171">
        <v>2841.1033072223063</v>
      </c>
    </row>
    <row r="19" spans="1:14" ht="20" customHeight="1" thickBot="1">
      <c r="A19" s="186" t="s">
        <v>1820</v>
      </c>
      <c r="B19" s="187">
        <v>1457.88</v>
      </c>
      <c r="C19" s="188">
        <v>1533.8</v>
      </c>
      <c r="D19" s="187">
        <v>1735.7</v>
      </c>
      <c r="E19" s="188">
        <v>1831.18</v>
      </c>
      <c r="F19" s="187">
        <v>1926.28</v>
      </c>
      <c r="G19" s="188">
        <v>1971.15</v>
      </c>
      <c r="H19" s="171">
        <v>2049.35</v>
      </c>
      <c r="I19" s="170">
        <v>2120.3000000000002</v>
      </c>
      <c r="J19" s="171">
        <v>2204.77</v>
      </c>
      <c r="K19" s="170">
        <v>2202.85</v>
      </c>
      <c r="L19" s="171">
        <v>2301.19</v>
      </c>
      <c r="M19" s="170">
        <v>2379.6936298361434</v>
      </c>
      <c r="N19" s="171">
        <v>2489.3090827995265</v>
      </c>
    </row>
    <row r="20" spans="1:14" ht="20" customHeight="1" thickBot="1">
      <c r="A20" s="186" t="s">
        <v>1821</v>
      </c>
      <c r="B20" s="187">
        <v>1156.06</v>
      </c>
      <c r="C20" s="188">
        <v>1200.6099999999999</v>
      </c>
      <c r="D20" s="187">
        <v>1317.39</v>
      </c>
      <c r="E20" s="188">
        <v>1421.13</v>
      </c>
      <c r="F20" s="187">
        <v>1480.04</v>
      </c>
      <c r="G20" s="188">
        <v>1518.84</v>
      </c>
      <c r="H20" s="171">
        <v>1649</v>
      </c>
      <c r="I20" s="170">
        <v>1698.48</v>
      </c>
      <c r="J20" s="171">
        <v>1773.7</v>
      </c>
      <c r="K20" s="170">
        <v>1775.69</v>
      </c>
      <c r="L20" s="171">
        <v>1869.43</v>
      </c>
      <c r="M20" s="170">
        <v>1941.1932571642631</v>
      </c>
      <c r="N20" s="171">
        <v>2059.6722283954427</v>
      </c>
    </row>
    <row r="21" spans="1:14" ht="20" customHeight="1" thickBot="1">
      <c r="A21" s="186" t="s">
        <v>1822</v>
      </c>
      <c r="B21" s="187">
        <v>977.88</v>
      </c>
      <c r="C21" s="188">
        <v>980.34</v>
      </c>
      <c r="D21" s="187">
        <v>1110.8599999999999</v>
      </c>
      <c r="E21" s="188">
        <v>1222.43</v>
      </c>
      <c r="F21" s="187">
        <v>1303.8599999999999</v>
      </c>
      <c r="G21" s="188">
        <v>1422.39</v>
      </c>
      <c r="H21" s="171">
        <v>1474.35</v>
      </c>
      <c r="I21" s="170">
        <v>1464.82</v>
      </c>
      <c r="J21" s="171">
        <v>1571.68</v>
      </c>
      <c r="K21" s="170">
        <v>1525.3</v>
      </c>
      <c r="L21" s="171">
        <v>1560.62</v>
      </c>
      <c r="M21" s="170">
        <v>1764.606978701366</v>
      </c>
      <c r="N21" s="171">
        <v>1740.1560081825285</v>
      </c>
    </row>
    <row r="22" spans="1:14" ht="20" customHeight="1" thickBot="1">
      <c r="A22" s="186" t="s">
        <v>1823</v>
      </c>
      <c r="B22" s="187">
        <v>1220.83</v>
      </c>
      <c r="C22" s="188">
        <v>1268.57</v>
      </c>
      <c r="D22" s="187">
        <v>1372.38</v>
      </c>
      <c r="E22" s="188">
        <v>1447.46</v>
      </c>
      <c r="F22" s="187">
        <v>1518.72</v>
      </c>
      <c r="G22" s="188">
        <v>1603.49</v>
      </c>
      <c r="H22" s="171">
        <v>1748.34</v>
      </c>
      <c r="I22" s="170">
        <v>1828.82</v>
      </c>
      <c r="J22" s="171">
        <v>1892.44</v>
      </c>
      <c r="K22" s="170">
        <v>1898.79</v>
      </c>
      <c r="L22" s="171">
        <v>1992.59</v>
      </c>
      <c r="M22" s="170">
        <v>2068.3631025655222</v>
      </c>
      <c r="N22" s="171">
        <v>2188.1389100107331</v>
      </c>
    </row>
    <row r="23" spans="1:14" ht="20" customHeight="1" thickBot="1">
      <c r="A23" s="186" t="s">
        <v>1824</v>
      </c>
      <c r="B23" s="187">
        <v>1241.78</v>
      </c>
      <c r="C23" s="188">
        <v>1273.6199999999999</v>
      </c>
      <c r="D23" s="187">
        <v>1397.39</v>
      </c>
      <c r="E23" s="188">
        <v>1553.84</v>
      </c>
      <c r="F23" s="187">
        <v>1573.39</v>
      </c>
      <c r="G23" s="188">
        <v>1596.96</v>
      </c>
      <c r="H23" s="171">
        <v>1798.77</v>
      </c>
      <c r="I23" s="170">
        <v>1865.58</v>
      </c>
      <c r="J23" s="171">
        <v>1943.18</v>
      </c>
      <c r="K23" s="170">
        <v>1998.89</v>
      </c>
      <c r="L23" s="171">
        <v>2140.9</v>
      </c>
      <c r="M23" s="170">
        <v>2202.200833869515</v>
      </c>
      <c r="N23" s="171">
        <v>2293.471184708183</v>
      </c>
    </row>
    <row r="24" spans="1:14" ht="20" customHeight="1" thickBot="1">
      <c r="A24" s="186" t="s">
        <v>1825</v>
      </c>
      <c r="B24" s="187">
        <v>1261.31</v>
      </c>
      <c r="C24" s="188">
        <v>1367.78</v>
      </c>
      <c r="D24" s="187">
        <v>1484.07</v>
      </c>
      <c r="E24" s="188">
        <v>1600.06</v>
      </c>
      <c r="F24" s="187">
        <v>1688.86</v>
      </c>
      <c r="G24" s="188">
        <v>1759.97</v>
      </c>
      <c r="H24" s="171">
        <v>1853.89</v>
      </c>
      <c r="I24" s="170">
        <v>1912.21</v>
      </c>
      <c r="J24" s="171">
        <v>2044</v>
      </c>
      <c r="K24" s="170">
        <v>2096.9699999999998</v>
      </c>
      <c r="L24" s="171">
        <v>2167</v>
      </c>
      <c r="M24" s="170">
        <v>2279.5863567080901</v>
      </c>
      <c r="N24" s="171">
        <v>2360.210714916836</v>
      </c>
    </row>
    <row r="25" spans="1:14" ht="20" customHeight="1" thickBot="1">
      <c r="A25" s="186" t="s">
        <v>1826</v>
      </c>
      <c r="B25" s="187">
        <v>1446.55</v>
      </c>
      <c r="C25" s="188">
        <v>1489.6</v>
      </c>
      <c r="D25" s="187">
        <v>1562.52</v>
      </c>
      <c r="E25" s="188">
        <v>1631.21</v>
      </c>
      <c r="F25" s="187">
        <v>1694.01</v>
      </c>
      <c r="G25" s="188">
        <v>1826.69</v>
      </c>
      <c r="H25" s="171">
        <v>1914.58</v>
      </c>
      <c r="I25" s="170">
        <v>1906.85</v>
      </c>
      <c r="J25" s="171">
        <v>1972.24</v>
      </c>
      <c r="K25" s="170">
        <v>1962.29</v>
      </c>
      <c r="L25" s="171">
        <v>2070</v>
      </c>
      <c r="M25" s="170">
        <v>2161.7181025961295</v>
      </c>
      <c r="N25" s="171">
        <v>2232.1540949027544</v>
      </c>
    </row>
    <row r="26" spans="1:14" ht="20" customHeight="1" thickBot="1">
      <c r="A26" s="186" t="s">
        <v>1827</v>
      </c>
      <c r="B26" s="187">
        <v>1954.92</v>
      </c>
      <c r="C26" s="188">
        <v>1985.34</v>
      </c>
      <c r="D26" s="187">
        <v>2047.88</v>
      </c>
      <c r="E26" s="188">
        <v>2244.37</v>
      </c>
      <c r="F26" s="187">
        <v>2358.9899999999998</v>
      </c>
      <c r="G26" s="188">
        <v>2511</v>
      </c>
      <c r="H26" s="171">
        <v>2651.52</v>
      </c>
      <c r="I26" s="170">
        <v>2632.57</v>
      </c>
      <c r="J26" s="171">
        <v>2809.82</v>
      </c>
      <c r="K26" s="170">
        <v>2816.03</v>
      </c>
      <c r="L26" s="171">
        <v>2892.4</v>
      </c>
      <c r="M26" s="170">
        <v>2865.9805688521046</v>
      </c>
      <c r="N26" s="171">
        <v>2992.7155287390519</v>
      </c>
    </row>
    <row r="27" spans="1:14" ht="20" customHeight="1" thickBot="1">
      <c r="A27" s="186" t="s">
        <v>1828</v>
      </c>
      <c r="B27" s="187">
        <v>2044.73</v>
      </c>
      <c r="C27" s="188">
        <v>2059.25</v>
      </c>
      <c r="D27" s="187">
        <v>2097.46</v>
      </c>
      <c r="E27" s="188">
        <v>2268.5100000000002</v>
      </c>
      <c r="F27" s="187">
        <v>2422.64</v>
      </c>
      <c r="G27" s="188">
        <v>2479.8000000000002</v>
      </c>
      <c r="H27" s="171">
        <v>2575.5300000000002</v>
      </c>
      <c r="I27" s="170">
        <v>2616.02</v>
      </c>
      <c r="J27" s="171">
        <v>2740.2</v>
      </c>
      <c r="K27" s="170">
        <v>2732.29</v>
      </c>
      <c r="L27" s="171">
        <v>2777.04</v>
      </c>
      <c r="M27" s="170">
        <v>2867.7026837617591</v>
      </c>
      <c r="N27" s="171">
        <v>2928.8429319040929</v>
      </c>
    </row>
    <row r="28" spans="1:14" ht="20" customHeight="1" thickBot="1">
      <c r="A28" s="186" t="s">
        <v>1829</v>
      </c>
      <c r="B28" s="187">
        <v>1415.95</v>
      </c>
      <c r="C28" s="188">
        <v>1391.67</v>
      </c>
      <c r="D28" s="187">
        <v>1477.29</v>
      </c>
      <c r="E28" s="188">
        <v>1625.44</v>
      </c>
      <c r="F28" s="187">
        <v>1716.24</v>
      </c>
      <c r="G28" s="188">
        <v>1795.24</v>
      </c>
      <c r="H28" s="171">
        <v>1906.24</v>
      </c>
      <c r="I28" s="170">
        <v>1912.21</v>
      </c>
      <c r="J28" s="171">
        <v>2033.28</v>
      </c>
      <c r="K28" s="170">
        <v>2086.69</v>
      </c>
      <c r="L28" s="171">
        <v>2215.88</v>
      </c>
      <c r="M28" s="170">
        <v>2291.7430844693799</v>
      </c>
      <c r="N28" s="171">
        <v>2375.5839560085515</v>
      </c>
    </row>
    <row r="29" spans="1:14" ht="20" customHeight="1" thickBot="1">
      <c r="A29" s="186" t="s">
        <v>1830</v>
      </c>
      <c r="B29" s="187">
        <v>1793.44</v>
      </c>
      <c r="C29" s="188">
        <v>2003.05</v>
      </c>
      <c r="D29" s="187">
        <v>1859.86</v>
      </c>
      <c r="E29" s="188">
        <v>2231.21</v>
      </c>
      <c r="F29" s="187">
        <v>2345.88</v>
      </c>
      <c r="G29" s="188">
        <v>2370.9899999999998</v>
      </c>
      <c r="H29" s="171">
        <v>2463.52</v>
      </c>
      <c r="I29" s="170">
        <v>2659.11</v>
      </c>
      <c r="J29" s="171">
        <v>2678.97</v>
      </c>
      <c r="K29" s="170">
        <v>2569.15</v>
      </c>
      <c r="L29" s="171">
        <v>2576.5100000000002</v>
      </c>
      <c r="M29" s="170">
        <v>2691.5935668898587</v>
      </c>
      <c r="N29" s="171">
        <v>2706.1362717380475</v>
      </c>
    </row>
    <row r="30" spans="1:14" ht="20" customHeight="1" thickBot="1">
      <c r="A30" s="186" t="s">
        <v>1831</v>
      </c>
      <c r="B30" s="187">
        <v>2354.1799999999998</v>
      </c>
      <c r="C30" s="188">
        <v>2570.25</v>
      </c>
      <c r="D30" s="187">
        <v>2550.08</v>
      </c>
      <c r="E30" s="188">
        <v>2671.53</v>
      </c>
      <c r="F30" s="187">
        <v>2915.74</v>
      </c>
      <c r="G30" s="188">
        <v>3015.51</v>
      </c>
      <c r="H30" s="171">
        <v>2871.83</v>
      </c>
      <c r="I30" s="170">
        <v>2997.66</v>
      </c>
      <c r="J30" s="171">
        <v>3226.97</v>
      </c>
      <c r="K30" s="170">
        <v>3180.86</v>
      </c>
      <c r="L30" s="171">
        <v>3238.02</v>
      </c>
      <c r="M30" s="170">
        <v>3391.2625997346909</v>
      </c>
      <c r="N30" s="171">
        <v>3397.4995519788049</v>
      </c>
    </row>
    <row r="31" spans="1:14" ht="20" customHeight="1" thickBot="1">
      <c r="A31" s="186" t="s">
        <v>1832</v>
      </c>
      <c r="B31" s="187">
        <v>1743.78</v>
      </c>
      <c r="C31" s="188">
        <v>1825.7</v>
      </c>
      <c r="D31" s="187">
        <v>2010.66</v>
      </c>
      <c r="E31" s="188">
        <v>2029.99</v>
      </c>
      <c r="F31" s="187">
        <v>2178.44</v>
      </c>
      <c r="G31" s="188">
        <v>2254.27</v>
      </c>
      <c r="H31" s="171">
        <v>2091.5700000000002</v>
      </c>
      <c r="I31" s="170">
        <v>2253.96</v>
      </c>
      <c r="J31" s="171">
        <v>2461.69</v>
      </c>
      <c r="K31" s="170">
        <v>2362.73</v>
      </c>
      <c r="L31" s="171">
        <v>2449.73</v>
      </c>
      <c r="M31" s="170">
        <v>2653.0839794207427</v>
      </c>
      <c r="N31" s="171">
        <v>2721.44023616817</v>
      </c>
    </row>
    <row r="32" spans="1:14" ht="30" customHeight="1" thickBot="1">
      <c r="A32" s="673" t="s">
        <v>1222</v>
      </c>
      <c r="B32" s="674">
        <v>1569.89438526044</v>
      </c>
      <c r="C32" s="675">
        <v>1645.8523332821831</v>
      </c>
      <c r="D32" s="674">
        <v>1709.7272154599079</v>
      </c>
      <c r="E32" s="675">
        <v>1815.5684429134135</v>
      </c>
      <c r="F32" s="674">
        <v>1915.651858294355</v>
      </c>
      <c r="G32" s="675">
        <v>1986.8602051130677</v>
      </c>
      <c r="H32" s="676">
        <v>2080.1097731368104</v>
      </c>
      <c r="I32" s="680">
        <v>2208.6199103577751</v>
      </c>
      <c r="J32" s="681">
        <v>2333.6518395021967</v>
      </c>
      <c r="K32" s="680">
        <v>2348.6110145248435</v>
      </c>
      <c r="L32" s="681">
        <v>2444.23328932606</v>
      </c>
      <c r="M32" s="680">
        <v>2551.5456227393033</v>
      </c>
      <c r="N32" s="193">
        <v>2629.9453998465406</v>
      </c>
    </row>
    <row r="33" spans="1:8" ht="20" customHeight="1">
      <c r="A33" s="672" t="s">
        <v>1837</v>
      </c>
      <c r="B33" s="194"/>
      <c r="C33" s="194"/>
      <c r="D33" s="194"/>
      <c r="E33" s="194"/>
      <c r="F33" s="194"/>
      <c r="G33" s="194"/>
      <c r="H33" s="195"/>
    </row>
    <row r="34" spans="1:8" ht="15.75" customHeight="1">
      <c r="A34" s="141"/>
      <c r="B34" s="196"/>
      <c r="C34" s="196"/>
      <c r="D34" s="196"/>
      <c r="E34" s="196"/>
      <c r="F34" s="196"/>
      <c r="G34" s="196"/>
      <c r="H34" s="197"/>
    </row>
    <row r="35" spans="1:8" ht="14.25" customHeight="1">
      <c r="A35" s="1071" t="s">
        <v>2484</v>
      </c>
      <c r="B35" s="196"/>
      <c r="C35" s="196"/>
      <c r="D35" s="196"/>
      <c r="E35" s="196"/>
      <c r="F35" s="196"/>
      <c r="G35" s="196"/>
      <c r="H35" s="197"/>
    </row>
    <row r="36" spans="1:8" ht="13.5" customHeight="1">
      <c r="A36" s="141"/>
      <c r="B36" s="196"/>
      <c r="C36" s="196"/>
      <c r="D36" s="196"/>
      <c r="E36" s="196"/>
      <c r="F36" s="196"/>
      <c r="G36" s="196"/>
      <c r="H36" s="197"/>
    </row>
    <row r="37" spans="1:8" ht="12.75" customHeight="1">
      <c r="A37" s="141" t="s">
        <v>1835</v>
      </c>
      <c r="B37" s="196"/>
      <c r="C37" s="196"/>
      <c r="D37" s="196"/>
      <c r="E37" s="196"/>
      <c r="F37" s="196"/>
      <c r="G37" s="196"/>
      <c r="H37" s="197"/>
    </row>
    <row r="38" spans="1:8" ht="12.75" customHeight="1">
      <c r="A38" s="141" t="s">
        <v>1584</v>
      </c>
      <c r="B38" s="196"/>
      <c r="C38" s="196"/>
      <c r="D38" s="196"/>
      <c r="E38" s="196"/>
      <c r="F38" s="196"/>
      <c r="G38" s="196"/>
      <c r="H38" s="197"/>
    </row>
    <row r="39" spans="1:8" ht="12.75" customHeight="1">
      <c r="A39" s="2" t="s">
        <v>1836</v>
      </c>
      <c r="B39" s="196"/>
      <c r="C39" s="196"/>
      <c r="D39" s="196"/>
      <c r="E39" s="196"/>
      <c r="F39" s="196"/>
      <c r="G39" s="196"/>
      <c r="H39" s="197"/>
    </row>
    <row r="41" spans="1:8">
      <c r="A41" s="141"/>
    </row>
    <row r="42" spans="1:8">
      <c r="A42" s="141" t="s">
        <v>710</v>
      </c>
    </row>
  </sheetData>
  <phoneticPr fontId="0" type="noConversion"/>
  <pageMargins left="0.45" right="0.49" top="0.76" bottom="0.49" header="0.56000000000000005" footer="0.4921259845"/>
  <pageSetup paperSize="9" scale="72" orientation="portrait"/>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2F810-39F7-5E4C-826E-067C7C8757EF}">
  <sheetPr>
    <pageSetUpPr fitToPage="1"/>
  </sheetPr>
  <dimension ref="A1:G44"/>
  <sheetViews>
    <sheetView topLeftCell="A26" zoomScale="75" workbookViewId="0">
      <selection activeCell="A33" sqref="A33:A34"/>
    </sheetView>
  </sheetViews>
  <sheetFormatPr baseColWidth="10" defaultColWidth="11.3984375" defaultRowHeight="13"/>
  <cols>
    <col min="1" max="1" width="21.3984375" style="2" customWidth="1"/>
    <col min="2" max="5" width="19.796875" style="2" customWidth="1"/>
    <col min="6" max="6" width="11.3984375" style="2"/>
    <col min="7" max="7" width="14.59765625" style="2" customWidth="1"/>
    <col min="8" max="16384" width="11.3984375" style="2"/>
  </cols>
  <sheetData>
    <row r="1" spans="1:7" s="1" customFormat="1" ht="14" customHeight="1"/>
    <row r="2" spans="1:7" s="1" customFormat="1" ht="28" customHeight="1">
      <c r="A2" s="118" t="s">
        <v>2155</v>
      </c>
      <c r="E2" s="118">
        <v>2009</v>
      </c>
    </row>
    <row r="3" spans="1:7" ht="27" customHeight="1">
      <c r="A3" s="119" t="s">
        <v>1797</v>
      </c>
      <c r="B3" s="120" t="s">
        <v>1798</v>
      </c>
      <c r="C3" s="121" t="s">
        <v>1799</v>
      </c>
      <c r="D3" s="120" t="s">
        <v>1800</v>
      </c>
      <c r="E3" s="121" t="s">
        <v>1567</v>
      </c>
    </row>
    <row r="4" spans="1:7" ht="21.75" customHeight="1">
      <c r="A4" s="122"/>
      <c r="B4" s="123"/>
      <c r="C4" s="124" t="s">
        <v>1800</v>
      </c>
      <c r="D4" s="125"/>
      <c r="E4" s="124"/>
    </row>
    <row r="5" spans="1:7" ht="21.75" customHeight="1">
      <c r="A5" s="122"/>
      <c r="B5" s="123" t="s">
        <v>1803</v>
      </c>
      <c r="C5" s="124" t="s">
        <v>1804</v>
      </c>
      <c r="D5" s="123" t="s">
        <v>1805</v>
      </c>
      <c r="E5" s="124"/>
    </row>
    <row r="6" spans="1:7" ht="24" customHeight="1">
      <c r="A6" s="126"/>
      <c r="B6" s="127"/>
      <c r="C6" s="126"/>
      <c r="D6" s="127"/>
      <c r="E6" s="128"/>
    </row>
    <row r="7" spans="1:7" ht="30" customHeight="1" thickBot="1">
      <c r="A7" s="131" t="s">
        <v>1807</v>
      </c>
      <c r="B7" s="132">
        <v>252049170.16999999</v>
      </c>
      <c r="C7" s="133">
        <v>142652486.61000001</v>
      </c>
      <c r="D7" s="132">
        <v>3688304583.6300001</v>
      </c>
      <c r="E7" s="133">
        <v>4083006240.4099998</v>
      </c>
      <c r="G7" s="134"/>
    </row>
    <row r="8" spans="1:7" ht="20" customHeight="1" thickBot="1">
      <c r="A8" s="135" t="s">
        <v>1808</v>
      </c>
      <c r="B8" s="132">
        <v>150646392.22</v>
      </c>
      <c r="C8" s="133">
        <v>103904354.81</v>
      </c>
      <c r="D8" s="132">
        <v>2948282340.5</v>
      </c>
      <c r="E8" s="133">
        <v>3202833087.5300002</v>
      </c>
      <c r="G8" s="134"/>
    </row>
    <row r="9" spans="1:7" ht="20" customHeight="1" thickBot="1">
      <c r="A9" s="135" t="s">
        <v>1809</v>
      </c>
      <c r="B9" s="132">
        <v>57541734.649999999</v>
      </c>
      <c r="C9" s="133">
        <v>37195384.729999997</v>
      </c>
      <c r="D9" s="132">
        <v>880194643.16999996</v>
      </c>
      <c r="E9" s="133">
        <v>974931762.54999995</v>
      </c>
      <c r="G9" s="134"/>
    </row>
    <row r="10" spans="1:7" ht="20" customHeight="1" thickBot="1">
      <c r="A10" s="135" t="s">
        <v>1810</v>
      </c>
      <c r="B10" s="132">
        <v>5148961.12</v>
      </c>
      <c r="C10" s="133">
        <v>3506186.89</v>
      </c>
      <c r="D10" s="132">
        <v>81673187.349999994</v>
      </c>
      <c r="E10" s="133">
        <v>90328335.359999999</v>
      </c>
      <c r="G10" s="134"/>
    </row>
    <row r="11" spans="1:7" ht="20" customHeight="1" thickBot="1">
      <c r="A11" s="135" t="s">
        <v>1811</v>
      </c>
      <c r="B11" s="132">
        <v>27035280.649999999</v>
      </c>
      <c r="C11" s="133">
        <v>14996752.83</v>
      </c>
      <c r="D11" s="132">
        <v>340608164.25999999</v>
      </c>
      <c r="E11" s="133">
        <v>382640197.74000001</v>
      </c>
      <c r="G11" s="134"/>
    </row>
    <row r="12" spans="1:7" ht="20" customHeight="1" thickBot="1">
      <c r="A12" s="135" t="s">
        <v>1812</v>
      </c>
      <c r="B12" s="132">
        <v>5621802.0999999996</v>
      </c>
      <c r="C12" s="133">
        <v>3307632.57</v>
      </c>
      <c r="D12" s="132">
        <v>77132757.469999999</v>
      </c>
      <c r="E12" s="133">
        <v>86062192.140000001</v>
      </c>
      <c r="G12" s="134"/>
    </row>
    <row r="13" spans="1:7" ht="20" customHeight="1" thickBot="1">
      <c r="A13" s="135" t="s">
        <v>1813</v>
      </c>
      <c r="B13" s="132">
        <v>5582234.1399999997</v>
      </c>
      <c r="C13" s="133">
        <v>3302058.92</v>
      </c>
      <c r="D13" s="132">
        <v>86880416.510000005</v>
      </c>
      <c r="E13" s="133">
        <v>95764709.570000008</v>
      </c>
      <c r="G13" s="134"/>
    </row>
    <row r="14" spans="1:7" ht="20" customHeight="1" thickBot="1">
      <c r="A14" s="135" t="s">
        <v>1814</v>
      </c>
      <c r="B14" s="132">
        <v>6390807.3399999999</v>
      </c>
      <c r="C14" s="133">
        <v>4814587.87</v>
      </c>
      <c r="D14" s="132">
        <v>91427669.159999996</v>
      </c>
      <c r="E14" s="133">
        <v>102633064.37</v>
      </c>
      <c r="G14" s="134"/>
    </row>
    <row r="15" spans="1:7" ht="20" customHeight="1" thickBot="1">
      <c r="A15" s="135" t="s">
        <v>1815</v>
      </c>
      <c r="B15" s="132">
        <v>17892368.359999999</v>
      </c>
      <c r="C15" s="133">
        <v>10050226.869999999</v>
      </c>
      <c r="D15" s="132">
        <v>258095948.72</v>
      </c>
      <c r="E15" s="133">
        <v>286038543.94999999</v>
      </c>
      <c r="G15" s="134"/>
    </row>
    <row r="16" spans="1:7" ht="20" customHeight="1" thickBot="1">
      <c r="A16" s="135" t="s">
        <v>1816</v>
      </c>
      <c r="B16" s="132">
        <v>55241416.359999999</v>
      </c>
      <c r="C16" s="133">
        <v>31770165.5</v>
      </c>
      <c r="D16" s="132">
        <v>691098469.34000003</v>
      </c>
      <c r="E16" s="133">
        <v>778110051.20000005</v>
      </c>
      <c r="G16" s="134"/>
    </row>
    <row r="17" spans="1:7" ht="20" customHeight="1" thickBot="1">
      <c r="A17" s="135" t="s">
        <v>1817</v>
      </c>
      <c r="B17" s="132">
        <v>44179639.850000001</v>
      </c>
      <c r="C17" s="133">
        <v>28223434.359999999</v>
      </c>
      <c r="D17" s="132">
        <v>681536599.26999998</v>
      </c>
      <c r="E17" s="133">
        <v>753939673.48000002</v>
      </c>
      <c r="G17" s="134"/>
    </row>
    <row r="18" spans="1:7" ht="20" customHeight="1" thickBot="1">
      <c r="A18" s="135" t="s">
        <v>1818</v>
      </c>
      <c r="B18" s="132">
        <v>34672192.219999999</v>
      </c>
      <c r="C18" s="133">
        <v>21456947.670000002</v>
      </c>
      <c r="D18" s="132">
        <v>696988412.65999997</v>
      </c>
      <c r="E18" s="133">
        <v>753117552.54999995</v>
      </c>
      <c r="G18" s="134"/>
    </row>
    <row r="19" spans="1:7" ht="20" customHeight="1" thickBot="1">
      <c r="A19" s="135" t="s">
        <v>1819</v>
      </c>
      <c r="B19" s="132">
        <v>54566692.479999997</v>
      </c>
      <c r="C19" s="133">
        <v>32389337.420000002</v>
      </c>
      <c r="D19" s="132">
        <v>818866721.85000002</v>
      </c>
      <c r="E19" s="133">
        <v>905822751.75</v>
      </c>
      <c r="G19" s="134"/>
    </row>
    <row r="20" spans="1:7" ht="20" customHeight="1" thickBot="1">
      <c r="A20" s="135" t="s">
        <v>1820</v>
      </c>
      <c r="B20" s="132">
        <v>11237469.75</v>
      </c>
      <c r="C20" s="133">
        <v>8220747.3399999999</v>
      </c>
      <c r="D20" s="132">
        <v>201078791.87</v>
      </c>
      <c r="E20" s="133">
        <v>220537008.96000001</v>
      </c>
      <c r="G20" s="134"/>
    </row>
    <row r="21" spans="1:7" ht="20" customHeight="1" thickBot="1">
      <c r="A21" s="135" t="s">
        <v>1821</v>
      </c>
      <c r="B21" s="132">
        <v>8555792.2899999991</v>
      </c>
      <c r="C21" s="133">
        <v>4740112.2300000004</v>
      </c>
      <c r="D21" s="132">
        <v>117680829.41</v>
      </c>
      <c r="E21" s="133">
        <v>130976733.92999999</v>
      </c>
      <c r="G21" s="134"/>
    </row>
    <row r="22" spans="1:7" ht="20" customHeight="1" thickBot="1">
      <c r="A22" s="135" t="s">
        <v>1822</v>
      </c>
      <c r="B22" s="132">
        <v>2306015.31</v>
      </c>
      <c r="C22" s="133">
        <v>1488487.96</v>
      </c>
      <c r="D22" s="132">
        <v>28824191.199999999</v>
      </c>
      <c r="E22" s="133">
        <v>32618694.469999999</v>
      </c>
      <c r="G22" s="134"/>
    </row>
    <row r="23" spans="1:7" ht="20" customHeight="1" thickBot="1">
      <c r="A23" s="135" t="s">
        <v>1823</v>
      </c>
      <c r="B23" s="132">
        <v>83297142.950000003</v>
      </c>
      <c r="C23" s="133">
        <v>54532894.630000003</v>
      </c>
      <c r="D23" s="132">
        <v>1092881476.1600001</v>
      </c>
      <c r="E23" s="133">
        <v>1230711513.74</v>
      </c>
      <c r="G23" s="134"/>
    </row>
    <row r="24" spans="1:7" ht="20" customHeight="1" thickBot="1">
      <c r="A24" s="135" t="s">
        <v>1824</v>
      </c>
      <c r="B24" s="132">
        <v>32434339.899999999</v>
      </c>
      <c r="C24" s="133">
        <v>20269923.02</v>
      </c>
      <c r="D24" s="132">
        <v>474378338.06</v>
      </c>
      <c r="E24" s="133">
        <v>527082600.98000002</v>
      </c>
      <c r="G24" s="134"/>
    </row>
    <row r="25" spans="1:7" ht="20" customHeight="1" thickBot="1">
      <c r="A25" s="135" t="s">
        <v>1825</v>
      </c>
      <c r="B25" s="132">
        <v>110536656.14</v>
      </c>
      <c r="C25" s="133">
        <v>65921170.240000002</v>
      </c>
      <c r="D25" s="132">
        <v>1488081885.8399999</v>
      </c>
      <c r="E25" s="133">
        <v>1664539712.2199998</v>
      </c>
      <c r="G25" s="134"/>
    </row>
    <row r="26" spans="1:7" ht="20" customHeight="1" thickBot="1">
      <c r="A26" s="135" t="s">
        <v>1826</v>
      </c>
      <c r="B26" s="132">
        <v>44044180.420000002</v>
      </c>
      <c r="C26" s="133">
        <v>27180251.23</v>
      </c>
      <c r="D26" s="132">
        <v>571149925.59000003</v>
      </c>
      <c r="E26" s="133">
        <v>642374357.24000001</v>
      </c>
      <c r="G26" s="134"/>
    </row>
    <row r="27" spans="1:7" ht="20" customHeight="1" thickBot="1">
      <c r="A27" s="135" t="s">
        <v>1827</v>
      </c>
      <c r="B27" s="132">
        <v>56602075.799999997</v>
      </c>
      <c r="C27" s="133">
        <v>27701433.41</v>
      </c>
      <c r="D27" s="132">
        <v>1056681366.28</v>
      </c>
      <c r="E27" s="133">
        <v>1140984875.49</v>
      </c>
      <c r="G27" s="134"/>
    </row>
    <row r="28" spans="1:7" ht="20" customHeight="1" thickBot="1">
      <c r="A28" s="135" t="s">
        <v>1828</v>
      </c>
      <c r="B28" s="132">
        <v>164242555.16</v>
      </c>
      <c r="C28" s="133">
        <v>78684638.120000005</v>
      </c>
      <c r="D28" s="132">
        <v>2084102493.3199999</v>
      </c>
      <c r="E28" s="133">
        <v>2327029686.5999999</v>
      </c>
      <c r="G28" s="134"/>
    </row>
    <row r="29" spans="1:7" ht="20" customHeight="1" thickBot="1">
      <c r="A29" s="135" t="s">
        <v>1829</v>
      </c>
      <c r="B29" s="132">
        <v>52055797.960000001</v>
      </c>
      <c r="C29" s="133">
        <v>30264226.170000002</v>
      </c>
      <c r="D29" s="132">
        <v>779530547.05999994</v>
      </c>
      <c r="E29" s="133">
        <v>861850571.18999994</v>
      </c>
      <c r="G29" s="134"/>
    </row>
    <row r="30" spans="1:7" ht="20" customHeight="1" thickBot="1">
      <c r="A30" s="135" t="s">
        <v>1830</v>
      </c>
      <c r="B30" s="132">
        <v>33598565.170000002</v>
      </c>
      <c r="C30" s="133">
        <v>17456820.199999999</v>
      </c>
      <c r="D30" s="132">
        <v>487606317.93000001</v>
      </c>
      <c r="E30" s="133">
        <v>538661703.29999995</v>
      </c>
      <c r="G30" s="134"/>
    </row>
    <row r="31" spans="1:7" ht="20" customHeight="1" thickBot="1">
      <c r="A31" s="135" t="s">
        <v>1831</v>
      </c>
      <c r="B31" s="132">
        <v>118355365.79000001</v>
      </c>
      <c r="C31" s="133">
        <v>56244719.210000001</v>
      </c>
      <c r="D31" s="132">
        <v>1442306716.3299999</v>
      </c>
      <c r="E31" s="133">
        <v>1616906801.3299999</v>
      </c>
      <c r="G31" s="134"/>
    </row>
    <row r="32" spans="1:7" ht="20" customHeight="1" thickBot="1">
      <c r="A32" s="136" t="s">
        <v>1832</v>
      </c>
      <c r="B32" s="132">
        <v>14470534.58</v>
      </c>
      <c r="C32" s="133">
        <v>6991405.5899999999</v>
      </c>
      <c r="D32" s="132">
        <v>200392010.03</v>
      </c>
      <c r="E32" s="133">
        <v>221853950.19999999</v>
      </c>
      <c r="G32" s="134"/>
    </row>
    <row r="33" spans="1:7" ht="20" customHeight="1" thickBot="1">
      <c r="A33" s="318" t="s">
        <v>2156</v>
      </c>
      <c r="B33" s="132">
        <v>417785.18</v>
      </c>
      <c r="C33" s="133">
        <v>129413.15</v>
      </c>
      <c r="D33" s="132">
        <v>4261472.67</v>
      </c>
      <c r="E33" s="133">
        <v>4808671</v>
      </c>
      <c r="G33" s="134"/>
    </row>
    <row r="34" spans="1:7" ht="20" customHeight="1" thickBot="1">
      <c r="A34" s="136" t="s">
        <v>657</v>
      </c>
      <c r="B34" s="132">
        <v>-7645.62</v>
      </c>
      <c r="C34" s="133">
        <v>-9058.82</v>
      </c>
      <c r="D34" s="132">
        <v>174107.34</v>
      </c>
      <c r="E34" s="133">
        <v>157402.9</v>
      </c>
      <c r="G34" s="134"/>
    </row>
    <row r="35" spans="1:7" ht="30" customHeight="1" thickBot="1">
      <c r="A35" s="137" t="s">
        <v>1222</v>
      </c>
      <c r="B35" s="138">
        <v>1448715322.4300001</v>
      </c>
      <c r="C35" s="139">
        <v>837386740.69000006</v>
      </c>
      <c r="D35" s="138">
        <v>21370220382.98</v>
      </c>
      <c r="E35" s="139">
        <v>23656322446.099998</v>
      </c>
      <c r="G35" s="134"/>
    </row>
    <row r="36" spans="1:7" ht="20" customHeight="1">
      <c r="A36" s="140" t="s">
        <v>1837</v>
      </c>
      <c r="B36" s="140"/>
      <c r="C36" s="140"/>
      <c r="D36" s="140"/>
      <c r="E36" s="140"/>
    </row>
    <row r="37" spans="1:7" ht="13.5" customHeight="1">
      <c r="A37" s="141"/>
      <c r="B37" s="141"/>
      <c r="C37" s="141"/>
      <c r="D37" s="141"/>
      <c r="E37" s="141"/>
    </row>
    <row r="38" spans="1:7" ht="13.5" customHeight="1">
      <c r="A38" s="141" t="s">
        <v>2153</v>
      </c>
      <c r="B38" s="141"/>
      <c r="C38" s="141"/>
      <c r="D38" s="141"/>
      <c r="E38" s="141"/>
    </row>
    <row r="39" spans="1:7" ht="12.75" customHeight="1">
      <c r="A39" s="141"/>
      <c r="B39" s="141"/>
      <c r="C39" s="141"/>
      <c r="D39" s="141"/>
      <c r="E39" s="141"/>
    </row>
    <row r="40" spans="1:7" ht="12" customHeight="1">
      <c r="A40" s="141" t="s">
        <v>2157</v>
      </c>
    </row>
    <row r="41" spans="1:7" ht="14.25" customHeight="1">
      <c r="A41" s="141" t="s">
        <v>2154</v>
      </c>
    </row>
    <row r="42" spans="1:7" ht="14.25" customHeight="1">
      <c r="A42" s="141"/>
    </row>
    <row r="43" spans="1:7" ht="12" customHeight="1"/>
    <row r="44" spans="1:7">
      <c r="A44" s="141" t="s">
        <v>710</v>
      </c>
    </row>
  </sheetData>
  <phoneticPr fontId="0" type="noConversion"/>
  <pageMargins left="0.56000000000000005" right="1.03" top="0.81" bottom="0.49" header="0.44" footer="0.4921259845"/>
  <pageSetup paperSize="9" scale="85" orientation="portrait" horizontalDpi="1200" verticalDpi="120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DD258-F560-0A46-B4C3-CCF763197476}">
  <sheetPr>
    <pageSetUpPr fitToPage="1"/>
  </sheetPr>
  <dimension ref="A1:H44"/>
  <sheetViews>
    <sheetView topLeftCell="A26" zoomScale="75" workbookViewId="0">
      <selection activeCell="A38" sqref="A38"/>
    </sheetView>
  </sheetViews>
  <sheetFormatPr baseColWidth="10" defaultColWidth="11.3984375" defaultRowHeight="13"/>
  <cols>
    <col min="1" max="1" width="20.59765625" style="2" customWidth="1"/>
    <col min="2" max="4" width="17" style="7" customWidth="1"/>
    <col min="5" max="5" width="17.3984375" style="7" customWidth="1"/>
    <col min="6" max="6" width="17.3984375" style="168" customWidth="1"/>
    <col min="7" max="7" width="11.3984375" style="2"/>
    <col min="8" max="8" width="0" style="2" hidden="1" customWidth="1"/>
    <col min="9" max="16384" width="11.3984375" style="2"/>
  </cols>
  <sheetData>
    <row r="1" spans="1:8" s="1" customFormat="1" ht="14" customHeight="1">
      <c r="B1" s="144"/>
      <c r="C1" s="144"/>
      <c r="D1" s="144"/>
      <c r="E1" s="144"/>
      <c r="F1" s="145"/>
    </row>
    <row r="2" spans="1:8" s="1" customFormat="1" ht="31.5" customHeight="1">
      <c r="A2" s="2014" t="s">
        <v>2159</v>
      </c>
      <c r="B2" s="2018"/>
      <c r="C2" s="2018"/>
      <c r="D2" s="2018"/>
      <c r="E2" s="2018"/>
      <c r="F2" s="146">
        <v>2009</v>
      </c>
      <c r="G2" s="146"/>
    </row>
    <row r="3" spans="1:8" ht="27" customHeight="1">
      <c r="A3" s="119" t="s">
        <v>1797</v>
      </c>
      <c r="B3" s="120" t="s">
        <v>1798</v>
      </c>
      <c r="C3" s="121" t="s">
        <v>1799</v>
      </c>
      <c r="D3" s="120" t="s">
        <v>1800</v>
      </c>
      <c r="E3" s="121" t="s">
        <v>1567</v>
      </c>
      <c r="F3" s="120" t="s">
        <v>1801</v>
      </c>
    </row>
    <row r="4" spans="1:8" ht="20.25" customHeight="1">
      <c r="A4" s="122"/>
      <c r="B4" s="123"/>
      <c r="C4" s="124" t="s">
        <v>1800</v>
      </c>
      <c r="D4" s="125"/>
      <c r="E4" s="124"/>
      <c r="F4" s="123" t="s">
        <v>1802</v>
      </c>
    </row>
    <row r="5" spans="1:8" ht="20.25" customHeight="1">
      <c r="A5" s="122"/>
      <c r="B5" s="123" t="s">
        <v>1803</v>
      </c>
      <c r="C5" s="124" t="s">
        <v>1804</v>
      </c>
      <c r="D5" s="123" t="s">
        <v>1805</v>
      </c>
      <c r="E5" s="124"/>
      <c r="F5" s="123" t="s">
        <v>1806</v>
      </c>
    </row>
    <row r="6" spans="1:8" ht="24" customHeight="1">
      <c r="A6" s="126"/>
      <c r="B6" s="151"/>
      <c r="C6" s="152"/>
      <c r="D6" s="151"/>
      <c r="E6" s="153"/>
      <c r="F6" s="129"/>
    </row>
    <row r="7" spans="1:8" ht="30" customHeight="1" thickBot="1">
      <c r="A7" s="131" t="s">
        <v>1807</v>
      </c>
      <c r="B7" s="155">
        <v>1018.0845622892481</v>
      </c>
      <c r="C7" s="156">
        <v>1368.3985786361263</v>
      </c>
      <c r="D7" s="155">
        <v>3730.1896145472829</v>
      </c>
      <c r="E7" s="156">
        <v>3045.6761891779001</v>
      </c>
      <c r="F7" s="576">
        <v>3.7951181507781186E-2</v>
      </c>
      <c r="H7" s="134">
        <v>172.8785586534616</v>
      </c>
    </row>
    <row r="8" spans="1:8" ht="20" customHeight="1" thickBot="1">
      <c r="A8" s="135" t="s">
        <v>1808</v>
      </c>
      <c r="B8" s="155">
        <v>838.37324992697108</v>
      </c>
      <c r="C8" s="156">
        <v>1287.9687539976183</v>
      </c>
      <c r="D8" s="155">
        <v>4144.9429572409945</v>
      </c>
      <c r="E8" s="156">
        <v>3296.2547824351782</v>
      </c>
      <c r="F8" s="457">
        <v>1.8525467824076099E-2</v>
      </c>
      <c r="H8" s="134">
        <v>161.49387493756916</v>
      </c>
    </row>
    <row r="9" spans="1:8" ht="20" customHeight="1" thickBot="1">
      <c r="A9" s="135" t="s">
        <v>1809</v>
      </c>
      <c r="B9" s="155">
        <v>754.36433479761774</v>
      </c>
      <c r="C9" s="156">
        <v>1065.6295752910573</v>
      </c>
      <c r="D9" s="155">
        <v>3361.4575844255332</v>
      </c>
      <c r="E9" s="156">
        <v>2613.5325279837107</v>
      </c>
      <c r="F9" s="457">
        <v>5.3528394056053627E-2</v>
      </c>
      <c r="H9" s="134">
        <v>129.41591119853354</v>
      </c>
    </row>
    <row r="10" spans="1:8" ht="20" customHeight="1" thickBot="1">
      <c r="A10" s="135" t="s">
        <v>1810</v>
      </c>
      <c r="B10" s="155">
        <v>716.01956309822299</v>
      </c>
      <c r="C10" s="156">
        <v>1058.842308551825</v>
      </c>
      <c r="D10" s="155">
        <v>3271.4381529252532</v>
      </c>
      <c r="E10" s="156">
        <v>2546.7579723339113</v>
      </c>
      <c r="F10" s="457">
        <v>4.5691083386019467E-2</v>
      </c>
      <c r="H10" s="134">
        <v>126.90557061409594</v>
      </c>
    </row>
    <row r="11" spans="1:8" ht="20" customHeight="1" thickBot="1">
      <c r="A11" s="135" t="s">
        <v>1811</v>
      </c>
      <c r="B11" s="155">
        <v>917.16993674697267</v>
      </c>
      <c r="C11" s="156">
        <v>1173.0876744367961</v>
      </c>
      <c r="D11" s="155">
        <v>3324.4624329621038</v>
      </c>
      <c r="E11" s="156">
        <v>2644.0773895291163</v>
      </c>
      <c r="F11" s="457">
        <v>6.5560309650192064E-2</v>
      </c>
      <c r="H11" s="134">
        <v>131.64111605385247</v>
      </c>
    </row>
    <row r="12" spans="1:8" ht="20" customHeight="1" thickBot="1">
      <c r="A12" s="135" t="s">
        <v>1812</v>
      </c>
      <c r="B12" s="155">
        <v>763.25832628473438</v>
      </c>
      <c r="C12" s="156">
        <v>973.61486428809008</v>
      </c>
      <c r="D12" s="155">
        <v>3138.2819881341134</v>
      </c>
      <c r="E12" s="156">
        <v>2435.2022966038198</v>
      </c>
      <c r="F12" s="457">
        <v>2.0541341382627851E-2</v>
      </c>
      <c r="H12" s="134">
        <v>125.19129183854066</v>
      </c>
    </row>
    <row r="13" spans="1:8" ht="20" customHeight="1" thickBot="1">
      <c r="A13" s="135" t="s">
        <v>1813</v>
      </c>
      <c r="B13" s="155">
        <v>725.24803689749251</v>
      </c>
      <c r="C13" s="156">
        <v>933.08812749904632</v>
      </c>
      <c r="D13" s="155">
        <v>2970.2442477434392</v>
      </c>
      <c r="E13" s="156">
        <v>2365.3713808584275</v>
      </c>
      <c r="F13" s="457">
        <v>3.3711838671648717E-2</v>
      </c>
      <c r="H13" s="134">
        <v>117.8833340734285</v>
      </c>
    </row>
    <row r="14" spans="1:8" ht="20" customHeight="1" thickBot="1">
      <c r="A14" s="135" t="s">
        <v>1814</v>
      </c>
      <c r="B14" s="155">
        <v>852.4179254582001</v>
      </c>
      <c r="C14" s="156">
        <v>1294.7661341938954</v>
      </c>
      <c r="D14" s="155">
        <v>3334.3825494617549</v>
      </c>
      <c r="E14" s="156">
        <v>2656.4480126412404</v>
      </c>
      <c r="F14" s="457">
        <v>3.2564571943159287E-2</v>
      </c>
      <c r="H14" s="134">
        <v>140.25371771237261</v>
      </c>
    </row>
    <row r="15" spans="1:8" ht="20" customHeight="1" thickBot="1">
      <c r="A15" s="135" t="s">
        <v>1815</v>
      </c>
      <c r="B15" s="155">
        <v>830.30429292636336</v>
      </c>
      <c r="C15" s="156">
        <v>1157.4721919264393</v>
      </c>
      <c r="D15" s="155">
        <v>3202.1682868205198</v>
      </c>
      <c r="E15" s="156">
        <v>2580.8189960036079</v>
      </c>
      <c r="F15" s="457">
        <v>5.188560684723801E-2</v>
      </c>
      <c r="H15" s="134">
        <v>131.3336445580656</v>
      </c>
    </row>
    <row r="16" spans="1:8" ht="20" customHeight="1" thickBot="1">
      <c r="A16" s="135" t="s">
        <v>1816</v>
      </c>
      <c r="B16" s="155">
        <v>898.30204062517225</v>
      </c>
      <c r="C16" s="156">
        <v>1331.8595966544799</v>
      </c>
      <c r="D16" s="155">
        <v>3713.5692559631775</v>
      </c>
      <c r="E16" s="156">
        <v>2866.4919822517772</v>
      </c>
      <c r="F16" s="457">
        <v>3.9422511489396378E-2</v>
      </c>
      <c r="H16" s="134">
        <v>163.19734143075968</v>
      </c>
    </row>
    <row r="17" spans="1:8" ht="20" customHeight="1" thickBot="1">
      <c r="A17" s="135" t="s">
        <v>1817</v>
      </c>
      <c r="B17" s="155">
        <v>916.83941109293426</v>
      </c>
      <c r="C17" s="156">
        <v>1241.7056002379279</v>
      </c>
      <c r="D17" s="155">
        <v>3702.4733707588107</v>
      </c>
      <c r="E17" s="156">
        <v>2956.7126688490571</v>
      </c>
      <c r="F17" s="457">
        <v>1.3863986286440675E-2</v>
      </c>
      <c r="H17" s="134">
        <v>156.59253023292777</v>
      </c>
    </row>
    <row r="18" spans="1:8" ht="20" customHeight="1" thickBot="1">
      <c r="A18" s="135" t="s">
        <v>1818</v>
      </c>
      <c r="B18" s="155">
        <v>1252.1910050192819</v>
      </c>
      <c r="C18" s="156">
        <v>1645.6165743144527</v>
      </c>
      <c r="D18" s="155">
        <v>5122.9417130372867</v>
      </c>
      <c r="E18" s="156">
        <v>4260.1847780261269</v>
      </c>
      <c r="F18" s="457">
        <v>7.8982305578209309E-3</v>
      </c>
      <c r="H18" s="134">
        <v>239.48436004651805</v>
      </c>
    </row>
    <row r="19" spans="1:8" ht="20" customHeight="1" thickBot="1">
      <c r="A19" s="135" t="s">
        <v>1819</v>
      </c>
      <c r="B19" s="155">
        <v>1099.0721971255214</v>
      </c>
      <c r="C19" s="156">
        <v>1488.4689512995535</v>
      </c>
      <c r="D19" s="155">
        <v>4095.2312839474412</v>
      </c>
      <c r="E19" s="156">
        <v>3338.0323738629118</v>
      </c>
      <c r="F19" s="457">
        <v>4.1636660352642192E-2</v>
      </c>
      <c r="H19" s="134">
        <v>177.06647582891381</v>
      </c>
    </row>
    <row r="20" spans="1:8" ht="20" customHeight="1" thickBot="1">
      <c r="A20" s="135" t="s">
        <v>1820</v>
      </c>
      <c r="B20" s="155">
        <v>817.67490468013273</v>
      </c>
      <c r="C20" s="156">
        <v>1209.6805880102415</v>
      </c>
      <c r="D20" s="155">
        <v>3666.7970854732839</v>
      </c>
      <c r="E20" s="156">
        <v>2925.7958150496256</v>
      </c>
      <c r="F20" s="457">
        <v>4.4661512336166276E-2</v>
      </c>
      <c r="H20" s="134">
        <v>165.60622548393192</v>
      </c>
    </row>
    <row r="21" spans="1:8" ht="20" customHeight="1" thickBot="1">
      <c r="A21" s="135" t="s">
        <v>1821</v>
      </c>
      <c r="B21" s="155">
        <v>789.68477281705361</v>
      </c>
      <c r="C21" s="156">
        <v>967.7450909536351</v>
      </c>
      <c r="D21" s="155">
        <v>3095.8724379586852</v>
      </c>
      <c r="E21" s="156">
        <v>2437.0176532821479</v>
      </c>
      <c r="F21" s="457">
        <v>5.5886126382678529E-2</v>
      </c>
      <c r="H21" s="134">
        <v>125.02923450612184</v>
      </c>
    </row>
    <row r="22" spans="1:8" ht="20" customHeight="1" thickBot="1">
      <c r="A22" s="135" t="s">
        <v>1822</v>
      </c>
      <c r="B22" s="155">
        <v>647.05734248074418</v>
      </c>
      <c r="C22" s="156">
        <v>924.88859615874537</v>
      </c>
      <c r="D22" s="155">
        <v>2747.9404121120601</v>
      </c>
      <c r="E22" s="156">
        <v>2082.5795951384953</v>
      </c>
      <c r="F22" s="457">
        <v>-1.0454033164118998E-2</v>
      </c>
      <c r="H22" s="134">
        <v>109.87124540182084</v>
      </c>
    </row>
    <row r="23" spans="1:8" ht="20" customHeight="1" thickBot="1">
      <c r="A23" s="135" t="s">
        <v>1823</v>
      </c>
      <c r="B23" s="155">
        <v>849.21149537408542</v>
      </c>
      <c r="C23" s="156">
        <v>1173.8849251297922</v>
      </c>
      <c r="D23" s="155">
        <v>3303.5443322820397</v>
      </c>
      <c r="E23" s="156">
        <v>2588.9899132365167</v>
      </c>
      <c r="F23" s="457">
        <v>5.4083592135653301E-2</v>
      </c>
      <c r="H23" s="134">
        <v>134.24530167185685</v>
      </c>
    </row>
    <row r="24" spans="1:8" ht="20" customHeight="1" thickBot="1">
      <c r="A24" s="135" t="s">
        <v>1824</v>
      </c>
      <c r="B24" s="155">
        <v>920.79863127957128</v>
      </c>
      <c r="C24" s="156">
        <v>1081.3364996465771</v>
      </c>
      <c r="D24" s="155">
        <v>3334.1329671336048</v>
      </c>
      <c r="E24" s="156">
        <v>2685.7883221167017</v>
      </c>
      <c r="F24" s="457">
        <v>3.9473880811355049E-2</v>
      </c>
      <c r="H24" s="134">
        <v>132.91701511018809</v>
      </c>
    </row>
    <row r="25" spans="1:8" ht="20" customHeight="1" thickBot="1">
      <c r="A25" s="135" t="s">
        <v>1825</v>
      </c>
      <c r="B25" s="155">
        <v>928.62545698634528</v>
      </c>
      <c r="C25" s="156">
        <v>1242.1501674856761</v>
      </c>
      <c r="D25" s="155">
        <v>3473.0003686592404</v>
      </c>
      <c r="E25" s="156">
        <v>2771.5798512733636</v>
      </c>
      <c r="F25" s="457">
        <v>3.3806822397634481E-2</v>
      </c>
      <c r="H25" s="134">
        <v>145.05617363699608</v>
      </c>
    </row>
    <row r="26" spans="1:8" ht="20" customHeight="1" thickBot="1">
      <c r="A26" s="135" t="s">
        <v>1826</v>
      </c>
      <c r="B26" s="155">
        <v>868.26237289512198</v>
      </c>
      <c r="C26" s="156">
        <v>1170.6497489672922</v>
      </c>
      <c r="D26" s="155">
        <v>3358.7487939611551</v>
      </c>
      <c r="E26" s="156">
        <v>2632.7536531939768</v>
      </c>
      <c r="F26" s="457">
        <v>3.1819633281793026E-2</v>
      </c>
      <c r="H26" s="134">
        <v>145.7338374894791</v>
      </c>
    </row>
    <row r="27" spans="1:8" ht="20" customHeight="1" thickBot="1">
      <c r="A27" s="135" t="s">
        <v>1827</v>
      </c>
      <c r="B27" s="155">
        <v>966.45014196563625</v>
      </c>
      <c r="C27" s="156">
        <v>1192.6295608724085</v>
      </c>
      <c r="D27" s="155">
        <v>4290.4687882888556</v>
      </c>
      <c r="E27" s="156">
        <v>3477.765356145419</v>
      </c>
      <c r="F27" s="457">
        <v>4.0936153840788678E-2</v>
      </c>
      <c r="H27" s="134">
        <v>199.67764846714121</v>
      </c>
    </row>
    <row r="28" spans="1:8" ht="20" customHeight="1" thickBot="1">
      <c r="A28" s="135" t="s">
        <v>1828</v>
      </c>
      <c r="B28" s="155">
        <v>1124.4470886522774</v>
      </c>
      <c r="C28" s="156">
        <v>1408.5349919221665</v>
      </c>
      <c r="D28" s="155">
        <v>4325.5290637493727</v>
      </c>
      <c r="E28" s="156">
        <v>3403.3718232664278</v>
      </c>
      <c r="F28" s="457">
        <v>1.8046984903171415E-2</v>
      </c>
      <c r="H28" s="134">
        <v>203.24357993536964</v>
      </c>
    </row>
    <row r="29" spans="1:8" ht="20" customHeight="1" thickBot="1">
      <c r="A29" s="135" t="s">
        <v>1829</v>
      </c>
      <c r="B29" s="155">
        <v>852.91106775029743</v>
      </c>
      <c r="C29" s="156">
        <v>1071.1222161701298</v>
      </c>
      <c r="D29" s="155">
        <v>3519.788800448348</v>
      </c>
      <c r="E29" s="156">
        <v>2773.3765908893001</v>
      </c>
      <c r="F29" s="457">
        <v>3.3030781164701095E-2</v>
      </c>
      <c r="H29" s="134">
        <v>144.85185631308477</v>
      </c>
    </row>
    <row r="30" spans="1:8" ht="20" customHeight="1" thickBot="1">
      <c r="A30" s="135" t="s">
        <v>1830</v>
      </c>
      <c r="B30" s="155">
        <v>939.41008035654386</v>
      </c>
      <c r="C30" s="156">
        <v>1196.4134093986961</v>
      </c>
      <c r="D30" s="155">
        <v>4004.956668671583</v>
      </c>
      <c r="E30" s="156">
        <v>3129.8030570710512</v>
      </c>
      <c r="F30" s="457">
        <v>4.5686924981181206E-3</v>
      </c>
      <c r="H30" s="134">
        <v>184.5803903521614</v>
      </c>
    </row>
    <row r="31" spans="1:8" ht="20" customHeight="1" thickBot="1">
      <c r="A31" s="135" t="s">
        <v>1831</v>
      </c>
      <c r="B31" s="155">
        <v>1353.1537547428263</v>
      </c>
      <c r="C31" s="156">
        <v>1737.5360386451939</v>
      </c>
      <c r="D31" s="155">
        <v>4903.6683924226081</v>
      </c>
      <c r="E31" s="156">
        <v>3905.9041744347387</v>
      </c>
      <c r="F31" s="457">
        <v>2.7420339308663636E-3</v>
      </c>
      <c r="H31" s="134">
        <v>244.01642882305748</v>
      </c>
    </row>
    <row r="32" spans="1:8" ht="20" customHeight="1" thickBot="1">
      <c r="A32" s="136" t="s">
        <v>1832</v>
      </c>
      <c r="B32" s="155">
        <v>954.2557495576757</v>
      </c>
      <c r="C32" s="156">
        <v>1140.7108822171353</v>
      </c>
      <c r="D32" s="155">
        <v>4089.8515396129346</v>
      </c>
      <c r="E32" s="156">
        <v>3156.2396929660144</v>
      </c>
      <c r="F32" s="457">
        <v>2.3472216960954143E-2</v>
      </c>
      <c r="H32" s="134">
        <v>200.58331332206401</v>
      </c>
    </row>
    <row r="33" spans="1:8" ht="20" customHeight="1" thickBot="1">
      <c r="A33" s="318" t="s">
        <v>2156</v>
      </c>
      <c r="B33" s="155">
        <v>1147.5092836739179</v>
      </c>
      <c r="C33" s="156">
        <v>380.81732042491836</v>
      </c>
      <c r="D33" s="155">
        <v>1475.0224707433827</v>
      </c>
      <c r="E33" s="156">
        <v>1338.3442805455052</v>
      </c>
      <c r="F33" s="457" t="s">
        <v>744</v>
      </c>
      <c r="H33" s="134">
        <v>244.01642882305748</v>
      </c>
    </row>
    <row r="34" spans="1:8" ht="20" customHeight="1" thickBot="1">
      <c r="A34" s="136" t="s">
        <v>657</v>
      </c>
      <c r="B34" s="170" t="s">
        <v>744</v>
      </c>
      <c r="C34" s="171" t="s">
        <v>744</v>
      </c>
      <c r="D34" s="170" t="s">
        <v>744</v>
      </c>
      <c r="E34" s="171" t="s">
        <v>744</v>
      </c>
      <c r="F34" s="457" t="s">
        <v>744</v>
      </c>
      <c r="H34" s="134">
        <v>200.58331332206401</v>
      </c>
    </row>
    <row r="35" spans="1:8" s="162" customFormat="1" ht="30" customHeight="1" thickBot="1">
      <c r="A35" s="137" t="s">
        <v>1222</v>
      </c>
      <c r="B35" s="159">
        <v>961.34067298921809</v>
      </c>
      <c r="C35" s="160">
        <v>1283.9269392146032</v>
      </c>
      <c r="D35" s="159">
        <v>3850.7211121651544</v>
      </c>
      <c r="E35" s="160">
        <v>3068.7232350557233</v>
      </c>
      <c r="F35" s="577">
        <v>2.8525092433915107E-2</v>
      </c>
      <c r="H35" s="163">
        <v>167.9825427102873</v>
      </c>
    </row>
    <row r="36" spans="1:8" ht="20" customHeight="1">
      <c r="A36" s="140" t="s">
        <v>1837</v>
      </c>
      <c r="B36" s="164"/>
      <c r="C36" s="164"/>
      <c r="D36" s="164"/>
      <c r="E36" s="164"/>
      <c r="F36" s="165"/>
    </row>
    <row r="37" spans="1:8" ht="14.25" customHeight="1">
      <c r="A37" s="141"/>
      <c r="B37" s="166"/>
      <c r="C37" s="166"/>
      <c r="D37" s="166"/>
      <c r="E37" s="166"/>
      <c r="F37" s="167"/>
    </row>
    <row r="38" spans="1:8" ht="20" customHeight="1">
      <c r="A38" s="141" t="s">
        <v>2158</v>
      </c>
      <c r="B38" s="166"/>
      <c r="C38" s="166"/>
      <c r="D38" s="166"/>
      <c r="E38" s="166"/>
      <c r="F38" s="167"/>
    </row>
    <row r="39" spans="1:8" ht="9.75" customHeight="1">
      <c r="A39" s="141"/>
      <c r="B39" s="166"/>
      <c r="C39" s="166"/>
      <c r="D39" s="166"/>
      <c r="E39" s="166"/>
      <c r="F39" s="167"/>
    </row>
    <row r="40" spans="1:8" ht="15.75" customHeight="1">
      <c r="A40" s="141" t="s">
        <v>2157</v>
      </c>
    </row>
    <row r="41" spans="1:8" ht="15.75" customHeight="1">
      <c r="A41" s="141" t="s">
        <v>2154</v>
      </c>
    </row>
    <row r="42" spans="1:8" ht="12" customHeight="1">
      <c r="A42" s="141"/>
    </row>
    <row r="43" spans="1:8" ht="12" customHeight="1"/>
    <row r="44" spans="1:8">
      <c r="A44" s="141" t="s">
        <v>710</v>
      </c>
    </row>
  </sheetData>
  <mergeCells count="1">
    <mergeCell ref="A2:E2"/>
  </mergeCells>
  <phoneticPr fontId="0" type="noConversion"/>
  <pageMargins left="0.55000000000000004" right="0.78740157480314965" top="1.1000000000000001" bottom="0.49" header="0.92" footer="0.4921259845"/>
  <pageSetup paperSize="9" scale="84" orientation="portrait" horizontalDpi="4294967292" verticalDpi="4294967292"/>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B9CF-0D96-7748-AF16-CE777CB39DF6}">
  <sheetPr>
    <pageSetUpPr fitToPage="1"/>
  </sheetPr>
  <dimension ref="A1:J50"/>
  <sheetViews>
    <sheetView topLeftCell="A19" zoomScale="75" workbookViewId="0">
      <selection activeCell="D36" sqref="D36"/>
    </sheetView>
  </sheetViews>
  <sheetFormatPr baseColWidth="10" defaultColWidth="11.3984375" defaultRowHeight="13"/>
  <cols>
    <col min="1" max="1" width="21.19921875" style="2" customWidth="1"/>
    <col min="2" max="2" width="14.796875" style="176" customWidth="1"/>
    <col min="3" max="3" width="14.796875" style="87" customWidth="1"/>
    <col min="4" max="4" width="16" style="176" customWidth="1"/>
    <col min="5" max="5" width="15.796875" style="87" customWidth="1"/>
    <col min="6" max="6" width="16" style="176" customWidth="1"/>
    <col min="7" max="7" width="13.59765625" style="2" customWidth="1"/>
    <col min="8" max="8" width="8" style="2" customWidth="1"/>
    <col min="9" max="9" width="7.796875" style="2" customWidth="1"/>
    <col min="10" max="10" width="9" style="2" customWidth="1"/>
    <col min="11" max="16384" width="11.3984375" style="2"/>
  </cols>
  <sheetData>
    <row r="1" spans="1:10" s="1" customFormat="1" ht="18.75" customHeight="1">
      <c r="A1" s="489"/>
      <c r="B1" s="490"/>
      <c r="C1" s="289"/>
      <c r="D1" s="169"/>
      <c r="E1" s="289"/>
      <c r="F1" s="169"/>
    </row>
    <row r="2" spans="1:10" s="1" customFormat="1" ht="31.5" customHeight="1">
      <c r="A2" s="1072" t="s">
        <v>2486</v>
      </c>
      <c r="B2" s="478"/>
      <c r="C2" s="478"/>
      <c r="D2" s="478"/>
      <c r="E2" s="478"/>
      <c r="F2" s="491">
        <v>2009</v>
      </c>
    </row>
    <row r="3" spans="1:10" ht="27" customHeight="1">
      <c r="A3" s="119" t="s">
        <v>661</v>
      </c>
      <c r="B3" s="147" t="s">
        <v>2304</v>
      </c>
      <c r="C3" s="306" t="s">
        <v>2030</v>
      </c>
      <c r="D3" s="147" t="s">
        <v>2305</v>
      </c>
      <c r="E3" s="306" t="s">
        <v>2030</v>
      </c>
      <c r="F3" s="147" t="s">
        <v>1567</v>
      </c>
    </row>
    <row r="4" spans="1:10" ht="15" customHeight="1">
      <c r="A4" s="122"/>
      <c r="B4" s="149"/>
      <c r="C4" s="122" t="s">
        <v>662</v>
      </c>
      <c r="D4" s="149"/>
      <c r="E4" s="122" t="s">
        <v>662</v>
      </c>
      <c r="F4" s="149"/>
    </row>
    <row r="5" spans="1:10" ht="15" customHeight="1">
      <c r="A5" s="122"/>
      <c r="B5" s="149"/>
      <c r="C5" s="122" t="s">
        <v>2304</v>
      </c>
      <c r="D5" s="149"/>
      <c r="E5" s="122" t="s">
        <v>2305</v>
      </c>
      <c r="F5" s="149"/>
    </row>
    <row r="6" spans="1:10" ht="19.5" customHeight="1">
      <c r="A6" s="126"/>
      <c r="B6" s="154"/>
      <c r="C6" s="126"/>
      <c r="D6" s="154"/>
      <c r="E6" s="126"/>
      <c r="F6" s="154"/>
    </row>
    <row r="7" spans="1:10" ht="30" customHeight="1" thickBot="1">
      <c r="A7" s="131" t="s">
        <v>664</v>
      </c>
      <c r="B7" s="439">
        <v>262.17857508000009</v>
      </c>
      <c r="C7" s="375">
        <v>2.6538826166880011E-2</v>
      </c>
      <c r="D7" s="439">
        <v>217.19233078999997</v>
      </c>
      <c r="E7" s="375">
        <v>1.5764545645632819E-2</v>
      </c>
      <c r="F7" s="439">
        <v>479.37090585999982</v>
      </c>
      <c r="H7" s="90"/>
      <c r="I7" s="90"/>
      <c r="J7" s="90"/>
    </row>
    <row r="8" spans="1:10" ht="20" customHeight="1" thickBot="1">
      <c r="A8" s="135" t="s">
        <v>665</v>
      </c>
      <c r="B8" s="439">
        <v>170.17463095000002</v>
      </c>
      <c r="C8" s="375">
        <v>1.7225797140048321E-2</v>
      </c>
      <c r="D8" s="439">
        <v>127.33905511</v>
      </c>
      <c r="E8" s="375">
        <v>9.2426944333237736E-3</v>
      </c>
      <c r="F8" s="439">
        <v>297.51368604000015</v>
      </c>
      <c r="H8" s="90"/>
      <c r="I8" s="90"/>
      <c r="J8" s="90"/>
    </row>
    <row r="9" spans="1:10" ht="20" customHeight="1" thickBot="1">
      <c r="A9" s="135" t="s">
        <v>666</v>
      </c>
      <c r="B9" s="439">
        <v>188.52863135000001</v>
      </c>
      <c r="C9" s="375">
        <v>1.9083666822701895E-2</v>
      </c>
      <c r="D9" s="439">
        <v>174.24724902000003</v>
      </c>
      <c r="E9" s="375">
        <v>1.2647448005232301E-2</v>
      </c>
      <c r="F9" s="439">
        <v>362.77588035000008</v>
      </c>
      <c r="H9" s="90"/>
      <c r="I9" s="90"/>
      <c r="J9" s="90"/>
    </row>
    <row r="10" spans="1:10" ht="20" customHeight="1" thickBot="1">
      <c r="A10" s="135" t="s">
        <v>667</v>
      </c>
      <c r="B10" s="439">
        <v>134.99780201999999</v>
      </c>
      <c r="C10" s="375">
        <v>1.3665049478686265E-2</v>
      </c>
      <c r="D10" s="439">
        <v>174.05704825000007</v>
      </c>
      <c r="E10" s="375">
        <v>1.2633642597326817E-2</v>
      </c>
      <c r="F10" s="439">
        <v>309.05485024999996</v>
      </c>
      <c r="H10" s="90"/>
      <c r="I10" s="90"/>
      <c r="J10" s="90"/>
    </row>
    <row r="11" spans="1:10" ht="20" customHeight="1" thickBot="1">
      <c r="A11" s="408" t="s">
        <v>668</v>
      </c>
      <c r="B11" s="1073">
        <v>755.87963938000007</v>
      </c>
      <c r="C11" s="1069">
        <v>7.6513339606292002E-2</v>
      </c>
      <c r="D11" s="1073">
        <v>692.83568315999992</v>
      </c>
      <c r="E11" s="1069">
        <v>5.0288330680789868E-2</v>
      </c>
      <c r="F11" s="1073">
        <v>1448.7153225100003</v>
      </c>
      <c r="H11" s="90"/>
      <c r="I11" s="90"/>
      <c r="J11" s="90"/>
    </row>
    <row r="12" spans="1:10" ht="20" customHeight="1" thickBot="1">
      <c r="A12" s="135" t="s">
        <v>669</v>
      </c>
      <c r="B12" s="439">
        <v>83.805794789999979</v>
      </c>
      <c r="C12" s="375">
        <v>8.4831776167460394E-3</v>
      </c>
      <c r="D12" s="439">
        <v>126.08474957999998</v>
      </c>
      <c r="E12" s="375">
        <v>9.1516527436410304E-3</v>
      </c>
      <c r="F12" s="439">
        <v>209.89054436000006</v>
      </c>
      <c r="H12" s="90"/>
      <c r="I12" s="90"/>
      <c r="J12" s="90"/>
    </row>
    <row r="13" spans="1:10" ht="20" customHeight="1" thickBot="1">
      <c r="A13" s="135" t="s">
        <v>670</v>
      </c>
      <c r="B13" s="439">
        <v>225.09115142000005</v>
      </c>
      <c r="C13" s="375">
        <v>2.2784680012146192E-2</v>
      </c>
      <c r="D13" s="439">
        <v>402.4052577400002</v>
      </c>
      <c r="E13" s="375">
        <v>2.9207919223531595E-2</v>
      </c>
      <c r="F13" s="439">
        <v>627.49640918999989</v>
      </c>
      <c r="H13" s="90"/>
      <c r="I13" s="90"/>
      <c r="J13" s="90"/>
    </row>
    <row r="14" spans="1:10" ht="20" customHeight="1" thickBot="1">
      <c r="A14" s="408" t="s">
        <v>671</v>
      </c>
      <c r="B14" s="1073">
        <v>308.89694622000002</v>
      </c>
      <c r="C14" s="1069">
        <v>3.1267857629904472E-2</v>
      </c>
      <c r="D14" s="1073">
        <v>528.49000732000002</v>
      </c>
      <c r="E14" s="1069">
        <v>3.8359571967172615E-2</v>
      </c>
      <c r="F14" s="1073">
        <v>837.38695356000005</v>
      </c>
      <c r="H14" s="90"/>
      <c r="I14" s="90"/>
      <c r="J14" s="90"/>
    </row>
    <row r="15" spans="1:10" ht="20" customHeight="1" thickBot="1">
      <c r="A15" s="135" t="s">
        <v>672</v>
      </c>
      <c r="B15" s="439">
        <v>263.96658471999996</v>
      </c>
      <c r="C15" s="375">
        <v>2.6719816078073871E-2</v>
      </c>
      <c r="D15" s="439">
        <v>569.91023179000013</v>
      </c>
      <c r="E15" s="375">
        <v>4.1365990365716448E-2</v>
      </c>
      <c r="F15" s="439">
        <v>833.87681650000002</v>
      </c>
      <c r="H15" s="90"/>
      <c r="I15" s="90"/>
      <c r="J15" s="90"/>
    </row>
    <row r="16" spans="1:10" ht="20" customHeight="1" thickBot="1">
      <c r="A16" s="135" t="s">
        <v>673</v>
      </c>
      <c r="B16" s="439">
        <v>312.20215554999993</v>
      </c>
      <c r="C16" s="375">
        <v>3.1602424921786554E-2</v>
      </c>
      <c r="D16" s="439">
        <v>686.91943200000003</v>
      </c>
      <c r="E16" s="375">
        <v>4.985890938804162E-2</v>
      </c>
      <c r="F16" s="439">
        <v>999.12158754999973</v>
      </c>
      <c r="H16" s="90"/>
      <c r="I16" s="90"/>
      <c r="J16" s="90"/>
    </row>
    <row r="17" spans="1:10" ht="20" customHeight="1" thickBot="1">
      <c r="A17" s="135" t="s">
        <v>674</v>
      </c>
      <c r="B17" s="439">
        <v>414.07344045999997</v>
      </c>
      <c r="C17" s="375">
        <v>4.1914267988285216E-2</v>
      </c>
      <c r="D17" s="439">
        <v>730.80707645000018</v>
      </c>
      <c r="E17" s="375">
        <v>5.3044421379624278E-2</v>
      </c>
      <c r="F17" s="439">
        <v>1144.8805168800004</v>
      </c>
      <c r="H17" s="90"/>
      <c r="I17" s="90"/>
      <c r="J17" s="90"/>
    </row>
    <row r="18" spans="1:10" ht="20" customHeight="1" thickBot="1">
      <c r="A18" s="135" t="s">
        <v>675</v>
      </c>
      <c r="B18" s="439">
        <v>557.60191375000011</v>
      </c>
      <c r="C18" s="375">
        <v>5.6442828155639502E-2</v>
      </c>
      <c r="D18" s="439">
        <v>797.58815499000013</v>
      </c>
      <c r="E18" s="375">
        <v>5.7891615371599668E-2</v>
      </c>
      <c r="F18" s="439">
        <v>1355.1900687399998</v>
      </c>
      <c r="H18" s="90"/>
      <c r="I18" s="90"/>
      <c r="J18" s="90"/>
    </row>
    <row r="19" spans="1:10" ht="20" customHeight="1" thickBot="1">
      <c r="A19" s="135" t="s">
        <v>676</v>
      </c>
      <c r="B19" s="439">
        <v>648.31614351999997</v>
      </c>
      <c r="C19" s="375">
        <v>6.5625306830694619E-2</v>
      </c>
      <c r="D19" s="439">
        <v>849.76587971000004</v>
      </c>
      <c r="E19" s="375">
        <v>6.1678849110663049E-2</v>
      </c>
      <c r="F19" s="439">
        <v>1498.0820232500005</v>
      </c>
      <c r="H19" s="90"/>
      <c r="I19" s="90"/>
      <c r="J19" s="90"/>
    </row>
    <row r="20" spans="1:10" ht="20" customHeight="1" thickBot="1">
      <c r="A20" s="135" t="s">
        <v>677</v>
      </c>
      <c r="B20" s="439">
        <v>725.69030597000005</v>
      </c>
      <c r="C20" s="375">
        <v>7.3457447372468163E-2</v>
      </c>
      <c r="D20" s="439">
        <v>868.57984105000003</v>
      </c>
      <c r="E20" s="375">
        <v>6.3044429337371755E-2</v>
      </c>
      <c r="F20" s="439">
        <v>1594.2701469799999</v>
      </c>
      <c r="H20" s="90"/>
      <c r="I20" s="90"/>
      <c r="J20" s="90"/>
    </row>
    <row r="21" spans="1:10" ht="20" customHeight="1" thickBot="1">
      <c r="A21" s="135" t="s">
        <v>678</v>
      </c>
      <c r="B21" s="439">
        <v>825.73180228000001</v>
      </c>
      <c r="C21" s="375">
        <v>8.3584071484432781E-2</v>
      </c>
      <c r="D21" s="439">
        <v>899.04333383999995</v>
      </c>
      <c r="E21" s="375">
        <v>6.5255571511989796E-2</v>
      </c>
      <c r="F21" s="439">
        <v>1724.7751361200003</v>
      </c>
      <c r="H21" s="90"/>
      <c r="I21" s="90"/>
      <c r="J21" s="90"/>
    </row>
    <row r="22" spans="1:10" ht="20" customHeight="1" thickBot="1">
      <c r="A22" s="135" t="s">
        <v>679</v>
      </c>
      <c r="B22" s="439">
        <v>1001.0597239899996</v>
      </c>
      <c r="C22" s="375">
        <v>0.10133150654865278</v>
      </c>
      <c r="D22" s="439">
        <v>1032.25912629</v>
      </c>
      <c r="E22" s="375">
        <v>7.4924819192874609E-2</v>
      </c>
      <c r="F22" s="439">
        <v>2033.3188502699998</v>
      </c>
      <c r="H22" s="90"/>
      <c r="I22" s="90"/>
      <c r="J22" s="90"/>
    </row>
    <row r="23" spans="1:10" ht="20" customHeight="1" thickBot="1">
      <c r="A23" s="135" t="s">
        <v>680</v>
      </c>
      <c r="B23" s="439">
        <v>974.34083817999976</v>
      </c>
      <c r="C23" s="375">
        <v>9.8626907724481377E-2</v>
      </c>
      <c r="D23" s="439">
        <v>1038.9782312499999</v>
      </c>
      <c r="E23" s="375">
        <v>7.5412514299117245E-2</v>
      </c>
      <c r="F23" s="439">
        <v>2013.3190694099999</v>
      </c>
      <c r="H23" s="90"/>
      <c r="I23" s="90"/>
      <c r="J23" s="90"/>
    </row>
    <row r="24" spans="1:10" ht="20" customHeight="1" thickBot="1">
      <c r="A24" s="135" t="s">
        <v>681</v>
      </c>
      <c r="B24" s="439">
        <v>928.56705982999983</v>
      </c>
      <c r="C24" s="375">
        <v>9.3993491945708177E-2</v>
      </c>
      <c r="D24" s="439">
        <v>1069.0145568899998</v>
      </c>
      <c r="E24" s="375">
        <v>7.7592651253569372E-2</v>
      </c>
      <c r="F24" s="439">
        <v>1997.5816167399998</v>
      </c>
      <c r="H24" s="90"/>
      <c r="I24" s="90"/>
      <c r="J24" s="90"/>
    </row>
    <row r="25" spans="1:10" ht="20" customHeight="1" thickBot="1">
      <c r="A25" s="135" t="s">
        <v>682</v>
      </c>
      <c r="B25" s="439">
        <v>882.33833510999989</v>
      </c>
      <c r="C25" s="375">
        <v>8.9314024567848385E-2</v>
      </c>
      <c r="D25" s="439">
        <v>1177.23088951</v>
      </c>
      <c r="E25" s="375">
        <v>8.5447354543440435E-2</v>
      </c>
      <c r="F25" s="439">
        <v>2059.5692246600001</v>
      </c>
      <c r="H25" s="90"/>
      <c r="I25" s="90"/>
      <c r="J25" s="90"/>
    </row>
    <row r="26" spans="1:10" ht="20" customHeight="1" thickBot="1">
      <c r="A26" s="135" t="s">
        <v>683</v>
      </c>
      <c r="B26" s="439">
        <v>675.72788880999985</v>
      </c>
      <c r="C26" s="375">
        <v>6.8400039826936279E-2</v>
      </c>
      <c r="D26" s="439">
        <v>1190.8051566699999</v>
      </c>
      <c r="E26" s="375">
        <v>8.6432620245371405E-2</v>
      </c>
      <c r="F26" s="439">
        <v>1866.5330454800005</v>
      </c>
      <c r="H26" s="90"/>
      <c r="I26" s="90"/>
      <c r="J26" s="90"/>
    </row>
    <row r="27" spans="1:10" ht="20" customHeight="1" thickBot="1">
      <c r="A27" s="135" t="s">
        <v>684</v>
      </c>
      <c r="B27" s="439">
        <v>417.64096407000005</v>
      </c>
      <c r="C27" s="375">
        <v>4.2275387842961143E-2</v>
      </c>
      <c r="D27" s="439">
        <v>976.44793427000002</v>
      </c>
      <c r="E27" s="375">
        <v>7.0873856247101116E-2</v>
      </c>
      <c r="F27" s="439">
        <v>1394.0888983599998</v>
      </c>
      <c r="H27" s="90"/>
      <c r="I27" s="90"/>
      <c r="J27" s="90"/>
    </row>
    <row r="28" spans="1:10" ht="20" customHeight="1" thickBot="1">
      <c r="A28" s="135" t="s">
        <v>685</v>
      </c>
      <c r="B28" s="439">
        <v>148.73181471999996</v>
      </c>
      <c r="C28" s="375">
        <v>1.5055264432397887E-2</v>
      </c>
      <c r="D28" s="439">
        <v>487.29190262000003</v>
      </c>
      <c r="E28" s="375">
        <v>3.5369275764289318E-2</v>
      </c>
      <c r="F28" s="439">
        <v>636.02371734999986</v>
      </c>
      <c r="H28" s="90"/>
      <c r="I28" s="90"/>
      <c r="J28" s="90"/>
    </row>
    <row r="29" spans="1:10" ht="20" customHeight="1" thickBot="1">
      <c r="A29" s="135" t="s">
        <v>2081</v>
      </c>
      <c r="B29" s="439">
        <v>34.896684749999991</v>
      </c>
      <c r="C29" s="375">
        <v>3.5323902805485569E-3</v>
      </c>
      <c r="D29" s="439">
        <v>159.69383655999997</v>
      </c>
      <c r="E29" s="375">
        <v>1.159111266322972E-2</v>
      </c>
      <c r="F29" s="439">
        <v>194.59052135000002</v>
      </c>
      <c r="H29" s="90"/>
      <c r="I29" s="90"/>
      <c r="J29" s="90"/>
    </row>
    <row r="30" spans="1:10" ht="20" customHeight="1" thickBot="1">
      <c r="A30" s="135" t="s">
        <v>2082</v>
      </c>
      <c r="B30" s="439">
        <v>2.87986421</v>
      </c>
      <c r="C30" s="375">
        <v>2.9151205673494959E-4</v>
      </c>
      <c r="D30" s="439">
        <v>20.720043090000001</v>
      </c>
      <c r="E30" s="375">
        <v>1.50393001393594E-3</v>
      </c>
      <c r="F30" s="439">
        <v>23.599907300000002</v>
      </c>
      <c r="H30" s="90"/>
      <c r="I30" s="90"/>
      <c r="J30" s="90"/>
    </row>
    <row r="31" spans="1:10" ht="20" customHeight="1" thickBot="1">
      <c r="A31" s="408" t="s">
        <v>2083</v>
      </c>
      <c r="B31" s="1073">
        <v>8813.7655198700031</v>
      </c>
      <c r="C31" s="1069">
        <v>0.89216668805258947</v>
      </c>
      <c r="D31" s="1073">
        <v>12555.055626990003</v>
      </c>
      <c r="E31" s="1069">
        <v>0.91128792068866182</v>
      </c>
      <c r="F31" s="1073">
        <v>21368.82114684</v>
      </c>
      <c r="H31" s="90"/>
      <c r="I31" s="90"/>
      <c r="J31" s="90"/>
    </row>
    <row r="32" spans="1:10" ht="20" customHeight="1" thickBot="1">
      <c r="A32" s="135" t="s">
        <v>2084</v>
      </c>
      <c r="B32" s="439">
        <v>0.51484421000000002</v>
      </c>
      <c r="C32" s="375">
        <v>5.2114712226372757E-5</v>
      </c>
      <c r="D32" s="439">
        <v>0.88417893999999997</v>
      </c>
      <c r="E32" s="375">
        <v>6.4176664101525498E-5</v>
      </c>
      <c r="F32" s="439">
        <v>1.3990231499999999</v>
      </c>
      <c r="H32" s="90"/>
      <c r="I32" s="90"/>
      <c r="J32" s="90"/>
    </row>
    <row r="33" spans="1:10" s="277" customFormat="1" ht="24.75" customHeight="1" thickBot="1">
      <c r="A33" s="137" t="s">
        <v>1567</v>
      </c>
      <c r="B33" s="443">
        <v>9879.0569496700027</v>
      </c>
      <c r="C33" s="377">
        <v>1</v>
      </c>
      <c r="D33" s="443">
        <v>13777.265496400003</v>
      </c>
      <c r="E33" s="377">
        <v>1</v>
      </c>
      <c r="F33" s="443">
        <v>23656.322446059996</v>
      </c>
      <c r="H33" s="492"/>
      <c r="I33" s="492"/>
      <c r="J33" s="492"/>
    </row>
    <row r="34" spans="1:10" ht="20" customHeight="1">
      <c r="A34" s="140" t="s">
        <v>1837</v>
      </c>
      <c r="B34" s="174"/>
      <c r="C34" s="321"/>
      <c r="D34" s="174"/>
      <c r="E34" s="321"/>
      <c r="F34" s="174"/>
    </row>
    <row r="35" spans="1:10" ht="12.75" customHeight="1">
      <c r="A35" s="141"/>
      <c r="B35" s="175"/>
      <c r="C35" s="353"/>
      <c r="D35" s="175"/>
      <c r="E35" s="353"/>
      <c r="F35" s="175"/>
    </row>
    <row r="36" spans="1:10" ht="16.5" customHeight="1">
      <c r="A36" s="141" t="s">
        <v>2485</v>
      </c>
      <c r="B36" s="175"/>
      <c r="C36" s="353"/>
      <c r="D36" s="175"/>
      <c r="E36" s="353"/>
      <c r="F36" s="175"/>
    </row>
    <row r="37" spans="1:10" ht="14.25" customHeight="1">
      <c r="A37" s="141"/>
      <c r="B37" s="175"/>
      <c r="C37" s="353"/>
      <c r="D37" s="175"/>
      <c r="E37" s="353"/>
      <c r="F37" s="175"/>
    </row>
    <row r="38" spans="1:10" ht="13.5" customHeight="1">
      <c r="A38" s="141" t="s">
        <v>2157</v>
      </c>
      <c r="B38" s="175"/>
      <c r="C38" s="353"/>
      <c r="D38" s="175"/>
      <c r="E38" s="353"/>
      <c r="F38" s="175"/>
    </row>
    <row r="39" spans="1:10" ht="12" customHeight="1">
      <c r="A39" s="141"/>
      <c r="B39" s="175"/>
      <c r="C39" s="353"/>
      <c r="D39" s="175"/>
      <c r="E39" s="353"/>
      <c r="F39" s="175"/>
    </row>
    <row r="40" spans="1:10" ht="14.25" customHeight="1">
      <c r="A40" s="141"/>
      <c r="B40" s="175"/>
      <c r="C40" s="353"/>
      <c r="D40" s="175"/>
      <c r="E40" s="353"/>
      <c r="F40" s="175"/>
    </row>
    <row r="41" spans="1:10" ht="15.75" customHeight="1">
      <c r="A41" s="141" t="s">
        <v>710</v>
      </c>
      <c r="B41" s="175"/>
      <c r="C41" s="353"/>
      <c r="D41" s="175"/>
      <c r="E41" s="353"/>
      <c r="F41" s="175"/>
    </row>
    <row r="42" spans="1:10" ht="18" customHeight="1">
      <c r="A42"/>
    </row>
    <row r="43" spans="1:10" ht="30" customHeight="1"/>
    <row r="44" spans="1:10" ht="30" customHeight="1">
      <c r="H44" s="493"/>
    </row>
    <row r="45" spans="1:10" ht="30" customHeight="1"/>
    <row r="46" spans="1:10" ht="30" customHeight="1"/>
    <row r="47" spans="1:10" ht="30" customHeight="1"/>
    <row r="48" spans="1:10" ht="30" customHeight="1"/>
    <row r="49" ht="30" customHeight="1"/>
    <row r="50" ht="30" customHeight="1"/>
  </sheetData>
  <phoneticPr fontId="0" type="noConversion"/>
  <pageMargins left="0.65" right="0.54" top="0.67" bottom="0.49" header="0.44" footer="0.4921259845"/>
  <pageSetup paperSize="9" scale="80" orientation="portrait"/>
  <headerFooter alignWithMargins="0"/>
  <rowBreaks count="1" manualBreakCount="1">
    <brk id="41"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4283-31A5-5D4B-95E4-9CDDC061B8C3}">
  <dimension ref="A1:G44"/>
  <sheetViews>
    <sheetView zoomScale="75" workbookViewId="0">
      <selection activeCell="J34" sqref="J34"/>
    </sheetView>
  </sheetViews>
  <sheetFormatPr baseColWidth="10" defaultColWidth="11.3984375" defaultRowHeight="13"/>
  <cols>
    <col min="1" max="5" width="19.796875" style="2" customWidth="1"/>
    <col min="6" max="6" width="11.3984375" style="2"/>
    <col min="7" max="7" width="15.19921875" style="2" hidden="1" customWidth="1"/>
    <col min="8" max="16384" width="11.3984375" style="2"/>
  </cols>
  <sheetData>
    <row r="1" spans="1:7" s="1" customFormat="1" ht="14" customHeight="1"/>
    <row r="2" spans="1:7" s="1" customFormat="1" ht="28" customHeight="1">
      <c r="A2" s="118" t="s">
        <v>2161</v>
      </c>
      <c r="E2" s="118">
        <v>2009</v>
      </c>
    </row>
    <row r="3" spans="1:7" ht="27" customHeight="1">
      <c r="A3" s="119" t="s">
        <v>1797</v>
      </c>
      <c r="B3" s="120" t="s">
        <v>1798</v>
      </c>
      <c r="C3" s="121" t="s">
        <v>1799</v>
      </c>
      <c r="D3" s="120" t="s">
        <v>1800</v>
      </c>
      <c r="E3" s="121" t="s">
        <v>1567</v>
      </c>
    </row>
    <row r="4" spans="1:7" ht="21" customHeight="1">
      <c r="A4" s="122"/>
      <c r="B4" s="123"/>
      <c r="C4" s="124" t="s">
        <v>1800</v>
      </c>
      <c r="D4" s="125"/>
      <c r="E4" s="124"/>
    </row>
    <row r="5" spans="1:7" ht="21" customHeight="1">
      <c r="A5" s="122"/>
      <c r="B5" s="123" t="s">
        <v>1803</v>
      </c>
      <c r="C5" s="124" t="s">
        <v>1804</v>
      </c>
      <c r="D5" s="123" t="s">
        <v>1805</v>
      </c>
      <c r="E5" s="124"/>
    </row>
    <row r="6" spans="1:7" ht="24" customHeight="1">
      <c r="A6" s="126"/>
      <c r="B6" s="127"/>
      <c r="C6" s="126"/>
      <c r="D6" s="127"/>
      <c r="E6" s="128"/>
    </row>
    <row r="7" spans="1:7" ht="30" customHeight="1" thickBot="1">
      <c r="A7" s="131" t="s">
        <v>1807</v>
      </c>
      <c r="B7" s="155">
        <v>228195409.92999998</v>
      </c>
      <c r="C7" s="156">
        <v>106991411.49000001</v>
      </c>
      <c r="D7" s="155">
        <v>3143861765.7600002</v>
      </c>
      <c r="E7" s="156">
        <v>3479048587.1799998</v>
      </c>
      <c r="G7" s="7">
        <v>2156035045</v>
      </c>
    </row>
    <row r="8" spans="1:7" ht="20" customHeight="1" thickBot="1">
      <c r="A8" s="135" t="s">
        <v>1808</v>
      </c>
      <c r="B8" s="455">
        <v>135545340.61000001</v>
      </c>
      <c r="C8" s="578">
        <v>77452729.520000011</v>
      </c>
      <c r="D8" s="455">
        <v>2553682529.5700002</v>
      </c>
      <c r="E8" s="578">
        <v>2766680599.7000003</v>
      </c>
      <c r="G8" s="7">
        <v>1563935884</v>
      </c>
    </row>
    <row r="9" spans="1:7" ht="20" customHeight="1" thickBot="1">
      <c r="A9" s="135" t="s">
        <v>1809</v>
      </c>
      <c r="B9" s="455">
        <v>51579793.789999999</v>
      </c>
      <c r="C9" s="578">
        <v>26975587.499999996</v>
      </c>
      <c r="D9" s="455">
        <v>756862706.39999998</v>
      </c>
      <c r="E9" s="578">
        <v>835418087.68999994</v>
      </c>
      <c r="G9" s="7">
        <v>464604355</v>
      </c>
    </row>
    <row r="10" spans="1:7" ht="20" customHeight="1" thickBot="1">
      <c r="A10" s="135" t="s">
        <v>1810</v>
      </c>
      <c r="B10" s="455">
        <v>4548714.3099999996</v>
      </c>
      <c r="C10" s="578">
        <v>2527516.5699999998</v>
      </c>
      <c r="D10" s="455">
        <v>69641918.75</v>
      </c>
      <c r="E10" s="578">
        <v>76718149.629999995</v>
      </c>
      <c r="G10" s="7">
        <v>45901795</v>
      </c>
    </row>
    <row r="11" spans="1:7" ht="20" customHeight="1" thickBot="1">
      <c r="A11" s="135" t="s">
        <v>1811</v>
      </c>
      <c r="B11" s="455">
        <v>24286072.609999999</v>
      </c>
      <c r="C11" s="578">
        <v>10554670.34</v>
      </c>
      <c r="D11" s="455">
        <v>287101059.10000002</v>
      </c>
      <c r="E11" s="578">
        <v>321941802.05000001</v>
      </c>
      <c r="G11" s="7">
        <v>171549320</v>
      </c>
    </row>
    <row r="12" spans="1:7" ht="20" customHeight="1" thickBot="1">
      <c r="A12" s="135" t="s">
        <v>1812</v>
      </c>
      <c r="B12" s="455">
        <v>5067439.03</v>
      </c>
      <c r="C12" s="578">
        <v>2324358.33</v>
      </c>
      <c r="D12" s="455">
        <v>65370719.299999997</v>
      </c>
      <c r="E12" s="578">
        <v>72762516.659999996</v>
      </c>
      <c r="G12" s="7">
        <v>41764939</v>
      </c>
    </row>
    <row r="13" spans="1:7" ht="20" customHeight="1" thickBot="1">
      <c r="A13" s="135" t="s">
        <v>1813</v>
      </c>
      <c r="B13" s="455">
        <v>5000756.91</v>
      </c>
      <c r="C13" s="578">
        <v>2311100.5</v>
      </c>
      <c r="D13" s="455">
        <v>73134338.230000004</v>
      </c>
      <c r="E13" s="578">
        <v>80446195.640000015</v>
      </c>
      <c r="G13" s="7">
        <v>44323506</v>
      </c>
    </row>
    <row r="14" spans="1:7" ht="20" customHeight="1" thickBot="1">
      <c r="A14" s="135" t="s">
        <v>1814</v>
      </c>
      <c r="B14" s="455">
        <v>5731788.3200000003</v>
      </c>
      <c r="C14" s="578">
        <v>3600152.93</v>
      </c>
      <c r="D14" s="455">
        <v>77490567.870000005</v>
      </c>
      <c r="E14" s="578">
        <v>86822509.120000005</v>
      </c>
      <c r="G14" s="7">
        <v>55927154</v>
      </c>
    </row>
    <row r="15" spans="1:7" ht="20" customHeight="1" thickBot="1">
      <c r="A15" s="135" t="s">
        <v>1815</v>
      </c>
      <c r="B15" s="455">
        <v>16141947.1</v>
      </c>
      <c r="C15" s="578">
        <v>7283301.8199999994</v>
      </c>
      <c r="D15" s="455">
        <v>218317498.69</v>
      </c>
      <c r="E15" s="578">
        <v>241742747.60999998</v>
      </c>
      <c r="G15" s="7">
        <v>128772453</v>
      </c>
    </row>
    <row r="16" spans="1:7" ht="20" customHeight="1" thickBot="1">
      <c r="A16" s="135" t="s">
        <v>1816</v>
      </c>
      <c r="B16" s="455">
        <v>49739718.479999997</v>
      </c>
      <c r="C16" s="578">
        <v>23631779.899999999</v>
      </c>
      <c r="D16" s="455">
        <v>589894319.88999999</v>
      </c>
      <c r="E16" s="578">
        <v>663265818.26999998</v>
      </c>
      <c r="G16" s="7">
        <v>391250033</v>
      </c>
    </row>
    <row r="17" spans="1:7" ht="20" customHeight="1" thickBot="1">
      <c r="A17" s="135" t="s">
        <v>1817</v>
      </c>
      <c r="B17" s="455">
        <v>39886126.410000004</v>
      </c>
      <c r="C17" s="578">
        <v>20976914.059999999</v>
      </c>
      <c r="D17" s="455">
        <v>582521718</v>
      </c>
      <c r="E17" s="578">
        <v>643384758.47000003</v>
      </c>
      <c r="G17" s="7">
        <v>393696828</v>
      </c>
    </row>
    <row r="18" spans="1:7" ht="20" customHeight="1" thickBot="1">
      <c r="A18" s="135" t="s">
        <v>1818</v>
      </c>
      <c r="B18" s="455">
        <v>31794062.52</v>
      </c>
      <c r="C18" s="578">
        <v>17043613.420000002</v>
      </c>
      <c r="D18" s="455">
        <v>618261448.25999999</v>
      </c>
      <c r="E18" s="578">
        <v>667099124.19999993</v>
      </c>
      <c r="G18" s="7">
        <v>473520714</v>
      </c>
    </row>
    <row r="19" spans="1:7" ht="20" customHeight="1" thickBot="1">
      <c r="A19" s="135" t="s">
        <v>1819</v>
      </c>
      <c r="B19" s="455">
        <v>49063021.209999993</v>
      </c>
      <c r="C19" s="578">
        <v>24188018.380000003</v>
      </c>
      <c r="D19" s="455">
        <v>697722913.77999997</v>
      </c>
      <c r="E19" s="578">
        <v>770973953.37</v>
      </c>
      <c r="G19" s="7">
        <v>469771093</v>
      </c>
    </row>
    <row r="20" spans="1:7" ht="20" customHeight="1" thickBot="1">
      <c r="A20" s="135" t="s">
        <v>1820</v>
      </c>
      <c r="B20" s="455">
        <v>10157667.300000001</v>
      </c>
      <c r="C20" s="578">
        <v>6088811.0199999996</v>
      </c>
      <c r="D20" s="455">
        <v>171389574.98000002</v>
      </c>
      <c r="E20" s="578">
        <v>187636053.30000001</v>
      </c>
      <c r="G20" s="7">
        <v>127694959</v>
      </c>
    </row>
    <row r="21" spans="1:7" ht="20" customHeight="1" thickBot="1">
      <c r="A21" s="135" t="s">
        <v>1821</v>
      </c>
      <c r="B21" s="455">
        <v>7736510.629999999</v>
      </c>
      <c r="C21" s="578">
        <v>3376127.71</v>
      </c>
      <c r="D21" s="455">
        <v>99583786.479999989</v>
      </c>
      <c r="E21" s="578">
        <v>110696424.81999999</v>
      </c>
      <c r="G21" s="7">
        <v>69489100</v>
      </c>
    </row>
    <row r="22" spans="1:7" ht="20" customHeight="1" thickBot="1">
      <c r="A22" s="135" t="s">
        <v>1822</v>
      </c>
      <c r="B22" s="455">
        <v>2080842.76</v>
      </c>
      <c r="C22" s="578">
        <v>1024196.33</v>
      </c>
      <c r="D22" s="455">
        <v>24150398.009999998</v>
      </c>
      <c r="E22" s="578">
        <v>27255437.099999998</v>
      </c>
      <c r="G22" s="7">
        <v>16712649</v>
      </c>
    </row>
    <row r="23" spans="1:7" ht="20" customHeight="1" thickBot="1">
      <c r="A23" s="135" t="s">
        <v>1823</v>
      </c>
      <c r="B23" s="455">
        <v>75021685.920000002</v>
      </c>
      <c r="C23" s="578">
        <v>39527431.740000002</v>
      </c>
      <c r="D23" s="455">
        <v>925612428.1400001</v>
      </c>
      <c r="E23" s="578">
        <v>1040161545.8</v>
      </c>
      <c r="G23" s="7">
        <v>615853738</v>
      </c>
    </row>
    <row r="24" spans="1:7" ht="20" customHeight="1" thickBot="1">
      <c r="A24" s="135" t="s">
        <v>1824</v>
      </c>
      <c r="B24" s="455">
        <v>29445224.82</v>
      </c>
      <c r="C24" s="578">
        <v>14820249</v>
      </c>
      <c r="D24" s="455">
        <v>405825379.34000003</v>
      </c>
      <c r="E24" s="578">
        <v>450090853.16000003</v>
      </c>
      <c r="G24" s="7">
        <v>264690646</v>
      </c>
    </row>
    <row r="25" spans="1:7" ht="20" customHeight="1" thickBot="1">
      <c r="A25" s="135" t="s">
        <v>1825</v>
      </c>
      <c r="B25" s="455">
        <v>100288478.03</v>
      </c>
      <c r="C25" s="578">
        <v>48894486.219999999</v>
      </c>
      <c r="D25" s="455">
        <v>1268299004.52</v>
      </c>
      <c r="E25" s="578">
        <v>1417481968.7699997</v>
      </c>
      <c r="G25" s="7">
        <v>819222625</v>
      </c>
    </row>
    <row r="26" spans="1:7" ht="20" customHeight="1" thickBot="1">
      <c r="A26" s="135" t="s">
        <v>1826</v>
      </c>
      <c r="B26" s="455">
        <v>39744937.460000001</v>
      </c>
      <c r="C26" s="578">
        <v>19969128.620000001</v>
      </c>
      <c r="D26" s="455">
        <v>484916666.93000007</v>
      </c>
      <c r="E26" s="578">
        <v>544630733.00999999</v>
      </c>
      <c r="G26" s="7">
        <v>344655658</v>
      </c>
    </row>
    <row r="27" spans="1:7" ht="20" customHeight="1" thickBot="1">
      <c r="A27" s="135" t="s">
        <v>1827</v>
      </c>
      <c r="B27" s="455">
        <v>50370705.359999999</v>
      </c>
      <c r="C27" s="578">
        <v>19196771.490000002</v>
      </c>
      <c r="D27" s="455">
        <v>912282304.62</v>
      </c>
      <c r="E27" s="578">
        <v>981849781.47000003</v>
      </c>
      <c r="G27" s="7">
        <v>627641817</v>
      </c>
    </row>
    <row r="28" spans="1:7" ht="20" customHeight="1" thickBot="1">
      <c r="A28" s="135" t="s">
        <v>1828</v>
      </c>
      <c r="B28" s="455">
        <v>145831302.84999999</v>
      </c>
      <c r="C28" s="578">
        <v>58096396.850000009</v>
      </c>
      <c r="D28" s="455">
        <v>1798646454.3599999</v>
      </c>
      <c r="E28" s="578">
        <v>2002574154.0599999</v>
      </c>
      <c r="G28" s="7">
        <v>1280335377</v>
      </c>
    </row>
    <row r="29" spans="1:7" ht="20" customHeight="1" thickBot="1">
      <c r="A29" s="135" t="s">
        <v>1829</v>
      </c>
      <c r="B29" s="455">
        <v>46764546.850000001</v>
      </c>
      <c r="C29" s="578">
        <v>22055562.840000004</v>
      </c>
      <c r="D29" s="455">
        <v>669412987.14999998</v>
      </c>
      <c r="E29" s="578">
        <v>738233096.83999991</v>
      </c>
      <c r="G29" s="7">
        <v>410743307</v>
      </c>
    </row>
    <row r="30" spans="1:7" ht="20" customHeight="1" thickBot="1">
      <c r="A30" s="135" t="s">
        <v>1830</v>
      </c>
      <c r="B30" s="455">
        <v>30031847.460000001</v>
      </c>
      <c r="C30" s="578">
        <v>12845526.85</v>
      </c>
      <c r="D30" s="455">
        <v>422868216.36000001</v>
      </c>
      <c r="E30" s="578">
        <v>465745590.66999996</v>
      </c>
      <c r="G30" s="7">
        <v>318756043</v>
      </c>
    </row>
    <row r="31" spans="1:7" ht="20" customHeight="1" thickBot="1">
      <c r="A31" s="135" t="s">
        <v>1831</v>
      </c>
      <c r="B31" s="455">
        <v>107130564.26000001</v>
      </c>
      <c r="C31" s="578">
        <v>42880231.609999999</v>
      </c>
      <c r="D31" s="455">
        <v>1256434392.6900001</v>
      </c>
      <c r="E31" s="578">
        <v>1406445188.5599999</v>
      </c>
      <c r="G31" s="7">
        <v>966736347</v>
      </c>
    </row>
    <row r="32" spans="1:7" ht="20" customHeight="1" thickBot="1">
      <c r="A32" s="136" t="s">
        <v>1832</v>
      </c>
      <c r="B32" s="455">
        <v>12936433.07</v>
      </c>
      <c r="C32" s="578">
        <v>4932474.49</v>
      </c>
      <c r="D32" s="455">
        <v>173422732.28999999</v>
      </c>
      <c r="E32" s="578">
        <v>191291639.84999999</v>
      </c>
      <c r="G32" s="7">
        <v>146808815</v>
      </c>
    </row>
    <row r="33" spans="1:7" ht="20" customHeight="1" thickBot="1">
      <c r="A33" s="318" t="s">
        <v>2156</v>
      </c>
      <c r="B33" s="455">
        <v>364199.76</v>
      </c>
      <c r="C33" s="578">
        <v>-74904.34</v>
      </c>
      <c r="D33" s="455">
        <v>3437372.95</v>
      </c>
      <c r="E33" s="578">
        <v>3726668.37</v>
      </c>
      <c r="G33" s="7">
        <v>966736347</v>
      </c>
    </row>
    <row r="34" spans="1:7" ht="20" customHeight="1" thickBot="1">
      <c r="A34" s="136" t="s">
        <v>657</v>
      </c>
      <c r="B34" s="455">
        <v>-53257.31</v>
      </c>
      <c r="C34" s="578">
        <v>-54670.51</v>
      </c>
      <c r="D34" s="455">
        <v>-193637.69</v>
      </c>
      <c r="E34" s="578">
        <v>-301565.51</v>
      </c>
      <c r="G34" s="7">
        <v>146808815</v>
      </c>
    </row>
    <row r="35" spans="1:7" ht="30" customHeight="1" thickBot="1">
      <c r="A35" s="137" t="s">
        <v>1222</v>
      </c>
      <c r="B35" s="383">
        <v>1304460058.6100001</v>
      </c>
      <c r="C35" s="382">
        <v>619438974.66000009</v>
      </c>
      <c r="D35" s="383">
        <v>18349951564.82</v>
      </c>
      <c r="E35" s="382">
        <v>20273850598.09</v>
      </c>
      <c r="G35" s="7">
        <v>12410394200</v>
      </c>
    </row>
    <row r="36" spans="1:7" ht="20" customHeight="1">
      <c r="A36" s="140" t="s">
        <v>1837</v>
      </c>
      <c r="B36" s="140"/>
      <c r="C36" s="140"/>
      <c r="D36" s="140"/>
      <c r="E36" s="140"/>
    </row>
    <row r="37" spans="1:7" ht="12.75" customHeight="1">
      <c r="A37" s="141"/>
      <c r="B37" s="141"/>
      <c r="C37" s="141"/>
      <c r="D37" s="141"/>
      <c r="E37" s="141"/>
    </row>
    <row r="38" spans="1:7" ht="14.25" customHeight="1">
      <c r="A38" s="141" t="s">
        <v>2160</v>
      </c>
      <c r="B38" s="141"/>
      <c r="C38" s="141"/>
      <c r="D38" s="141"/>
      <c r="E38" s="141"/>
    </row>
    <row r="39" spans="1:7" ht="10.5" customHeight="1">
      <c r="A39" s="141"/>
      <c r="B39" s="141"/>
      <c r="C39" s="141"/>
      <c r="D39" s="141"/>
      <c r="E39" s="141"/>
    </row>
    <row r="40" spans="1:7" ht="15" customHeight="1">
      <c r="A40" s="141" t="s">
        <v>2162</v>
      </c>
      <c r="B40" s="141"/>
      <c r="C40" s="141"/>
      <c r="D40" s="141"/>
      <c r="E40" s="141"/>
    </row>
    <row r="41" spans="1:7" ht="13.5" customHeight="1">
      <c r="A41" s="141" t="s">
        <v>2154</v>
      </c>
    </row>
    <row r="42" spans="1:7" ht="12" customHeight="1"/>
    <row r="43" spans="1:7" ht="12" customHeight="1"/>
    <row r="44" spans="1:7" ht="12" customHeight="1">
      <c r="A44" s="141" t="s">
        <v>710</v>
      </c>
    </row>
  </sheetData>
  <phoneticPr fontId="0" type="noConversion"/>
  <pageMargins left="0.6" right="0.59" top="0.76" bottom="0.49" header="0.35" footer="0.4921259845"/>
  <pageSetup paperSize="9" scale="80" orientation="portrait" horizontalDpi="4294967292" verticalDpi="4294967292"/>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F63AC-D674-334F-BAB3-CB1A23EE431D}">
  <sheetPr>
    <pageSetUpPr fitToPage="1"/>
  </sheetPr>
  <dimension ref="A1:G52"/>
  <sheetViews>
    <sheetView zoomScale="75" workbookViewId="0">
      <selection activeCell="A3" sqref="A3"/>
    </sheetView>
  </sheetViews>
  <sheetFormatPr baseColWidth="10" defaultColWidth="11.3984375" defaultRowHeight="13"/>
  <cols>
    <col min="1" max="1" width="25.796875" style="2" customWidth="1"/>
    <col min="2" max="2" width="25.59765625" style="2" customWidth="1"/>
    <col min="3" max="6" width="17.59765625" style="2" customWidth="1"/>
    <col min="7" max="7" width="14.59765625" style="2" customWidth="1"/>
    <col min="8" max="16384" width="11.3984375" style="2"/>
  </cols>
  <sheetData>
    <row r="1" spans="1:7" s="1" customFormat="1" ht="14" customHeight="1">
      <c r="A1" s="271"/>
      <c r="B1" s="271"/>
      <c r="C1" s="271"/>
      <c r="D1" s="271"/>
      <c r="E1" s="271"/>
      <c r="F1" s="271"/>
    </row>
    <row r="2" spans="1:7" s="1" customFormat="1" ht="20.25" customHeight="1">
      <c r="A2" s="894" t="s">
        <v>2507</v>
      </c>
      <c r="B2" s="894"/>
      <c r="C2" s="271"/>
      <c r="D2" s="271"/>
      <c r="E2" s="271"/>
      <c r="F2" s="491">
        <v>2009</v>
      </c>
      <c r="G2" s="491"/>
    </row>
    <row r="3" spans="1:7" s="1" customFormat="1" ht="10.5" customHeight="1">
      <c r="A3" s="1074"/>
      <c r="B3" s="1074"/>
      <c r="C3" s="1075"/>
      <c r="D3" s="1075"/>
      <c r="E3" s="1075"/>
      <c r="F3" s="1075"/>
      <c r="G3" s="275"/>
    </row>
    <row r="4" spans="1:7" s="1" customFormat="1" ht="81.75" customHeight="1">
      <c r="A4" s="1076" t="s">
        <v>2508</v>
      </c>
      <c r="B4" s="1077"/>
      <c r="C4" s="1078" t="s">
        <v>2487</v>
      </c>
      <c r="D4" s="1079" t="s">
        <v>2488</v>
      </c>
      <c r="E4" s="1078" t="s">
        <v>2489</v>
      </c>
      <c r="F4" s="1080" t="s">
        <v>2026</v>
      </c>
    </row>
    <row r="5" spans="1:7" ht="8.25" customHeight="1">
      <c r="A5" s="1081"/>
      <c r="B5" s="1082"/>
      <c r="C5" s="600"/>
      <c r="D5" s="599"/>
      <c r="E5" s="600"/>
      <c r="F5" s="599"/>
    </row>
    <row r="6" spans="1:7" ht="47.25" customHeight="1" thickBot="1">
      <c r="A6" s="1083" t="s">
        <v>2490</v>
      </c>
      <c r="B6" s="1084" t="s">
        <v>2509</v>
      </c>
      <c r="C6" s="320">
        <v>977.08844484421024</v>
      </c>
      <c r="D6" s="319">
        <v>1556.1400549214268</v>
      </c>
      <c r="E6" s="320">
        <v>5775.2244499323069</v>
      </c>
      <c r="F6" s="319">
        <v>4022.2406746329993</v>
      </c>
    </row>
    <row r="7" spans="1:7" ht="19.5" customHeight="1" thickBot="1">
      <c r="A7" s="136"/>
      <c r="B7" s="1085"/>
      <c r="C7" s="367"/>
      <c r="D7" s="593"/>
      <c r="E7" s="367"/>
      <c r="F7" s="593"/>
    </row>
    <row r="8" spans="1:7" ht="22.5" customHeight="1" thickBot="1">
      <c r="A8" s="1086" t="s">
        <v>2491</v>
      </c>
      <c r="B8" s="1087" t="s">
        <v>2510</v>
      </c>
      <c r="C8" s="367">
        <v>952.11495727790157</v>
      </c>
      <c r="D8" s="593">
        <v>1179.7450179281441</v>
      </c>
      <c r="E8" s="367">
        <v>4197.9741514729449</v>
      </c>
      <c r="F8" s="593">
        <v>4045.9803444639811</v>
      </c>
    </row>
    <row r="9" spans="1:7" ht="20" customHeight="1" thickBot="1">
      <c r="A9" s="1088" t="s">
        <v>2492</v>
      </c>
      <c r="B9" s="1087" t="s">
        <v>2511</v>
      </c>
      <c r="C9" s="367">
        <v>750.8679553542338</v>
      </c>
      <c r="D9" s="593">
        <v>516.25367707948226</v>
      </c>
      <c r="E9" s="367">
        <v>1763.2682456291054</v>
      </c>
      <c r="F9" s="593">
        <v>1462.4217289738604</v>
      </c>
    </row>
    <row r="10" spans="1:7" ht="20" customHeight="1" thickBot="1">
      <c r="A10" s="1088" t="s">
        <v>2493</v>
      </c>
      <c r="B10" s="1087" t="s">
        <v>2512</v>
      </c>
      <c r="C10" s="367">
        <v>680.36292136728764</v>
      </c>
      <c r="D10" s="593">
        <v>340.44366198404748</v>
      </c>
      <c r="E10" s="367">
        <v>986.74464617538501</v>
      </c>
      <c r="F10" s="593">
        <v>924.74941684672945</v>
      </c>
    </row>
    <row r="11" spans="1:7" ht="20" customHeight="1" thickBot="1">
      <c r="A11" s="1088"/>
      <c r="B11" s="1087" t="s">
        <v>2513</v>
      </c>
      <c r="C11" s="367">
        <v>522.69992075086998</v>
      </c>
      <c r="D11" s="593">
        <v>228.62146843413336</v>
      </c>
      <c r="E11" s="367">
        <v>565.34864857187313</v>
      </c>
      <c r="F11" s="593">
        <v>528.166155046011</v>
      </c>
    </row>
    <row r="12" spans="1:7" ht="20" customHeight="1" thickBot="1">
      <c r="A12" s="1088"/>
      <c r="B12" s="1087" t="s">
        <v>2514</v>
      </c>
      <c r="C12" s="367">
        <v>381.22923185933121</v>
      </c>
      <c r="D12" s="593">
        <v>251.24001042654908</v>
      </c>
      <c r="E12" s="367">
        <v>509.21267268034961</v>
      </c>
      <c r="F12" s="593">
        <v>481.04099987736856</v>
      </c>
    </row>
    <row r="13" spans="1:7" ht="20" customHeight="1" thickBot="1">
      <c r="A13" s="1088"/>
      <c r="B13" s="1087" t="s">
        <v>2515</v>
      </c>
      <c r="C13" s="367">
        <v>309.28899110094585</v>
      </c>
      <c r="D13" s="296" t="s">
        <v>744</v>
      </c>
      <c r="E13" s="297" t="s">
        <v>744</v>
      </c>
      <c r="F13" s="593">
        <v>307.35826822198942</v>
      </c>
    </row>
    <row r="14" spans="1:7" ht="20" customHeight="1" thickBot="1">
      <c r="A14" s="1089"/>
      <c r="B14" s="1087" t="s">
        <v>1567</v>
      </c>
      <c r="C14" s="367">
        <v>570.63098523928045</v>
      </c>
      <c r="D14" s="593">
        <v>543.75027892352</v>
      </c>
      <c r="E14" s="367">
        <v>2299.8606360156473</v>
      </c>
      <c r="F14" s="593">
        <v>2093.8863767697767</v>
      </c>
    </row>
    <row r="15" spans="1:7" ht="18.75" customHeight="1" thickBot="1">
      <c r="A15" s="415"/>
      <c r="B15" s="1090"/>
      <c r="C15" s="367"/>
      <c r="D15" s="593"/>
      <c r="E15" s="367"/>
      <c r="F15" s="593"/>
    </row>
    <row r="16" spans="1:7" ht="20" customHeight="1" thickBot="1">
      <c r="A16" s="415" t="s">
        <v>581</v>
      </c>
      <c r="B16" s="1090"/>
      <c r="C16" s="367">
        <v>441.08544562551106</v>
      </c>
      <c r="D16" s="593">
        <v>564.99914225091425</v>
      </c>
      <c r="E16" s="367">
        <v>1448.347487572923</v>
      </c>
      <c r="F16" s="593">
        <v>1408.5627057694212</v>
      </c>
    </row>
    <row r="17" spans="1:6" ht="20.25" customHeight="1" thickBot="1">
      <c r="A17" s="415"/>
      <c r="B17" s="1090"/>
      <c r="C17" s="367"/>
      <c r="D17" s="593"/>
      <c r="E17" s="367"/>
      <c r="F17" s="593"/>
    </row>
    <row r="18" spans="1:6" ht="58.5" customHeight="1" thickBot="1">
      <c r="A18" s="1086" t="s">
        <v>2494</v>
      </c>
      <c r="B18" s="1087" t="s">
        <v>2509</v>
      </c>
      <c r="C18" s="367">
        <v>801.74035557099535</v>
      </c>
      <c r="D18" s="593">
        <v>1228.7900620379273</v>
      </c>
      <c r="E18" s="367">
        <v>3900.0335506766628</v>
      </c>
      <c r="F18" s="593">
        <v>2436.8531175869189</v>
      </c>
    </row>
    <row r="19" spans="1:6" ht="20" customHeight="1" thickBot="1">
      <c r="A19" s="137"/>
      <c r="B19" s="1087" t="s">
        <v>2510</v>
      </c>
      <c r="C19" s="367">
        <v>654.05507781822496</v>
      </c>
      <c r="D19" s="593">
        <v>918.9526294140378</v>
      </c>
      <c r="E19" s="367">
        <v>2406.6512230544836</v>
      </c>
      <c r="F19" s="593">
        <v>2252.978890738174</v>
      </c>
    </row>
    <row r="20" spans="1:6" ht="20" customHeight="1" thickBot="1">
      <c r="A20" s="137"/>
      <c r="B20" s="1087" t="s">
        <v>2511</v>
      </c>
      <c r="C20" s="367">
        <v>597.10603453851627</v>
      </c>
      <c r="D20" s="593">
        <v>357.98891762135963</v>
      </c>
      <c r="E20" s="367">
        <v>951.80554267467005</v>
      </c>
      <c r="F20" s="593">
        <v>823.80580401274665</v>
      </c>
    </row>
    <row r="21" spans="1:6" ht="20" customHeight="1" thickBot="1">
      <c r="A21" s="137"/>
      <c r="B21" s="1087" t="s">
        <v>2512</v>
      </c>
      <c r="C21" s="367">
        <v>398.67510161383473</v>
      </c>
      <c r="D21" s="593">
        <v>238.77930941556014</v>
      </c>
      <c r="E21" s="367">
        <v>627.16128334390589</v>
      </c>
      <c r="F21" s="593">
        <v>569.26179829603086</v>
      </c>
    </row>
    <row r="22" spans="1:6" ht="20" customHeight="1" thickBot="1">
      <c r="A22" s="137"/>
      <c r="B22" s="1087" t="s">
        <v>2513</v>
      </c>
      <c r="C22" s="367">
        <v>360.05217405811459</v>
      </c>
      <c r="D22" s="593">
        <v>173.97512831443152</v>
      </c>
      <c r="E22" s="367">
        <v>397.56238801939946</v>
      </c>
      <c r="F22" s="593">
        <v>371.65601901273567</v>
      </c>
    </row>
    <row r="23" spans="1:6" ht="20" customHeight="1" thickBot="1">
      <c r="A23" s="137"/>
      <c r="B23" s="1087" t="s">
        <v>2514</v>
      </c>
      <c r="C23" s="367">
        <v>319.46938153061029</v>
      </c>
      <c r="D23" s="593">
        <v>179.92793228714964</v>
      </c>
      <c r="E23" s="367">
        <v>404.80636850668122</v>
      </c>
      <c r="F23" s="593">
        <v>381.68358854680912</v>
      </c>
    </row>
    <row r="24" spans="1:6" ht="20" customHeight="1" thickBot="1">
      <c r="A24" s="137"/>
      <c r="B24" s="1087" t="s">
        <v>2515</v>
      </c>
      <c r="C24" s="367">
        <v>270.11961057506483</v>
      </c>
      <c r="D24" s="296" t="s">
        <v>744</v>
      </c>
      <c r="E24" s="297" t="s">
        <v>744</v>
      </c>
      <c r="F24" s="593">
        <v>270.11961057506483</v>
      </c>
    </row>
    <row r="25" spans="1:6" ht="20" customHeight="1" thickBot="1">
      <c r="A25" s="137"/>
      <c r="B25" s="1087" t="s">
        <v>2495</v>
      </c>
      <c r="C25" s="367">
        <v>761.14599230434942</v>
      </c>
      <c r="D25" s="593">
        <v>725.61953207867896</v>
      </c>
      <c r="E25" s="367">
        <v>2099.1677449332169</v>
      </c>
      <c r="F25" s="593">
        <v>1674.5944131607669</v>
      </c>
    </row>
    <row r="26" spans="1:6" ht="39.75" customHeight="1" thickBot="1">
      <c r="A26" s="1091"/>
      <c r="B26" s="1092" t="s">
        <v>2496</v>
      </c>
      <c r="C26" s="1093">
        <v>842.52537877859277</v>
      </c>
      <c r="D26" s="1094">
        <v>786.47741112086601</v>
      </c>
      <c r="E26" s="1093">
        <v>1852.8927207785091</v>
      </c>
      <c r="F26" s="1094">
        <v>1558.5161589533914</v>
      </c>
    </row>
    <row r="27" spans="1:6" ht="45" customHeight="1" thickBot="1">
      <c r="A27" s="1091"/>
      <c r="B27" s="1095" t="s">
        <v>2497</v>
      </c>
      <c r="C27" s="1093">
        <v>686.91853782675912</v>
      </c>
      <c r="D27" s="1094">
        <v>705.04906410649198</v>
      </c>
      <c r="E27" s="1093">
        <v>2121.5439908265653</v>
      </c>
      <c r="F27" s="1094">
        <v>1682.5201914181698</v>
      </c>
    </row>
    <row r="28" spans="1:6" ht="45" customHeight="1" thickBot="1">
      <c r="A28" s="1096"/>
      <c r="B28" s="1095" t="s">
        <v>2498</v>
      </c>
      <c r="C28" s="1093">
        <v>403.94771189662481</v>
      </c>
      <c r="D28" s="1094">
        <v>389.63224547780726</v>
      </c>
      <c r="E28" s="1093">
        <v>1090.1413623356016</v>
      </c>
      <c r="F28" s="1094">
        <v>978.83420070488637</v>
      </c>
    </row>
    <row r="29" spans="1:6" ht="15.75" customHeight="1" thickBot="1">
      <c r="A29" s="1097"/>
      <c r="B29" s="1098"/>
      <c r="C29" s="367"/>
      <c r="D29" s="593"/>
      <c r="E29" s="367"/>
      <c r="F29" s="593"/>
    </row>
    <row r="30" spans="1:6" ht="27.75" customHeight="1" thickBot="1">
      <c r="A30" s="651" t="s">
        <v>2516</v>
      </c>
      <c r="B30" s="1099"/>
      <c r="C30" s="597">
        <v>865.61559601459317</v>
      </c>
      <c r="D30" s="770">
        <v>949.75747141404531</v>
      </c>
      <c r="E30" s="597">
        <v>3306.4957902971955</v>
      </c>
      <c r="F30" s="770">
        <v>2629.9453520972111</v>
      </c>
    </row>
    <row r="31" spans="1:6" ht="15.75" customHeight="1">
      <c r="A31" s="474" t="s">
        <v>1837</v>
      </c>
      <c r="B31" s="474"/>
      <c r="C31" s="474"/>
      <c r="D31" s="474"/>
      <c r="E31" s="474"/>
      <c r="F31" s="474"/>
    </row>
    <row r="32" spans="1:6" ht="13.5" customHeight="1">
      <c r="A32" s="418"/>
      <c r="B32" s="418"/>
      <c r="C32" s="474"/>
      <c r="D32" s="474"/>
      <c r="E32" s="474"/>
      <c r="F32" s="474"/>
    </row>
    <row r="33" spans="1:6" ht="13.5" customHeight="1">
      <c r="A33" s="474" t="s">
        <v>2499</v>
      </c>
      <c r="B33" s="474"/>
      <c r="C33" s="474"/>
      <c r="D33" s="474"/>
      <c r="E33" s="474"/>
      <c r="F33" s="474"/>
    </row>
    <row r="34" spans="1:6" ht="16.5" customHeight="1">
      <c r="A34" s="474"/>
      <c r="B34" s="474"/>
      <c r="C34" s="474"/>
      <c r="D34" s="474"/>
      <c r="E34" s="474"/>
      <c r="F34" s="474"/>
    </row>
    <row r="35" spans="1:6" ht="12" customHeight="1">
      <c r="A35" s="474" t="s">
        <v>2500</v>
      </c>
      <c r="B35" s="474"/>
      <c r="C35" s="201"/>
      <c r="D35" s="201"/>
      <c r="E35" s="201"/>
      <c r="F35" s="201"/>
    </row>
    <row r="36" spans="1:6" ht="12" customHeight="1">
      <c r="A36" s="141" t="s">
        <v>2501</v>
      </c>
      <c r="B36" s="141"/>
    </row>
    <row r="37" spans="1:6" ht="12" customHeight="1">
      <c r="A37" s="141" t="s">
        <v>2502</v>
      </c>
      <c r="B37" s="141"/>
    </row>
    <row r="38" spans="1:6" ht="12" customHeight="1">
      <c r="A38" s="141" t="s">
        <v>2503</v>
      </c>
      <c r="B38" s="141"/>
    </row>
    <row r="39" spans="1:6" ht="12" customHeight="1">
      <c r="A39" s="141" t="s">
        <v>2504</v>
      </c>
      <c r="B39" s="141"/>
    </row>
    <row r="40" spans="1:6" ht="12" customHeight="1">
      <c r="A40" s="141" t="s">
        <v>2505</v>
      </c>
      <c r="B40" s="141"/>
    </row>
    <row r="41" spans="1:6" ht="12" customHeight="1">
      <c r="A41" s="2" t="s">
        <v>2506</v>
      </c>
    </row>
    <row r="42" spans="1:6" ht="12" customHeight="1">
      <c r="A42" s="141" t="s">
        <v>2517</v>
      </c>
    </row>
    <row r="43" spans="1:6" ht="12" customHeight="1"/>
    <row r="44" spans="1:6" ht="12" customHeight="1"/>
    <row r="45" spans="1:6" ht="12" customHeight="1">
      <c r="A45" s="474" t="s">
        <v>710</v>
      </c>
      <c r="B45" s="474"/>
      <c r="C45" s="141"/>
      <c r="D45" s="141"/>
      <c r="E45" s="141"/>
      <c r="F45" s="141"/>
    </row>
    <row r="50" spans="1:7">
      <c r="A50" s="99"/>
      <c r="B50" s="99"/>
      <c r="C50" s="1100"/>
      <c r="D50" s="385"/>
      <c r="E50" s="1100"/>
      <c r="F50" s="385"/>
      <c r="G50" s="385"/>
    </row>
    <row r="51" spans="1:7">
      <c r="A51" s="1101"/>
      <c r="B51" s="1101"/>
      <c r="C51" s="1101"/>
      <c r="D51" s="1102"/>
      <c r="E51" s="1101"/>
      <c r="F51" s="86"/>
      <c r="G51" s="3"/>
    </row>
    <row r="52" spans="1:7">
      <c r="A52" s="3"/>
      <c r="B52" s="3"/>
      <c r="C52" s="3"/>
      <c r="D52" s="3"/>
      <c r="E52" s="3"/>
      <c r="F52" s="3"/>
      <c r="G52" s="3"/>
    </row>
  </sheetData>
  <phoneticPr fontId="0" type="noConversion"/>
  <pageMargins left="0.55118110236220474" right="0.45" top="0.59055118110236227" bottom="0.47244094488188981" header="0.43307086614173229" footer="0.31496062992125984"/>
  <pageSetup paperSize="9" scale="67" orientation="portrait"/>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11C94-95B9-6147-BA1D-1D8CB417AE79}">
  <sheetPr>
    <pageSetUpPr fitToPage="1"/>
  </sheetPr>
  <dimension ref="A1:J50"/>
  <sheetViews>
    <sheetView topLeftCell="A8" zoomScale="75" workbookViewId="0">
      <selection activeCell="A11" sqref="A11:F11"/>
    </sheetView>
  </sheetViews>
  <sheetFormatPr baseColWidth="10" defaultColWidth="11.3984375" defaultRowHeight="13"/>
  <cols>
    <col min="1" max="1" width="21.19921875" style="2" customWidth="1"/>
    <col min="2" max="2" width="14.796875" style="176" customWidth="1"/>
    <col min="3" max="3" width="14.796875" style="87" customWidth="1"/>
    <col min="4" max="4" width="16" style="176" customWidth="1"/>
    <col min="5" max="5" width="15.796875" style="87" customWidth="1"/>
    <col min="6" max="6" width="16" style="176" customWidth="1"/>
    <col min="7" max="7" width="13.59765625" style="2" customWidth="1"/>
    <col min="8" max="8" width="8" style="2" customWidth="1"/>
    <col min="9" max="9" width="7.796875" style="2" customWidth="1"/>
    <col min="10" max="10" width="9" style="2" customWidth="1"/>
    <col min="11" max="16384" width="11.3984375" style="2"/>
  </cols>
  <sheetData>
    <row r="1" spans="1:10" s="1" customFormat="1" ht="18.75" customHeight="1">
      <c r="A1" s="489"/>
      <c r="B1" s="490"/>
      <c r="C1" s="289"/>
      <c r="D1" s="169"/>
      <c r="E1" s="289"/>
      <c r="F1" s="169"/>
    </row>
    <row r="2" spans="1:10" s="1" customFormat="1" ht="31.5" customHeight="1">
      <c r="A2" s="1072" t="s">
        <v>2519</v>
      </c>
      <c r="B2" s="478"/>
      <c r="C2" s="478"/>
      <c r="D2" s="478"/>
      <c r="E2" s="478"/>
      <c r="F2" s="491">
        <v>2009</v>
      </c>
    </row>
    <row r="3" spans="1:10" ht="27" customHeight="1">
      <c r="A3" s="119" t="s">
        <v>661</v>
      </c>
      <c r="B3" s="147" t="s">
        <v>2304</v>
      </c>
      <c r="C3" s="306" t="s">
        <v>2030</v>
      </c>
      <c r="D3" s="147" t="s">
        <v>2305</v>
      </c>
      <c r="E3" s="306" t="s">
        <v>2030</v>
      </c>
      <c r="F3" s="147" t="s">
        <v>1567</v>
      </c>
    </row>
    <row r="4" spans="1:10" ht="15" customHeight="1">
      <c r="A4" s="122"/>
      <c r="B4" s="149"/>
      <c r="C4" s="122" t="s">
        <v>662</v>
      </c>
      <c r="D4" s="149"/>
      <c r="E4" s="122" t="s">
        <v>662</v>
      </c>
      <c r="F4" s="149"/>
    </row>
    <row r="5" spans="1:10" ht="15" customHeight="1">
      <c r="A5" s="122"/>
      <c r="B5" s="149"/>
      <c r="C5" s="122" t="s">
        <v>2304</v>
      </c>
      <c r="D5" s="149"/>
      <c r="E5" s="122" t="s">
        <v>2305</v>
      </c>
      <c r="F5" s="149"/>
    </row>
    <row r="6" spans="1:10" ht="19.5" customHeight="1">
      <c r="A6" s="126"/>
      <c r="B6" s="154"/>
      <c r="C6" s="126"/>
      <c r="D6" s="154"/>
      <c r="E6" s="126"/>
      <c r="F6" s="154"/>
    </row>
    <row r="7" spans="1:10" ht="30" customHeight="1" thickBot="1">
      <c r="A7" s="131" t="s">
        <v>664</v>
      </c>
      <c r="B7" s="439">
        <v>237.6384680300001</v>
      </c>
      <c r="C7" s="375">
        <v>2.8238694309867106E-2</v>
      </c>
      <c r="D7" s="439">
        <v>196.51730425999997</v>
      </c>
      <c r="E7" s="375">
        <v>1.6571849545909099E-2</v>
      </c>
      <c r="F7" s="439">
        <v>434.15577230999986</v>
      </c>
      <c r="H7" s="90"/>
      <c r="I7" s="90"/>
      <c r="J7" s="90"/>
    </row>
    <row r="8" spans="1:10" ht="20" customHeight="1" thickBot="1">
      <c r="A8" s="135" t="s">
        <v>665</v>
      </c>
      <c r="B8" s="439">
        <v>153.08380138000004</v>
      </c>
      <c r="C8" s="375">
        <v>1.8191022298698293E-2</v>
      </c>
      <c r="D8" s="439">
        <v>113.79315594000001</v>
      </c>
      <c r="E8" s="375">
        <v>9.5959135338886756E-3</v>
      </c>
      <c r="F8" s="439">
        <v>266.87695725000015</v>
      </c>
      <c r="H8" s="90"/>
      <c r="I8" s="90"/>
      <c r="J8" s="90"/>
    </row>
    <row r="9" spans="1:10" ht="20" customHeight="1" thickBot="1">
      <c r="A9" s="135" t="s">
        <v>666</v>
      </c>
      <c r="B9" s="439">
        <v>168.67494125000002</v>
      </c>
      <c r="C9" s="375">
        <v>2.0043725004540217E-2</v>
      </c>
      <c r="D9" s="439">
        <v>156.17291709000003</v>
      </c>
      <c r="E9" s="375">
        <v>1.3169700728934763E-2</v>
      </c>
      <c r="F9" s="439">
        <v>324.84785833000007</v>
      </c>
      <c r="H9" s="90"/>
      <c r="I9" s="90"/>
      <c r="J9" s="90"/>
    </row>
    <row r="10" spans="1:10" ht="20" customHeight="1" thickBot="1">
      <c r="A10" s="135" t="s">
        <v>667</v>
      </c>
      <c r="B10" s="439">
        <v>121.24621198</v>
      </c>
      <c r="C10" s="375">
        <v>1.4407746122569402E-2</v>
      </c>
      <c r="D10" s="439">
        <v>157.33325879000006</v>
      </c>
      <c r="E10" s="375">
        <v>1.3267549659575519E-2</v>
      </c>
      <c r="F10" s="439">
        <v>278.57947076999994</v>
      </c>
      <c r="H10" s="90"/>
      <c r="I10" s="90"/>
      <c r="J10" s="90"/>
    </row>
    <row r="11" spans="1:10" ht="20" customHeight="1" thickBot="1">
      <c r="A11" s="408" t="s">
        <v>668</v>
      </c>
      <c r="B11" s="1073">
        <v>680.64342265000005</v>
      </c>
      <c r="C11" s="1069">
        <v>8.0881187736863314E-2</v>
      </c>
      <c r="D11" s="1073">
        <v>623.81663605999995</v>
      </c>
      <c r="E11" s="1069">
        <v>5.2605013466621491E-2</v>
      </c>
      <c r="F11" s="1073">
        <v>1304.4600586800004</v>
      </c>
      <c r="H11" s="90"/>
      <c r="I11" s="90"/>
      <c r="J11" s="90"/>
    </row>
    <row r="12" spans="1:10" ht="20" customHeight="1" thickBot="1">
      <c r="A12" s="135" t="s">
        <v>669</v>
      </c>
      <c r="B12" s="439">
        <v>58.046467319999977</v>
      </c>
      <c r="C12" s="375">
        <v>6.8976898395517296E-3</v>
      </c>
      <c r="D12" s="439">
        <v>91.801079389999984</v>
      </c>
      <c r="E12" s="375">
        <v>7.7413726059990104E-3</v>
      </c>
      <c r="F12" s="439">
        <v>149.84754671000005</v>
      </c>
      <c r="H12" s="90"/>
      <c r="I12" s="90"/>
      <c r="J12" s="90"/>
    </row>
    <row r="13" spans="1:10" ht="20" customHeight="1" thickBot="1">
      <c r="A13" s="135" t="s">
        <v>670</v>
      </c>
      <c r="B13" s="439">
        <v>162.03725098000004</v>
      </c>
      <c r="C13" s="375">
        <v>1.9254965053291728E-2</v>
      </c>
      <c r="D13" s="439">
        <v>307.55299871000017</v>
      </c>
      <c r="E13" s="375">
        <v>2.5935232732849513E-2</v>
      </c>
      <c r="F13" s="439">
        <v>469.59024972999987</v>
      </c>
      <c r="H13" s="90"/>
      <c r="I13" s="90"/>
      <c r="J13" s="90"/>
    </row>
    <row r="14" spans="1:10" ht="20" customHeight="1" thickBot="1">
      <c r="A14" s="408" t="s">
        <v>671</v>
      </c>
      <c r="B14" s="1073">
        <v>220.08371828999998</v>
      </c>
      <c r="C14" s="1069">
        <v>2.6152654891655146E-2</v>
      </c>
      <c r="D14" s="1073">
        <v>399.35407811000005</v>
      </c>
      <c r="E14" s="1069">
        <v>3.3676605339691787E-2</v>
      </c>
      <c r="F14" s="1073">
        <v>619.43779644000006</v>
      </c>
      <c r="H14" s="90"/>
      <c r="I14" s="90"/>
      <c r="J14" s="90"/>
    </row>
    <row r="15" spans="1:10" ht="20" customHeight="1" thickBot="1">
      <c r="A15" s="135" t="s">
        <v>672</v>
      </c>
      <c r="B15" s="439">
        <v>194.06051786999998</v>
      </c>
      <c r="C15" s="375">
        <v>2.3060305375532133E-2</v>
      </c>
      <c r="D15" s="439">
        <v>454.32972437000012</v>
      </c>
      <c r="E15" s="375">
        <v>3.8312574380384969E-2</v>
      </c>
      <c r="F15" s="439">
        <v>648.39024222000012</v>
      </c>
      <c r="H15" s="90"/>
      <c r="I15" s="90"/>
      <c r="J15" s="90"/>
    </row>
    <row r="16" spans="1:10" ht="20" customHeight="1" thickBot="1">
      <c r="A16" s="135" t="s">
        <v>673</v>
      </c>
      <c r="B16" s="439">
        <v>231.58114589999991</v>
      </c>
      <c r="C16" s="375">
        <v>2.7518899785927173E-2</v>
      </c>
      <c r="D16" s="439">
        <v>556.31319669999993</v>
      </c>
      <c r="E16" s="375">
        <v>4.6912604621926104E-2</v>
      </c>
      <c r="F16" s="439">
        <v>787.89434261999975</v>
      </c>
      <c r="H16" s="90"/>
      <c r="I16" s="90"/>
      <c r="J16" s="90"/>
    </row>
    <row r="17" spans="1:10" ht="20" customHeight="1" thickBot="1">
      <c r="A17" s="135" t="s">
        <v>674</v>
      </c>
      <c r="B17" s="439">
        <v>314.77194866999997</v>
      </c>
      <c r="C17" s="375">
        <v>3.7404503191340088E-2</v>
      </c>
      <c r="D17" s="439">
        <v>583.42929945000014</v>
      </c>
      <c r="E17" s="375">
        <v>4.9199242822752884E-2</v>
      </c>
      <c r="F17" s="439">
        <v>898.20124808000037</v>
      </c>
      <c r="H17" s="90"/>
      <c r="I17" s="90"/>
      <c r="J17" s="90"/>
    </row>
    <row r="18" spans="1:10" ht="20" customHeight="1" thickBot="1">
      <c r="A18" s="135" t="s">
        <v>675</v>
      </c>
      <c r="B18" s="439">
        <v>435.69231279000013</v>
      </c>
      <c r="C18" s="375">
        <v>5.1773528654807707E-2</v>
      </c>
      <c r="D18" s="439">
        <v>633.67843590000007</v>
      </c>
      <c r="E18" s="375">
        <v>5.3436636227862565E-2</v>
      </c>
      <c r="F18" s="439">
        <v>1069.3707486299998</v>
      </c>
      <c r="H18" s="90"/>
      <c r="I18" s="90"/>
      <c r="J18" s="90"/>
    </row>
    <row r="19" spans="1:10" ht="20" customHeight="1" thickBot="1">
      <c r="A19" s="135" t="s">
        <v>676</v>
      </c>
      <c r="B19" s="439">
        <v>520.14296186000001</v>
      </c>
      <c r="C19" s="375">
        <v>6.1808840206540691E-2</v>
      </c>
      <c r="D19" s="439">
        <v>687.59365025</v>
      </c>
      <c r="E19" s="375">
        <v>5.7983181499323931E-2</v>
      </c>
      <c r="F19" s="439">
        <v>1207.7366121600005</v>
      </c>
      <c r="H19" s="90"/>
      <c r="I19" s="90"/>
      <c r="J19" s="90"/>
    </row>
    <row r="20" spans="1:10" ht="20" customHeight="1" thickBot="1">
      <c r="A20" s="135" t="s">
        <v>677</v>
      </c>
      <c r="B20" s="439">
        <v>597.74334107000004</v>
      </c>
      <c r="C20" s="375">
        <v>7.1030130871334571E-2</v>
      </c>
      <c r="D20" s="439">
        <v>717.97500312</v>
      </c>
      <c r="E20" s="375">
        <v>6.0545170687292316E-2</v>
      </c>
      <c r="F20" s="439">
        <v>1315.7183441499999</v>
      </c>
      <c r="H20" s="90"/>
      <c r="I20" s="90"/>
      <c r="J20" s="90"/>
    </row>
    <row r="21" spans="1:10" ht="20" customHeight="1" thickBot="1">
      <c r="A21" s="135" t="s">
        <v>678</v>
      </c>
      <c r="B21" s="439">
        <v>696.55976555999996</v>
      </c>
      <c r="C21" s="375">
        <v>8.2772534477533966E-2</v>
      </c>
      <c r="D21" s="439">
        <v>757.50204711999993</v>
      </c>
      <c r="E21" s="375">
        <v>6.3878394845994849E-2</v>
      </c>
      <c r="F21" s="439">
        <v>1454.0618126800002</v>
      </c>
      <c r="H21" s="90"/>
      <c r="I21" s="90"/>
      <c r="J21" s="90"/>
    </row>
    <row r="22" spans="1:10" ht="20" customHeight="1" thickBot="1">
      <c r="A22" s="135" t="s">
        <v>679</v>
      </c>
      <c r="B22" s="439">
        <v>862.29256979999968</v>
      </c>
      <c r="C22" s="375">
        <v>0.10246664391548731</v>
      </c>
      <c r="D22" s="439">
        <v>886.93292401000008</v>
      </c>
      <c r="E22" s="375">
        <v>7.4793001203399226E-2</v>
      </c>
      <c r="F22" s="439">
        <v>1749.2254937899997</v>
      </c>
      <c r="H22" s="90"/>
      <c r="I22" s="90"/>
      <c r="J22" s="90"/>
    </row>
    <row r="23" spans="1:10" ht="20" customHeight="1" thickBot="1">
      <c r="A23" s="135" t="s">
        <v>680</v>
      </c>
      <c r="B23" s="439">
        <v>855.15152158999967</v>
      </c>
      <c r="C23" s="375">
        <v>0.10161806969631351</v>
      </c>
      <c r="D23" s="439">
        <v>908.84465551999983</v>
      </c>
      <c r="E23" s="375">
        <v>7.6640766819976447E-2</v>
      </c>
      <c r="F23" s="439">
        <v>1763.9961770899999</v>
      </c>
      <c r="H23" s="90"/>
      <c r="I23" s="90"/>
      <c r="J23" s="90"/>
    </row>
    <row r="24" spans="1:10" ht="20" customHeight="1" thickBot="1">
      <c r="A24" s="135" t="s">
        <v>681</v>
      </c>
      <c r="B24" s="439">
        <v>829.53321630999983</v>
      </c>
      <c r="C24" s="375">
        <v>9.8573834065879121E-2</v>
      </c>
      <c r="D24" s="439">
        <v>951.98740868999971</v>
      </c>
      <c r="E24" s="375">
        <v>8.0278895366578201E-2</v>
      </c>
      <c r="F24" s="439">
        <v>1781.5206249999999</v>
      </c>
      <c r="H24" s="90"/>
      <c r="I24" s="90"/>
      <c r="J24" s="90"/>
    </row>
    <row r="25" spans="1:10" ht="20" customHeight="1" thickBot="1">
      <c r="A25" s="135" t="s">
        <v>682</v>
      </c>
      <c r="B25" s="439">
        <v>800.09111810999991</v>
      </c>
      <c r="C25" s="375">
        <v>9.507521526984343E-2</v>
      </c>
      <c r="D25" s="439">
        <v>1065.1106806800001</v>
      </c>
      <c r="E25" s="375">
        <v>8.9818319137011118E-2</v>
      </c>
      <c r="F25" s="439">
        <v>1865.2017988600001</v>
      </c>
      <c r="H25" s="90"/>
      <c r="I25" s="90"/>
      <c r="J25" s="90"/>
    </row>
    <row r="26" spans="1:10" ht="20" customHeight="1" thickBot="1">
      <c r="A26" s="135" t="s">
        <v>683</v>
      </c>
      <c r="B26" s="439">
        <v>617.73853084999985</v>
      </c>
      <c r="C26" s="375">
        <v>7.3406168962077994E-2</v>
      </c>
      <c r="D26" s="439">
        <v>1093.0229142999999</v>
      </c>
      <c r="E26" s="375">
        <v>9.2172093211933911E-2</v>
      </c>
      <c r="F26" s="439">
        <v>1710.7614451200006</v>
      </c>
      <c r="H26" s="90"/>
      <c r="I26" s="90"/>
      <c r="J26" s="90"/>
    </row>
    <row r="27" spans="1:10" ht="20" customHeight="1" thickBot="1">
      <c r="A27" s="135" t="s">
        <v>684</v>
      </c>
      <c r="B27" s="439">
        <v>385.10425218000006</v>
      </c>
      <c r="C27" s="375">
        <v>4.5762124898769026E-2</v>
      </c>
      <c r="D27" s="439">
        <v>908.30383606999999</v>
      </c>
      <c r="E27" s="375">
        <v>7.659516076716269E-2</v>
      </c>
      <c r="F27" s="439">
        <v>1293.4080882499998</v>
      </c>
      <c r="H27" s="90"/>
      <c r="I27" s="90"/>
      <c r="J27" s="90"/>
    </row>
    <row r="28" spans="1:10" ht="20" customHeight="1" thickBot="1">
      <c r="A28" s="135" t="s">
        <v>685</v>
      </c>
      <c r="B28" s="439">
        <v>138.26928377999997</v>
      </c>
      <c r="C28" s="375">
        <v>1.6430605993532854E-2</v>
      </c>
      <c r="D28" s="439">
        <v>458.58444205000006</v>
      </c>
      <c r="E28" s="375">
        <v>3.8671364877327634E-2</v>
      </c>
      <c r="F28" s="439">
        <v>596.8537258299998</v>
      </c>
      <c r="H28" s="90"/>
      <c r="I28" s="90"/>
      <c r="J28" s="90"/>
    </row>
    <row r="29" spans="1:10" ht="20" customHeight="1" thickBot="1">
      <c r="A29" s="135" t="s">
        <v>2081</v>
      </c>
      <c r="B29" s="439">
        <v>32.671684199999994</v>
      </c>
      <c r="C29" s="375">
        <v>3.8823920653950801E-3</v>
      </c>
      <c r="D29" s="439">
        <v>151.31571025999997</v>
      </c>
      <c r="E29" s="375">
        <v>1.2760103716075133E-2</v>
      </c>
      <c r="F29" s="439">
        <v>183.98739452000001</v>
      </c>
      <c r="H29" s="90"/>
      <c r="I29" s="90"/>
      <c r="J29" s="90"/>
    </row>
    <row r="30" spans="1:10" ht="20" customHeight="1" thickBot="1">
      <c r="A30" s="135" t="s">
        <v>2082</v>
      </c>
      <c r="B30" s="439">
        <v>2.7041066100000002</v>
      </c>
      <c r="C30" s="375">
        <v>3.2133029881105401E-4</v>
      </c>
      <c r="D30" s="439">
        <v>19.720448230000002</v>
      </c>
      <c r="E30" s="375">
        <v>1.6629797679957726E-3</v>
      </c>
      <c r="F30" s="439">
        <v>22.424554850000003</v>
      </c>
      <c r="H30" s="90"/>
      <c r="I30" s="90"/>
      <c r="J30" s="90"/>
    </row>
    <row r="31" spans="1:10" ht="20" customHeight="1" thickBot="1">
      <c r="A31" s="408" t="s">
        <v>2083</v>
      </c>
      <c r="B31" s="1073">
        <v>7514.1082770200028</v>
      </c>
      <c r="C31" s="1069">
        <v>0.89290512771367814</v>
      </c>
      <c r="D31" s="1073">
        <v>10834.644376790002</v>
      </c>
      <c r="E31" s="1069">
        <v>0.91366048995890081</v>
      </c>
      <c r="F31" s="1073">
        <v>18348.752653830001</v>
      </c>
      <c r="H31" s="90"/>
      <c r="I31" s="90"/>
      <c r="J31" s="90"/>
    </row>
    <row r="32" spans="1:10" ht="20" customHeight="1" thickBot="1">
      <c r="A32" s="135" t="s">
        <v>2084</v>
      </c>
      <c r="B32" s="439">
        <v>0.51358586000000006</v>
      </c>
      <c r="C32" s="375">
        <v>6.1029656615103701E-5</v>
      </c>
      <c r="D32" s="439">
        <v>0.68650328999999999</v>
      </c>
      <c r="E32" s="375">
        <v>5.7891233942431262E-5</v>
      </c>
      <c r="F32" s="439">
        <v>1.2000891499999999</v>
      </c>
      <c r="H32" s="90"/>
      <c r="I32" s="90"/>
      <c r="J32" s="90"/>
    </row>
    <row r="33" spans="1:10" s="277" customFormat="1" ht="24.75" customHeight="1" thickBot="1">
      <c r="A33" s="137" t="s">
        <v>1567</v>
      </c>
      <c r="B33" s="443">
        <v>8415.3490038300024</v>
      </c>
      <c r="C33" s="377">
        <v>1</v>
      </c>
      <c r="D33" s="443">
        <v>11858.501594260004</v>
      </c>
      <c r="E33" s="377">
        <v>1</v>
      </c>
      <c r="F33" s="443">
        <v>20273.850598079996</v>
      </c>
      <c r="H33" s="492"/>
      <c r="I33" s="492"/>
      <c r="J33" s="492"/>
    </row>
    <row r="34" spans="1:10" ht="20" customHeight="1">
      <c r="A34" s="140" t="s">
        <v>1837</v>
      </c>
      <c r="B34" s="174"/>
      <c r="C34" s="321"/>
      <c r="D34" s="174"/>
      <c r="E34" s="321"/>
      <c r="F34" s="174"/>
    </row>
    <row r="35" spans="1:10" ht="12.75" customHeight="1">
      <c r="A35" s="141"/>
      <c r="B35" s="175"/>
      <c r="C35" s="353"/>
      <c r="D35" s="175"/>
      <c r="E35" s="353"/>
      <c r="F35" s="175"/>
    </row>
    <row r="36" spans="1:10" ht="16.5" customHeight="1">
      <c r="A36" s="141" t="s">
        <v>2518</v>
      </c>
      <c r="B36" s="175"/>
      <c r="C36" s="353"/>
      <c r="D36" s="175"/>
      <c r="E36" s="353"/>
      <c r="F36" s="175"/>
    </row>
    <row r="37" spans="1:10" ht="14.25" customHeight="1">
      <c r="A37" s="141"/>
      <c r="B37" s="175"/>
      <c r="C37" s="353"/>
      <c r="D37" s="175"/>
      <c r="E37" s="353"/>
      <c r="F37" s="175"/>
    </row>
    <row r="38" spans="1:10" ht="13.5" customHeight="1">
      <c r="A38" s="141" t="s">
        <v>2162</v>
      </c>
      <c r="B38" s="175"/>
      <c r="C38" s="353"/>
      <c r="D38" s="175"/>
      <c r="E38" s="353"/>
      <c r="F38" s="175"/>
    </row>
    <row r="39" spans="1:10" ht="12" customHeight="1">
      <c r="A39" s="141"/>
      <c r="B39" s="175"/>
      <c r="C39" s="353"/>
      <c r="D39" s="175"/>
      <c r="E39" s="353"/>
      <c r="F39" s="175"/>
    </row>
    <row r="40" spans="1:10" ht="14.25" customHeight="1">
      <c r="A40" s="141"/>
      <c r="B40" s="175"/>
      <c r="C40" s="353"/>
      <c r="D40" s="175"/>
      <c r="E40" s="353"/>
      <c r="F40" s="175"/>
    </row>
    <row r="41" spans="1:10" ht="15.75" customHeight="1">
      <c r="A41" s="141" t="s">
        <v>710</v>
      </c>
      <c r="B41" s="175"/>
      <c r="C41" s="353"/>
      <c r="D41" s="175"/>
      <c r="E41" s="353"/>
      <c r="F41" s="175"/>
    </row>
    <row r="42" spans="1:10" ht="18" customHeight="1">
      <c r="A42"/>
    </row>
    <row r="43" spans="1:10" ht="30" customHeight="1"/>
    <row r="44" spans="1:10" ht="30" customHeight="1">
      <c r="H44" s="493"/>
    </row>
    <row r="45" spans="1:10" ht="30" customHeight="1"/>
    <row r="46" spans="1:10" ht="30" customHeight="1"/>
    <row r="47" spans="1:10" ht="30" customHeight="1"/>
    <row r="48" spans="1:10" ht="30" customHeight="1"/>
    <row r="49" ht="30" customHeight="1"/>
    <row r="50" ht="30" customHeight="1"/>
  </sheetData>
  <phoneticPr fontId="0" type="noConversion"/>
  <pageMargins left="0.65" right="0.54" top="0.67" bottom="0.49" header="0.44" footer="0.4921259845"/>
  <pageSetup paperSize="9" scale="80" orientation="portrait"/>
  <headerFooter alignWithMargins="0"/>
  <rowBreaks count="1" manualBreakCount="1">
    <brk id="41"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73611-A28A-0045-9D9E-31853F5E3301}">
  <sheetPr>
    <pageSetUpPr fitToPage="1"/>
  </sheetPr>
  <dimension ref="A1:H45"/>
  <sheetViews>
    <sheetView topLeftCell="A27" zoomScale="75" workbookViewId="0">
      <selection activeCell="A41" sqref="A41"/>
    </sheetView>
  </sheetViews>
  <sheetFormatPr baseColWidth="10" defaultColWidth="11.3984375" defaultRowHeight="13"/>
  <cols>
    <col min="1" max="1" width="19.3984375" style="2" customWidth="1"/>
    <col min="2" max="5" width="19.3984375" style="176" customWidth="1"/>
    <col min="6" max="6" width="12.59765625" style="168" customWidth="1"/>
    <col min="7" max="7" width="11.3984375" style="2"/>
    <col min="8" max="8" width="15.19921875" style="2" hidden="1" customWidth="1"/>
    <col min="9" max="16384" width="11.3984375" style="2"/>
  </cols>
  <sheetData>
    <row r="1" spans="1:8" s="1" customFormat="1" ht="14" customHeight="1">
      <c r="B1" s="169"/>
      <c r="C1" s="169"/>
      <c r="D1" s="169"/>
      <c r="E1" s="169"/>
      <c r="F1" s="145"/>
    </row>
    <row r="2" spans="1:8" s="1" customFormat="1" ht="31.5" customHeight="1">
      <c r="A2" s="177" t="s">
        <v>2165</v>
      </c>
      <c r="B2" s="478"/>
      <c r="C2" s="478"/>
      <c r="D2" s="478"/>
      <c r="E2" s="146">
        <v>2009</v>
      </c>
    </row>
    <row r="3" spans="1:8" ht="27" customHeight="1">
      <c r="A3" s="119" t="s">
        <v>1797</v>
      </c>
      <c r="B3" s="120" t="s">
        <v>1798</v>
      </c>
      <c r="C3" s="121" t="s">
        <v>1799</v>
      </c>
      <c r="D3" s="120" t="s">
        <v>1800</v>
      </c>
      <c r="E3" s="121" t="s">
        <v>1567</v>
      </c>
      <c r="F3"/>
    </row>
    <row r="4" spans="1:8" ht="18" customHeight="1">
      <c r="A4" s="122"/>
      <c r="B4" s="123"/>
      <c r="C4" s="124" t="s">
        <v>1800</v>
      </c>
      <c r="D4" s="125"/>
      <c r="E4" s="124"/>
      <c r="F4"/>
    </row>
    <row r="5" spans="1:8" ht="21" customHeight="1">
      <c r="A5" s="122"/>
      <c r="B5" s="123" t="s">
        <v>1803</v>
      </c>
      <c r="C5" s="124" t="s">
        <v>1804</v>
      </c>
      <c r="D5" s="123" t="s">
        <v>1805</v>
      </c>
      <c r="E5" s="124"/>
      <c r="F5"/>
    </row>
    <row r="6" spans="1:8" ht="24" customHeight="1">
      <c r="A6" s="126"/>
      <c r="B6" s="154"/>
      <c r="C6" s="153"/>
      <c r="D6" s="154"/>
      <c r="E6" s="153"/>
      <c r="F6"/>
    </row>
    <row r="7" spans="1:8" ht="30" customHeight="1" thickBot="1">
      <c r="A7" s="131" t="s">
        <v>1807</v>
      </c>
      <c r="B7" s="170">
        <v>23853760.239999998</v>
      </c>
      <c r="C7" s="171">
        <v>35661075.119999997</v>
      </c>
      <c r="D7" s="170">
        <v>544442817.87</v>
      </c>
      <c r="E7" s="171">
        <v>603957653.23000002</v>
      </c>
      <c r="F7"/>
      <c r="H7" s="7">
        <v>2156035045</v>
      </c>
    </row>
    <row r="8" spans="1:8" ht="20" customHeight="1" thickBot="1">
      <c r="A8" s="135" t="s">
        <v>1808</v>
      </c>
      <c r="B8" s="188">
        <v>15101051.609999999</v>
      </c>
      <c r="C8" s="187">
        <v>26451625.289999999</v>
      </c>
      <c r="D8" s="188">
        <v>394599810.93000001</v>
      </c>
      <c r="E8" s="187">
        <v>436152487.82999998</v>
      </c>
      <c r="F8"/>
      <c r="H8" s="7">
        <v>1563935884</v>
      </c>
    </row>
    <row r="9" spans="1:8" ht="20" customHeight="1" thickBot="1">
      <c r="A9" s="135" t="s">
        <v>1809</v>
      </c>
      <c r="B9" s="188">
        <v>5961940.8600000003</v>
      </c>
      <c r="C9" s="187">
        <v>10219797.23</v>
      </c>
      <c r="D9" s="188">
        <v>123331936.77</v>
      </c>
      <c r="E9" s="187">
        <v>139513674.85999998</v>
      </c>
      <c r="F9"/>
      <c r="H9" s="7">
        <v>464604355</v>
      </c>
    </row>
    <row r="10" spans="1:8" ht="20" customHeight="1" thickBot="1">
      <c r="A10" s="135" t="s">
        <v>1810</v>
      </c>
      <c r="B10" s="188">
        <v>600246.81000000006</v>
      </c>
      <c r="C10" s="187">
        <v>978670.32</v>
      </c>
      <c r="D10" s="188">
        <v>12031268.6</v>
      </c>
      <c r="E10" s="187">
        <v>13610185.73</v>
      </c>
      <c r="F10"/>
      <c r="H10" s="7">
        <v>45901795</v>
      </c>
    </row>
    <row r="11" spans="1:8" ht="20" customHeight="1" thickBot="1">
      <c r="A11" s="135" t="s">
        <v>1811</v>
      </c>
      <c r="B11" s="188">
        <v>2749208.04</v>
      </c>
      <c r="C11" s="187">
        <v>4442082.49</v>
      </c>
      <c r="D11" s="188">
        <v>53507105.159999996</v>
      </c>
      <c r="E11" s="187">
        <v>60698395.689999998</v>
      </c>
      <c r="F11"/>
      <c r="H11" s="7">
        <v>171549320</v>
      </c>
    </row>
    <row r="12" spans="1:8" ht="20" customHeight="1" thickBot="1">
      <c r="A12" s="135" t="s">
        <v>1812</v>
      </c>
      <c r="B12" s="188">
        <v>554363.06999999995</v>
      </c>
      <c r="C12" s="187">
        <v>983274.24</v>
      </c>
      <c r="D12" s="188">
        <v>11762038.17</v>
      </c>
      <c r="E12" s="187">
        <v>13299675.48</v>
      </c>
      <c r="F12"/>
      <c r="H12" s="7">
        <v>41764939</v>
      </c>
    </row>
    <row r="13" spans="1:8" ht="20" customHeight="1" thickBot="1">
      <c r="A13" s="135" t="s">
        <v>1813</v>
      </c>
      <c r="B13" s="188">
        <v>581477.23</v>
      </c>
      <c r="C13" s="187">
        <v>990958.42</v>
      </c>
      <c r="D13" s="188">
        <v>13746078.279999999</v>
      </c>
      <c r="E13" s="187">
        <v>15318513.93</v>
      </c>
      <c r="F13"/>
      <c r="H13" s="7">
        <v>44323506</v>
      </c>
    </row>
    <row r="14" spans="1:8" ht="20" customHeight="1" thickBot="1">
      <c r="A14" s="135" t="s">
        <v>1814</v>
      </c>
      <c r="B14" s="188">
        <v>659019.02</v>
      </c>
      <c r="C14" s="187">
        <v>1214434.94</v>
      </c>
      <c r="D14" s="188">
        <v>13937101.289999999</v>
      </c>
      <c r="E14" s="187">
        <v>15810555.25</v>
      </c>
      <c r="F14"/>
      <c r="H14" s="7">
        <v>55927154</v>
      </c>
    </row>
    <row r="15" spans="1:8" ht="20" customHeight="1" thickBot="1">
      <c r="A15" s="135" t="s">
        <v>1815</v>
      </c>
      <c r="B15" s="188">
        <v>1750421.26</v>
      </c>
      <c r="C15" s="187">
        <v>2766925.05</v>
      </c>
      <c r="D15" s="188">
        <v>39778450.030000001</v>
      </c>
      <c r="E15" s="187">
        <v>44295796.340000004</v>
      </c>
      <c r="F15"/>
      <c r="H15" s="7">
        <v>128772453</v>
      </c>
    </row>
    <row r="16" spans="1:8" ht="20" customHeight="1" thickBot="1">
      <c r="A16" s="135" t="s">
        <v>1816</v>
      </c>
      <c r="B16" s="188">
        <v>5501697.8799999999</v>
      </c>
      <c r="C16" s="187">
        <v>8138385.5999999996</v>
      </c>
      <c r="D16" s="188">
        <v>101204149.45</v>
      </c>
      <c r="E16" s="187">
        <v>114844232.93000001</v>
      </c>
      <c r="F16"/>
      <c r="H16" s="7">
        <v>391250033</v>
      </c>
    </row>
    <row r="17" spans="1:8" ht="20" customHeight="1" thickBot="1">
      <c r="A17" s="135" t="s">
        <v>1817</v>
      </c>
      <c r="B17" s="188">
        <v>4293513.4400000004</v>
      </c>
      <c r="C17" s="187">
        <v>7246520.2999999998</v>
      </c>
      <c r="D17" s="188">
        <v>99014881.269999996</v>
      </c>
      <c r="E17" s="187">
        <v>110554915.00999999</v>
      </c>
      <c r="F17"/>
      <c r="H17" s="7">
        <v>393696828</v>
      </c>
    </row>
    <row r="18" spans="1:8" ht="20" customHeight="1" thickBot="1">
      <c r="A18" s="135" t="s">
        <v>1818</v>
      </c>
      <c r="B18" s="188">
        <v>2878129.7</v>
      </c>
      <c r="C18" s="187">
        <v>4413334.25</v>
      </c>
      <c r="D18" s="188">
        <v>78726964.400000006</v>
      </c>
      <c r="E18" s="187">
        <v>86018428.350000009</v>
      </c>
      <c r="F18"/>
      <c r="H18" s="7">
        <v>473520714</v>
      </c>
    </row>
    <row r="19" spans="1:8" ht="20" customHeight="1" thickBot="1">
      <c r="A19" s="135" t="s">
        <v>1819</v>
      </c>
      <c r="B19" s="188">
        <v>5503671.2699999996</v>
      </c>
      <c r="C19" s="187">
        <v>8201319.04</v>
      </c>
      <c r="D19" s="188">
        <v>121143808.06999999</v>
      </c>
      <c r="E19" s="187">
        <v>134848798.38</v>
      </c>
      <c r="F19"/>
      <c r="H19" s="7">
        <v>469771093</v>
      </c>
    </row>
    <row r="20" spans="1:8" ht="20" customHeight="1" thickBot="1">
      <c r="A20" s="135" t="s">
        <v>1820</v>
      </c>
      <c r="B20" s="188">
        <v>1079802.45</v>
      </c>
      <c r="C20" s="187">
        <v>2131936.3199999998</v>
      </c>
      <c r="D20" s="188">
        <v>29689216.890000001</v>
      </c>
      <c r="E20" s="187">
        <v>32900955.66</v>
      </c>
      <c r="F20"/>
      <c r="H20" s="7">
        <v>127694959</v>
      </c>
    </row>
    <row r="21" spans="1:8" ht="20" customHeight="1" thickBot="1">
      <c r="A21" s="135" t="s">
        <v>1821</v>
      </c>
      <c r="B21" s="188">
        <v>819281.66</v>
      </c>
      <c r="C21" s="187">
        <v>1363984.52</v>
      </c>
      <c r="D21" s="188">
        <v>18097042.93</v>
      </c>
      <c r="E21" s="187">
        <v>20280309.109999999</v>
      </c>
      <c r="F21"/>
      <c r="H21" s="7">
        <v>69489100</v>
      </c>
    </row>
    <row r="22" spans="1:8" ht="20" customHeight="1" thickBot="1">
      <c r="A22" s="135" t="s">
        <v>1822</v>
      </c>
      <c r="B22" s="188">
        <v>225172.55</v>
      </c>
      <c r="C22" s="187">
        <v>464291.63</v>
      </c>
      <c r="D22" s="188">
        <v>4673793.1900000004</v>
      </c>
      <c r="E22" s="187">
        <v>5363257.37</v>
      </c>
      <c r="F22"/>
      <c r="H22" s="7">
        <v>16712649</v>
      </c>
    </row>
    <row r="23" spans="1:8" ht="20" customHeight="1" thickBot="1">
      <c r="A23" s="135" t="s">
        <v>1823</v>
      </c>
      <c r="B23" s="188">
        <v>8275457.0300000003</v>
      </c>
      <c r="C23" s="187">
        <v>15005462.890000001</v>
      </c>
      <c r="D23" s="188">
        <v>167269048.02000001</v>
      </c>
      <c r="E23" s="187">
        <v>190549967.94</v>
      </c>
      <c r="F23"/>
      <c r="H23" s="7">
        <v>615853738</v>
      </c>
    </row>
    <row r="24" spans="1:8" ht="20" customHeight="1" thickBot="1">
      <c r="A24" s="135" t="s">
        <v>1824</v>
      </c>
      <c r="B24" s="188">
        <v>2989115.08</v>
      </c>
      <c r="C24" s="187">
        <v>5449674.0199999996</v>
      </c>
      <c r="D24" s="188">
        <v>68552958.719999999</v>
      </c>
      <c r="E24" s="187">
        <v>76991747.819999993</v>
      </c>
      <c r="F24"/>
      <c r="H24" s="7">
        <v>264690646</v>
      </c>
    </row>
    <row r="25" spans="1:8" ht="20" customHeight="1" thickBot="1">
      <c r="A25" s="135" t="s">
        <v>1825</v>
      </c>
      <c r="B25" s="188">
        <v>10248178.109999999</v>
      </c>
      <c r="C25" s="187">
        <v>17026684.02</v>
      </c>
      <c r="D25" s="188">
        <v>219782881.31999999</v>
      </c>
      <c r="E25" s="187">
        <v>247057743.44999999</v>
      </c>
      <c r="F25"/>
      <c r="H25" s="7">
        <v>819222625</v>
      </c>
    </row>
    <row r="26" spans="1:8" ht="20" customHeight="1" thickBot="1">
      <c r="A26" s="135" t="s">
        <v>1826</v>
      </c>
      <c r="B26" s="188">
        <v>4299242.96</v>
      </c>
      <c r="C26" s="187">
        <v>7211122.6100000003</v>
      </c>
      <c r="D26" s="188">
        <v>86233258.659999996</v>
      </c>
      <c r="E26" s="187">
        <v>97743624.229999989</v>
      </c>
      <c r="F26"/>
      <c r="H26" s="7">
        <v>344655658</v>
      </c>
    </row>
    <row r="27" spans="1:8" ht="20" customHeight="1" thickBot="1">
      <c r="A27" s="135" t="s">
        <v>1827</v>
      </c>
      <c r="B27" s="188">
        <v>6231370.4400000004</v>
      </c>
      <c r="C27" s="187">
        <v>8504661.9199999999</v>
      </c>
      <c r="D27" s="188">
        <v>144399061.66</v>
      </c>
      <c r="E27" s="187">
        <v>159135094.01999998</v>
      </c>
      <c r="F27"/>
      <c r="H27" s="7">
        <v>627641817</v>
      </c>
    </row>
    <row r="28" spans="1:8" ht="20" customHeight="1" thickBot="1">
      <c r="A28" s="135" t="s">
        <v>1828</v>
      </c>
      <c r="B28" s="188">
        <v>18411252.309999999</v>
      </c>
      <c r="C28" s="187">
        <v>20588241.27</v>
      </c>
      <c r="D28" s="188">
        <v>285456038.95999998</v>
      </c>
      <c r="E28" s="187">
        <v>324455532.53999996</v>
      </c>
      <c r="F28"/>
      <c r="H28" s="7">
        <v>1280335377</v>
      </c>
    </row>
    <row r="29" spans="1:8" ht="20" customHeight="1" thickBot="1">
      <c r="A29" s="135" t="s">
        <v>1829</v>
      </c>
      <c r="B29" s="188">
        <v>5291251.1100000003</v>
      </c>
      <c r="C29" s="187">
        <v>8208663.3300000001</v>
      </c>
      <c r="D29" s="188">
        <v>110117559.91</v>
      </c>
      <c r="E29" s="187">
        <v>123617474.34999999</v>
      </c>
      <c r="F29"/>
      <c r="H29" s="7">
        <v>410743307</v>
      </c>
    </row>
    <row r="30" spans="1:8" ht="20" customHeight="1" thickBot="1">
      <c r="A30" s="135" t="s">
        <v>1830</v>
      </c>
      <c r="B30" s="188">
        <v>3566717.71</v>
      </c>
      <c r="C30" s="187">
        <v>4611293.3499999996</v>
      </c>
      <c r="D30" s="188">
        <v>64738101.57</v>
      </c>
      <c r="E30" s="187">
        <v>72916112.629999995</v>
      </c>
      <c r="F30"/>
      <c r="H30" s="7">
        <v>318756043</v>
      </c>
    </row>
    <row r="31" spans="1:8" ht="20" customHeight="1" thickBot="1">
      <c r="A31" s="135" t="s">
        <v>1831</v>
      </c>
      <c r="B31" s="188">
        <v>11224801.529999999</v>
      </c>
      <c r="C31" s="187">
        <v>13364487.6</v>
      </c>
      <c r="D31" s="188">
        <v>185872323.63999999</v>
      </c>
      <c r="E31" s="187">
        <v>210461612.76999998</v>
      </c>
      <c r="F31"/>
      <c r="H31" s="7">
        <v>966736347</v>
      </c>
    </row>
    <row r="32" spans="1:8" ht="20" customHeight="1" thickBot="1">
      <c r="A32" s="136" t="s">
        <v>1832</v>
      </c>
      <c r="B32" s="188">
        <v>1534101.51</v>
      </c>
      <c r="C32" s="187">
        <v>2058931.1</v>
      </c>
      <c r="D32" s="188">
        <v>26969277.739999998</v>
      </c>
      <c r="E32" s="187">
        <v>30562310.349999998</v>
      </c>
      <c r="F32"/>
      <c r="H32" s="7">
        <v>146808815</v>
      </c>
    </row>
    <row r="33" spans="1:8" ht="20" customHeight="1" thickBot="1">
      <c r="A33" s="318" t="s">
        <v>2156</v>
      </c>
      <c r="B33" s="188">
        <v>53585.42</v>
      </c>
      <c r="C33" s="187">
        <v>204317.49</v>
      </c>
      <c r="D33" s="188">
        <v>824099.72</v>
      </c>
      <c r="E33" s="187">
        <v>1082002.6299999999</v>
      </c>
      <c r="F33"/>
      <c r="H33" s="7">
        <v>966736347</v>
      </c>
    </row>
    <row r="34" spans="1:8" ht="20" customHeight="1" thickBot="1">
      <c r="A34" s="136" t="s">
        <v>657</v>
      </c>
      <c r="B34" s="188">
        <v>45611.69</v>
      </c>
      <c r="C34" s="187">
        <v>45611.69</v>
      </c>
      <c r="D34" s="188">
        <v>367745.03</v>
      </c>
      <c r="E34" s="187">
        <v>458968.41</v>
      </c>
      <c r="F34"/>
      <c r="H34" s="7">
        <v>146808815</v>
      </c>
    </row>
    <row r="35" spans="1:8" ht="30" customHeight="1" thickBot="1">
      <c r="A35" s="137" t="s">
        <v>1222</v>
      </c>
      <c r="B35" s="298">
        <v>144255263.81999999</v>
      </c>
      <c r="C35" s="395">
        <v>217947766.03</v>
      </c>
      <c r="D35" s="298">
        <v>3020268818.1599998</v>
      </c>
      <c r="E35" s="395">
        <v>3382471848.0099998</v>
      </c>
      <c r="F35" s="579"/>
      <c r="H35" s="7">
        <v>12410394200</v>
      </c>
    </row>
    <row r="36" spans="1:8" ht="20" customHeight="1">
      <c r="A36" s="140" t="s">
        <v>1837</v>
      </c>
      <c r="B36" s="174"/>
      <c r="C36" s="174"/>
      <c r="D36" s="174"/>
      <c r="E36" s="174"/>
      <c r="F36" s="167"/>
    </row>
    <row r="37" spans="1:8" ht="14.25" customHeight="1">
      <c r="A37" s="141"/>
      <c r="B37" s="175"/>
      <c r="C37" s="175"/>
      <c r="D37" s="175"/>
      <c r="E37" s="175"/>
      <c r="F37" s="167"/>
    </row>
    <row r="38" spans="1:8" ht="15.75" customHeight="1">
      <c r="A38" s="141" t="s">
        <v>2163</v>
      </c>
      <c r="B38" s="175"/>
      <c r="C38" s="175"/>
      <c r="D38" s="175"/>
      <c r="E38" s="175"/>
      <c r="F38" s="167"/>
    </row>
    <row r="39" spans="1:8" ht="13.5" customHeight="1">
      <c r="A39" s="141"/>
      <c r="B39" s="175"/>
      <c r="C39" s="175"/>
      <c r="D39" s="175"/>
      <c r="E39" s="175"/>
      <c r="F39" s="167"/>
    </row>
    <row r="40" spans="1:8" ht="15" customHeight="1">
      <c r="A40" s="418" t="s">
        <v>2164</v>
      </c>
      <c r="B40" s="580"/>
      <c r="C40" s="175"/>
      <c r="D40" s="175"/>
      <c r="E40" s="175"/>
      <c r="F40" s="167"/>
    </row>
    <row r="41" spans="1:8" ht="15" customHeight="1">
      <c r="A41" s="141" t="s">
        <v>2154</v>
      </c>
      <c r="B41" s="580"/>
      <c r="C41" s="175"/>
      <c r="D41" s="175"/>
      <c r="E41" s="175"/>
      <c r="F41" s="167"/>
    </row>
    <row r="42" spans="1:8" ht="12" customHeight="1"/>
    <row r="43" spans="1:8" ht="12" customHeight="1"/>
    <row r="44" spans="1:8" ht="12" customHeight="1">
      <c r="A44" s="141" t="s">
        <v>710</v>
      </c>
    </row>
    <row r="45" spans="1:8" ht="12" customHeight="1"/>
  </sheetData>
  <phoneticPr fontId="0" type="noConversion"/>
  <pageMargins left="0.62" right="0.56000000000000005" top="0.78" bottom="0.49" header="0.4" footer="0.4921259845"/>
  <pageSetup paperSize="9" scale="83" orientation="portrait" horizontalDpi="4294967292" verticalDpi="4294967292"/>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8115A-42DA-9744-95AA-CEAC089A9FE2}">
  <sheetPr>
    <pageSetUpPr fitToPage="1"/>
  </sheetPr>
  <dimension ref="A1:J50"/>
  <sheetViews>
    <sheetView topLeftCell="A8" zoomScale="75" workbookViewId="0">
      <selection activeCell="A11" sqref="A11:F11"/>
    </sheetView>
  </sheetViews>
  <sheetFormatPr baseColWidth="10" defaultColWidth="11.3984375" defaultRowHeight="13"/>
  <cols>
    <col min="1" max="1" width="21.19921875" style="2" customWidth="1"/>
    <col min="2" max="2" width="14.796875" style="176" customWidth="1"/>
    <col min="3" max="3" width="14.796875" style="87" customWidth="1"/>
    <col min="4" max="4" width="16" style="176" customWidth="1"/>
    <col min="5" max="5" width="15.796875" style="87" customWidth="1"/>
    <col min="6" max="6" width="16" style="176" customWidth="1"/>
    <col min="7" max="7" width="13.59765625" style="2" customWidth="1"/>
    <col min="8" max="8" width="8" style="2" customWidth="1"/>
    <col min="9" max="9" width="7.796875" style="2" customWidth="1"/>
    <col min="10" max="10" width="9" style="2" customWidth="1"/>
    <col min="11" max="16384" width="11.3984375" style="2"/>
  </cols>
  <sheetData>
    <row r="1" spans="1:10" s="1" customFormat="1" ht="18.75" customHeight="1">
      <c r="A1" s="489"/>
      <c r="B1" s="490"/>
      <c r="C1" s="289"/>
      <c r="D1" s="169"/>
      <c r="E1" s="289"/>
      <c r="F1" s="169"/>
    </row>
    <row r="2" spans="1:10" s="1" customFormat="1" ht="31.5" customHeight="1">
      <c r="A2" s="1072" t="s">
        <v>2521</v>
      </c>
      <c r="B2" s="478"/>
      <c r="C2" s="478"/>
      <c r="D2" s="478"/>
      <c r="E2" s="478"/>
      <c r="F2" s="491">
        <v>2009</v>
      </c>
    </row>
    <row r="3" spans="1:10" ht="27" customHeight="1">
      <c r="A3" s="119" t="s">
        <v>661</v>
      </c>
      <c r="B3" s="147" t="s">
        <v>2304</v>
      </c>
      <c r="C3" s="306" t="s">
        <v>2030</v>
      </c>
      <c r="D3" s="147" t="s">
        <v>2305</v>
      </c>
      <c r="E3" s="306" t="s">
        <v>2030</v>
      </c>
      <c r="F3" s="147" t="s">
        <v>1567</v>
      </c>
    </row>
    <row r="4" spans="1:10" ht="15" customHeight="1">
      <c r="A4" s="122"/>
      <c r="B4" s="149"/>
      <c r="C4" s="122" t="s">
        <v>662</v>
      </c>
      <c r="D4" s="149"/>
      <c r="E4" s="122" t="s">
        <v>662</v>
      </c>
      <c r="F4" s="149"/>
    </row>
    <row r="5" spans="1:10" ht="15" customHeight="1">
      <c r="A5" s="122"/>
      <c r="B5" s="149"/>
      <c r="C5" s="122" t="s">
        <v>2304</v>
      </c>
      <c r="D5" s="149"/>
      <c r="E5" s="122" t="s">
        <v>2305</v>
      </c>
      <c r="F5" s="149"/>
    </row>
    <row r="6" spans="1:10" ht="19.5" customHeight="1">
      <c r="A6" s="126"/>
      <c r="B6" s="154"/>
      <c r="C6" s="126"/>
      <c r="D6" s="154"/>
      <c r="E6" s="126"/>
      <c r="F6" s="154"/>
    </row>
    <row r="7" spans="1:10" ht="30" customHeight="1" thickBot="1">
      <c r="A7" s="131" t="s">
        <v>664</v>
      </c>
      <c r="B7" s="439">
        <v>24.540107049999996</v>
      </c>
      <c r="C7" s="375">
        <v>1.6765712804760927E-2</v>
      </c>
      <c r="D7" s="439">
        <v>20.675026530000004</v>
      </c>
      <c r="E7" s="375">
        <v>1.0775180055733339E-2</v>
      </c>
      <c r="F7" s="439">
        <v>45.21513354999999</v>
      </c>
      <c r="H7" s="90"/>
      <c r="I7" s="90"/>
      <c r="J7" s="90"/>
    </row>
    <row r="8" spans="1:10" ht="20" customHeight="1" thickBot="1">
      <c r="A8" s="135" t="s">
        <v>665</v>
      </c>
      <c r="B8" s="439">
        <v>17.090829569999993</v>
      </c>
      <c r="C8" s="375">
        <v>1.1676393244003214E-2</v>
      </c>
      <c r="D8" s="439">
        <v>13.545899170000004</v>
      </c>
      <c r="E8" s="375">
        <v>7.0597008599610636E-3</v>
      </c>
      <c r="F8" s="439">
        <v>30.63672879000001</v>
      </c>
      <c r="H8" s="90"/>
      <c r="I8" s="90"/>
      <c r="J8" s="90"/>
    </row>
    <row r="9" spans="1:10" ht="20" customHeight="1" thickBot="1">
      <c r="A9" s="135" t="s">
        <v>666</v>
      </c>
      <c r="B9" s="439">
        <v>19.853690100000001</v>
      </c>
      <c r="C9" s="375">
        <v>1.3563969613218348E-2</v>
      </c>
      <c r="D9" s="439">
        <v>18.07433193</v>
      </c>
      <c r="E9" s="375">
        <v>9.4197790097268735E-3</v>
      </c>
      <c r="F9" s="439">
        <v>37.928022019999993</v>
      </c>
      <c r="H9" s="90"/>
      <c r="I9" s="90"/>
      <c r="J9" s="90"/>
    </row>
    <row r="10" spans="1:10" ht="20" customHeight="1" thickBot="1">
      <c r="A10" s="135" t="s">
        <v>667</v>
      </c>
      <c r="B10" s="439">
        <v>13.75159004</v>
      </c>
      <c r="C10" s="375">
        <v>9.395036816656873E-3</v>
      </c>
      <c r="D10" s="439">
        <v>16.723789460000006</v>
      </c>
      <c r="E10" s="375">
        <v>8.7159183270791897E-3</v>
      </c>
      <c r="F10" s="439">
        <v>30.475379480000008</v>
      </c>
      <c r="H10" s="90"/>
      <c r="I10" s="90"/>
      <c r="J10" s="90"/>
    </row>
    <row r="11" spans="1:10" ht="20" customHeight="1" thickBot="1">
      <c r="A11" s="408" t="s">
        <v>668</v>
      </c>
      <c r="B11" s="1073">
        <v>75.23621673000001</v>
      </c>
      <c r="C11" s="1069">
        <v>5.140111245814348E-2</v>
      </c>
      <c r="D11" s="1073">
        <v>69.019047099999995</v>
      </c>
      <c r="E11" s="1069">
        <v>3.5970578257712139E-2</v>
      </c>
      <c r="F11" s="1073">
        <v>144.25526382999993</v>
      </c>
      <c r="H11" s="90"/>
      <c r="I11" s="90"/>
      <c r="J11" s="90"/>
    </row>
    <row r="12" spans="1:10" ht="20" customHeight="1" thickBot="1">
      <c r="A12" s="135" t="s">
        <v>669</v>
      </c>
      <c r="B12" s="439">
        <v>25.759327470000006</v>
      </c>
      <c r="C12" s="375">
        <v>1.7598679807136745E-2</v>
      </c>
      <c r="D12" s="439">
        <v>34.283670189999995</v>
      </c>
      <c r="E12" s="375">
        <v>1.7867581390166538E-2</v>
      </c>
      <c r="F12" s="439">
        <v>60.042997650000025</v>
      </c>
      <c r="H12" s="90"/>
      <c r="I12" s="90"/>
      <c r="J12" s="90"/>
    </row>
    <row r="13" spans="1:10" ht="20" customHeight="1" thickBot="1">
      <c r="A13" s="135" t="s">
        <v>670</v>
      </c>
      <c r="B13" s="439">
        <v>63.053900440000007</v>
      </c>
      <c r="C13" s="375">
        <v>4.3078197818905969E-2</v>
      </c>
      <c r="D13" s="439">
        <v>94.852259030000027</v>
      </c>
      <c r="E13" s="375">
        <v>4.9434043930163152E-2</v>
      </c>
      <c r="F13" s="439">
        <v>157.90615946</v>
      </c>
      <c r="H13" s="90"/>
      <c r="I13" s="90"/>
      <c r="J13" s="90"/>
    </row>
    <row r="14" spans="1:10" ht="20" customHeight="1" thickBot="1">
      <c r="A14" s="408" t="s">
        <v>671</v>
      </c>
      <c r="B14" s="1073">
        <v>88.813227930000025</v>
      </c>
      <c r="C14" s="1069">
        <v>6.0676877639706646E-2</v>
      </c>
      <c r="D14" s="1073">
        <v>129.13592921</v>
      </c>
      <c r="E14" s="1069">
        <v>6.7301625315117991E-2</v>
      </c>
      <c r="F14" s="1073">
        <v>217.94915711999994</v>
      </c>
      <c r="H14" s="90"/>
      <c r="I14" s="90"/>
      <c r="J14" s="90"/>
    </row>
    <row r="15" spans="1:10" ht="20" customHeight="1" thickBot="1">
      <c r="A15" s="135" t="s">
        <v>672</v>
      </c>
      <c r="B15" s="439">
        <v>69.906066849999974</v>
      </c>
      <c r="C15" s="375">
        <v>4.7759573245933259E-2</v>
      </c>
      <c r="D15" s="439">
        <v>115.58050742</v>
      </c>
      <c r="E15" s="375">
        <v>6.0236961562124922E-2</v>
      </c>
      <c r="F15" s="439">
        <v>185.48657427999993</v>
      </c>
      <c r="H15" s="90"/>
      <c r="I15" s="90"/>
      <c r="J15" s="90"/>
    </row>
    <row r="16" spans="1:10" ht="20" customHeight="1" thickBot="1">
      <c r="A16" s="135" t="s">
        <v>673</v>
      </c>
      <c r="B16" s="439">
        <v>80.621009650000005</v>
      </c>
      <c r="C16" s="375">
        <v>5.5079983598594756E-2</v>
      </c>
      <c r="D16" s="439">
        <v>130.60623530000007</v>
      </c>
      <c r="E16" s="375">
        <v>6.8067903067352248E-2</v>
      </c>
      <c r="F16" s="439">
        <v>211.22724492999998</v>
      </c>
      <c r="H16" s="90"/>
      <c r="I16" s="90"/>
      <c r="J16" s="90"/>
    </row>
    <row r="17" spans="1:10" ht="20" customHeight="1" thickBot="1">
      <c r="A17" s="135" t="s">
        <v>674</v>
      </c>
      <c r="B17" s="439">
        <v>99.301491789999986</v>
      </c>
      <c r="C17" s="375">
        <v>6.7842421756488025E-2</v>
      </c>
      <c r="D17" s="439">
        <v>147.37777700000001</v>
      </c>
      <c r="E17" s="375">
        <v>7.6808708375026943E-2</v>
      </c>
      <c r="F17" s="439">
        <v>246.67926880000002</v>
      </c>
      <c r="H17" s="90"/>
      <c r="I17" s="90"/>
      <c r="J17" s="90"/>
    </row>
    <row r="18" spans="1:10" ht="20" customHeight="1" thickBot="1">
      <c r="A18" s="135" t="s">
        <v>675</v>
      </c>
      <c r="B18" s="439">
        <v>121.90960095999999</v>
      </c>
      <c r="C18" s="375">
        <v>8.328820056383443E-2</v>
      </c>
      <c r="D18" s="439">
        <v>163.90971909000004</v>
      </c>
      <c r="E18" s="375">
        <v>8.542464182653807E-2</v>
      </c>
      <c r="F18" s="439">
        <v>285.81932011000009</v>
      </c>
      <c r="H18" s="90"/>
      <c r="I18" s="90"/>
      <c r="J18" s="90"/>
    </row>
    <row r="19" spans="1:10" ht="20" customHeight="1" thickBot="1">
      <c r="A19" s="135" t="s">
        <v>676</v>
      </c>
      <c r="B19" s="439">
        <v>128.17318165999998</v>
      </c>
      <c r="C19" s="375">
        <v>8.7567456352396419E-2</v>
      </c>
      <c r="D19" s="439">
        <v>162.17222946000007</v>
      </c>
      <c r="E19" s="375">
        <v>8.4519116332722938E-2</v>
      </c>
      <c r="F19" s="439">
        <v>290.34541108999997</v>
      </c>
      <c r="H19" s="90"/>
      <c r="I19" s="90"/>
      <c r="J19" s="90"/>
    </row>
    <row r="20" spans="1:10" ht="20" customHeight="1" thickBot="1">
      <c r="A20" s="135" t="s">
        <v>677</v>
      </c>
      <c r="B20" s="439">
        <v>127.94696490000001</v>
      </c>
      <c r="C20" s="375">
        <v>8.7412905876228741E-2</v>
      </c>
      <c r="D20" s="439">
        <v>150.60483793000003</v>
      </c>
      <c r="E20" s="375">
        <v>7.8490552048654988E-2</v>
      </c>
      <c r="F20" s="439">
        <v>278.5518028300001</v>
      </c>
      <c r="H20" s="90"/>
      <c r="I20" s="90"/>
      <c r="J20" s="90"/>
    </row>
    <row r="21" spans="1:10" ht="20" customHeight="1" thickBot="1">
      <c r="A21" s="135" t="s">
        <v>678</v>
      </c>
      <c r="B21" s="439">
        <v>129.17203671999999</v>
      </c>
      <c r="C21" s="375">
        <v>8.8249870534022501E-2</v>
      </c>
      <c r="D21" s="439">
        <v>141.54128671999999</v>
      </c>
      <c r="E21" s="375">
        <v>7.3766911375672012E-2</v>
      </c>
      <c r="F21" s="439">
        <v>270.71332344000001</v>
      </c>
      <c r="H21" s="90"/>
      <c r="I21" s="90"/>
      <c r="J21" s="90"/>
    </row>
    <row r="22" spans="1:10" ht="20" customHeight="1" thickBot="1">
      <c r="A22" s="135" t="s">
        <v>679</v>
      </c>
      <c r="B22" s="439">
        <v>138.76715418999993</v>
      </c>
      <c r="C22" s="375">
        <v>9.4805220252024786E-2</v>
      </c>
      <c r="D22" s="439">
        <v>145.32620227999999</v>
      </c>
      <c r="E22" s="375">
        <v>7.5739491512174836E-2</v>
      </c>
      <c r="F22" s="439">
        <v>284.09335648000007</v>
      </c>
      <c r="H22" s="90"/>
      <c r="I22" s="90"/>
      <c r="J22" s="90"/>
    </row>
    <row r="23" spans="1:10" ht="20" customHeight="1" thickBot="1">
      <c r="A23" s="135" t="s">
        <v>680</v>
      </c>
      <c r="B23" s="439">
        <v>119.18931659000003</v>
      </c>
      <c r="C23" s="375">
        <v>8.1429712073878988E-2</v>
      </c>
      <c r="D23" s="439">
        <v>130.13357573000002</v>
      </c>
      <c r="E23" s="375">
        <v>6.7821567616975623E-2</v>
      </c>
      <c r="F23" s="439">
        <v>249.32289232000002</v>
      </c>
      <c r="H23" s="90"/>
      <c r="I23" s="90"/>
      <c r="J23" s="90"/>
    </row>
    <row r="24" spans="1:10" ht="20" customHeight="1" thickBot="1">
      <c r="A24" s="135" t="s">
        <v>681</v>
      </c>
      <c r="B24" s="439">
        <v>99.033843519999991</v>
      </c>
      <c r="C24" s="375">
        <v>6.7659565421820528E-2</v>
      </c>
      <c r="D24" s="439">
        <v>117.0271482</v>
      </c>
      <c r="E24" s="375">
        <v>6.0990905691669234E-2</v>
      </c>
      <c r="F24" s="439">
        <v>216.06099174000002</v>
      </c>
      <c r="H24" s="90"/>
      <c r="I24" s="90"/>
      <c r="J24" s="90"/>
    </row>
    <row r="25" spans="1:10" ht="20" customHeight="1" thickBot="1">
      <c r="A25" s="135" t="s">
        <v>682</v>
      </c>
      <c r="B25" s="439">
        <v>82.24721700000002</v>
      </c>
      <c r="C25" s="375">
        <v>5.6191002606602369E-2</v>
      </c>
      <c r="D25" s="439">
        <v>112.12020883000001</v>
      </c>
      <c r="E25" s="375">
        <v>5.8433561682577094E-2</v>
      </c>
      <c r="F25" s="439">
        <v>194.36742580000003</v>
      </c>
      <c r="H25" s="90"/>
      <c r="I25" s="90"/>
      <c r="J25" s="90"/>
    </row>
    <row r="26" spans="1:10" ht="20" customHeight="1" thickBot="1">
      <c r="A26" s="135" t="s">
        <v>683</v>
      </c>
      <c r="B26" s="439">
        <v>57.989357960000014</v>
      </c>
      <c r="C26" s="375">
        <v>3.9618120626325359E-2</v>
      </c>
      <c r="D26" s="439">
        <v>97.782242369999992</v>
      </c>
      <c r="E26" s="375">
        <v>5.0961060014180652E-2</v>
      </c>
      <c r="F26" s="439">
        <v>155.77160035999995</v>
      </c>
      <c r="H26" s="90"/>
      <c r="I26" s="90"/>
      <c r="J26" s="90"/>
    </row>
    <row r="27" spans="1:10" ht="20" customHeight="1" thickBot="1">
      <c r="A27" s="135" t="s">
        <v>684</v>
      </c>
      <c r="B27" s="439">
        <v>32.536711890000007</v>
      </c>
      <c r="C27" s="375">
        <v>2.2228964447772868E-2</v>
      </c>
      <c r="D27" s="439">
        <v>68.144098200000002</v>
      </c>
      <c r="E27" s="375">
        <v>3.5514582134883191E-2</v>
      </c>
      <c r="F27" s="439">
        <v>100.68081010999998</v>
      </c>
      <c r="H27" s="90"/>
      <c r="I27" s="90"/>
      <c r="J27" s="90"/>
    </row>
    <row r="28" spans="1:10" ht="20" customHeight="1" thickBot="1">
      <c r="A28" s="135" t="s">
        <v>685</v>
      </c>
      <c r="B28" s="439">
        <v>10.462530940000002</v>
      </c>
      <c r="C28" s="375">
        <v>7.1479634784627176E-3</v>
      </c>
      <c r="D28" s="439">
        <v>28.707460569999991</v>
      </c>
      <c r="E28" s="375">
        <v>1.4961434566275987E-2</v>
      </c>
      <c r="F28" s="439">
        <v>39.169991520000018</v>
      </c>
      <c r="H28" s="90"/>
      <c r="I28" s="90"/>
      <c r="J28" s="90"/>
    </row>
    <row r="29" spans="1:10" ht="20" customHeight="1" thickBot="1">
      <c r="A29" s="135" t="s">
        <v>2081</v>
      </c>
      <c r="B29" s="439">
        <v>2.2250005499999999</v>
      </c>
      <c r="C29" s="375">
        <v>1.5201123668991945E-3</v>
      </c>
      <c r="D29" s="439">
        <v>8.3781262999999999</v>
      </c>
      <c r="E29" s="375">
        <v>4.3664185524106766E-3</v>
      </c>
      <c r="F29" s="439">
        <v>10.603126829999999</v>
      </c>
      <c r="H29" s="90"/>
      <c r="I29" s="90"/>
      <c r="J29" s="90"/>
    </row>
    <row r="30" spans="1:10" ht="20" customHeight="1" thickBot="1">
      <c r="A30" s="135" t="s">
        <v>2082</v>
      </c>
      <c r="B30" s="439">
        <v>0.17575760000000001</v>
      </c>
      <c r="C30" s="375">
        <v>1.2007695968278385E-4</v>
      </c>
      <c r="D30" s="439">
        <v>0.99959485999999997</v>
      </c>
      <c r="E30" s="375">
        <v>5.2095771599890454E-4</v>
      </c>
      <c r="F30" s="439">
        <v>1.1753524499999999</v>
      </c>
      <c r="H30" s="90"/>
      <c r="I30" s="90"/>
      <c r="J30" s="90"/>
    </row>
    <row r="31" spans="1:10" ht="20" customHeight="1" thickBot="1">
      <c r="A31" s="408" t="s">
        <v>2083</v>
      </c>
      <c r="B31" s="1073">
        <v>1299.6572428500003</v>
      </c>
      <c r="C31" s="1069">
        <v>0.88792115021562368</v>
      </c>
      <c r="D31" s="1073">
        <v>1720.4112502</v>
      </c>
      <c r="E31" s="1069">
        <v>0.89662477404396812</v>
      </c>
      <c r="F31" s="1073">
        <v>3020.0684930100006</v>
      </c>
      <c r="H31" s="90"/>
      <c r="I31" s="90"/>
      <c r="J31" s="90"/>
    </row>
    <row r="32" spans="1:10" ht="20" customHeight="1" thickBot="1">
      <c r="A32" s="135" t="s">
        <v>2084</v>
      </c>
      <c r="B32" s="439">
        <v>1.2583499999999999E-3</v>
      </c>
      <c r="C32" s="375">
        <v>8.5970019058539173E-7</v>
      </c>
      <c r="D32" s="439">
        <v>0.19767564999999998</v>
      </c>
      <c r="E32" s="375">
        <v>1.0302239362515214E-4</v>
      </c>
      <c r="F32" s="439">
        <v>0.198934</v>
      </c>
      <c r="H32" s="90"/>
      <c r="I32" s="90"/>
      <c r="J32" s="90"/>
    </row>
    <row r="33" spans="1:10" s="277" customFormat="1" ht="24.75" customHeight="1" thickBot="1">
      <c r="A33" s="137" t="s">
        <v>1567</v>
      </c>
      <c r="B33" s="443">
        <v>1463.7079458399996</v>
      </c>
      <c r="C33" s="377">
        <v>1</v>
      </c>
      <c r="D33" s="443">
        <v>1918.76390214</v>
      </c>
      <c r="E33" s="377">
        <v>1</v>
      </c>
      <c r="F33" s="443">
        <v>3382.4718479799985</v>
      </c>
      <c r="H33" s="492"/>
      <c r="I33" s="492"/>
      <c r="J33" s="492"/>
    </row>
    <row r="34" spans="1:10" ht="20" customHeight="1">
      <c r="A34" s="140" t="s">
        <v>1837</v>
      </c>
      <c r="B34" s="174"/>
      <c r="C34" s="321"/>
      <c r="D34" s="174"/>
      <c r="E34" s="321"/>
      <c r="F34" s="174"/>
    </row>
    <row r="35" spans="1:10" ht="12.75" customHeight="1">
      <c r="A35" s="141"/>
      <c r="B35" s="175"/>
      <c r="C35" s="353"/>
      <c r="D35" s="175"/>
      <c r="E35" s="353"/>
      <c r="F35" s="175"/>
    </row>
    <row r="36" spans="1:10" ht="16.5" customHeight="1">
      <c r="A36" s="141" t="s">
        <v>2520</v>
      </c>
      <c r="B36" s="175"/>
      <c r="C36" s="353"/>
      <c r="D36" s="175"/>
      <c r="E36" s="353"/>
      <c r="F36" s="175"/>
    </row>
    <row r="37" spans="1:10" ht="14.25" customHeight="1">
      <c r="A37" s="141"/>
      <c r="B37" s="175"/>
      <c r="C37" s="353"/>
      <c r="D37" s="175"/>
      <c r="E37" s="353"/>
      <c r="F37" s="175"/>
    </row>
    <row r="38" spans="1:10" ht="13.5" customHeight="1">
      <c r="A38" s="583" t="s">
        <v>1795</v>
      </c>
      <c r="B38" s="175"/>
      <c r="C38" s="353"/>
      <c r="D38" s="175"/>
      <c r="E38" s="353"/>
      <c r="F38" s="175"/>
    </row>
    <row r="39" spans="1:10" ht="12" customHeight="1">
      <c r="A39" s="141"/>
      <c r="B39" s="175"/>
      <c r="C39" s="353"/>
      <c r="D39" s="175"/>
      <c r="E39" s="353"/>
      <c r="F39" s="175"/>
    </row>
    <row r="40" spans="1:10" ht="14.25" customHeight="1">
      <c r="A40" s="141"/>
      <c r="B40" s="175"/>
      <c r="C40" s="353"/>
      <c r="D40" s="175"/>
      <c r="E40" s="353"/>
      <c r="F40" s="175"/>
    </row>
    <row r="41" spans="1:10" ht="15.75" customHeight="1">
      <c r="A41" s="141" t="s">
        <v>710</v>
      </c>
      <c r="B41" s="175"/>
      <c r="C41" s="353"/>
      <c r="D41" s="175"/>
      <c r="E41" s="353"/>
      <c r="F41" s="175"/>
    </row>
    <row r="42" spans="1:10" ht="18" customHeight="1">
      <c r="A42"/>
    </row>
    <row r="43" spans="1:10" ht="30" customHeight="1"/>
    <row r="44" spans="1:10" ht="30" customHeight="1">
      <c r="H44" s="493"/>
    </row>
    <row r="45" spans="1:10" ht="30" customHeight="1"/>
    <row r="46" spans="1:10" ht="30" customHeight="1"/>
    <row r="47" spans="1:10" ht="30" customHeight="1"/>
    <row r="48" spans="1:10" ht="30" customHeight="1"/>
    <row r="49" ht="30" customHeight="1"/>
    <row r="50" ht="30" customHeight="1"/>
  </sheetData>
  <phoneticPr fontId="0" type="noConversion"/>
  <pageMargins left="0.65" right="0.54" top="0.67" bottom="0.49" header="0.44" footer="0.4921259845"/>
  <pageSetup paperSize="9" scale="80" orientation="portrait"/>
  <headerFooter alignWithMargins="0"/>
  <rowBreaks count="1" manualBreakCount="1">
    <brk id="41"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051B5-EA4B-D24F-A76E-AC99D81A68EF}">
  <sheetPr>
    <pageSetUpPr fitToPage="1"/>
  </sheetPr>
  <dimension ref="A1:H44"/>
  <sheetViews>
    <sheetView zoomScale="75" workbookViewId="0">
      <selection activeCell="H8" sqref="H8"/>
    </sheetView>
  </sheetViews>
  <sheetFormatPr baseColWidth="10" defaultColWidth="11.3984375" defaultRowHeight="13"/>
  <cols>
    <col min="1" max="1" width="19.796875" style="2" customWidth="1"/>
    <col min="2" max="6" width="18.3984375" style="2" customWidth="1"/>
    <col min="7" max="7" width="16.796875" style="2" customWidth="1"/>
    <col min="8" max="8" width="12.19921875" style="2" customWidth="1"/>
    <col min="9" max="16384" width="11.3984375" style="2"/>
  </cols>
  <sheetData>
    <row r="1" spans="1:8" s="1" customFormat="1" ht="14" customHeight="1"/>
    <row r="2" spans="1:8" s="1" customFormat="1" ht="27.75" customHeight="1">
      <c r="A2" s="2014" t="s">
        <v>1793</v>
      </c>
      <c r="B2" s="2018"/>
      <c r="C2" s="2018"/>
      <c r="D2" s="2018"/>
      <c r="E2" s="2018"/>
      <c r="F2" s="118">
        <v>2009</v>
      </c>
    </row>
    <row r="3" spans="1:8" ht="27" customHeight="1">
      <c r="A3" s="119" t="s">
        <v>1797</v>
      </c>
      <c r="B3" s="120" t="s">
        <v>1798</v>
      </c>
      <c r="C3" s="121" t="s">
        <v>1799</v>
      </c>
      <c r="D3" s="120" t="s">
        <v>1800</v>
      </c>
      <c r="E3" s="121" t="s">
        <v>1567</v>
      </c>
      <c r="F3" s="120" t="s">
        <v>1801</v>
      </c>
    </row>
    <row r="4" spans="1:8" ht="15" customHeight="1">
      <c r="A4" s="122"/>
      <c r="B4" s="123"/>
      <c r="C4" s="124" t="s">
        <v>1800</v>
      </c>
      <c r="D4" s="125"/>
      <c r="E4" s="124"/>
      <c r="F4" s="123" t="s">
        <v>1802</v>
      </c>
    </row>
    <row r="5" spans="1:8" ht="15" customHeight="1">
      <c r="A5" s="122"/>
      <c r="B5" s="123" t="s">
        <v>1803</v>
      </c>
      <c r="C5" s="124" t="s">
        <v>1804</v>
      </c>
      <c r="D5" s="123" t="s">
        <v>1805</v>
      </c>
      <c r="E5" s="124"/>
      <c r="F5" s="123" t="s">
        <v>1806</v>
      </c>
    </row>
    <row r="6" spans="1:8" ht="24" customHeight="1">
      <c r="A6" s="126"/>
      <c r="B6" s="127"/>
      <c r="C6" s="126"/>
      <c r="D6" s="127"/>
      <c r="E6" s="128"/>
      <c r="F6" s="129"/>
      <c r="H6" s="130"/>
    </row>
    <row r="7" spans="1:8" ht="30" customHeight="1" thickBot="1">
      <c r="A7" s="131" t="s">
        <v>1807</v>
      </c>
      <c r="B7" s="132">
        <v>921.7337390093561</v>
      </c>
      <c r="C7" s="133">
        <v>1026.3185654061058</v>
      </c>
      <c r="D7" s="132">
        <v>3179.5640089649041</v>
      </c>
      <c r="E7" s="133">
        <v>2595.1602371058643</v>
      </c>
      <c r="F7" s="581">
        <v>4.145439660868816E-2</v>
      </c>
      <c r="H7" s="134"/>
    </row>
    <row r="8" spans="1:8" ht="20" customHeight="1" thickBot="1">
      <c r="A8" s="135" t="s">
        <v>1808</v>
      </c>
      <c r="B8" s="132">
        <v>754.33328369198932</v>
      </c>
      <c r="C8" s="133">
        <v>960.08194955836564</v>
      </c>
      <c r="D8" s="132">
        <v>3590.1813983580178</v>
      </c>
      <c r="E8" s="133">
        <v>2847.3804001022049</v>
      </c>
      <c r="F8" s="581">
        <v>1.9534700893593038E-2</v>
      </c>
      <c r="H8" s="134"/>
    </row>
    <row r="9" spans="1:8" ht="20" customHeight="1" thickBot="1">
      <c r="A9" s="135" t="s">
        <v>1809</v>
      </c>
      <c r="B9" s="132">
        <v>676.20409895640228</v>
      </c>
      <c r="C9" s="133">
        <v>772.83738451740317</v>
      </c>
      <c r="D9" s="132">
        <v>2890.4537246834147</v>
      </c>
      <c r="E9" s="133">
        <v>2239.5335043069604</v>
      </c>
      <c r="F9" s="581">
        <v>5.870991395761721E-2</v>
      </c>
      <c r="H9" s="134"/>
    </row>
    <row r="10" spans="1:8" ht="20" customHeight="1" thickBot="1">
      <c r="A10" s="135" t="s">
        <v>1810</v>
      </c>
      <c r="B10" s="132">
        <v>632.54865534988448</v>
      </c>
      <c r="C10" s="133">
        <v>763.29116611402037</v>
      </c>
      <c r="D10" s="132">
        <v>2789.5229442355121</v>
      </c>
      <c r="E10" s="133">
        <v>2163.02623550206</v>
      </c>
      <c r="F10" s="581">
        <v>5.1840551803519173E-2</v>
      </c>
      <c r="H10" s="134"/>
    </row>
    <row r="11" spans="1:8" ht="20" customHeight="1" thickBot="1">
      <c r="A11" s="135" t="s">
        <v>1811</v>
      </c>
      <c r="B11" s="132">
        <v>823.90325323092532</v>
      </c>
      <c r="C11" s="133">
        <v>825.61563986232795</v>
      </c>
      <c r="D11" s="132">
        <v>2802.2131751164002</v>
      </c>
      <c r="E11" s="133">
        <v>2224.6461416556958</v>
      </c>
      <c r="F11" s="581">
        <v>6.9823775568570848E-2</v>
      </c>
      <c r="H11" s="134"/>
    </row>
    <row r="12" spans="1:8" ht="20" customHeight="1" thickBot="1">
      <c r="A12" s="135" t="s">
        <v>1812</v>
      </c>
      <c r="B12" s="132">
        <v>687.99380764181251</v>
      </c>
      <c r="C12" s="133">
        <v>684.18416257759907</v>
      </c>
      <c r="D12" s="132">
        <v>2659.7227644863174</v>
      </c>
      <c r="E12" s="133">
        <v>2058.8767642458251</v>
      </c>
      <c r="F12" s="581">
        <v>2.0876671474676464E-2</v>
      </c>
      <c r="H12" s="134"/>
    </row>
    <row r="13" spans="1:8" ht="20" customHeight="1" thickBot="1">
      <c r="A13" s="135" t="s">
        <v>1813</v>
      </c>
      <c r="B13" s="132">
        <v>649.70208003118103</v>
      </c>
      <c r="C13" s="133">
        <v>653.06540260254042</v>
      </c>
      <c r="D13" s="132">
        <v>2500.2970308639992</v>
      </c>
      <c r="E13" s="133">
        <v>1987.0067973913037</v>
      </c>
      <c r="F13" s="581">
        <v>3.6328163466308183E-2</v>
      </c>
      <c r="H13" s="134"/>
    </row>
    <row r="14" spans="1:8" ht="20" customHeight="1" thickBot="1">
      <c r="A14" s="135" t="s">
        <v>1814</v>
      </c>
      <c r="B14" s="132">
        <v>764.51672675520558</v>
      </c>
      <c r="C14" s="133">
        <v>968.17343821433383</v>
      </c>
      <c r="D14" s="132">
        <v>2826.0941094477071</v>
      </c>
      <c r="E14" s="133">
        <v>2247.2239645196319</v>
      </c>
      <c r="F14" s="581">
        <v>3.3913881655894436E-2</v>
      </c>
      <c r="H14" s="134"/>
    </row>
    <row r="15" spans="1:8" ht="20" customHeight="1" thickBot="1">
      <c r="A15" s="135" t="s">
        <v>1815</v>
      </c>
      <c r="B15" s="132">
        <v>749.07511983060135</v>
      </c>
      <c r="C15" s="133">
        <v>838.80885785986493</v>
      </c>
      <c r="D15" s="132">
        <v>2708.6413956908636</v>
      </c>
      <c r="E15" s="133">
        <v>2181.154562467118</v>
      </c>
      <c r="F15" s="581">
        <v>5.4869411773989088E-2</v>
      </c>
      <c r="H15" s="134"/>
    </row>
    <row r="16" spans="1:8" ht="20" customHeight="1" thickBot="1">
      <c r="A16" s="135" t="s">
        <v>1816</v>
      </c>
      <c r="B16" s="132">
        <v>808.83680316095331</v>
      </c>
      <c r="C16" s="133">
        <v>990.68457310496046</v>
      </c>
      <c r="D16" s="132">
        <v>3169.755842033409</v>
      </c>
      <c r="E16" s="133">
        <v>2443.415487617106</v>
      </c>
      <c r="F16" s="581">
        <v>4.1157282846799925E-2</v>
      </c>
      <c r="H16" s="134"/>
    </row>
    <row r="17" spans="1:8" ht="20" customHeight="1" thickBot="1">
      <c r="A17" s="135" t="s">
        <v>1817</v>
      </c>
      <c r="B17" s="132">
        <v>827.73813396133278</v>
      </c>
      <c r="C17" s="133">
        <v>922.89093282451006</v>
      </c>
      <c r="D17" s="132">
        <v>3164.5712806822266</v>
      </c>
      <c r="E17" s="133">
        <v>2523.1512987399551</v>
      </c>
      <c r="F17" s="581">
        <v>1.5074191610834129E-2</v>
      </c>
      <c r="H17" s="134"/>
    </row>
    <row r="18" spans="1:8" ht="20" customHeight="1" thickBot="1">
      <c r="A18" s="135" t="s">
        <v>1818</v>
      </c>
      <c r="B18" s="132">
        <v>1148.2469538686896</v>
      </c>
      <c r="C18" s="133">
        <v>1307.1408460101927</v>
      </c>
      <c r="D18" s="132">
        <v>4544.2898408686415</v>
      </c>
      <c r="E18" s="133">
        <v>3773.6015111169786</v>
      </c>
      <c r="F18" s="581">
        <v>1.9569193692029085E-2</v>
      </c>
      <c r="H18" s="134"/>
    </row>
    <row r="19" spans="1:8" ht="20" customHeight="1" thickBot="1">
      <c r="A19" s="135" t="s">
        <v>1819</v>
      </c>
      <c r="B19" s="132">
        <v>988.21827140531036</v>
      </c>
      <c r="C19" s="133">
        <v>1111.5730428576617</v>
      </c>
      <c r="D19" s="132">
        <v>3489.3794408734393</v>
      </c>
      <c r="E19" s="133">
        <v>2841.1033072223063</v>
      </c>
      <c r="F19" s="581">
        <v>4.7282667753535457E-2</v>
      </c>
      <c r="H19" s="134"/>
    </row>
    <row r="20" spans="1:8" ht="20" customHeight="1" thickBot="1">
      <c r="A20" s="135" t="s">
        <v>1820</v>
      </c>
      <c r="B20" s="132">
        <v>739.10496099889406</v>
      </c>
      <c r="C20" s="133">
        <v>895.96677653845018</v>
      </c>
      <c r="D20" s="132">
        <v>3125.3957126590972</v>
      </c>
      <c r="E20" s="133">
        <v>2489.3090827995265</v>
      </c>
      <c r="F20" s="581">
        <v>4.6062842539495677E-2</v>
      </c>
      <c r="H20" s="134"/>
    </row>
    <row r="21" spans="1:8" ht="20" customHeight="1" thickBot="1">
      <c r="A21" s="135" t="s">
        <v>1821</v>
      </c>
      <c r="B21" s="132">
        <v>714.06649813003708</v>
      </c>
      <c r="C21" s="133">
        <v>689.27292419509604</v>
      </c>
      <c r="D21" s="132">
        <v>2619.7869387619808</v>
      </c>
      <c r="E21" s="133">
        <v>2059.6722283954427</v>
      </c>
      <c r="F21" s="581">
        <v>6.1034093743070339E-2</v>
      </c>
      <c r="H21" s="134"/>
    </row>
    <row r="22" spans="1:8" ht="20" customHeight="1" thickBot="1">
      <c r="A22" s="135" t="s">
        <v>1822</v>
      </c>
      <c r="B22" s="132">
        <v>583.87495545547654</v>
      </c>
      <c r="C22" s="133">
        <v>636.39581326854614</v>
      </c>
      <c r="D22" s="132">
        <v>2302.3665850603179</v>
      </c>
      <c r="E22" s="133">
        <v>1740.1560081825285</v>
      </c>
      <c r="F22" s="581">
        <v>-1.3856326544073863E-2</v>
      </c>
      <c r="H22" s="134"/>
    </row>
    <row r="23" spans="1:8" ht="20" customHeight="1" thickBot="1">
      <c r="A23" s="135" t="s">
        <v>1823</v>
      </c>
      <c r="B23" s="132">
        <v>764.84349677935938</v>
      </c>
      <c r="C23" s="133">
        <v>850.87462463723011</v>
      </c>
      <c r="D23" s="132">
        <v>2797.9261773342068</v>
      </c>
      <c r="E23" s="133">
        <v>2188.1389100107331</v>
      </c>
      <c r="F23" s="581">
        <v>5.7908501315192096E-2</v>
      </c>
      <c r="H23" s="134"/>
    </row>
    <row r="24" spans="1:8" ht="20" customHeight="1" thickBot="1">
      <c r="A24" s="135" t="s">
        <v>1824</v>
      </c>
      <c r="B24" s="132">
        <v>835.93878573046777</v>
      </c>
      <c r="C24" s="133">
        <v>790.61356877075525</v>
      </c>
      <c r="D24" s="132">
        <v>2852.3135809499299</v>
      </c>
      <c r="E24" s="133">
        <v>2293.471184708183</v>
      </c>
      <c r="F24" s="581">
        <v>4.1445062337160332E-2</v>
      </c>
      <c r="H24" s="134"/>
    </row>
    <row r="25" spans="1:8" ht="20" customHeight="1" thickBot="1">
      <c r="A25" s="135" t="s">
        <v>1825</v>
      </c>
      <c r="B25" s="132">
        <v>842.52986288204363</v>
      </c>
      <c r="C25" s="133">
        <v>921.31699158529807</v>
      </c>
      <c r="D25" s="132">
        <v>2960.0541154236703</v>
      </c>
      <c r="E25" s="133">
        <v>2360.210714916836</v>
      </c>
      <c r="F25" s="581">
        <v>3.5367977164582856E-2</v>
      </c>
      <c r="H25" s="134"/>
    </row>
    <row r="26" spans="1:8" ht="20" customHeight="1" thickBot="1">
      <c r="A26" s="135" t="s">
        <v>1826</v>
      </c>
      <c r="B26" s="132">
        <v>783.50949842893738</v>
      </c>
      <c r="C26" s="133">
        <v>860.06767223315967</v>
      </c>
      <c r="D26" s="132">
        <v>2851.6387681226324</v>
      </c>
      <c r="E26" s="133">
        <v>2232.1540949027544</v>
      </c>
      <c r="F26" s="581">
        <v>3.2583338327987529E-2</v>
      </c>
      <c r="H26" s="134"/>
    </row>
    <row r="27" spans="1:8" ht="20" customHeight="1" thickBot="1">
      <c r="A27" s="135" t="s">
        <v>1827</v>
      </c>
      <c r="B27" s="132">
        <v>860.05282771062673</v>
      </c>
      <c r="C27" s="133">
        <v>826.47842851416829</v>
      </c>
      <c r="D27" s="132">
        <v>3704.161802208946</v>
      </c>
      <c r="E27" s="133">
        <v>2992.7155287390519</v>
      </c>
      <c r="F27" s="581">
        <v>4.422045329417839E-2</v>
      </c>
      <c r="H27" s="134"/>
    </row>
    <row r="28" spans="1:8" ht="20" customHeight="1" thickBot="1">
      <c r="A28" s="135" t="s">
        <v>1828</v>
      </c>
      <c r="B28" s="132">
        <v>998.39888489500936</v>
      </c>
      <c r="C28" s="133">
        <v>1039.9845487377547</v>
      </c>
      <c r="D28" s="132">
        <v>3733.0685696508867</v>
      </c>
      <c r="E28" s="133">
        <v>2928.8429319040929</v>
      </c>
      <c r="F28" s="581">
        <v>2.132028835783353E-2</v>
      </c>
      <c r="H28" s="134"/>
    </row>
    <row r="29" spans="1:8" ht="20" customHeight="1" thickBot="1">
      <c r="A29" s="135" t="s">
        <v>1829</v>
      </c>
      <c r="B29" s="132">
        <v>766.21627464708081</v>
      </c>
      <c r="C29" s="133">
        <v>780.59829500872263</v>
      </c>
      <c r="D29" s="132">
        <v>3022.5785813418411</v>
      </c>
      <c r="E29" s="133">
        <v>2375.5839560085515</v>
      </c>
      <c r="F29" s="581">
        <v>3.6583887656230746E-2</v>
      </c>
      <c r="H29" s="134"/>
    </row>
    <row r="30" spans="1:8" ht="20" customHeight="1" thickBot="1">
      <c r="A30" s="135" t="s">
        <v>1830</v>
      </c>
      <c r="B30" s="132">
        <v>839.6852690853782</v>
      </c>
      <c r="C30" s="133">
        <v>880.37571551152223</v>
      </c>
      <c r="D30" s="132">
        <v>3473.2299824781308</v>
      </c>
      <c r="E30" s="133">
        <v>2706.1362717380475</v>
      </c>
      <c r="F30" s="581">
        <v>5.4030092162067871E-3</v>
      </c>
      <c r="H30" s="134"/>
    </row>
    <row r="31" spans="1:8" ht="20" customHeight="1" thickBot="1">
      <c r="A31" s="135" t="s">
        <v>1831</v>
      </c>
      <c r="B31" s="132">
        <v>1224.8208968687488</v>
      </c>
      <c r="C31" s="133">
        <v>1324.6745439273361</v>
      </c>
      <c r="D31" s="132">
        <v>4271.7249728018178</v>
      </c>
      <c r="E31" s="133">
        <v>3397.4995519788049</v>
      </c>
      <c r="F31" s="581">
        <v>1.8391239429826275E-3</v>
      </c>
      <c r="H31" s="134"/>
    </row>
    <row r="32" spans="1:8" ht="20" customHeight="1" thickBot="1">
      <c r="A32" s="136" t="s">
        <v>1832</v>
      </c>
      <c r="B32" s="132">
        <v>853.08981278945635</v>
      </c>
      <c r="C32" s="133">
        <v>804.77770236205322</v>
      </c>
      <c r="D32" s="132">
        <v>3539.4286855746163</v>
      </c>
      <c r="E32" s="133">
        <v>2721.44023616817</v>
      </c>
      <c r="F32" s="581">
        <v>2.57648296388838E-2</v>
      </c>
      <c r="H32" s="134"/>
    </row>
    <row r="33" spans="1:8" ht="20" customHeight="1" thickBot="1">
      <c r="A33" s="318" t="s">
        <v>2156</v>
      </c>
      <c r="B33" s="132">
        <v>1000.3289386947924</v>
      </c>
      <c r="C33" s="133">
        <v>-220.41709089839037</v>
      </c>
      <c r="D33" s="132">
        <v>1189.7770405214098</v>
      </c>
      <c r="E33" s="133">
        <v>1037.2024408572224</v>
      </c>
      <c r="F33" s="581" t="s">
        <v>744</v>
      </c>
      <c r="H33" s="134"/>
    </row>
    <row r="34" spans="1:8" ht="20" customHeight="1" thickBot="1">
      <c r="A34" s="136" t="s">
        <v>657</v>
      </c>
      <c r="B34" s="185" t="s">
        <v>744</v>
      </c>
      <c r="C34" s="184" t="s">
        <v>744</v>
      </c>
      <c r="D34" s="185" t="s">
        <v>744</v>
      </c>
      <c r="E34" s="184" t="s">
        <v>744</v>
      </c>
      <c r="F34" s="581" t="s">
        <v>744</v>
      </c>
      <c r="H34" s="134"/>
    </row>
    <row r="35" spans="1:8" ht="30" customHeight="1" thickBot="1">
      <c r="A35" s="137" t="s">
        <v>1222</v>
      </c>
      <c r="B35" s="138">
        <v>865.61555000898773</v>
      </c>
      <c r="C35" s="139">
        <v>949.75755898656007</v>
      </c>
      <c r="D35" s="138">
        <v>3306.4958915508864</v>
      </c>
      <c r="E35" s="139">
        <v>2629.9453998465406</v>
      </c>
      <c r="F35" s="582">
        <v>3.0726386551171422E-2</v>
      </c>
      <c r="H35" s="134"/>
    </row>
    <row r="36" spans="1:8" ht="20" customHeight="1">
      <c r="A36" s="140" t="s">
        <v>1837</v>
      </c>
      <c r="B36" s="140"/>
      <c r="C36" s="140"/>
      <c r="D36" s="140"/>
      <c r="E36" s="140"/>
      <c r="F36" s="140"/>
      <c r="H36" s="130"/>
    </row>
    <row r="37" spans="1:8" ht="11.25" customHeight="1">
      <c r="A37" s="141"/>
      <c r="B37" s="141"/>
      <c r="C37" s="141"/>
      <c r="D37" s="141"/>
      <c r="E37" s="141"/>
      <c r="F37" s="141"/>
      <c r="H37" s="130"/>
    </row>
    <row r="38" spans="1:8" ht="14.25" customHeight="1">
      <c r="A38" s="141" t="s">
        <v>2166</v>
      </c>
      <c r="B38" s="141"/>
      <c r="C38" s="141"/>
      <c r="D38" s="141"/>
      <c r="E38" s="141"/>
      <c r="F38" s="141"/>
      <c r="H38" s="130"/>
    </row>
    <row r="39" spans="1:8" ht="13.5" customHeight="1">
      <c r="A39" s="141"/>
      <c r="B39" s="141"/>
      <c r="C39" s="141"/>
      <c r="D39" s="141"/>
      <c r="E39" s="141"/>
      <c r="F39" s="141"/>
      <c r="H39" s="130"/>
    </row>
    <row r="40" spans="1:8" ht="15" customHeight="1">
      <c r="A40" s="141" t="s">
        <v>2162</v>
      </c>
      <c r="B40" s="141"/>
      <c r="C40" s="141"/>
      <c r="D40" s="141"/>
      <c r="E40" s="141"/>
    </row>
    <row r="41" spans="1:8" ht="13.5" customHeight="1">
      <c r="A41" s="141" t="s">
        <v>2154</v>
      </c>
    </row>
    <row r="42" spans="1:8" ht="13.5" customHeight="1">
      <c r="A42" s="141"/>
    </row>
    <row r="43" spans="1:8" ht="12" customHeight="1"/>
    <row r="44" spans="1:8" ht="12" customHeight="1">
      <c r="A44" s="141" t="s">
        <v>710</v>
      </c>
    </row>
  </sheetData>
  <mergeCells count="1">
    <mergeCell ref="A2:E2"/>
  </mergeCells>
  <phoneticPr fontId="0" type="noConversion"/>
  <pageMargins left="0.65" right="0.5" top="0.87" bottom="0.49" header="0.51" footer="0.4921259845"/>
  <pageSetup paperSize="9" scale="72" orientation="portrait"/>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9271C-2F3B-3649-9197-445DC99602F6}">
  <sheetPr>
    <pageSetUpPr fitToPage="1"/>
  </sheetPr>
  <dimension ref="A1:H44"/>
  <sheetViews>
    <sheetView zoomScale="75" workbookViewId="0">
      <selection activeCell="A3" sqref="A3"/>
    </sheetView>
  </sheetViews>
  <sheetFormatPr baseColWidth="10" defaultColWidth="11.3984375" defaultRowHeight="13"/>
  <cols>
    <col min="1" max="1" width="19.59765625" style="2" customWidth="1"/>
    <col min="2" max="5" width="18.59765625" style="2" customWidth="1"/>
    <col min="6" max="6" width="20" style="2" customWidth="1"/>
    <col min="7" max="7" width="16.796875" style="2" customWidth="1"/>
    <col min="8" max="8" width="12.19921875" style="2" customWidth="1"/>
    <col min="9" max="16384" width="11.3984375" style="2"/>
  </cols>
  <sheetData>
    <row r="1" spans="1:8" s="1" customFormat="1" ht="14" customHeight="1"/>
    <row r="2" spans="1:8" s="1" customFormat="1" ht="32.25" customHeight="1">
      <c r="A2" s="2014" t="s">
        <v>1796</v>
      </c>
      <c r="B2" s="2018"/>
      <c r="C2" s="2018"/>
      <c r="D2" s="2018"/>
      <c r="E2" s="2018"/>
      <c r="F2" s="118">
        <v>2009</v>
      </c>
    </row>
    <row r="3" spans="1:8" ht="27" customHeight="1">
      <c r="A3" s="119" t="s">
        <v>1797</v>
      </c>
      <c r="B3" s="120" t="s">
        <v>1798</v>
      </c>
      <c r="C3" s="121" t="s">
        <v>1799</v>
      </c>
      <c r="D3" s="120" t="s">
        <v>1800</v>
      </c>
      <c r="E3" s="121" t="s">
        <v>1567</v>
      </c>
      <c r="F3" s="390" t="s">
        <v>1801</v>
      </c>
    </row>
    <row r="4" spans="1:8" ht="15" customHeight="1">
      <c r="A4" s="122"/>
      <c r="B4" s="123"/>
      <c r="C4" s="124" t="s">
        <v>1800</v>
      </c>
      <c r="D4" s="125"/>
      <c r="E4" s="124"/>
      <c r="F4" s="125" t="s">
        <v>1802</v>
      </c>
    </row>
    <row r="5" spans="1:8" ht="15" customHeight="1">
      <c r="A5" s="122"/>
      <c r="B5" s="123" t="s">
        <v>1803</v>
      </c>
      <c r="C5" s="124" t="s">
        <v>1804</v>
      </c>
      <c r="D5" s="123" t="s">
        <v>1805</v>
      </c>
      <c r="E5" s="124"/>
      <c r="F5" s="125" t="s">
        <v>1806</v>
      </c>
    </row>
    <row r="6" spans="1:8" ht="24" customHeight="1">
      <c r="A6" s="126"/>
      <c r="B6" s="127"/>
      <c r="C6" s="126"/>
      <c r="D6" s="127"/>
      <c r="E6" s="128"/>
      <c r="F6" s="129"/>
      <c r="H6" s="130"/>
    </row>
    <row r="7" spans="1:8" ht="30" customHeight="1" thickBot="1">
      <c r="A7" s="131" t="s">
        <v>1807</v>
      </c>
      <c r="B7" s="132">
        <v>96.350823279891884</v>
      </c>
      <c r="C7" s="133">
        <v>342.08001323002048</v>
      </c>
      <c r="D7" s="132">
        <v>550.62560558237863</v>
      </c>
      <c r="E7" s="133">
        <v>450.5159520720357</v>
      </c>
      <c r="F7" s="581">
        <v>1.8221377888030122E-2</v>
      </c>
      <c r="H7" s="134"/>
    </row>
    <row r="8" spans="1:8" ht="20" customHeight="1" thickBot="1">
      <c r="A8" s="135" t="s">
        <v>1808</v>
      </c>
      <c r="B8" s="132">
        <v>84.039966234981748</v>
      </c>
      <c r="C8" s="133">
        <v>327.88680443925256</v>
      </c>
      <c r="D8" s="132">
        <v>554.76155888297683</v>
      </c>
      <c r="E8" s="133">
        <v>448.8743823329732</v>
      </c>
      <c r="F8" s="581">
        <v>1.2169766324755952E-2</v>
      </c>
      <c r="H8" s="134"/>
    </row>
    <row r="9" spans="1:8" ht="20" customHeight="1" thickBot="1">
      <c r="A9" s="135" t="s">
        <v>1809</v>
      </c>
      <c r="B9" s="132">
        <v>78.160235841215425</v>
      </c>
      <c r="C9" s="133">
        <v>292.79219077365428</v>
      </c>
      <c r="D9" s="132">
        <v>471.00385974211861</v>
      </c>
      <c r="E9" s="133">
        <v>373.9990236767502</v>
      </c>
      <c r="F9" s="581">
        <v>2.3532022738314277E-2</v>
      </c>
      <c r="H9" s="134"/>
    </row>
    <row r="10" spans="1:8" ht="20" customHeight="1" thickBot="1">
      <c r="A10" s="135" t="s">
        <v>1810</v>
      </c>
      <c r="B10" s="132">
        <v>83.470907748338576</v>
      </c>
      <c r="C10" s="133">
        <v>295.55114243780463</v>
      </c>
      <c r="D10" s="132">
        <v>481.91520868974141</v>
      </c>
      <c r="E10" s="133">
        <v>383.73173683185138</v>
      </c>
      <c r="F10" s="581">
        <v>1.2329725264847905E-2</v>
      </c>
      <c r="H10" s="134"/>
    </row>
    <row r="11" spans="1:8" ht="20" customHeight="1" thickBot="1">
      <c r="A11" s="135" t="s">
        <v>1811</v>
      </c>
      <c r="B11" s="132">
        <v>93.266683516047351</v>
      </c>
      <c r="C11" s="133">
        <v>347.47203457446813</v>
      </c>
      <c r="D11" s="132">
        <v>522.24925784570428</v>
      </c>
      <c r="E11" s="133">
        <v>419.43124787342049</v>
      </c>
      <c r="F11" s="581">
        <v>4.3503404341422122E-2</v>
      </c>
      <c r="H11" s="134"/>
    </row>
    <row r="12" spans="1:8" ht="20" customHeight="1" thickBot="1">
      <c r="A12" s="135" t="s">
        <v>1812</v>
      </c>
      <c r="B12" s="132">
        <v>75.264518642921828</v>
      </c>
      <c r="C12" s="133">
        <v>289.43070171049106</v>
      </c>
      <c r="D12" s="132">
        <v>478.55922364779587</v>
      </c>
      <c r="E12" s="133">
        <v>376.32553235799452</v>
      </c>
      <c r="F12" s="581">
        <v>1.8710643160755568E-2</v>
      </c>
      <c r="H12" s="134"/>
    </row>
    <row r="13" spans="1:8" ht="20" customHeight="1" thickBot="1">
      <c r="A13" s="135" t="s">
        <v>1813</v>
      </c>
      <c r="B13" s="132">
        <v>75.545956866311542</v>
      </c>
      <c r="C13" s="133">
        <v>280.02272489650596</v>
      </c>
      <c r="D13" s="132">
        <v>469.94721687943968</v>
      </c>
      <c r="E13" s="133">
        <v>378.36458346712402</v>
      </c>
      <c r="F13" s="581">
        <v>2.0186049563368183E-2</v>
      </c>
      <c r="H13" s="134"/>
    </row>
    <row r="14" spans="1:8" ht="20" customHeight="1" thickBot="1">
      <c r="A14" s="135" t="s">
        <v>1814</v>
      </c>
      <c r="B14" s="132">
        <v>87.901198702994549</v>
      </c>
      <c r="C14" s="133">
        <v>326.59269597956165</v>
      </c>
      <c r="D14" s="132">
        <v>508.28844001404832</v>
      </c>
      <c r="E14" s="133">
        <v>409.22404812160858</v>
      </c>
      <c r="F14" s="581">
        <v>2.5217261331491523E-2</v>
      </c>
      <c r="H14" s="134"/>
    </row>
    <row r="15" spans="1:8" ht="20" customHeight="1" thickBot="1">
      <c r="A15" s="135" t="s">
        <v>1815</v>
      </c>
      <c r="B15" s="132">
        <v>81.229173095761936</v>
      </c>
      <c r="C15" s="133">
        <v>318.66333406657446</v>
      </c>
      <c r="D15" s="132">
        <v>493.52689112965612</v>
      </c>
      <c r="E15" s="133">
        <v>399.66443353648981</v>
      </c>
      <c r="F15" s="581">
        <v>3.5894511972917396E-2</v>
      </c>
      <c r="H15" s="134"/>
    </row>
    <row r="16" spans="1:8" ht="20" customHeight="1" thickBot="1">
      <c r="A16" s="135" t="s">
        <v>1816</v>
      </c>
      <c r="B16" s="132">
        <v>89.465237464218845</v>
      </c>
      <c r="C16" s="133">
        <v>341.17502354951932</v>
      </c>
      <c r="D16" s="132">
        <v>543.81341392976833</v>
      </c>
      <c r="E16" s="133">
        <v>423.07649463467118</v>
      </c>
      <c r="F16" s="581">
        <v>2.9515623149903299E-2</v>
      </c>
      <c r="H16" s="134"/>
    </row>
    <row r="17" spans="1:8" ht="20" customHeight="1" thickBot="1">
      <c r="A17" s="135" t="s">
        <v>1817</v>
      </c>
      <c r="B17" s="132">
        <v>89.101277131601577</v>
      </c>
      <c r="C17" s="133">
        <v>318.81466741341785</v>
      </c>
      <c r="D17" s="132">
        <v>537.90209007658405</v>
      </c>
      <c r="E17" s="133">
        <v>433.56137010910197</v>
      </c>
      <c r="F17" s="581">
        <v>6.8779503218511263E-3</v>
      </c>
      <c r="H17" s="134"/>
    </row>
    <row r="18" spans="1:8" ht="20" customHeight="1" thickBot="1">
      <c r="A18" s="135" t="s">
        <v>1818</v>
      </c>
      <c r="B18" s="132">
        <v>103.94405115059219</v>
      </c>
      <c r="C18" s="133">
        <v>338.47572830425997</v>
      </c>
      <c r="D18" s="132">
        <v>578.6518721686457</v>
      </c>
      <c r="E18" s="133">
        <v>486.58326690914828</v>
      </c>
      <c r="F18" s="581">
        <v>-7.4282036971757892E-2</v>
      </c>
      <c r="H18" s="134"/>
    </row>
    <row r="19" spans="1:8" ht="20" customHeight="1" thickBot="1">
      <c r="A19" s="135" t="s">
        <v>1819</v>
      </c>
      <c r="B19" s="132">
        <v>110.85392572021085</v>
      </c>
      <c r="C19" s="133">
        <v>376.89590844189178</v>
      </c>
      <c r="D19" s="132">
        <v>605.85184307400175</v>
      </c>
      <c r="E19" s="133">
        <v>496.9290666406057</v>
      </c>
      <c r="F19" s="581">
        <v>1.0490648057916016E-2</v>
      </c>
      <c r="H19" s="134"/>
    </row>
    <row r="20" spans="1:8" ht="20" customHeight="1" thickBot="1">
      <c r="A20" s="135" t="s">
        <v>1820</v>
      </c>
      <c r="B20" s="132">
        <v>78.569943681238712</v>
      </c>
      <c r="C20" s="133">
        <v>313.71381147179136</v>
      </c>
      <c r="D20" s="132">
        <v>541.40137281418697</v>
      </c>
      <c r="E20" s="133">
        <v>436.48673225009941</v>
      </c>
      <c r="F20" s="581">
        <v>3.674086456622179E-2</v>
      </c>
      <c r="H20" s="134"/>
    </row>
    <row r="21" spans="1:8" ht="20" customHeight="1" thickBot="1">
      <c r="A21" s="135" t="s">
        <v>1821</v>
      </c>
      <c r="B21" s="132">
        <v>75.618274687016594</v>
      </c>
      <c r="C21" s="133">
        <v>278.472166758539</v>
      </c>
      <c r="D21" s="132">
        <v>476.08549919670463</v>
      </c>
      <c r="E21" s="133">
        <v>377.34542488670508</v>
      </c>
      <c r="F21" s="581">
        <v>2.8644637734779214E-2</v>
      </c>
      <c r="H21" s="134"/>
    </row>
    <row r="22" spans="1:8" ht="20" customHeight="1" thickBot="1">
      <c r="A22" s="135" t="s">
        <v>1822</v>
      </c>
      <c r="B22" s="132">
        <v>63.182387025267616</v>
      </c>
      <c r="C22" s="133">
        <v>288.49278289019929</v>
      </c>
      <c r="D22" s="132">
        <v>445.57382705174194</v>
      </c>
      <c r="E22" s="133">
        <v>342.42358695596658</v>
      </c>
      <c r="F22" s="581">
        <v>7.205291001831364E-3</v>
      </c>
      <c r="H22" s="134"/>
    </row>
    <row r="23" spans="1:8" ht="20" customHeight="1" thickBot="1">
      <c r="A23" s="135" t="s">
        <v>1823</v>
      </c>
      <c r="B23" s="132">
        <v>84.367998594725961</v>
      </c>
      <c r="C23" s="133">
        <v>323.01030049256207</v>
      </c>
      <c r="D23" s="132">
        <v>505.61815494783298</v>
      </c>
      <c r="E23" s="133">
        <v>400.85100322578347</v>
      </c>
      <c r="F23" s="581">
        <v>3.3682560757387313E-2</v>
      </c>
      <c r="H23" s="134"/>
    </row>
    <row r="24" spans="1:8" ht="20" customHeight="1" thickBot="1">
      <c r="A24" s="135" t="s">
        <v>1824</v>
      </c>
      <c r="B24" s="132">
        <v>84.859845549103539</v>
      </c>
      <c r="C24" s="133">
        <v>290.72293087582187</v>
      </c>
      <c r="D24" s="132">
        <v>481.81938618367514</v>
      </c>
      <c r="E24" s="133">
        <v>392.31713740851848</v>
      </c>
      <c r="F24" s="581">
        <v>2.8098110248340531E-2</v>
      </c>
      <c r="H24" s="134"/>
    </row>
    <row r="25" spans="1:8" ht="20" customHeight="1" thickBot="1">
      <c r="A25" s="135" t="s">
        <v>1825</v>
      </c>
      <c r="B25" s="132">
        <v>86.095594104301711</v>
      </c>
      <c r="C25" s="133">
        <v>320.83317590037802</v>
      </c>
      <c r="D25" s="132">
        <v>512.94625323557068</v>
      </c>
      <c r="E25" s="133">
        <v>411.36913635652729</v>
      </c>
      <c r="F25" s="581">
        <v>2.4939985091474291E-2</v>
      </c>
      <c r="H25" s="134"/>
    </row>
    <row r="26" spans="1:8" ht="20" customHeight="1" thickBot="1">
      <c r="A26" s="135" t="s">
        <v>1826</v>
      </c>
      <c r="B26" s="132">
        <v>84.75287446618465</v>
      </c>
      <c r="C26" s="133">
        <v>310.58207673413273</v>
      </c>
      <c r="D26" s="132">
        <v>507.11002583852286</v>
      </c>
      <c r="E26" s="133">
        <v>400.59955829122219</v>
      </c>
      <c r="F26" s="581">
        <v>2.7584842654972894E-2</v>
      </c>
      <c r="H26" s="134"/>
    </row>
    <row r="27" spans="1:8" ht="20" customHeight="1" thickBot="1">
      <c r="A27" s="135" t="s">
        <v>1827</v>
      </c>
      <c r="B27" s="132">
        <v>106.39731425500953</v>
      </c>
      <c r="C27" s="133">
        <v>366.15113235824049</v>
      </c>
      <c r="D27" s="132">
        <v>586.30698607990973</v>
      </c>
      <c r="E27" s="133">
        <v>485.04982740636734</v>
      </c>
      <c r="F27" s="581">
        <v>2.1120579516644526E-2</v>
      </c>
      <c r="H27" s="134"/>
    </row>
    <row r="28" spans="1:8" ht="20" customHeight="1" thickBot="1">
      <c r="A28" s="135" t="s">
        <v>1828</v>
      </c>
      <c r="B28" s="132">
        <v>126.04820375726806</v>
      </c>
      <c r="C28" s="133">
        <v>368.55044318441179</v>
      </c>
      <c r="D28" s="132">
        <v>592.4604940984857</v>
      </c>
      <c r="E28" s="133">
        <v>474.52889136233489</v>
      </c>
      <c r="F28" s="581">
        <v>-1.7008029992321662E-3</v>
      </c>
      <c r="H28" s="134"/>
    </row>
    <row r="29" spans="1:8" ht="20" customHeight="1" thickBot="1">
      <c r="A29" s="135" t="s">
        <v>1829</v>
      </c>
      <c r="B29" s="132">
        <v>86.694793103216639</v>
      </c>
      <c r="C29" s="133">
        <v>290.5239211614072</v>
      </c>
      <c r="D29" s="132">
        <v>497.21021910650717</v>
      </c>
      <c r="E29" s="133">
        <v>397.79263488074889</v>
      </c>
      <c r="F29" s="581">
        <v>1.2308839591203524E-2</v>
      </c>
      <c r="H29" s="134"/>
    </row>
    <row r="30" spans="1:8" ht="20" customHeight="1" thickBot="1">
      <c r="A30" s="135" t="s">
        <v>1830</v>
      </c>
      <c r="B30" s="132">
        <v>99.724811271165592</v>
      </c>
      <c r="C30" s="133">
        <v>316.03769388717399</v>
      </c>
      <c r="D30" s="132">
        <v>531.72668619345211</v>
      </c>
      <c r="E30" s="133">
        <v>423.66678533300342</v>
      </c>
      <c r="F30" s="581">
        <v>-7.2793895590409017E-4</v>
      </c>
      <c r="H30" s="134"/>
    </row>
    <row r="31" spans="1:8" ht="20" customHeight="1" thickBot="1">
      <c r="A31" s="135" t="s">
        <v>1831</v>
      </c>
      <c r="B31" s="132">
        <v>128.33285787407746</v>
      </c>
      <c r="C31" s="133">
        <v>412.86149471785791</v>
      </c>
      <c r="D31" s="132">
        <v>631.94341962079034</v>
      </c>
      <c r="E31" s="133">
        <v>508.40462245593397</v>
      </c>
      <c r="F31" s="581">
        <v>8.81791371472509E-3</v>
      </c>
      <c r="H31" s="134"/>
    </row>
    <row r="32" spans="1:8" ht="20" customHeight="1" thickBot="1">
      <c r="A32" s="136" t="s">
        <v>1832</v>
      </c>
      <c r="B32" s="132">
        <v>101.16593676821938</v>
      </c>
      <c r="C32" s="133">
        <v>335.93317985508219</v>
      </c>
      <c r="D32" s="132">
        <v>550.42285403831795</v>
      </c>
      <c r="E32" s="133">
        <v>434.79945679784447</v>
      </c>
      <c r="F32" s="581">
        <v>9.3521932809457423E-3</v>
      </c>
      <c r="H32" s="134"/>
    </row>
    <row r="33" spans="1:8" ht="20" customHeight="1" thickBot="1">
      <c r="A33" s="318" t="s">
        <v>2156</v>
      </c>
      <c r="B33" s="132">
        <v>147.18034497912546</v>
      </c>
      <c r="C33" s="133">
        <v>601.23441132330868</v>
      </c>
      <c r="D33" s="132">
        <v>285.24543022197298</v>
      </c>
      <c r="E33" s="133">
        <v>301.14183968828274</v>
      </c>
      <c r="F33" s="581" t="s">
        <v>744</v>
      </c>
      <c r="H33" s="134"/>
    </row>
    <row r="34" spans="1:8" ht="20" customHeight="1" thickBot="1">
      <c r="A34" s="136" t="s">
        <v>657</v>
      </c>
      <c r="B34" s="132" t="s">
        <v>744</v>
      </c>
      <c r="C34" s="133" t="s">
        <v>744</v>
      </c>
      <c r="D34" s="132" t="s">
        <v>744</v>
      </c>
      <c r="E34" s="133" t="s">
        <v>744</v>
      </c>
      <c r="F34" s="581" t="s">
        <v>744</v>
      </c>
      <c r="H34" s="134"/>
    </row>
    <row r="35" spans="1:8" ht="30" customHeight="1" thickBot="1">
      <c r="A35" s="137" t="s">
        <v>1222</v>
      </c>
      <c r="B35" s="138">
        <v>95.725122980230481</v>
      </c>
      <c r="C35" s="139">
        <v>334.16938022804311</v>
      </c>
      <c r="D35" s="138">
        <v>544.22522061426776</v>
      </c>
      <c r="E35" s="139">
        <v>438.7778352091828</v>
      </c>
      <c r="F35" s="582">
        <v>1.5525564233180095E-2</v>
      </c>
      <c r="H35" s="134"/>
    </row>
    <row r="36" spans="1:8" ht="20" customHeight="1">
      <c r="A36" s="140" t="s">
        <v>1837</v>
      </c>
      <c r="B36" s="140"/>
      <c r="C36" s="140"/>
      <c r="D36" s="140"/>
      <c r="E36" s="140"/>
      <c r="F36" s="140"/>
      <c r="H36" s="130"/>
    </row>
    <row r="37" spans="1:8" ht="11.25" customHeight="1">
      <c r="A37" s="141"/>
      <c r="B37" s="141"/>
      <c r="C37" s="141"/>
      <c r="D37" s="141"/>
      <c r="E37" s="141"/>
      <c r="F37" s="141"/>
      <c r="H37" s="130"/>
    </row>
    <row r="38" spans="1:8" ht="14.25" customHeight="1">
      <c r="A38" s="141" t="s">
        <v>1794</v>
      </c>
      <c r="B38" s="141"/>
      <c r="C38" s="141"/>
      <c r="D38" s="141"/>
      <c r="E38" s="141"/>
      <c r="F38" s="141"/>
      <c r="H38" s="130"/>
    </row>
    <row r="39" spans="1:8" ht="13.5" customHeight="1">
      <c r="A39" s="141"/>
      <c r="B39" s="141"/>
      <c r="C39" s="141"/>
      <c r="D39" s="141"/>
      <c r="E39" s="141"/>
      <c r="F39" s="141"/>
      <c r="H39" s="130"/>
    </row>
    <row r="40" spans="1:8" ht="13.5" customHeight="1">
      <c r="A40" s="583" t="s">
        <v>1795</v>
      </c>
      <c r="B40" s="141"/>
      <c r="C40" s="141"/>
      <c r="D40" s="141"/>
      <c r="E40" s="141"/>
      <c r="F40" s="141"/>
      <c r="H40" s="130"/>
    </row>
    <row r="41" spans="1:8" ht="13.5" customHeight="1">
      <c r="A41" s="141" t="s">
        <v>2154</v>
      </c>
      <c r="B41" s="141"/>
      <c r="C41" s="141"/>
      <c r="D41" s="141"/>
      <c r="E41" s="141"/>
      <c r="F41" s="141"/>
      <c r="H41" s="130"/>
    </row>
    <row r="42" spans="1:8" ht="13.5" customHeight="1">
      <c r="A42" s="141"/>
      <c r="B42" s="141"/>
      <c r="C42" s="141"/>
      <c r="D42" s="141"/>
      <c r="E42" s="141"/>
      <c r="F42" s="141"/>
      <c r="H42" s="130"/>
    </row>
    <row r="43" spans="1:8" ht="12" customHeight="1"/>
    <row r="44" spans="1:8" ht="12" customHeight="1">
      <c r="A44" s="141" t="s">
        <v>710</v>
      </c>
    </row>
  </sheetData>
  <mergeCells count="1">
    <mergeCell ref="A2:E2"/>
  </mergeCells>
  <phoneticPr fontId="0" type="noConversion"/>
  <pageMargins left="0.65" right="0.5" top="0.87" bottom="0.49" header="0.51" footer="0.4921259845"/>
  <pageSetup paperSize="9" scale="70" orientation="portrait"/>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40F50-5C9E-BB41-BD90-F67B49704AF0}">
  <sheetPr>
    <pageSetUpPr fitToPage="1"/>
  </sheetPr>
  <dimension ref="A1:K29"/>
  <sheetViews>
    <sheetView zoomScale="75" workbookViewId="0">
      <selection activeCell="B27" sqref="B27"/>
    </sheetView>
  </sheetViews>
  <sheetFormatPr baseColWidth="10" defaultColWidth="11.3984375" defaultRowHeight="13"/>
  <cols>
    <col min="1" max="1" width="15.59765625" style="2" customWidth="1"/>
    <col min="2" max="2" width="17.3984375" style="2" customWidth="1"/>
    <col min="3" max="4" width="16.3984375" style="2" customWidth="1"/>
    <col min="5" max="5" width="16.59765625" style="2" customWidth="1"/>
    <col min="6" max="6" width="17.796875" style="2" customWidth="1"/>
    <col min="7" max="7" width="15.19921875" style="2" customWidth="1"/>
    <col min="8" max="16384" width="11.3984375" style="2"/>
  </cols>
  <sheetData>
    <row r="1" spans="1:11" s="1" customFormat="1" ht="14" customHeight="1"/>
    <row r="2" spans="1:11" s="1" customFormat="1" ht="28" customHeight="1">
      <c r="A2" s="118" t="s">
        <v>941</v>
      </c>
      <c r="G2" s="398"/>
    </row>
    <row r="3" spans="1:11" ht="24" customHeight="1">
      <c r="A3" s="119" t="s">
        <v>651</v>
      </c>
      <c r="B3" s="120" t="s">
        <v>2251</v>
      </c>
      <c r="C3" s="121" t="s">
        <v>2252</v>
      </c>
      <c r="D3" s="120" t="s">
        <v>2253</v>
      </c>
      <c r="E3" s="121" t="s">
        <v>2254</v>
      </c>
      <c r="F3" s="120" t="s">
        <v>1567</v>
      </c>
      <c r="G3" s="121" t="s">
        <v>1801</v>
      </c>
    </row>
    <row r="4" spans="1:11" ht="15" customHeight="1">
      <c r="A4" s="325"/>
      <c r="B4" s="123" t="s">
        <v>2255</v>
      </c>
      <c r="C4" s="124" t="s">
        <v>2256</v>
      </c>
      <c r="D4" s="123" t="s">
        <v>2124</v>
      </c>
      <c r="E4" s="150" t="s">
        <v>2125</v>
      </c>
      <c r="F4" s="123"/>
      <c r="G4" s="124" t="s">
        <v>1802</v>
      </c>
    </row>
    <row r="5" spans="1:11" ht="15" customHeight="1">
      <c r="A5" s="325"/>
      <c r="B5" s="123" t="s">
        <v>2259</v>
      </c>
      <c r="C5" s="124" t="s">
        <v>2260</v>
      </c>
      <c r="D5" s="123" t="s">
        <v>2300</v>
      </c>
      <c r="E5" s="150" t="s">
        <v>2126</v>
      </c>
      <c r="F5" s="123"/>
      <c r="G5" s="124" t="s">
        <v>1806</v>
      </c>
    </row>
    <row r="6" spans="1:11" ht="24" customHeight="1">
      <c r="A6" s="326"/>
      <c r="B6" s="129"/>
      <c r="C6" s="128"/>
      <c r="D6" s="129"/>
      <c r="E6" s="153" t="s">
        <v>2262</v>
      </c>
      <c r="F6" s="129"/>
      <c r="G6" s="128"/>
    </row>
    <row r="7" spans="1:11" ht="2.25" customHeight="1" thickBot="1">
      <c r="A7" s="327">
        <v>1996</v>
      </c>
      <c r="B7" s="439">
        <v>9158.0126325000001</v>
      </c>
      <c r="C7" s="440">
        <v>3158.8991608000001</v>
      </c>
      <c r="D7" s="439">
        <v>29.792276350000002</v>
      </c>
      <c r="E7" s="440">
        <v>112.31317695</v>
      </c>
      <c r="F7" s="439">
        <v>12459.0172466</v>
      </c>
      <c r="G7" s="157" t="s">
        <v>744</v>
      </c>
    </row>
    <row r="8" spans="1:11" ht="0.75" hidden="1" customHeight="1" thickBot="1">
      <c r="A8" s="328">
        <v>1997</v>
      </c>
      <c r="B8" s="441">
        <v>8010.294124</v>
      </c>
      <c r="C8" s="442">
        <v>4715.0935929999996</v>
      </c>
      <c r="D8" s="441">
        <v>15.300134</v>
      </c>
      <c r="E8" s="442">
        <v>397.78968400000002</v>
      </c>
      <c r="F8" s="441">
        <v>13138.477535</v>
      </c>
      <c r="G8" s="158">
        <v>5.453562467661089E-2</v>
      </c>
      <c r="I8" s="8"/>
      <c r="J8" s="8"/>
      <c r="K8" s="8"/>
    </row>
    <row r="9" spans="1:11" ht="19.5" hidden="1" customHeight="1" thickBot="1">
      <c r="A9" s="328">
        <v>1998</v>
      </c>
      <c r="B9" s="441">
        <v>8034.9225379999998</v>
      </c>
      <c r="C9" s="442">
        <v>5294.4749119999997</v>
      </c>
      <c r="D9" s="441">
        <v>7.7133700000000003</v>
      </c>
      <c r="E9" s="442">
        <v>686.98183200000005</v>
      </c>
      <c r="F9" s="441">
        <v>14024.092651999999</v>
      </c>
      <c r="G9" s="158">
        <v>6.7406220746717538E-2</v>
      </c>
    </row>
    <row r="10" spans="1:11" ht="20" customHeight="1" thickBot="1">
      <c r="A10" s="328">
        <v>1999</v>
      </c>
      <c r="B10" s="441">
        <v>8789.075476</v>
      </c>
      <c r="C10" s="442">
        <v>4984.7508509999998</v>
      </c>
      <c r="D10" s="441">
        <v>7.2724950000000002</v>
      </c>
      <c r="E10" s="442">
        <v>839.41169600000001</v>
      </c>
      <c r="F10" s="441">
        <v>14620.510517999999</v>
      </c>
      <c r="G10" s="158">
        <v>4.2528089395854327E-2</v>
      </c>
    </row>
    <row r="11" spans="1:11" ht="20" customHeight="1" thickBot="1">
      <c r="A11" s="328">
        <v>2000</v>
      </c>
      <c r="B11" s="441">
        <v>9137.1621560000003</v>
      </c>
      <c r="C11" s="442">
        <v>5390.9432980000001</v>
      </c>
      <c r="D11" s="441">
        <v>7.5360680000000002</v>
      </c>
      <c r="E11" s="442">
        <v>942.68592000000001</v>
      </c>
      <c r="F11" s="441">
        <v>15478.327442</v>
      </c>
      <c r="G11" s="158">
        <v>5.8672159425890213E-2</v>
      </c>
    </row>
    <row r="12" spans="1:11" ht="20" customHeight="1" thickBot="1">
      <c r="A12" s="328">
        <v>2001</v>
      </c>
      <c r="B12" s="441">
        <v>9659.7746029999998</v>
      </c>
      <c r="C12" s="442">
        <v>5684.1019910000005</v>
      </c>
      <c r="D12" s="441">
        <v>8.3615560000000002</v>
      </c>
      <c r="E12" s="442">
        <v>1034.2226659999999</v>
      </c>
      <c r="F12" s="441">
        <v>16386.460816999999</v>
      </c>
      <c r="G12" s="158">
        <v>5.867128592562304E-2</v>
      </c>
    </row>
    <row r="13" spans="1:11" ht="20" customHeight="1" thickBot="1">
      <c r="A13" s="328">
        <v>2002</v>
      </c>
      <c r="B13" s="441">
        <v>9980.4930999999997</v>
      </c>
      <c r="C13" s="442">
        <v>6029.9190769999996</v>
      </c>
      <c r="D13" s="441">
        <v>7.9602409999999999</v>
      </c>
      <c r="E13" s="442">
        <v>1077.2149870000001</v>
      </c>
      <c r="F13" s="441">
        <v>17095.58741</v>
      </c>
      <c r="G13" s="158">
        <v>4.3275152634809542E-2</v>
      </c>
    </row>
    <row r="14" spans="1:11" ht="20" customHeight="1" thickBot="1">
      <c r="A14" s="328">
        <v>2003</v>
      </c>
      <c r="B14" s="441">
        <v>10400.406953</v>
      </c>
      <c r="C14" s="442">
        <v>6474.0950759999996</v>
      </c>
      <c r="D14" s="441">
        <v>8.2890060000000005</v>
      </c>
      <c r="E14" s="442">
        <v>1041.3283280000001</v>
      </c>
      <c r="F14" s="441">
        <v>17924.119349000001</v>
      </c>
      <c r="G14" s="158">
        <v>4.8464666298354497E-2</v>
      </c>
    </row>
    <row r="15" spans="1:11" ht="20" customHeight="1" thickBot="1">
      <c r="A15" s="328">
        <v>2004</v>
      </c>
      <c r="B15" s="441">
        <v>11244.13615765</v>
      </c>
      <c r="C15" s="442">
        <v>6631.1356945500002</v>
      </c>
      <c r="D15" s="441">
        <v>8.6720649999999999</v>
      </c>
      <c r="E15" s="442">
        <v>1255.877035</v>
      </c>
      <c r="F15" s="441">
        <v>19139.820942999999</v>
      </c>
      <c r="G15" s="158">
        <v>6.7824899529461302E-2</v>
      </c>
    </row>
    <row r="16" spans="1:11" ht="20" customHeight="1" thickBot="1">
      <c r="A16" s="328">
        <v>2005</v>
      </c>
      <c r="B16" s="441">
        <v>12276.40351</v>
      </c>
      <c r="C16" s="442">
        <v>6478.0200850000001</v>
      </c>
      <c r="D16" s="441">
        <v>9.1072369999999996</v>
      </c>
      <c r="E16" s="442">
        <v>1584.1758170000001</v>
      </c>
      <c r="F16" s="441">
        <v>20347.706649</v>
      </c>
      <c r="G16" s="158">
        <v>6.3108516511057644E-2</v>
      </c>
    </row>
    <row r="17" spans="1:7" ht="20" customHeight="1" thickBot="1">
      <c r="A17" s="328">
        <v>2006</v>
      </c>
      <c r="B17" s="441">
        <v>12157.648692999999</v>
      </c>
      <c r="C17" s="442">
        <v>6151.3591749999996</v>
      </c>
      <c r="D17" s="441">
        <v>8.8529470000000003</v>
      </c>
      <c r="E17" s="442">
        <v>2284.7661029999999</v>
      </c>
      <c r="F17" s="441">
        <v>20602.626918999998</v>
      </c>
      <c r="G17" s="158">
        <v>1.2528206465593383E-2</v>
      </c>
    </row>
    <row r="18" spans="1:7" ht="20" customHeight="1" thickBot="1">
      <c r="A18" s="328">
        <v>2007</v>
      </c>
      <c r="B18" s="441">
        <v>12229.89782127</v>
      </c>
      <c r="C18" s="442">
        <v>6058.52217587</v>
      </c>
      <c r="D18" s="441">
        <v>9.0125824800000007</v>
      </c>
      <c r="E18" s="442">
        <v>3281.2562875499998</v>
      </c>
      <c r="F18" s="441">
        <v>21578.688867239998</v>
      </c>
      <c r="G18" s="158">
        <v>4.737560661936091E-2</v>
      </c>
    </row>
    <row r="19" spans="1:7" ht="20" customHeight="1" thickBot="1">
      <c r="A19" s="328">
        <v>2008</v>
      </c>
      <c r="B19" s="441">
        <v>12358.176374460001</v>
      </c>
      <c r="C19" s="442">
        <v>6003.8314850100005</v>
      </c>
      <c r="D19" s="441">
        <v>10.17656891</v>
      </c>
      <c r="E19" s="442">
        <v>4349.7270544200001</v>
      </c>
      <c r="F19" s="441">
        <v>22721.911482829997</v>
      </c>
      <c r="G19" s="158">
        <v>5.2979243670619791E-2</v>
      </c>
    </row>
    <row r="20" spans="1:7" ht="30" customHeight="1" thickBot="1">
      <c r="A20" s="329">
        <v>2009</v>
      </c>
      <c r="B20" s="690">
        <v>12207.08733409</v>
      </c>
      <c r="C20" s="935">
        <v>5757.8256273900015</v>
      </c>
      <c r="D20" s="690">
        <v>10.04827551</v>
      </c>
      <c r="E20" s="935">
        <v>5681.3612091200011</v>
      </c>
      <c r="F20" s="690">
        <v>23656.322446040002</v>
      </c>
      <c r="G20" s="161">
        <v>4.112378326603805E-2</v>
      </c>
    </row>
    <row r="21" spans="1:7" ht="19.5" customHeight="1">
      <c r="A21" s="140" t="s">
        <v>1837</v>
      </c>
      <c r="B21" s="140"/>
      <c r="C21" s="140"/>
      <c r="D21" s="140"/>
      <c r="E21" s="140"/>
      <c r="F21" s="140"/>
      <c r="G21" s="140"/>
    </row>
    <row r="22" spans="1:7" ht="14.25" customHeight="1">
      <c r="A22" s="141"/>
      <c r="B22" s="141"/>
      <c r="C22" s="141"/>
      <c r="D22" s="141"/>
      <c r="E22" s="141"/>
      <c r="F22" s="141"/>
      <c r="G22" s="141"/>
    </row>
    <row r="23" spans="1:7" ht="14.25" customHeight="1">
      <c r="A23" s="141" t="s">
        <v>2157</v>
      </c>
      <c r="B23" s="141"/>
      <c r="C23" s="141"/>
      <c r="D23" s="141"/>
      <c r="E23" s="141"/>
      <c r="F23" s="141"/>
      <c r="G23" s="141"/>
    </row>
    <row r="24" spans="1:7" ht="13.5" customHeight="1">
      <c r="A24" s="303" t="s">
        <v>648</v>
      </c>
      <c r="B24" s="141"/>
      <c r="C24" s="141"/>
      <c r="D24" s="141"/>
      <c r="E24" s="141"/>
      <c r="F24" s="141"/>
      <c r="G24" s="141"/>
    </row>
    <row r="26" spans="1:7">
      <c r="A26" s="2" t="s">
        <v>940</v>
      </c>
    </row>
    <row r="29" spans="1:7">
      <c r="A29" s="2" t="s">
        <v>710</v>
      </c>
      <c r="G29" s="3"/>
    </row>
  </sheetData>
  <phoneticPr fontId="0" type="noConversion"/>
  <pageMargins left="0.6" right="0.63" top="0.99" bottom="0.49" header="0.59" footer="0.4921259845"/>
  <pageSetup paperSize="9" scale="78" orientation="portrait" horizontalDpi="4294967292" verticalDpi="4294967292"/>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60417-3985-A44E-873C-1C1B65C3F434}">
  <sheetPr>
    <pageSetUpPr fitToPage="1"/>
  </sheetPr>
  <dimension ref="A1:J55"/>
  <sheetViews>
    <sheetView topLeftCell="A15" zoomScale="75" workbookViewId="0">
      <selection activeCell="A24" sqref="A24"/>
    </sheetView>
  </sheetViews>
  <sheetFormatPr baseColWidth="10" defaultColWidth="11.3984375" defaultRowHeight="13"/>
  <cols>
    <col min="1" max="1" width="21.796875" style="2" customWidth="1"/>
    <col min="2" max="2" width="17.59765625" style="2" customWidth="1"/>
    <col min="3" max="3" width="15.796875" style="2" customWidth="1"/>
    <col min="4" max="4" width="19.59765625" style="2" customWidth="1"/>
    <col min="5" max="5" width="14.3984375" style="2" customWidth="1"/>
    <col min="6" max="6" width="20" style="2" customWidth="1"/>
    <col min="7" max="7" width="16.3984375" style="2" customWidth="1"/>
    <col min="8" max="8" width="13.19921875" style="2" customWidth="1"/>
    <col min="9" max="10" width="13.3984375" style="2" customWidth="1"/>
    <col min="11" max="16384" width="11.3984375" style="2"/>
  </cols>
  <sheetData>
    <row r="1" spans="1:10" s="1" customFormat="1" ht="14" customHeight="1"/>
    <row r="2" spans="1:10" s="1" customFormat="1" ht="27.75" customHeight="1">
      <c r="A2" s="2014" t="s">
        <v>2525</v>
      </c>
      <c r="B2" s="2018"/>
      <c r="C2" s="2018"/>
      <c r="D2" s="2018"/>
      <c r="E2" s="2018"/>
      <c r="F2" s="2018"/>
      <c r="G2" s="118"/>
    </row>
    <row r="3" spans="1:10" ht="24" customHeight="1">
      <c r="A3" s="305" t="s">
        <v>2200</v>
      </c>
      <c r="B3" s="120" t="s">
        <v>2251</v>
      </c>
      <c r="C3" s="121" t="s">
        <v>2252</v>
      </c>
      <c r="D3" s="120" t="s">
        <v>2253</v>
      </c>
      <c r="E3" s="121" t="s">
        <v>2254</v>
      </c>
      <c r="F3" s="120" t="s">
        <v>1567</v>
      </c>
      <c r="G3" s="306" t="s">
        <v>1801</v>
      </c>
    </row>
    <row r="4" spans="1:10" ht="15" customHeight="1">
      <c r="A4" s="325"/>
      <c r="B4" s="123" t="s">
        <v>2255</v>
      </c>
      <c r="C4" s="124" t="s">
        <v>2256</v>
      </c>
      <c r="D4" s="123" t="s">
        <v>2257</v>
      </c>
      <c r="E4" s="150" t="s">
        <v>2258</v>
      </c>
      <c r="F4" s="123"/>
      <c r="G4" s="122" t="s">
        <v>1802</v>
      </c>
    </row>
    <row r="5" spans="1:10" ht="15" customHeight="1">
      <c r="A5" s="325"/>
      <c r="B5" s="123" t="s">
        <v>2259</v>
      </c>
      <c r="C5" s="124" t="s">
        <v>2260</v>
      </c>
      <c r="D5" s="123"/>
      <c r="E5" s="150" t="s">
        <v>589</v>
      </c>
      <c r="F5" s="123"/>
      <c r="G5" s="122" t="s">
        <v>1806</v>
      </c>
    </row>
    <row r="6" spans="1:10" ht="24" customHeight="1">
      <c r="A6" s="291" t="s">
        <v>1065</v>
      </c>
      <c r="B6" s="129"/>
      <c r="C6" s="128"/>
      <c r="D6" s="129"/>
      <c r="E6" s="153" t="s">
        <v>2262</v>
      </c>
      <c r="F6" s="129"/>
      <c r="G6" s="152"/>
    </row>
    <row r="7" spans="1:10" ht="1.5" customHeight="1" thickBot="1">
      <c r="A7" s="327">
        <v>1996</v>
      </c>
      <c r="B7" s="170">
        <v>1922.0914738477522</v>
      </c>
      <c r="C7" s="171">
        <v>1362.8683192106039</v>
      </c>
      <c r="D7" s="170">
        <v>1064.9780620150216</v>
      </c>
      <c r="E7" s="171">
        <v>918.79836090338449</v>
      </c>
      <c r="F7" s="170">
        <v>1722.6026867710073</v>
      </c>
      <c r="G7" s="375" t="s">
        <v>744</v>
      </c>
    </row>
    <row r="8" spans="1:10" ht="0.75" hidden="1" customHeight="1" thickBot="1">
      <c r="A8" s="328">
        <v>1997</v>
      </c>
      <c r="B8" s="188">
        <v>1955.5774171208591</v>
      </c>
      <c r="C8" s="187">
        <v>1717.9609773327356</v>
      </c>
      <c r="D8" s="188">
        <v>1327.1545657683146</v>
      </c>
      <c r="E8" s="187">
        <v>1035.2511493240283</v>
      </c>
      <c r="F8" s="188">
        <v>1815.5878047739013</v>
      </c>
      <c r="G8" s="364">
        <v>5.3979433979168621E-2</v>
      </c>
      <c r="H8" s="8"/>
      <c r="I8" s="8"/>
      <c r="J8" s="8"/>
    </row>
    <row r="9" spans="1:10" ht="19.5" hidden="1" customHeight="1" thickBot="1">
      <c r="A9" s="328">
        <v>1998</v>
      </c>
      <c r="B9" s="188">
        <v>2001.1385556748141</v>
      </c>
      <c r="C9" s="187">
        <v>1942.4124575719206</v>
      </c>
      <c r="D9" s="188">
        <v>652.30881205655157</v>
      </c>
      <c r="E9" s="187">
        <v>1390.9212818258898</v>
      </c>
      <c r="F9" s="188">
        <v>1935.2604970637331</v>
      </c>
      <c r="G9" s="364">
        <v>6.591402077892608E-2</v>
      </c>
    </row>
    <row r="10" spans="1:10" ht="20" customHeight="1" thickBot="1">
      <c r="A10" s="328">
        <v>1999</v>
      </c>
      <c r="B10" s="188">
        <v>2196.7543830608033</v>
      </c>
      <c r="C10" s="187">
        <v>1834.5631598914081</v>
      </c>
      <c r="D10" s="188">
        <v>708.57112386703454</v>
      </c>
      <c r="E10" s="187">
        <v>1548.1903262736841</v>
      </c>
      <c r="F10" s="188">
        <v>2010.9263687008995</v>
      </c>
      <c r="G10" s="364">
        <v>3.909854603655178E-2</v>
      </c>
    </row>
    <row r="11" spans="1:10" ht="20" customHeight="1" thickBot="1">
      <c r="A11" s="328">
        <v>2000</v>
      </c>
      <c r="B11" s="188">
        <v>2330.7313959837929</v>
      </c>
      <c r="C11" s="187">
        <v>1955.0764432666085</v>
      </c>
      <c r="D11" s="188">
        <v>768.43697012283224</v>
      </c>
      <c r="E11" s="187">
        <v>1632.0632045626817</v>
      </c>
      <c r="F11" s="188">
        <v>2130.4988026779488</v>
      </c>
      <c r="G11" s="364">
        <v>5.9461368570295083E-2</v>
      </c>
    </row>
    <row r="12" spans="1:10" ht="20" customHeight="1" thickBot="1">
      <c r="A12" s="328">
        <v>2001</v>
      </c>
      <c r="B12" s="188">
        <v>2495.1244025796968</v>
      </c>
      <c r="C12" s="187">
        <v>2011.3716436312093</v>
      </c>
      <c r="D12" s="188">
        <v>897.62686042302278</v>
      </c>
      <c r="E12" s="187">
        <v>1740.2608610070422</v>
      </c>
      <c r="F12" s="188">
        <v>2244.3978355168092</v>
      </c>
      <c r="G12" s="364">
        <v>5.3461204810673471E-2</v>
      </c>
    </row>
    <row r="13" spans="1:10" ht="20" customHeight="1" thickBot="1">
      <c r="A13" s="328">
        <v>2002</v>
      </c>
      <c r="B13" s="188">
        <v>2622.961008005575</v>
      </c>
      <c r="C13" s="187">
        <v>2026.9678660755228</v>
      </c>
      <c r="D13" s="188">
        <v>902.79734523799152</v>
      </c>
      <c r="E13" s="187">
        <v>1937.719195679239</v>
      </c>
      <c r="F13" s="188">
        <v>2327.6297728803838</v>
      </c>
      <c r="G13" s="364">
        <v>3.7084306554951346E-2</v>
      </c>
    </row>
    <row r="14" spans="1:10" ht="20" customHeight="1" thickBot="1">
      <c r="A14" s="328">
        <v>2003</v>
      </c>
      <c r="B14" s="188">
        <v>2838.5410322271737</v>
      </c>
      <c r="C14" s="187">
        <v>2089.4955210203316</v>
      </c>
      <c r="D14" s="188">
        <v>999.42596938760983</v>
      </c>
      <c r="E14" s="187">
        <v>1730.3106743718724</v>
      </c>
      <c r="F14" s="188">
        <v>2431.2114971885403</v>
      </c>
      <c r="G14" s="364">
        <v>4.4500944916156783E-2</v>
      </c>
    </row>
    <row r="15" spans="1:10" ht="20" customHeight="1" thickBot="1">
      <c r="A15" s="328">
        <v>2004</v>
      </c>
      <c r="B15" s="188">
        <v>3104.8815477572248</v>
      </c>
      <c r="C15" s="187">
        <v>2203.0474404075858</v>
      </c>
      <c r="D15" s="188">
        <v>1076.1693397885631</v>
      </c>
      <c r="E15" s="187">
        <v>1687.7897523259062</v>
      </c>
      <c r="F15" s="188">
        <v>2592.2165787191948</v>
      </c>
      <c r="G15" s="364">
        <v>6.6224218549822259E-2</v>
      </c>
    </row>
    <row r="16" spans="1:10" ht="20" customHeight="1" thickBot="1">
      <c r="A16" s="328">
        <v>2005</v>
      </c>
      <c r="B16" s="188">
        <v>3415.1929895176959</v>
      </c>
      <c r="C16" s="187">
        <v>2210.8019372998301</v>
      </c>
      <c r="D16" s="188">
        <v>1184.6612422697292</v>
      </c>
      <c r="E16" s="187">
        <v>1753.636061440061</v>
      </c>
      <c r="F16" s="188">
        <v>2736.4253387803569</v>
      </c>
      <c r="G16" s="364">
        <v>5.5631447327759709E-2</v>
      </c>
    </row>
    <row r="17" spans="1:7" ht="20" customHeight="1" thickBot="1">
      <c r="A17" s="328">
        <v>2006</v>
      </c>
      <c r="B17" s="188">
        <v>3636.67</v>
      </c>
      <c r="C17" s="187">
        <v>2215.41</v>
      </c>
      <c r="D17" s="188">
        <v>1230.94</v>
      </c>
      <c r="E17" s="187">
        <v>1690.49</v>
      </c>
      <c r="F17" s="188">
        <v>2754.94</v>
      </c>
      <c r="G17" s="364">
        <v>6.7660026960192354E-3</v>
      </c>
    </row>
    <row r="18" spans="1:7" ht="20" customHeight="1" thickBot="1">
      <c r="A18" s="328">
        <v>2007</v>
      </c>
      <c r="B18" s="188">
        <v>3903.58</v>
      </c>
      <c r="C18" s="187">
        <v>2360.81</v>
      </c>
      <c r="D18" s="188">
        <v>1312.45</v>
      </c>
      <c r="E18" s="187">
        <v>1791.63</v>
      </c>
      <c r="F18" s="188">
        <v>2862.81</v>
      </c>
      <c r="G18" s="364">
        <v>3.915511771581226E-2</v>
      </c>
    </row>
    <row r="19" spans="1:7" ht="20" customHeight="1" thickBot="1">
      <c r="A19" s="328">
        <v>2008</v>
      </c>
      <c r="B19" s="188">
        <v>4193.12</v>
      </c>
      <c r="C19" s="187">
        <v>2525.2199999999998</v>
      </c>
      <c r="D19" s="188">
        <v>1563.03</v>
      </c>
      <c r="E19" s="187">
        <v>1904.22</v>
      </c>
      <c r="F19" s="188">
        <v>2983.62</v>
      </c>
      <c r="G19" s="364">
        <v>4.2199796703239034E-2</v>
      </c>
    </row>
    <row r="20" spans="1:7" ht="30" customHeight="1" thickBot="1">
      <c r="A20" s="329">
        <v>2009</v>
      </c>
      <c r="B20" s="191">
        <v>4441.9708725220817</v>
      </c>
      <c r="C20" s="190">
        <v>2638.2955656157005</v>
      </c>
      <c r="D20" s="191">
        <v>1632.0689143820541</v>
      </c>
      <c r="E20" s="190">
        <v>2049.5670694598875</v>
      </c>
      <c r="F20" s="191">
        <v>3068.7231792819921</v>
      </c>
      <c r="G20" s="909">
        <v>2.8523464543739552E-2</v>
      </c>
    </row>
    <row r="21" spans="1:7" ht="20" customHeight="1">
      <c r="A21" s="140" t="s">
        <v>1837</v>
      </c>
      <c r="B21" s="140"/>
      <c r="C21" s="140"/>
      <c r="D21" s="140"/>
      <c r="E21" s="140"/>
      <c r="F21" s="140"/>
      <c r="G21" s="373"/>
    </row>
    <row r="22" spans="1:7">
      <c r="G22" s="374"/>
    </row>
    <row r="23" spans="1:7">
      <c r="A23" s="2" t="s">
        <v>2522</v>
      </c>
      <c r="G23" s="374"/>
    </row>
    <row r="24" spans="1:7">
      <c r="G24" s="374"/>
    </row>
    <row r="25" spans="1:7">
      <c r="G25" s="374"/>
    </row>
    <row r="26" spans="1:7" ht="18">
      <c r="A26" s="918" t="s">
        <v>1179</v>
      </c>
      <c r="G26" s="374"/>
    </row>
    <row r="27" spans="1:7">
      <c r="G27" s="374"/>
    </row>
    <row r="28" spans="1:7" ht="18" customHeight="1">
      <c r="A28" s="305"/>
      <c r="B28" s="120" t="s">
        <v>1798</v>
      </c>
      <c r="C28" s="357" t="s">
        <v>1801</v>
      </c>
      <c r="D28" s="120" t="s">
        <v>611</v>
      </c>
      <c r="E28" s="357" t="s">
        <v>1801</v>
      </c>
      <c r="F28" s="120" t="s">
        <v>2210</v>
      </c>
      <c r="G28" s="357" t="s">
        <v>1801</v>
      </c>
    </row>
    <row r="29" spans="1:7" ht="18" customHeight="1">
      <c r="A29" s="919"/>
      <c r="B29" s="123" t="s">
        <v>1803</v>
      </c>
      <c r="C29" s="358" t="s">
        <v>1802</v>
      </c>
      <c r="D29" s="123" t="s">
        <v>1804</v>
      </c>
      <c r="E29" s="358" t="s">
        <v>1802</v>
      </c>
      <c r="F29" s="123" t="s">
        <v>2211</v>
      </c>
      <c r="G29" s="358" t="s">
        <v>1802</v>
      </c>
    </row>
    <row r="30" spans="1:7" ht="18" customHeight="1">
      <c r="A30" s="325"/>
      <c r="B30" s="123"/>
      <c r="C30" s="358" t="s">
        <v>1806</v>
      </c>
      <c r="D30" s="123"/>
      <c r="E30" s="358" t="s">
        <v>1806</v>
      </c>
      <c r="F30" s="123"/>
      <c r="G30" s="358" t="s">
        <v>1806</v>
      </c>
    </row>
    <row r="31" spans="1:7" ht="18" customHeight="1">
      <c r="A31" s="326" t="s">
        <v>2320</v>
      </c>
      <c r="B31" s="129"/>
      <c r="C31" s="128"/>
      <c r="D31" s="129"/>
      <c r="E31" s="153"/>
      <c r="F31" s="129"/>
      <c r="G31" s="359"/>
    </row>
    <row r="32" spans="1:7" ht="2.25" customHeight="1" thickBot="1">
      <c r="A32" s="327">
        <v>1996</v>
      </c>
      <c r="B32" s="170" t="s">
        <v>744</v>
      </c>
      <c r="C32" s="171" t="s">
        <v>744</v>
      </c>
      <c r="D32" s="170" t="s">
        <v>744</v>
      </c>
      <c r="E32" s="171" t="s">
        <v>744</v>
      </c>
      <c r="F32" s="170" t="s">
        <v>744</v>
      </c>
      <c r="G32" s="375" t="s">
        <v>744</v>
      </c>
    </row>
    <row r="33" spans="1:7" ht="0.75" customHeight="1" thickBot="1">
      <c r="A33" s="328">
        <v>1997</v>
      </c>
      <c r="B33" s="188">
        <v>578.16999999999996</v>
      </c>
      <c r="C33" s="1103" t="s">
        <v>744</v>
      </c>
      <c r="D33" s="188">
        <v>891.7</v>
      </c>
      <c r="E33" s="1103" t="s">
        <v>744</v>
      </c>
      <c r="F33" s="188">
        <v>2289.58</v>
      </c>
      <c r="G33" s="364" t="s">
        <v>744</v>
      </c>
    </row>
    <row r="34" spans="1:7" ht="18" hidden="1" customHeight="1" thickBot="1">
      <c r="A34" s="328">
        <v>1998</v>
      </c>
      <c r="B34" s="188">
        <v>619.65</v>
      </c>
      <c r="C34" s="364">
        <v>7.1743604822111173E-2</v>
      </c>
      <c r="D34" s="188">
        <v>941.32</v>
      </c>
      <c r="E34" s="364">
        <v>5.564651788718189E-2</v>
      </c>
      <c r="F34" s="188">
        <v>2462.12</v>
      </c>
      <c r="G34" s="364">
        <v>7.5358799430463197E-2</v>
      </c>
    </row>
    <row r="35" spans="1:7" ht="18" customHeight="1" thickBot="1">
      <c r="A35" s="328">
        <v>1999</v>
      </c>
      <c r="B35" s="188">
        <v>634.95000000000005</v>
      </c>
      <c r="C35" s="364">
        <v>2.4691358024691468E-2</v>
      </c>
      <c r="D35" s="188">
        <v>971.45</v>
      </c>
      <c r="E35" s="364">
        <v>3.200824374282929E-2</v>
      </c>
      <c r="F35" s="188">
        <v>2570.02</v>
      </c>
      <c r="G35" s="364">
        <v>4.382402157490306E-2</v>
      </c>
    </row>
    <row r="36" spans="1:7" ht="18" customHeight="1" thickBot="1">
      <c r="A36" s="328">
        <v>2000</v>
      </c>
      <c r="B36" s="188">
        <v>669.86</v>
      </c>
      <c r="C36" s="364">
        <v>5.4980707142294527E-2</v>
      </c>
      <c r="D36" s="188">
        <v>1028.6199999999999</v>
      </c>
      <c r="E36" s="364">
        <v>5.885017242266688E-2</v>
      </c>
      <c r="F36" s="188">
        <v>2753.78</v>
      </c>
      <c r="G36" s="364">
        <v>7.1501389094248413E-2</v>
      </c>
    </row>
    <row r="37" spans="1:7" ht="18" customHeight="1" thickBot="1">
      <c r="A37" s="328">
        <v>2001</v>
      </c>
      <c r="B37" s="188">
        <v>702.31</v>
      </c>
      <c r="C37" s="364">
        <v>4.8442958230077826E-2</v>
      </c>
      <c r="D37" s="188">
        <v>1072.96</v>
      </c>
      <c r="E37" s="364">
        <v>4.3106297758161549E-2</v>
      </c>
      <c r="F37" s="188">
        <v>2898.13</v>
      </c>
      <c r="G37" s="364">
        <v>5.2418856989302043E-2</v>
      </c>
    </row>
    <row r="38" spans="1:7" ht="18" customHeight="1" thickBot="1">
      <c r="A38" s="328">
        <v>2002</v>
      </c>
      <c r="B38" s="188">
        <v>715.59</v>
      </c>
      <c r="C38" s="364">
        <v>1.8909028776466386E-2</v>
      </c>
      <c r="D38" s="188">
        <v>1090.74</v>
      </c>
      <c r="E38" s="364">
        <v>1.6570981210855873E-2</v>
      </c>
      <c r="F38" s="188">
        <v>2994.63</v>
      </c>
      <c r="G38" s="364">
        <v>3.3297333107900506E-2</v>
      </c>
    </row>
    <row r="39" spans="1:7" ht="18" customHeight="1" thickBot="1">
      <c r="A39" s="328">
        <v>2003</v>
      </c>
      <c r="B39" s="188">
        <v>741.79</v>
      </c>
      <c r="C39" s="364">
        <v>3.6613144398328634E-2</v>
      </c>
      <c r="D39" s="188">
        <v>1120.92</v>
      </c>
      <c r="E39" s="364">
        <v>2.7669288739754716E-2</v>
      </c>
      <c r="F39" s="188">
        <v>3118.37</v>
      </c>
      <c r="G39" s="364">
        <v>4.1320630595432339E-2</v>
      </c>
    </row>
    <row r="40" spans="1:7" ht="18" customHeight="1" thickBot="1">
      <c r="A40" s="328">
        <v>2004</v>
      </c>
      <c r="B40" s="188">
        <v>782.37</v>
      </c>
      <c r="C40" s="364">
        <v>5.4705509645587069E-2</v>
      </c>
      <c r="D40" s="188">
        <v>1166.3800000000001</v>
      </c>
      <c r="E40" s="364">
        <v>4.0555971880241293E-2</v>
      </c>
      <c r="F40" s="188">
        <v>3296.18</v>
      </c>
      <c r="G40" s="364">
        <v>5.7020174001160884E-2</v>
      </c>
    </row>
    <row r="41" spans="1:7" ht="18" customHeight="1" thickBot="1">
      <c r="A41" s="328">
        <v>2005</v>
      </c>
      <c r="B41" s="188">
        <v>842.26</v>
      </c>
      <c r="C41" s="364">
        <v>7.6549458696013373E-2</v>
      </c>
      <c r="D41" s="188">
        <v>1192.9100000000001</v>
      </c>
      <c r="E41" s="364">
        <v>2.2745588916133652E-2</v>
      </c>
      <c r="F41" s="188">
        <v>3456.92</v>
      </c>
      <c r="G41" s="364">
        <v>4.8765540716829925E-2</v>
      </c>
    </row>
    <row r="42" spans="1:7" ht="18" customHeight="1" thickBot="1">
      <c r="A42" s="328">
        <v>2006</v>
      </c>
      <c r="B42" s="188">
        <v>852.62</v>
      </c>
      <c r="C42" s="364">
        <v>1.2300239830931092E-2</v>
      </c>
      <c r="D42" s="188">
        <v>1171.6600000000001</v>
      </c>
      <c r="E42" s="364">
        <v>-1.7813581913136756E-2</v>
      </c>
      <c r="F42" s="188">
        <v>3483.89</v>
      </c>
      <c r="G42" s="364">
        <v>7.8017425916712124E-3</v>
      </c>
    </row>
    <row r="43" spans="1:7" ht="18" customHeight="1" thickBot="1">
      <c r="A43" s="328">
        <v>2007</v>
      </c>
      <c r="B43" s="188">
        <v>903.11</v>
      </c>
      <c r="C43" s="364">
        <v>5.9217470854542542E-2</v>
      </c>
      <c r="D43" s="188">
        <v>1190.6199999999999</v>
      </c>
      <c r="E43" s="364">
        <v>1.6182168888585258E-2</v>
      </c>
      <c r="F43" s="188">
        <v>3600.94</v>
      </c>
      <c r="G43" s="364">
        <v>3.3597501643278127E-2</v>
      </c>
    </row>
    <row r="44" spans="1:7" ht="18" customHeight="1" thickBot="1">
      <c r="A44" s="328">
        <v>2008</v>
      </c>
      <c r="B44" s="188">
        <v>927.10641606481363</v>
      </c>
      <c r="C44" s="364">
        <v>2.6570867407972099E-2</v>
      </c>
      <c r="D44" s="188">
        <v>1232.0845759774513</v>
      </c>
      <c r="E44" s="364">
        <v>3.4826036835809537E-2</v>
      </c>
      <c r="F44" s="188">
        <v>3745.8697096406327</v>
      </c>
      <c r="G44" s="364">
        <v>4.024774354491667E-2</v>
      </c>
    </row>
    <row r="45" spans="1:7" ht="24" customHeight="1" thickBot="1">
      <c r="A45" s="921">
        <v>2009</v>
      </c>
      <c r="B45" s="192">
        <v>961.34067298921809</v>
      </c>
      <c r="C45" s="909">
        <v>3.6925919539759988E-2</v>
      </c>
      <c r="D45" s="192">
        <v>1283.9269392146032</v>
      </c>
      <c r="E45" s="909">
        <v>4.2076951735252166E-2</v>
      </c>
      <c r="F45" s="192">
        <v>3850.7211121651544</v>
      </c>
      <c r="G45" s="909">
        <v>2.7991203819681454E-2</v>
      </c>
    </row>
    <row r="46" spans="1:7" ht="15" customHeight="1">
      <c r="A46" s="474" t="s">
        <v>1837</v>
      </c>
    </row>
    <row r="48" spans="1:7">
      <c r="A48" s="141" t="s">
        <v>2523</v>
      </c>
    </row>
    <row r="50" spans="1:1">
      <c r="A50" s="141" t="s">
        <v>2157</v>
      </c>
    </row>
    <row r="51" spans="1:1">
      <c r="A51" s="2" t="s">
        <v>689</v>
      </c>
    </row>
    <row r="52" spans="1:1">
      <c r="A52" s="2" t="s">
        <v>2524</v>
      </c>
    </row>
    <row r="55" spans="1:1">
      <c r="A55" s="2" t="s">
        <v>710</v>
      </c>
    </row>
  </sheetData>
  <mergeCells count="1">
    <mergeCell ref="A2:F2"/>
  </mergeCells>
  <phoneticPr fontId="0" type="noConversion"/>
  <pageMargins left="0.55118110236220474" right="0.39370078740157483" top="0.47244094488188981" bottom="0.33" header="0.27559055118110237" footer="0.21"/>
  <pageSetup paperSize="9" scale="74" orientation="portrait" horizontalDpi="1200" verticalDpi="1200"/>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62295-0479-5045-8179-9C5D2114BA32}">
  <sheetPr>
    <pageSetUpPr fitToPage="1"/>
  </sheetPr>
  <dimension ref="A1:V63"/>
  <sheetViews>
    <sheetView topLeftCell="A43" zoomScale="75" workbookViewId="0">
      <selection activeCell="A52" sqref="A52"/>
    </sheetView>
  </sheetViews>
  <sheetFormatPr baseColWidth="10" defaultColWidth="11.3984375" defaultRowHeight="13"/>
  <cols>
    <col min="1" max="1" width="11.796875" style="2" customWidth="1"/>
    <col min="2" max="2" width="17" style="2" customWidth="1"/>
    <col min="3" max="3" width="13" style="488" customWidth="1"/>
    <col min="4" max="4" width="13" style="2" customWidth="1"/>
    <col min="5" max="5" width="14" style="488" customWidth="1"/>
    <col min="6" max="6" width="13" style="2" customWidth="1"/>
    <col min="7" max="7" width="13" style="488" customWidth="1"/>
    <col min="8" max="8" width="13" style="2" customWidth="1"/>
    <col min="9" max="9" width="15.3984375" style="2" customWidth="1"/>
    <col min="10" max="12" width="13" style="2" customWidth="1"/>
    <col min="13" max="13" width="14.19921875" style="2" customWidth="1"/>
    <col min="14" max="14" width="13" style="2" customWidth="1"/>
    <col min="15" max="15" width="14.59765625" style="2" customWidth="1"/>
    <col min="16" max="16" width="13" style="2" customWidth="1"/>
    <col min="17" max="16384" width="11.3984375" style="2"/>
  </cols>
  <sheetData>
    <row r="1" spans="1:22" s="1" customFormat="1" ht="14" customHeight="1">
      <c r="A1" s="271"/>
      <c r="B1" s="271"/>
      <c r="C1" s="955"/>
      <c r="D1" s="271"/>
      <c r="E1" s="955"/>
      <c r="F1" s="271"/>
      <c r="G1" s="956"/>
      <c r="H1" s="956"/>
      <c r="I1" s="956"/>
      <c r="J1" s="956"/>
      <c r="K1" s="956"/>
      <c r="L1" s="956"/>
      <c r="M1" s="956"/>
      <c r="N1" s="956"/>
      <c r="O1" s="956"/>
      <c r="P1" s="956"/>
      <c r="Q1" s="956"/>
      <c r="R1" s="956"/>
      <c r="S1" s="956"/>
      <c r="T1" s="956"/>
      <c r="U1" s="956"/>
    </row>
    <row r="2" spans="1:22" s="1" customFormat="1" ht="25.5" customHeight="1">
      <c r="A2" s="118" t="s">
        <v>938</v>
      </c>
      <c r="B2" s="271"/>
      <c r="C2" s="955"/>
      <c r="D2" s="271"/>
      <c r="E2" s="955"/>
      <c r="F2" s="271"/>
      <c r="G2" s="955"/>
      <c r="N2" s="894"/>
    </row>
    <row r="3" spans="1:22" ht="24" customHeight="1">
      <c r="A3" s="119" t="s">
        <v>651</v>
      </c>
      <c r="B3" s="356" t="s">
        <v>909</v>
      </c>
      <c r="C3" s="121" t="s">
        <v>1801</v>
      </c>
      <c r="D3" s="120"/>
      <c r="E3" s="644"/>
      <c r="F3" s="120"/>
      <c r="G3" s="644"/>
      <c r="H3" s="120"/>
      <c r="I3" s="644"/>
      <c r="J3" s="120"/>
      <c r="K3" s="644"/>
      <c r="L3" s="120"/>
      <c r="M3" s="644"/>
      <c r="N3" s="120"/>
      <c r="O3"/>
    </row>
    <row r="4" spans="1:22" ht="17.25" customHeight="1">
      <c r="A4" s="325"/>
      <c r="B4" s="212" t="s">
        <v>939</v>
      </c>
      <c r="C4" s="124" t="s">
        <v>1802</v>
      </c>
      <c r="D4" s="957" t="s">
        <v>911</v>
      </c>
      <c r="E4" s="958" t="s">
        <v>911</v>
      </c>
      <c r="F4" s="957" t="s">
        <v>911</v>
      </c>
      <c r="G4" s="958" t="s">
        <v>911</v>
      </c>
      <c r="H4" s="957" t="s">
        <v>911</v>
      </c>
      <c r="I4" s="958" t="s">
        <v>911</v>
      </c>
      <c r="J4" s="957" t="s">
        <v>911</v>
      </c>
      <c r="K4" s="958" t="s">
        <v>911</v>
      </c>
      <c r="L4" s="957" t="s">
        <v>911</v>
      </c>
      <c r="M4" s="958" t="s">
        <v>911</v>
      </c>
      <c r="N4" s="957" t="s">
        <v>911</v>
      </c>
      <c r="O4"/>
    </row>
    <row r="5" spans="1:22" ht="15" customHeight="1">
      <c r="A5" s="325"/>
      <c r="B5" s="123"/>
      <c r="C5" s="124" t="s">
        <v>1806</v>
      </c>
      <c r="D5" s="957" t="s">
        <v>912</v>
      </c>
      <c r="E5" s="958" t="s">
        <v>913</v>
      </c>
      <c r="F5" s="957" t="s">
        <v>914</v>
      </c>
      <c r="G5" s="958" t="s">
        <v>914</v>
      </c>
      <c r="H5" s="957" t="s">
        <v>1018</v>
      </c>
      <c r="I5" s="958" t="s">
        <v>1019</v>
      </c>
      <c r="J5" s="957" t="s">
        <v>1020</v>
      </c>
      <c r="K5" s="958" t="s">
        <v>1021</v>
      </c>
      <c r="L5" s="957" t="s">
        <v>915</v>
      </c>
      <c r="M5" s="958" t="s">
        <v>916</v>
      </c>
      <c r="N5" s="957" t="s">
        <v>917</v>
      </c>
      <c r="O5"/>
    </row>
    <row r="6" spans="1:22" s="141" customFormat="1" ht="19.5" customHeight="1">
      <c r="A6" s="912"/>
      <c r="B6" s="392"/>
      <c r="C6" s="959"/>
      <c r="D6" s="960" t="s">
        <v>918</v>
      </c>
      <c r="E6" s="961" t="s">
        <v>918</v>
      </c>
      <c r="F6" s="960" t="s">
        <v>919</v>
      </c>
      <c r="G6" s="961" t="s">
        <v>920</v>
      </c>
      <c r="H6" s="960"/>
      <c r="I6" s="961"/>
      <c r="J6" s="960"/>
      <c r="K6" s="961"/>
      <c r="L6" s="960" t="s">
        <v>921</v>
      </c>
      <c r="M6" s="961" t="s">
        <v>922</v>
      </c>
      <c r="N6" s="960" t="s">
        <v>923</v>
      </c>
      <c r="O6"/>
    </row>
    <row r="7" spans="1:22" ht="19.5" customHeight="1">
      <c r="A7" s="326"/>
      <c r="B7" s="129"/>
      <c r="C7" s="646"/>
      <c r="D7" s="392"/>
      <c r="E7" s="959"/>
      <c r="F7" s="392"/>
      <c r="G7" s="959"/>
      <c r="H7" s="392"/>
      <c r="I7" s="959"/>
      <c r="J7" s="392"/>
      <c r="K7" s="646"/>
      <c r="L7" s="392"/>
      <c r="M7" s="959"/>
      <c r="N7" s="392"/>
      <c r="O7"/>
    </row>
    <row r="8" spans="1:22" ht="2.25" customHeight="1" thickBot="1">
      <c r="A8" s="327">
        <v>1996</v>
      </c>
      <c r="B8" s="170">
        <v>8214.622179967444</v>
      </c>
      <c r="C8" s="157">
        <v>0.11122052660984157</v>
      </c>
      <c r="D8" s="185" t="s">
        <v>744</v>
      </c>
      <c r="E8" s="184" t="s">
        <v>744</v>
      </c>
      <c r="F8" s="185" t="s">
        <v>744</v>
      </c>
      <c r="G8" s="184" t="s">
        <v>744</v>
      </c>
      <c r="H8" s="185" t="s">
        <v>744</v>
      </c>
      <c r="I8" s="184" t="s">
        <v>744</v>
      </c>
      <c r="J8" s="185" t="s">
        <v>744</v>
      </c>
      <c r="K8" s="171">
        <v>56.88</v>
      </c>
      <c r="L8" s="185" t="s">
        <v>744</v>
      </c>
      <c r="M8" s="184" t="s">
        <v>744</v>
      </c>
      <c r="N8" s="185" t="s">
        <v>744</v>
      </c>
      <c r="O8"/>
    </row>
    <row r="9" spans="1:22" ht="0.75" hidden="1" customHeight="1" thickBot="1">
      <c r="A9" s="328">
        <v>1997</v>
      </c>
      <c r="B9" s="188">
        <v>8735.6547899365542</v>
      </c>
      <c r="C9" s="158">
        <v>6.3427458811158022E-2</v>
      </c>
      <c r="D9" s="185" t="s">
        <v>744</v>
      </c>
      <c r="E9" s="184" t="s">
        <v>744</v>
      </c>
      <c r="F9" s="185" t="s">
        <v>744</v>
      </c>
      <c r="G9" s="184" t="s">
        <v>744</v>
      </c>
      <c r="H9" s="185" t="s">
        <v>744</v>
      </c>
      <c r="I9" s="184" t="s">
        <v>744</v>
      </c>
      <c r="J9" s="185" t="s">
        <v>744</v>
      </c>
      <c r="K9" s="187">
        <v>56.26</v>
      </c>
      <c r="L9" s="185" t="s">
        <v>744</v>
      </c>
      <c r="M9" s="184" t="s">
        <v>744</v>
      </c>
      <c r="N9" s="185" t="s">
        <v>744</v>
      </c>
      <c r="O9"/>
      <c r="T9" s="8"/>
      <c r="U9" s="8"/>
      <c r="V9" s="8"/>
    </row>
    <row r="10" spans="1:22" ht="19.5" hidden="1" customHeight="1" thickBot="1">
      <c r="A10" s="328">
        <v>1998</v>
      </c>
      <c r="B10" s="188">
        <v>9332.6868080000004</v>
      </c>
      <c r="C10" s="158">
        <v>6.8344277838362513E-2</v>
      </c>
      <c r="D10" s="188">
        <v>3748.16</v>
      </c>
      <c r="E10" s="187">
        <v>1302.8</v>
      </c>
      <c r="F10" s="188">
        <v>933.79</v>
      </c>
      <c r="G10" s="187">
        <v>1787.54</v>
      </c>
      <c r="H10" s="188">
        <v>223.97</v>
      </c>
      <c r="I10" s="187">
        <v>417.71</v>
      </c>
      <c r="J10" s="188">
        <v>397.5</v>
      </c>
      <c r="K10" s="187">
        <v>56.3</v>
      </c>
      <c r="L10" s="188">
        <v>104.38</v>
      </c>
      <c r="M10" s="187">
        <v>87.2</v>
      </c>
      <c r="N10" s="188" t="s">
        <v>744</v>
      </c>
      <c r="O10"/>
    </row>
    <row r="11" spans="1:22" ht="20" customHeight="1" thickBot="1">
      <c r="A11" s="328">
        <v>1999</v>
      </c>
      <c r="B11" s="188">
        <v>9826.7075550000009</v>
      </c>
      <c r="C11" s="158">
        <v>5.2934461121798788E-2</v>
      </c>
      <c r="D11" s="188">
        <v>3764.53</v>
      </c>
      <c r="E11" s="187">
        <v>1484.57</v>
      </c>
      <c r="F11" s="188">
        <v>1031.77</v>
      </c>
      <c r="G11" s="187">
        <v>1873.03</v>
      </c>
      <c r="H11" s="188">
        <v>235.27</v>
      </c>
      <c r="I11" s="187">
        <v>437.19</v>
      </c>
      <c r="J11" s="188">
        <v>413.87</v>
      </c>
      <c r="K11" s="187">
        <v>60.6</v>
      </c>
      <c r="L11" s="188">
        <v>125.04</v>
      </c>
      <c r="M11" s="187">
        <v>87.9</v>
      </c>
      <c r="N11" s="188" t="s">
        <v>744</v>
      </c>
      <c r="O11"/>
    </row>
    <row r="12" spans="1:22" ht="20" customHeight="1" thickBot="1">
      <c r="A12" s="328">
        <v>2000</v>
      </c>
      <c r="B12" s="188">
        <v>10542.816855999999</v>
      </c>
      <c r="C12" s="158">
        <v>7.2873777609839388E-2</v>
      </c>
      <c r="D12" s="188">
        <v>3846.3722419999999</v>
      </c>
      <c r="E12" s="187">
        <v>1665.8885190000001</v>
      </c>
      <c r="F12" s="188">
        <v>1143.2080209999999</v>
      </c>
      <c r="G12" s="187">
        <v>2097.7667449999999</v>
      </c>
      <c r="H12" s="188">
        <v>253.12159500000001</v>
      </c>
      <c r="I12" s="187">
        <v>446.74208700000003</v>
      </c>
      <c r="J12" s="188">
        <v>442.743357</v>
      </c>
      <c r="K12" s="187">
        <v>62.290866000000001</v>
      </c>
      <c r="L12" s="188">
        <v>179.87060299999999</v>
      </c>
      <c r="M12" s="187">
        <v>114.545208</v>
      </c>
      <c r="N12" s="188" t="s">
        <v>744</v>
      </c>
      <c r="O12"/>
    </row>
    <row r="13" spans="1:22" ht="20" customHeight="1" thickBot="1">
      <c r="A13" s="328">
        <v>2001</v>
      </c>
      <c r="B13" s="188">
        <v>11308.048632</v>
      </c>
      <c r="C13" s="158">
        <v>7.2583237141646939E-2</v>
      </c>
      <c r="D13" s="188">
        <v>4011.5563699999998</v>
      </c>
      <c r="E13" s="187">
        <v>1925.523136</v>
      </c>
      <c r="F13" s="188">
        <v>1271.4507229999999</v>
      </c>
      <c r="G13" s="187">
        <v>2242.439856</v>
      </c>
      <c r="H13" s="188">
        <v>270.321618</v>
      </c>
      <c r="I13" s="187">
        <v>480.12928299999999</v>
      </c>
      <c r="J13" s="188">
        <v>462.70975499999997</v>
      </c>
      <c r="K13" s="187">
        <v>65.236801</v>
      </c>
      <c r="L13" s="188">
        <v>173.02369200000001</v>
      </c>
      <c r="M13" s="187">
        <v>106.32983400000001</v>
      </c>
      <c r="N13" s="188">
        <v>20.166156999999998</v>
      </c>
      <c r="O13"/>
    </row>
    <row r="14" spans="1:22" ht="20" customHeight="1" thickBot="1">
      <c r="A14" s="328">
        <v>2002</v>
      </c>
      <c r="B14" s="188">
        <v>11864.756498999999</v>
      </c>
      <c r="C14" s="158">
        <v>4.9231117155315675E-2</v>
      </c>
      <c r="D14" s="188">
        <v>4108.8234659999998</v>
      </c>
      <c r="E14" s="187">
        <v>1972.059045</v>
      </c>
      <c r="F14" s="188">
        <v>1260.789229</v>
      </c>
      <c r="G14" s="187">
        <v>2524.68426</v>
      </c>
      <c r="H14" s="188">
        <v>290.06557500000002</v>
      </c>
      <c r="I14" s="187">
        <v>506.24601999999999</v>
      </c>
      <c r="J14" s="188">
        <v>485.55174599999998</v>
      </c>
      <c r="K14" s="187">
        <v>65.211265999999995</v>
      </c>
      <c r="L14" s="188">
        <v>202.87558799999999</v>
      </c>
      <c r="M14" s="187">
        <v>112.82700800000001</v>
      </c>
      <c r="N14" s="188">
        <v>22.283301000000002</v>
      </c>
      <c r="O14"/>
    </row>
    <row r="15" spans="1:22" ht="20" customHeight="1" thickBot="1">
      <c r="A15" s="328">
        <v>2003</v>
      </c>
      <c r="B15" s="188">
        <v>12287.171129999999</v>
      </c>
      <c r="C15" s="158">
        <v>3.560246946792394E-2</v>
      </c>
      <c r="D15" s="188">
        <v>4172.0328019999997</v>
      </c>
      <c r="E15" s="187">
        <v>2141.3752909999998</v>
      </c>
      <c r="F15" s="188">
        <v>1347.924618</v>
      </c>
      <c r="G15" s="187">
        <v>2602.0570160000002</v>
      </c>
      <c r="H15" s="188">
        <v>320.12044100000003</v>
      </c>
      <c r="I15" s="187">
        <v>491.37185499999998</v>
      </c>
      <c r="J15" s="188">
        <v>480.48790700000001</v>
      </c>
      <c r="K15" s="187">
        <v>65.007204000000002</v>
      </c>
      <c r="L15" s="188">
        <v>214.51952800000001</v>
      </c>
      <c r="M15" s="187">
        <v>112.746364</v>
      </c>
      <c r="N15" s="188">
        <v>30.331126999999999</v>
      </c>
      <c r="O15"/>
    </row>
    <row r="16" spans="1:22" ht="20" customHeight="1" thickBot="1">
      <c r="A16" s="328">
        <v>2004</v>
      </c>
      <c r="B16" s="188">
        <v>12930.941864000002</v>
      </c>
      <c r="C16" s="158">
        <v>5.2393730598265333E-2</v>
      </c>
      <c r="D16" s="188">
        <v>4377.7035830000004</v>
      </c>
      <c r="E16" s="187">
        <v>2192.3005199999998</v>
      </c>
      <c r="F16" s="188">
        <v>1398.7252390000001</v>
      </c>
      <c r="G16" s="187">
        <v>2750.1970510000001</v>
      </c>
      <c r="H16" s="188">
        <v>365.15373399999999</v>
      </c>
      <c r="I16" s="187">
        <v>505.40384999999998</v>
      </c>
      <c r="J16" s="188">
        <v>591.27084500000001</v>
      </c>
      <c r="K16" s="187">
        <v>68.244215999999994</v>
      </c>
      <c r="L16" s="188">
        <v>259.95297099999999</v>
      </c>
      <c r="M16" s="187">
        <v>79.496533999999997</v>
      </c>
      <c r="N16" s="188">
        <v>25.676613</v>
      </c>
      <c r="O16"/>
    </row>
    <row r="17" spans="1:17" ht="20" customHeight="1" thickBot="1">
      <c r="A17" s="328">
        <v>2005</v>
      </c>
      <c r="B17" s="188">
        <v>13896.515273999998</v>
      </c>
      <c r="C17" s="158">
        <v>7.467154520956984E-2</v>
      </c>
      <c r="D17" s="188">
        <v>4526.5123919999996</v>
      </c>
      <c r="E17" s="187">
        <v>2671.1515180000001</v>
      </c>
      <c r="F17" s="188">
        <v>1472.471274</v>
      </c>
      <c r="G17" s="187">
        <v>2820.8304370000001</v>
      </c>
      <c r="H17" s="188">
        <v>388.382814</v>
      </c>
      <c r="I17" s="187">
        <v>531.73997799999995</v>
      </c>
      <c r="J17" s="188">
        <v>664.98868300000004</v>
      </c>
      <c r="K17" s="187">
        <v>69.204526000000001</v>
      </c>
      <c r="L17" s="188">
        <v>297.96774900000003</v>
      </c>
      <c r="M17" s="187">
        <v>52.688243999999997</v>
      </c>
      <c r="N17" s="188">
        <v>24.155256000000001</v>
      </c>
      <c r="O17"/>
    </row>
    <row r="18" spans="1:17" ht="20" customHeight="1" thickBot="1">
      <c r="A18" s="328">
        <v>2006</v>
      </c>
      <c r="B18" s="188">
        <v>14030.772541999999</v>
      </c>
      <c r="C18" s="158">
        <v>9.6612183236464248E-3</v>
      </c>
      <c r="D18" s="188">
        <v>4631.4300709999998</v>
      </c>
      <c r="E18" s="187">
        <v>2644.9903220000001</v>
      </c>
      <c r="F18" s="188">
        <v>1472.366248</v>
      </c>
      <c r="G18" s="187">
        <v>2826.9170079999999</v>
      </c>
      <c r="H18" s="188">
        <v>416.81203599999998</v>
      </c>
      <c r="I18" s="187">
        <v>539.40939700000001</v>
      </c>
      <c r="J18" s="188">
        <v>625.59989599999994</v>
      </c>
      <c r="K18" s="187">
        <v>68.417607000000004</v>
      </c>
      <c r="L18" s="188">
        <v>336.37458700000002</v>
      </c>
      <c r="M18" s="187">
        <v>61.767296000000002</v>
      </c>
      <c r="N18" s="188">
        <v>11.768563</v>
      </c>
      <c r="O18"/>
    </row>
    <row r="19" spans="1:17" ht="20" customHeight="1" thickBot="1">
      <c r="A19" s="328">
        <v>2007</v>
      </c>
      <c r="B19" s="188">
        <v>14675.691045</v>
      </c>
      <c r="C19" s="158">
        <v>4.5964575440838207E-2</v>
      </c>
      <c r="D19" s="188">
        <v>4835.7349899999999</v>
      </c>
      <c r="E19" s="187">
        <v>2824.687347</v>
      </c>
      <c r="F19" s="188">
        <v>1518.895055</v>
      </c>
      <c r="G19" s="187">
        <v>2887.694485</v>
      </c>
      <c r="H19" s="188">
        <v>456.109013</v>
      </c>
      <c r="I19" s="187">
        <v>553.92740000000003</v>
      </c>
      <c r="J19" s="188">
        <v>633.04220399999997</v>
      </c>
      <c r="K19" s="187">
        <v>71.228594000000001</v>
      </c>
      <c r="L19" s="188">
        <v>373.80373800000001</v>
      </c>
      <c r="M19" s="187">
        <v>64.120796999999996</v>
      </c>
      <c r="N19" s="188">
        <v>9.7957180000000008</v>
      </c>
      <c r="O19"/>
    </row>
    <row r="20" spans="1:17" ht="20" customHeight="1" thickBot="1">
      <c r="A20" s="328">
        <v>2008</v>
      </c>
      <c r="B20" s="188">
        <v>15615.666009989998</v>
      </c>
      <c r="C20" s="158">
        <v>6.4049792415754592E-2</v>
      </c>
      <c r="D20" s="188">
        <v>5103.8810920400001</v>
      </c>
      <c r="E20" s="187">
        <v>3255.3153891399998</v>
      </c>
      <c r="F20" s="188">
        <v>1619.4145700199999</v>
      </c>
      <c r="G20" s="187">
        <v>3019.5684620500001</v>
      </c>
      <c r="H20" s="188">
        <v>496.14749419999998</v>
      </c>
      <c r="I20" s="187">
        <v>572.72103085000003</v>
      </c>
      <c r="J20" s="188">
        <v>686.59783748999996</v>
      </c>
      <c r="K20" s="187">
        <v>71.69690340999999</v>
      </c>
      <c r="L20" s="188">
        <v>374.54323960000005</v>
      </c>
      <c r="M20" s="187">
        <v>55.54561923</v>
      </c>
      <c r="N20" s="188">
        <v>10.82962706</v>
      </c>
      <c r="O20"/>
    </row>
    <row r="21" spans="1:17" s="162" customFormat="1" ht="30" customHeight="1" thickBot="1">
      <c r="A21" s="376">
        <v>2009</v>
      </c>
      <c r="B21" s="298">
        <v>16254.018595869999</v>
      </c>
      <c r="C21" s="161">
        <v>4.0878985595082407E-2</v>
      </c>
      <c r="D21" s="298">
        <v>5227.31893072</v>
      </c>
      <c r="E21" s="395">
        <v>3473.7134508499998</v>
      </c>
      <c r="F21" s="298">
        <v>1697.4901301199998</v>
      </c>
      <c r="G21" s="395">
        <v>3136.26183201</v>
      </c>
      <c r="H21" s="298">
        <v>531.28997864999997</v>
      </c>
      <c r="I21" s="395">
        <v>592.22791487999996</v>
      </c>
      <c r="J21" s="298">
        <v>691.81437719000007</v>
      </c>
      <c r="K21" s="395">
        <v>72.583560519999992</v>
      </c>
      <c r="L21" s="298">
        <v>392.16189391</v>
      </c>
      <c r="M21" s="395">
        <v>62.042064340000003</v>
      </c>
      <c r="N21" s="298">
        <v>9.6207207700000001</v>
      </c>
      <c r="O21"/>
      <c r="P21" s="965"/>
      <c r="Q21" s="966"/>
    </row>
    <row r="22" spans="1:17" ht="17.25" customHeight="1" thickBot="1">
      <c r="A22" s="418"/>
      <c r="B22" s="712"/>
      <c r="C22" s="967"/>
      <c r="D22" s="712"/>
      <c r="E22" s="967"/>
      <c r="F22" s="712"/>
      <c r="G22" s="967"/>
      <c r="P22" s="3"/>
      <c r="Q22" s="3"/>
    </row>
    <row r="23" spans="1:17" s="265" customFormat="1" ht="51" customHeight="1" thickBot="1">
      <c r="A23" s="968" t="s">
        <v>924</v>
      </c>
      <c r="B23" s="461">
        <v>5.1611367654811113E-2</v>
      </c>
      <c r="C23" s="970" t="s">
        <v>744</v>
      </c>
      <c r="D23" s="461">
        <v>3.337231824211484E-2</v>
      </c>
      <c r="E23" s="970">
        <v>8.8727846407228528E-2</v>
      </c>
      <c r="F23" s="461">
        <v>5.1047724168402864E-2</v>
      </c>
      <c r="G23" s="970">
        <v>5.2899108418204221E-2</v>
      </c>
      <c r="H23" s="461">
        <v>8.4867020851998154E-2</v>
      </c>
      <c r="I23" s="970">
        <v>3.0817695995559724E-2</v>
      </c>
      <c r="J23" s="461">
        <v>5.2719247845523176E-2</v>
      </c>
      <c r="K23" s="970">
        <v>1.8208139435241355E-2</v>
      </c>
      <c r="L23" s="461">
        <v>0.12109300450498961</v>
      </c>
      <c r="M23" s="970">
        <v>-3.4238837626997753E-2</v>
      </c>
      <c r="N23" s="461" t="s">
        <v>744</v>
      </c>
      <c r="P23" s="965"/>
      <c r="Q23" s="965"/>
    </row>
    <row r="24" spans="1:17" ht="39" customHeight="1">
      <c r="A24" s="418"/>
      <c r="B24" s="971"/>
      <c r="C24" s="967"/>
      <c r="D24" s="712"/>
      <c r="E24" s="967"/>
      <c r="F24" s="712"/>
      <c r="G24" s="967"/>
    </row>
    <row r="25" spans="1:17" ht="16.5" customHeight="1">
      <c r="A25" s="119" t="s">
        <v>651</v>
      </c>
      <c r="B25" s="212" t="s">
        <v>925</v>
      </c>
      <c r="C25" s="121" t="s">
        <v>1801</v>
      </c>
      <c r="D25" s="120"/>
      <c r="E25" s="644"/>
      <c r="F25"/>
      <c r="G25" s="2"/>
      <c r="H25" s="356" t="s">
        <v>1567</v>
      </c>
      <c r="I25" s="121" t="s">
        <v>1801</v>
      </c>
    </row>
    <row r="26" spans="1:17" ht="15.75" customHeight="1">
      <c r="A26" s="325"/>
      <c r="B26" s="212" t="s">
        <v>939</v>
      </c>
      <c r="C26" s="124" t="s">
        <v>1802</v>
      </c>
      <c r="D26" s="972" t="s">
        <v>911</v>
      </c>
      <c r="E26" s="973" t="s">
        <v>911</v>
      </c>
      <c r="F26"/>
      <c r="G26" s="2"/>
      <c r="H26" s="212" t="s">
        <v>2541</v>
      </c>
      <c r="I26" s="124" t="s">
        <v>1802</v>
      </c>
    </row>
    <row r="27" spans="1:17" ht="12" customHeight="1">
      <c r="A27" s="325"/>
      <c r="B27" s="123"/>
      <c r="C27" s="124" t="s">
        <v>1806</v>
      </c>
      <c r="D27" s="972" t="s">
        <v>926</v>
      </c>
      <c r="E27" s="973" t="s">
        <v>927</v>
      </c>
      <c r="F27"/>
      <c r="G27" s="2"/>
      <c r="H27" s="123"/>
      <c r="I27" s="124" t="s">
        <v>1806</v>
      </c>
    </row>
    <row r="28" spans="1:17" ht="19.5" customHeight="1">
      <c r="A28" s="912"/>
      <c r="B28" s="392"/>
      <c r="C28" s="959"/>
      <c r="D28" s="972" t="s">
        <v>928</v>
      </c>
      <c r="E28" s="973"/>
      <c r="F28"/>
      <c r="G28" s="2"/>
      <c r="H28" s="392"/>
      <c r="I28" s="959"/>
    </row>
    <row r="29" spans="1:17" ht="19.5" customHeight="1">
      <c r="A29" s="326"/>
      <c r="B29" s="129"/>
      <c r="C29" s="646"/>
      <c r="D29" s="974"/>
      <c r="E29" s="975"/>
      <c r="F29"/>
      <c r="G29" s="2"/>
      <c r="H29" s="129"/>
      <c r="I29" s="646"/>
    </row>
    <row r="30" spans="1:17" ht="1.5" customHeight="1" thickBot="1">
      <c r="A30" s="327">
        <v>1996</v>
      </c>
      <c r="B30" s="170">
        <v>4244.395068032557</v>
      </c>
      <c r="C30" s="157">
        <v>8.4154117430895334E-2</v>
      </c>
      <c r="D30" s="185" t="s">
        <v>744</v>
      </c>
      <c r="E30" s="184" t="s">
        <v>744</v>
      </c>
      <c r="F30"/>
      <c r="G30" s="2"/>
      <c r="H30" s="170">
        <v>12459.017248</v>
      </c>
      <c r="I30" s="157">
        <v>0.10184935576083168</v>
      </c>
    </row>
    <row r="31" spans="1:17" ht="19.5" hidden="1" customHeight="1" thickBot="1">
      <c r="A31" s="328">
        <v>1997</v>
      </c>
      <c r="B31" s="188">
        <v>4402.8227450634458</v>
      </c>
      <c r="C31" s="158">
        <v>3.7326326718291628E-2</v>
      </c>
      <c r="D31" s="188" t="s">
        <v>744</v>
      </c>
      <c r="E31" s="187" t="s">
        <v>744</v>
      </c>
      <c r="F31"/>
      <c r="G31" s="2"/>
      <c r="H31" s="188">
        <v>13138.477535</v>
      </c>
      <c r="I31" s="158">
        <v>5.4535624558114414E-2</v>
      </c>
    </row>
    <row r="32" spans="1:17" ht="19.5" hidden="1" customHeight="1" thickBot="1">
      <c r="A32" s="328">
        <v>1998</v>
      </c>
      <c r="B32" s="188">
        <v>4691.4058439999999</v>
      </c>
      <c r="C32" s="158">
        <v>6.5545018649710712E-2</v>
      </c>
      <c r="D32" s="188">
        <v>3570.49</v>
      </c>
      <c r="E32" s="187">
        <v>1091.68</v>
      </c>
      <c r="F32"/>
      <c r="G32" s="2"/>
      <c r="H32" s="188">
        <v>14024.092651999999</v>
      </c>
      <c r="I32" s="158">
        <v>6.7406220746717538E-2</v>
      </c>
    </row>
    <row r="33" spans="1:9" ht="19.5" customHeight="1" thickBot="1">
      <c r="A33" s="328">
        <v>1999</v>
      </c>
      <c r="B33" s="188">
        <v>4793.8029630000001</v>
      </c>
      <c r="C33" s="158">
        <v>2.1826531833940437E-2</v>
      </c>
      <c r="D33" s="188">
        <v>3611.25</v>
      </c>
      <c r="E33" s="187">
        <v>1169.7</v>
      </c>
      <c r="F33"/>
      <c r="G33" s="2"/>
      <c r="H33" s="188">
        <v>14620.510517999999</v>
      </c>
      <c r="I33" s="158">
        <v>4.2528089395854327E-2</v>
      </c>
    </row>
    <row r="34" spans="1:9" ht="19.5" customHeight="1" thickBot="1">
      <c r="A34" s="328">
        <v>2000</v>
      </c>
      <c r="B34" s="188">
        <v>4935.5105860000003</v>
      </c>
      <c r="C34" s="158">
        <v>2.9560585633940716E-2</v>
      </c>
      <c r="D34" s="188">
        <v>3696.49064</v>
      </c>
      <c r="E34" s="187">
        <v>1214.941513</v>
      </c>
      <c r="F34"/>
      <c r="G34" s="2"/>
      <c r="H34" s="188">
        <v>15478.327442</v>
      </c>
      <c r="I34" s="158">
        <v>5.8672159425890213E-2</v>
      </c>
    </row>
    <row r="35" spans="1:9" ht="21.75" customHeight="1" thickBot="1">
      <c r="A35" s="328">
        <v>2001</v>
      </c>
      <c r="B35" s="188">
        <v>5078.4121850000001</v>
      </c>
      <c r="C35" s="158">
        <v>2.8953762029272606E-2</v>
      </c>
      <c r="D35" s="188">
        <v>3798.2139889999999</v>
      </c>
      <c r="E35" s="187">
        <v>1257.8527670000001</v>
      </c>
      <c r="F35"/>
      <c r="G35" s="2"/>
      <c r="H35" s="188">
        <v>16386.460816999999</v>
      </c>
      <c r="I35" s="158">
        <v>5.867128592562304E-2</v>
      </c>
    </row>
    <row r="36" spans="1:9" ht="19.5" customHeight="1" thickBot="1">
      <c r="A36" s="328">
        <v>2002</v>
      </c>
      <c r="B36" s="188">
        <v>5230.8309099999997</v>
      </c>
      <c r="C36" s="158">
        <v>3.0013066968095962E-2</v>
      </c>
      <c r="D36" s="188">
        <v>3783.9358269999998</v>
      </c>
      <c r="E36" s="187">
        <v>1392.356614</v>
      </c>
      <c r="F36"/>
      <c r="G36" s="2"/>
      <c r="H36" s="188">
        <v>17095.587409</v>
      </c>
      <c r="I36" s="158">
        <v>4.3275152573783532E-2</v>
      </c>
    </row>
    <row r="37" spans="1:9" ht="19.5" customHeight="1" thickBot="1">
      <c r="A37" s="328">
        <v>2003</v>
      </c>
      <c r="B37" s="188">
        <v>5636.9482250000001</v>
      </c>
      <c r="C37" s="158">
        <v>7.7639159435188176E-2</v>
      </c>
      <c r="D37" s="188">
        <v>4111.8764270000001</v>
      </c>
      <c r="E37" s="187">
        <v>1477.775099</v>
      </c>
      <c r="F37"/>
      <c r="G37" s="2"/>
      <c r="H37" s="188">
        <v>17924.119354999999</v>
      </c>
      <c r="I37" s="158">
        <v>4.8464666710651728E-2</v>
      </c>
    </row>
    <row r="38" spans="1:9" ht="19.5" customHeight="1" thickBot="1">
      <c r="A38" s="328">
        <v>2004</v>
      </c>
      <c r="B38" s="188">
        <v>6208.8790769999996</v>
      </c>
      <c r="C38" s="158">
        <v>0.10146107950104499</v>
      </c>
      <c r="D38" s="188">
        <v>4569.0303759999997</v>
      </c>
      <c r="E38" s="187">
        <v>1572.8925360000001</v>
      </c>
      <c r="F38"/>
      <c r="G38" s="2"/>
      <c r="H38" s="188">
        <v>19139.820941000002</v>
      </c>
      <c r="I38" s="158">
        <v>6.782489906043157E-2</v>
      </c>
    </row>
    <row r="39" spans="1:9" ht="19.5" customHeight="1" thickBot="1">
      <c r="A39" s="328">
        <v>2005</v>
      </c>
      <c r="B39" s="188">
        <v>6451.1913709999999</v>
      </c>
      <c r="C39" s="158">
        <v>3.902673751492685E-2</v>
      </c>
      <c r="D39" s="188">
        <v>4803.16752</v>
      </c>
      <c r="E39" s="187">
        <v>1587.1501499999999</v>
      </c>
      <c r="F39"/>
      <c r="G39" s="2"/>
      <c r="H39" s="188">
        <v>20347.706644999998</v>
      </c>
      <c r="I39" s="158">
        <v>6.3108516413157623E-2</v>
      </c>
    </row>
    <row r="40" spans="1:9" ht="19.5" customHeight="1" thickBot="1">
      <c r="A40" s="328">
        <v>2006</v>
      </c>
      <c r="B40" s="188">
        <v>6571.8543769999997</v>
      </c>
      <c r="C40" s="158">
        <v>1.8703988001722505E-2</v>
      </c>
      <c r="D40" s="188">
        <v>4893.0853630000001</v>
      </c>
      <c r="E40" s="187">
        <v>1627.1193760000001</v>
      </c>
      <c r="F40"/>
      <c r="G40" s="2"/>
      <c r="H40" s="188">
        <v>20602.626918999998</v>
      </c>
      <c r="I40" s="158">
        <v>1.2528206664638598E-2</v>
      </c>
    </row>
    <row r="41" spans="1:9" ht="19.5" customHeight="1" thickBot="1">
      <c r="A41" s="328">
        <v>2007</v>
      </c>
      <c r="B41" s="188">
        <v>6902.9978209999999</v>
      </c>
      <c r="C41" s="158">
        <v>5.0388128677794075E-2</v>
      </c>
      <c r="D41" s="188">
        <v>5137.1482340000002</v>
      </c>
      <c r="E41" s="187">
        <v>1706.5482260000001</v>
      </c>
      <c r="F41"/>
      <c r="G41" s="2"/>
      <c r="H41" s="188">
        <v>21578.688866</v>
      </c>
      <c r="I41" s="158">
        <v>4.737560655917461E-2</v>
      </c>
    </row>
    <row r="42" spans="1:9" ht="19.5" customHeight="1" thickBot="1">
      <c r="A42" s="328">
        <v>2008</v>
      </c>
      <c r="B42" s="188">
        <v>7106.2454728100001</v>
      </c>
      <c r="C42" s="158">
        <v>2.9443389246290863E-2</v>
      </c>
      <c r="D42" s="188">
        <v>5258.11061599</v>
      </c>
      <c r="E42" s="187">
        <v>1784.3509754700001</v>
      </c>
      <c r="F42"/>
      <c r="G42" s="2"/>
      <c r="H42" s="188">
        <v>22721.911482799998</v>
      </c>
      <c r="I42" s="158">
        <v>5.2979243729738057E-2</v>
      </c>
    </row>
    <row r="43" spans="1:9" ht="30" customHeight="1" thickBot="1">
      <c r="A43" s="376">
        <v>2009</v>
      </c>
      <c r="B43" s="298">
        <v>7402.3038488600005</v>
      </c>
      <c r="C43" s="161">
        <v>4.1661715343606076E-2</v>
      </c>
      <c r="D43" s="298">
        <v>5481.4641226399999</v>
      </c>
      <c r="E43" s="395">
        <v>1858.1611509100001</v>
      </c>
      <c r="F43"/>
      <c r="G43" s="2"/>
      <c r="H43" s="298">
        <v>23656.322444729998</v>
      </c>
      <c r="I43" s="161">
        <v>4.1123783209758846E-2</v>
      </c>
    </row>
    <row r="44" spans="1:9" ht="19.5" customHeight="1" thickBot="1">
      <c r="A44" s="141"/>
      <c r="B44" s="712"/>
      <c r="C44" s="967"/>
      <c r="D44" s="712"/>
      <c r="E44" s="967"/>
      <c r="F44" s="712"/>
      <c r="G44" s="967"/>
    </row>
    <row r="45" spans="1:9" ht="51.75" customHeight="1" thickBot="1">
      <c r="A45" s="968" t="s">
        <v>924</v>
      </c>
      <c r="B45" s="461">
        <v>4.4404352007028747E-2</v>
      </c>
      <c r="C45" s="970" t="s">
        <v>744</v>
      </c>
      <c r="D45" s="461">
        <v>4.2614839913311942E-2</v>
      </c>
      <c r="E45" s="970">
        <v>4.7371829074778882E-2</v>
      </c>
      <c r="F45" s="671"/>
      <c r="G45" s="2"/>
      <c r="H45" s="461">
        <v>4.9297092220043082E-2</v>
      </c>
      <c r="I45" s="970" t="s">
        <v>744</v>
      </c>
    </row>
    <row r="46" spans="1:9" ht="17.25" customHeight="1">
      <c r="A46" s="140" t="s">
        <v>1837</v>
      </c>
      <c r="B46" s="712"/>
      <c r="C46" s="967"/>
      <c r="D46" s="712"/>
      <c r="E46" s="967"/>
      <c r="F46" s="712"/>
      <c r="G46" s="967"/>
    </row>
    <row r="47" spans="1:9" ht="14">
      <c r="A47" s="418"/>
      <c r="B47" s="712"/>
      <c r="C47" s="967"/>
      <c r="D47" s="712"/>
      <c r="E47" s="967"/>
      <c r="F47" s="712"/>
      <c r="G47" s="967"/>
    </row>
    <row r="48" spans="1:9" ht="14">
      <c r="A48" s="141" t="s">
        <v>934</v>
      </c>
      <c r="B48" s="712"/>
      <c r="C48" s="967"/>
      <c r="D48" s="712"/>
      <c r="E48" s="967"/>
      <c r="F48" s="712"/>
      <c r="G48" s="967"/>
    </row>
    <row r="49" spans="1:7" ht="14">
      <c r="A49" s="2" t="s">
        <v>935</v>
      </c>
      <c r="B49" s="712"/>
      <c r="C49" s="967"/>
      <c r="D49" s="712"/>
      <c r="E49" s="967"/>
      <c r="F49" s="712"/>
      <c r="G49" s="967"/>
    </row>
    <row r="50" spans="1:7">
      <c r="A50" s="2" t="s">
        <v>936</v>
      </c>
      <c r="B50" s="3"/>
      <c r="C50" s="976"/>
      <c r="D50" s="3"/>
      <c r="E50" s="976"/>
      <c r="F50" s="3"/>
      <c r="G50" s="976"/>
    </row>
    <row r="51" spans="1:7">
      <c r="A51" s="141" t="s">
        <v>933</v>
      </c>
      <c r="B51" s="3"/>
      <c r="C51" s="976"/>
      <c r="D51" s="3"/>
      <c r="E51" s="976"/>
      <c r="F51" s="3"/>
      <c r="G51" s="976"/>
    </row>
    <row r="52" spans="1:7">
      <c r="A52" s="3"/>
      <c r="B52" s="3"/>
      <c r="C52" s="976"/>
      <c r="D52" s="3"/>
      <c r="E52" s="976"/>
      <c r="F52" s="3"/>
      <c r="G52" s="976"/>
    </row>
    <row r="53" spans="1:7">
      <c r="A53" s="3" t="s">
        <v>937</v>
      </c>
      <c r="B53" s="3"/>
      <c r="C53" s="976"/>
      <c r="D53" s="3"/>
      <c r="E53" s="976"/>
      <c r="F53" s="3"/>
      <c r="G53" s="976"/>
    </row>
    <row r="54" spans="1:7">
      <c r="A54" s="3"/>
      <c r="B54" s="3"/>
      <c r="C54" s="976"/>
      <c r="D54" s="3"/>
      <c r="E54" s="976"/>
      <c r="F54" s="3"/>
      <c r="G54" s="976"/>
    </row>
    <row r="56" spans="1:7">
      <c r="A56" s="2" t="s">
        <v>710</v>
      </c>
    </row>
    <row r="59" spans="1:7">
      <c r="B59"/>
      <c r="C59"/>
      <c r="D59"/>
      <c r="E59"/>
    </row>
    <row r="60" spans="1:7">
      <c r="B60"/>
      <c r="C60"/>
      <c r="D60"/>
      <c r="E60"/>
    </row>
    <row r="61" spans="1:7">
      <c r="B61"/>
      <c r="C61"/>
      <c r="D61"/>
      <c r="E61"/>
    </row>
    <row r="62" spans="1:7">
      <c r="B62"/>
      <c r="C62"/>
      <c r="D62"/>
      <c r="E62"/>
    </row>
    <row r="63" spans="1:7">
      <c r="B63"/>
      <c r="C63"/>
      <c r="D63"/>
      <c r="E63"/>
    </row>
  </sheetData>
  <phoneticPr fontId="0" type="noConversion"/>
  <pageMargins left="0.52" right="0.37" top="0.5" bottom="0.49" header="0.3" footer="0.4921259845"/>
  <pageSetup paperSize="9" scale="54" orientation="landscape"/>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B6D05-6ED4-DD40-A7A9-DA9538C8DFDC}">
  <sheetPr>
    <pageSetUpPr fitToPage="1"/>
  </sheetPr>
  <dimension ref="A1:H43"/>
  <sheetViews>
    <sheetView topLeftCell="A24" zoomScale="75" workbookViewId="0">
      <selection activeCell="A37" sqref="A37"/>
    </sheetView>
  </sheetViews>
  <sheetFormatPr baseColWidth="10" defaultColWidth="11.3984375" defaultRowHeight="13"/>
  <cols>
    <col min="1" max="1" width="40.3984375" style="2" customWidth="1"/>
    <col min="2" max="4" width="16" style="2" customWidth="1"/>
    <col min="5" max="5" width="18.3984375" style="2" customWidth="1"/>
    <col min="6" max="6" width="15.19921875" style="2" customWidth="1"/>
    <col min="7" max="7" width="15.3984375" style="2" customWidth="1"/>
    <col min="8" max="8" width="14.796875" style="94" customWidth="1"/>
    <col min="9" max="16384" width="11.3984375" style="2"/>
  </cols>
  <sheetData>
    <row r="1" spans="1:8" s="1" customFormat="1" ht="14" customHeight="1">
      <c r="H1" s="142"/>
    </row>
    <row r="2" spans="1:8" s="1" customFormat="1" ht="28" customHeight="1">
      <c r="A2" s="118" t="s">
        <v>2102</v>
      </c>
      <c r="H2" s="118">
        <v>2009</v>
      </c>
    </row>
    <row r="3" spans="1:8" ht="24" customHeight="1">
      <c r="A3" s="119" t="s">
        <v>2103</v>
      </c>
      <c r="B3" s="120" t="s">
        <v>1833</v>
      </c>
      <c r="C3" s="121" t="s">
        <v>1834</v>
      </c>
      <c r="D3" s="120" t="s">
        <v>1798</v>
      </c>
      <c r="E3" s="389" t="s">
        <v>1567</v>
      </c>
      <c r="F3" s="120" t="s">
        <v>2104</v>
      </c>
      <c r="G3" s="121" t="s">
        <v>1801</v>
      </c>
      <c r="H3" s="120" t="s">
        <v>1801</v>
      </c>
    </row>
    <row r="4" spans="1:8" ht="15" customHeight="1">
      <c r="A4" s="325"/>
      <c r="B4" s="123"/>
      <c r="C4" s="124"/>
      <c r="D4" s="123"/>
      <c r="E4" s="150"/>
      <c r="F4" s="123" t="s">
        <v>2323</v>
      </c>
      <c r="G4" s="124" t="s">
        <v>1802</v>
      </c>
      <c r="H4" s="123" t="s">
        <v>1802</v>
      </c>
    </row>
    <row r="5" spans="1:8" ht="15" customHeight="1">
      <c r="A5" s="325"/>
      <c r="B5" s="123"/>
      <c r="C5" s="124"/>
      <c r="D5" s="123"/>
      <c r="E5" s="150"/>
      <c r="F5" s="123" t="s">
        <v>2105</v>
      </c>
      <c r="G5" s="124" t="s">
        <v>1806</v>
      </c>
      <c r="H5" s="123" t="s">
        <v>1806</v>
      </c>
    </row>
    <row r="6" spans="1:8" ht="24" customHeight="1">
      <c r="A6" s="326"/>
      <c r="B6" s="129"/>
      <c r="C6" s="128"/>
      <c r="D6" s="129"/>
      <c r="E6" s="153"/>
      <c r="F6" s="129"/>
      <c r="G6" s="128" t="s">
        <v>2106</v>
      </c>
      <c r="H6" s="129" t="s">
        <v>2030</v>
      </c>
    </row>
    <row r="7" spans="1:8" ht="30" customHeight="1" thickBot="1">
      <c r="A7" s="453" t="s">
        <v>1014</v>
      </c>
      <c r="B7" s="132">
        <v>1779576138.8800001</v>
      </c>
      <c r="C7" s="184">
        <v>2876005480.23</v>
      </c>
      <c r="D7" s="185">
        <v>571737311.65999997</v>
      </c>
      <c r="E7" s="414">
        <v>5227318930.7200003</v>
      </c>
      <c r="F7" s="454">
        <v>0.22096921205453504</v>
      </c>
      <c r="G7" s="184">
        <v>123437.83868000031</v>
      </c>
      <c r="H7" s="454">
        <v>2.418509296239546E-2</v>
      </c>
    </row>
    <row r="8" spans="1:8" ht="20" customHeight="1" thickBot="1">
      <c r="A8" s="328" t="s">
        <v>1033</v>
      </c>
      <c r="B8" s="455">
        <v>2369636118.3499999</v>
      </c>
      <c r="C8" s="187">
        <v>2881193596.5999999</v>
      </c>
      <c r="D8" s="188">
        <v>230634407.66999999</v>
      </c>
      <c r="E8" s="456">
        <v>5481464122.6400003</v>
      </c>
      <c r="F8" s="454">
        <v>0.23171243693717597</v>
      </c>
      <c r="G8" s="187">
        <v>223353.50665000058</v>
      </c>
      <c r="H8" s="457">
        <v>4.247790184762934E-2</v>
      </c>
    </row>
    <row r="9" spans="1:8" ht="20" customHeight="1" thickBot="1">
      <c r="A9" s="328" t="s">
        <v>1015</v>
      </c>
      <c r="B9" s="188">
        <v>1453713394.3</v>
      </c>
      <c r="C9" s="187">
        <v>1730401931.23</v>
      </c>
      <c r="D9" s="188">
        <v>289598125.31</v>
      </c>
      <c r="E9" s="456">
        <v>3473713450.8499999</v>
      </c>
      <c r="F9" s="454">
        <v>0.14684080583386921</v>
      </c>
      <c r="G9" s="187">
        <v>218398.06171000004</v>
      </c>
      <c r="H9" s="457">
        <v>6.7089678142582931E-2</v>
      </c>
    </row>
    <row r="10" spans="1:8" ht="20" customHeight="1" thickBot="1">
      <c r="A10" s="328" t="s">
        <v>1016</v>
      </c>
      <c r="B10" s="188">
        <v>706422355.99000001</v>
      </c>
      <c r="C10" s="187">
        <v>912139374.24000001</v>
      </c>
      <c r="D10" s="188">
        <v>78928399.900000006</v>
      </c>
      <c r="E10" s="456">
        <v>1697490130.1199999</v>
      </c>
      <c r="F10" s="454">
        <v>7.1756298304014518E-2</v>
      </c>
      <c r="G10" s="187">
        <v>78075.560099999901</v>
      </c>
      <c r="H10" s="457">
        <v>4.8212212947445376E-2</v>
      </c>
    </row>
    <row r="11" spans="1:8" ht="20" customHeight="1" thickBot="1">
      <c r="A11" s="328" t="s">
        <v>1017</v>
      </c>
      <c r="B11" s="188">
        <v>1333087103.2</v>
      </c>
      <c r="C11" s="187">
        <v>1701536027.8900001</v>
      </c>
      <c r="D11" s="188">
        <v>101638700.90000001</v>
      </c>
      <c r="E11" s="456">
        <v>3136261832.0100002</v>
      </c>
      <c r="F11" s="454">
        <v>0.13257605189215182</v>
      </c>
      <c r="G11" s="187">
        <v>116693.36996000004</v>
      </c>
      <c r="H11" s="457">
        <v>3.8645710943999045E-2</v>
      </c>
    </row>
    <row r="12" spans="1:8" ht="20" customHeight="1" thickBot="1">
      <c r="A12" s="328" t="s">
        <v>1034</v>
      </c>
      <c r="B12" s="188">
        <v>485664523.52999997</v>
      </c>
      <c r="C12" s="187">
        <v>1372278409.1900001</v>
      </c>
      <c r="D12" s="188">
        <v>218218.17</v>
      </c>
      <c r="E12" s="456">
        <v>1858161150.9100001</v>
      </c>
      <c r="F12" s="454">
        <v>7.8548183271146987E-2</v>
      </c>
      <c r="G12" s="187">
        <v>73810.17544000005</v>
      </c>
      <c r="H12" s="457">
        <v>4.1365278723014987E-2</v>
      </c>
    </row>
    <row r="13" spans="1:8" ht="20" customHeight="1" thickBot="1">
      <c r="A13" s="328" t="s">
        <v>1018</v>
      </c>
      <c r="B13" s="188">
        <v>175227730.55000001</v>
      </c>
      <c r="C13" s="187">
        <v>353364093.18000001</v>
      </c>
      <c r="D13" s="188">
        <v>2698154.92</v>
      </c>
      <c r="E13" s="456">
        <v>531289978.64999998</v>
      </c>
      <c r="F13" s="454">
        <v>2.245868857643836E-2</v>
      </c>
      <c r="G13" s="187">
        <v>35142.484449999989</v>
      </c>
      <c r="H13" s="457">
        <v>7.0830720422491611E-2</v>
      </c>
    </row>
    <row r="14" spans="1:8" ht="20" customHeight="1" thickBot="1">
      <c r="A14" s="328" t="s">
        <v>1019</v>
      </c>
      <c r="B14" s="188">
        <v>197694484.69</v>
      </c>
      <c r="C14" s="187">
        <v>365001739.04000002</v>
      </c>
      <c r="D14" s="188">
        <v>29531691.170000002</v>
      </c>
      <c r="E14" s="456">
        <v>592227914.88</v>
      </c>
      <c r="F14" s="454">
        <v>2.5034656856054677E-2</v>
      </c>
      <c r="G14" s="187">
        <v>19506.884029999972</v>
      </c>
      <c r="H14" s="457">
        <v>3.4060009986099038E-2</v>
      </c>
    </row>
    <row r="15" spans="1:8" ht="20" customHeight="1" thickBot="1">
      <c r="A15" s="328" t="s">
        <v>1020</v>
      </c>
      <c r="B15" s="188">
        <v>228826264.24000001</v>
      </c>
      <c r="C15" s="187">
        <v>418049915.66000003</v>
      </c>
      <c r="D15" s="188">
        <v>44938197.289999999</v>
      </c>
      <c r="E15" s="456">
        <v>691814377.19000006</v>
      </c>
      <c r="F15" s="454">
        <v>2.9244375528205482E-2</v>
      </c>
      <c r="G15" s="187">
        <v>5216.5397000000476</v>
      </c>
      <c r="H15" s="457">
        <v>7.5976640402337647E-3</v>
      </c>
    </row>
    <row r="16" spans="1:8" ht="20" customHeight="1" thickBot="1">
      <c r="A16" s="328" t="s">
        <v>1021</v>
      </c>
      <c r="B16" s="188">
        <v>27493831.91</v>
      </c>
      <c r="C16" s="187">
        <v>41585653.25</v>
      </c>
      <c r="D16" s="188">
        <v>3504075.37</v>
      </c>
      <c r="E16" s="456">
        <v>72583560.519999996</v>
      </c>
      <c r="F16" s="454">
        <v>3.0682520788927478E-3</v>
      </c>
      <c r="G16" s="187">
        <v>886.65710999999942</v>
      </c>
      <c r="H16" s="457">
        <v>1.2366742046440171E-2</v>
      </c>
    </row>
    <row r="17" spans="1:8" ht="20" customHeight="1" thickBot="1">
      <c r="A17" s="328" t="s">
        <v>1022</v>
      </c>
      <c r="B17" s="188">
        <v>184260870.97999999</v>
      </c>
      <c r="C17" s="187">
        <v>181446360.56999999</v>
      </c>
      <c r="D17" s="188">
        <v>26454662.379999999</v>
      </c>
      <c r="E17" s="456">
        <v>392161893.91000003</v>
      </c>
      <c r="F17" s="454">
        <v>1.657746654520104E-2</v>
      </c>
      <c r="G17" s="187">
        <v>17618.654310000002</v>
      </c>
      <c r="H17" s="457">
        <v>4.7040374640898941E-2</v>
      </c>
    </row>
    <row r="18" spans="1:8" ht="20" customHeight="1" thickBot="1">
      <c r="A18" s="328" t="s">
        <v>1035</v>
      </c>
      <c r="B18" s="188">
        <v>22331492.460000001</v>
      </c>
      <c r="C18" s="187">
        <v>36274551.020000003</v>
      </c>
      <c r="D18" s="188">
        <v>3436020.85</v>
      </c>
      <c r="E18" s="456">
        <v>62042064.340000004</v>
      </c>
      <c r="F18" s="454">
        <v>2.6226419801705621E-3</v>
      </c>
      <c r="G18" s="187">
        <v>6496.4451100000069</v>
      </c>
      <c r="H18" s="457">
        <v>0.11695693017841635</v>
      </c>
    </row>
    <row r="19" spans="1:8" ht="20" customHeight="1" thickBot="1">
      <c r="A19" s="135" t="s">
        <v>1023</v>
      </c>
      <c r="B19" s="188">
        <v>2481340.54</v>
      </c>
      <c r="C19" s="187">
        <v>6764314.8200000003</v>
      </c>
      <c r="D19" s="188">
        <v>375065.42</v>
      </c>
      <c r="E19" s="456">
        <v>9620720.7699999996</v>
      </c>
      <c r="F19" s="454">
        <v>4.0668708301882486E-4</v>
      </c>
      <c r="G19" s="187">
        <v>-1208.906290000001</v>
      </c>
      <c r="H19" s="457">
        <v>-0.11162954026969063</v>
      </c>
    </row>
    <row r="20" spans="1:8" ht="20" customHeight="1" thickBot="1">
      <c r="A20" s="328" t="s">
        <v>1385</v>
      </c>
      <c r="B20" s="188">
        <v>126630377.09</v>
      </c>
      <c r="C20" s="187">
        <v>180346247.65000001</v>
      </c>
      <c r="D20" s="188">
        <v>60517117.229999997</v>
      </c>
      <c r="E20" s="456">
        <v>367493741.94999999</v>
      </c>
      <c r="F20" s="454">
        <v>1.5534694490599819E-2</v>
      </c>
      <c r="G20" s="187">
        <v>18088.997050000013</v>
      </c>
      <c r="H20" s="457">
        <v>5.177089697272752E-2</v>
      </c>
    </row>
    <row r="21" spans="1:8" ht="20" customHeight="1" thickBot="1">
      <c r="A21" s="328" t="s">
        <v>1037</v>
      </c>
      <c r="B21" s="188">
        <v>30131281.77</v>
      </c>
      <c r="C21" s="187">
        <v>28042118.829999998</v>
      </c>
      <c r="D21" s="188">
        <v>4505174.72</v>
      </c>
      <c r="E21" s="456">
        <v>62678575.310000002</v>
      </c>
      <c r="F21" s="454">
        <v>2.6495485702158717E-3</v>
      </c>
      <c r="G21" s="187">
        <v>-1105.306039999999</v>
      </c>
      <c r="H21" s="457">
        <v>-1.7328924120106115E-2</v>
      </c>
    </row>
    <row r="22" spans="1:8" ht="30" customHeight="1" thickBot="1">
      <c r="A22" s="458" t="s">
        <v>1024</v>
      </c>
      <c r="B22" s="459">
        <v>9123177308.4300003</v>
      </c>
      <c r="C22" s="460">
        <v>13084429813.35</v>
      </c>
      <c r="D22" s="459">
        <v>1448715322.9300001</v>
      </c>
      <c r="E22" s="193">
        <v>23656322444.73</v>
      </c>
      <c r="F22" s="461">
        <v>1</v>
      </c>
      <c r="G22" s="460">
        <v>934410.96193000034</v>
      </c>
      <c r="H22" s="461">
        <v>4.1123783209759068E-2</v>
      </c>
    </row>
    <row r="23" spans="1:8" ht="14.25" customHeight="1">
      <c r="A23" s="462"/>
      <c r="B23" s="314"/>
      <c r="C23" s="314"/>
      <c r="D23" s="314"/>
      <c r="E23" s="315"/>
      <c r="F23" s="463"/>
      <c r="G23" s="314"/>
      <c r="H23" s="463"/>
    </row>
    <row r="24" spans="1:8" ht="30" customHeight="1" thickBot="1">
      <c r="A24" s="464" t="s">
        <v>1025</v>
      </c>
      <c r="B24" s="465" t="s">
        <v>744</v>
      </c>
      <c r="C24" s="466">
        <v>559367822.45000005</v>
      </c>
      <c r="D24" s="465">
        <v>2545891.87</v>
      </c>
      <c r="E24" s="467">
        <v>561913714.30999994</v>
      </c>
      <c r="F24" s="468">
        <v>2.375321504950062E-2</v>
      </c>
      <c r="G24" s="466">
        <v>6260.9889099999664</v>
      </c>
      <c r="H24" s="468">
        <v>1.1267809233713066E-2</v>
      </c>
    </row>
    <row r="25" spans="1:8" ht="33" customHeight="1" thickBot="1">
      <c r="A25" s="469" t="s">
        <v>2203</v>
      </c>
      <c r="B25" s="470">
        <v>263005342.75</v>
      </c>
      <c r="C25" s="471">
        <v>280335342.07999998</v>
      </c>
      <c r="D25" s="470">
        <v>11345804.49</v>
      </c>
      <c r="E25" s="472">
        <v>554686489.30999994</v>
      </c>
      <c r="F25" s="473">
        <v>2.3447705813359396E-2</v>
      </c>
      <c r="G25" s="471">
        <v>62048.907399999916</v>
      </c>
      <c r="H25" s="473">
        <v>0.12595244390294136</v>
      </c>
    </row>
    <row r="26" spans="1:8" ht="14.25" customHeight="1">
      <c r="A26" s="462"/>
      <c r="B26" s="314"/>
      <c r="C26" s="314"/>
      <c r="D26" s="314"/>
      <c r="E26" s="315"/>
      <c r="F26" s="463"/>
      <c r="G26" s="314"/>
      <c r="H26" s="463"/>
    </row>
    <row r="27" spans="1:8" ht="30" customHeight="1" thickBot="1">
      <c r="A27" s="464" t="s">
        <v>1384</v>
      </c>
      <c r="B27" s="465">
        <v>16511394.220000001</v>
      </c>
      <c r="C27" s="466">
        <v>18675097.82</v>
      </c>
      <c r="D27" s="465">
        <v>16763474.220000001</v>
      </c>
      <c r="E27" s="467">
        <v>51949966.259999998</v>
      </c>
      <c r="F27" s="468">
        <v>2.1960288367464773E-3</v>
      </c>
      <c r="G27" s="476" t="s">
        <v>744</v>
      </c>
      <c r="H27" s="468" t="s">
        <v>744</v>
      </c>
    </row>
    <row r="28" spans="1:8" ht="33" customHeight="1" thickBot="1">
      <c r="A28" s="469" t="s">
        <v>1383</v>
      </c>
      <c r="B28" s="470">
        <v>21357823.100000001</v>
      </c>
      <c r="C28" s="471">
        <v>22784059.010000002</v>
      </c>
      <c r="D28" s="470">
        <v>4957621.83</v>
      </c>
      <c r="E28" s="472">
        <v>49099503.939999998</v>
      </c>
      <c r="F28" s="473">
        <v>2.0755341010723358E-3</v>
      </c>
      <c r="G28" s="477" t="s">
        <v>744</v>
      </c>
      <c r="H28" s="473" t="s">
        <v>744</v>
      </c>
    </row>
    <row r="29" spans="1:8" ht="20" customHeight="1">
      <c r="A29" s="140" t="s">
        <v>1837</v>
      </c>
      <c r="B29" s="194"/>
      <c r="C29" s="194"/>
      <c r="D29" s="194"/>
      <c r="E29" s="194"/>
      <c r="F29" s="194"/>
    </row>
    <row r="30" spans="1:8" ht="12" customHeight="1">
      <c r="A30" s="141"/>
      <c r="B30" s="196"/>
      <c r="C30" s="196"/>
      <c r="D30" s="196"/>
      <c r="E30" s="196"/>
      <c r="F30" s="196"/>
    </row>
    <row r="31" spans="1:8">
      <c r="A31" s="141" t="s">
        <v>1026</v>
      </c>
    </row>
    <row r="32" spans="1:8">
      <c r="A32" s="141" t="s">
        <v>1027</v>
      </c>
    </row>
    <row r="33" spans="1:2">
      <c r="A33" s="474" t="s">
        <v>1028</v>
      </c>
    </row>
    <row r="34" spans="1:2">
      <c r="A34" s="474" t="s">
        <v>1029</v>
      </c>
    </row>
    <row r="35" spans="1:2">
      <c r="A35" s="474" t="s">
        <v>1030</v>
      </c>
    </row>
    <row r="36" spans="1:2">
      <c r="A36" s="474" t="s">
        <v>1386</v>
      </c>
    </row>
    <row r="38" spans="1:2">
      <c r="A38" s="141" t="s">
        <v>1032</v>
      </c>
      <c r="B38" s="141"/>
    </row>
    <row r="39" spans="1:2" ht="14">
      <c r="A39" s="475"/>
      <c r="B39" s="141"/>
    </row>
    <row r="40" spans="1:2">
      <c r="A40" s="141"/>
      <c r="B40" s="141"/>
    </row>
    <row r="41" spans="1:2">
      <c r="A41" s="141" t="s">
        <v>710</v>
      </c>
      <c r="B41" s="141"/>
    </row>
    <row r="42" spans="1:2">
      <c r="A42" s="141"/>
      <c r="B42" s="141"/>
    </row>
    <row r="43" spans="1:2">
      <c r="A43" s="141"/>
      <c r="B43" s="141"/>
    </row>
  </sheetData>
  <phoneticPr fontId="0" type="noConversion"/>
  <pageMargins left="0.49" right="0.5" top="0.4" bottom="0.36" header="0.35" footer="0.2"/>
  <pageSetup paperSize="9" scale="68" orientation="landscape"/>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29274-CCD8-2E41-B733-D6D7ECCC41FF}">
  <sheetPr>
    <pageSetUpPr fitToPage="1"/>
  </sheetPr>
  <dimension ref="A1:V62"/>
  <sheetViews>
    <sheetView topLeftCell="A39" zoomScale="75" workbookViewId="0">
      <selection activeCell="A51" sqref="A51"/>
    </sheetView>
  </sheetViews>
  <sheetFormatPr baseColWidth="10" defaultColWidth="11.3984375" defaultRowHeight="13"/>
  <cols>
    <col min="1" max="1" width="11.796875" style="2" customWidth="1"/>
    <col min="2" max="2" width="17" style="2" customWidth="1"/>
    <col min="3" max="3" width="13" style="488" customWidth="1"/>
    <col min="4" max="4" width="13" style="2" customWidth="1"/>
    <col min="5" max="5" width="14" style="488" customWidth="1"/>
    <col min="6" max="6" width="13" style="2" customWidth="1"/>
    <col min="7" max="7" width="13" style="488" customWidth="1"/>
    <col min="8" max="8" width="13" style="2" customWidth="1"/>
    <col min="9" max="9" width="15.3984375" style="2" customWidth="1"/>
    <col min="10" max="12" width="13" style="2" customWidth="1"/>
    <col min="13" max="14" width="14.19921875" style="2" customWidth="1"/>
    <col min="15" max="15" width="14.59765625" style="2" customWidth="1"/>
    <col min="16" max="16" width="13" style="2" customWidth="1"/>
    <col min="17" max="16384" width="11.3984375" style="2"/>
  </cols>
  <sheetData>
    <row r="1" spans="1:22" s="1" customFormat="1" ht="14" customHeight="1">
      <c r="A1" s="271"/>
      <c r="B1" s="271"/>
      <c r="C1" s="955"/>
      <c r="D1" s="271"/>
      <c r="E1" s="955"/>
      <c r="F1" s="271"/>
      <c r="G1" s="956"/>
      <c r="H1" s="956"/>
      <c r="I1" s="956"/>
      <c r="J1" s="956"/>
      <c r="K1" s="956"/>
      <c r="L1" s="956"/>
      <c r="M1" s="956"/>
      <c r="N1" s="956"/>
      <c r="O1" s="956"/>
      <c r="P1" s="956"/>
      <c r="Q1" s="956"/>
      <c r="R1" s="956"/>
      <c r="S1" s="956"/>
      <c r="T1" s="956"/>
      <c r="U1" s="956"/>
    </row>
    <row r="2" spans="1:22" s="1" customFormat="1" ht="28" customHeight="1">
      <c r="A2" s="118" t="s">
        <v>932</v>
      </c>
      <c r="B2" s="271"/>
      <c r="C2" s="955"/>
      <c r="D2" s="271"/>
      <c r="E2" s="955"/>
      <c r="F2" s="271"/>
      <c r="G2" s="955"/>
      <c r="N2" s="894"/>
    </row>
    <row r="3" spans="1:22" ht="24" customHeight="1">
      <c r="A3" s="119" t="s">
        <v>1065</v>
      </c>
      <c r="B3" s="356" t="s">
        <v>909</v>
      </c>
      <c r="C3" s="121" t="s">
        <v>1801</v>
      </c>
      <c r="D3" s="120"/>
      <c r="E3" s="644"/>
      <c r="F3" s="120"/>
      <c r="G3" s="644"/>
      <c r="H3" s="120"/>
      <c r="I3" s="644"/>
      <c r="J3" s="120"/>
      <c r="K3" s="644"/>
      <c r="L3" s="120"/>
      <c r="M3" s="644"/>
      <c r="N3" s="120"/>
      <c r="O3"/>
    </row>
    <row r="4" spans="1:22" ht="15" customHeight="1">
      <c r="A4" s="325"/>
      <c r="B4" s="212" t="s">
        <v>910</v>
      </c>
      <c r="C4" s="124" t="s">
        <v>1802</v>
      </c>
      <c r="D4" s="957" t="s">
        <v>911</v>
      </c>
      <c r="E4" s="958" t="s">
        <v>911</v>
      </c>
      <c r="F4" s="957" t="s">
        <v>911</v>
      </c>
      <c r="G4" s="958" t="s">
        <v>911</v>
      </c>
      <c r="H4" s="957" t="s">
        <v>911</v>
      </c>
      <c r="I4" s="958" t="s">
        <v>911</v>
      </c>
      <c r="J4" s="957" t="s">
        <v>911</v>
      </c>
      <c r="K4" s="958" t="s">
        <v>911</v>
      </c>
      <c r="L4" s="957" t="s">
        <v>911</v>
      </c>
      <c r="M4" s="958" t="s">
        <v>911</v>
      </c>
      <c r="N4" s="957" t="s">
        <v>911</v>
      </c>
      <c r="O4"/>
    </row>
    <row r="5" spans="1:22" ht="15" customHeight="1">
      <c r="A5" s="325"/>
      <c r="B5" s="123"/>
      <c r="C5" s="124" t="s">
        <v>1806</v>
      </c>
      <c r="D5" s="957" t="s">
        <v>912</v>
      </c>
      <c r="E5" s="958" t="s">
        <v>913</v>
      </c>
      <c r="F5" s="957" t="s">
        <v>914</v>
      </c>
      <c r="G5" s="958" t="s">
        <v>914</v>
      </c>
      <c r="H5" s="957" t="s">
        <v>1018</v>
      </c>
      <c r="I5" s="958" t="s">
        <v>1019</v>
      </c>
      <c r="J5" s="957" t="s">
        <v>1020</v>
      </c>
      <c r="K5" s="958" t="s">
        <v>1021</v>
      </c>
      <c r="L5" s="957" t="s">
        <v>915</v>
      </c>
      <c r="M5" s="958" t="s">
        <v>916</v>
      </c>
      <c r="N5" s="957" t="s">
        <v>917</v>
      </c>
      <c r="O5"/>
    </row>
    <row r="6" spans="1:22" s="141" customFormat="1" ht="19.5" customHeight="1">
      <c r="A6" s="912"/>
      <c r="B6" s="392"/>
      <c r="C6" s="959"/>
      <c r="D6" s="960" t="s">
        <v>918</v>
      </c>
      <c r="E6" s="961" t="s">
        <v>918</v>
      </c>
      <c r="F6" s="960" t="s">
        <v>919</v>
      </c>
      <c r="G6" s="961" t="s">
        <v>920</v>
      </c>
      <c r="H6" s="960"/>
      <c r="I6" s="961"/>
      <c r="J6" s="960"/>
      <c r="K6" s="961"/>
      <c r="L6" s="960" t="s">
        <v>921</v>
      </c>
      <c r="M6" s="961" t="s">
        <v>922</v>
      </c>
      <c r="N6" s="960" t="s">
        <v>923</v>
      </c>
      <c r="O6"/>
    </row>
    <row r="7" spans="1:22" ht="19.5" customHeight="1">
      <c r="A7" s="326"/>
      <c r="B7" s="129"/>
      <c r="C7" s="646"/>
      <c r="D7" s="392"/>
      <c r="E7" s="959"/>
      <c r="F7" s="392"/>
      <c r="G7" s="959"/>
      <c r="H7" s="392"/>
      <c r="I7" s="959"/>
      <c r="J7" s="392"/>
      <c r="K7" s="646"/>
      <c r="L7" s="392"/>
      <c r="M7" s="959"/>
      <c r="N7" s="392"/>
      <c r="O7"/>
    </row>
    <row r="8" spans="1:22" ht="2.25" customHeight="1" thickBot="1">
      <c r="A8" s="327">
        <v>1996</v>
      </c>
      <c r="B8" s="170">
        <v>1135.7666791471866</v>
      </c>
      <c r="C8" s="157">
        <v>0.10634844182252187</v>
      </c>
      <c r="D8" s="185" t="s">
        <v>744</v>
      </c>
      <c r="E8" s="184" t="s">
        <v>744</v>
      </c>
      <c r="F8" s="185" t="s">
        <v>744</v>
      </c>
      <c r="G8" s="184" t="s">
        <v>744</v>
      </c>
      <c r="H8" s="185" t="s">
        <v>744</v>
      </c>
      <c r="I8" s="184" t="s">
        <v>744</v>
      </c>
      <c r="J8" s="185" t="s">
        <v>744</v>
      </c>
      <c r="K8" s="171">
        <v>7.8643189296562399</v>
      </c>
      <c r="L8" s="185" t="s">
        <v>744</v>
      </c>
      <c r="M8" s="184" t="s">
        <v>744</v>
      </c>
      <c r="N8" s="185" t="s">
        <v>744</v>
      </c>
      <c r="O8"/>
    </row>
    <row r="9" spans="1:22" ht="0.75" hidden="1" customHeight="1" thickBot="1">
      <c r="A9" s="328">
        <v>1997</v>
      </c>
      <c r="B9" s="188">
        <v>1207.1705655887454</v>
      </c>
      <c r="C9" s="158">
        <v>6.2868446268536313E-2</v>
      </c>
      <c r="D9" s="185" t="s">
        <v>744</v>
      </c>
      <c r="E9" s="184" t="s">
        <v>744</v>
      </c>
      <c r="F9" s="185" t="s">
        <v>744</v>
      </c>
      <c r="G9" s="184" t="s">
        <v>744</v>
      </c>
      <c r="H9" s="185" t="s">
        <v>744</v>
      </c>
      <c r="I9" s="184" t="s">
        <v>744</v>
      </c>
      <c r="J9" s="185" t="s">
        <v>744</v>
      </c>
      <c r="K9" s="187">
        <v>7.7745077676674157</v>
      </c>
      <c r="L9" s="185" t="s">
        <v>744</v>
      </c>
      <c r="M9" s="184" t="s">
        <v>744</v>
      </c>
      <c r="N9" s="185" t="s">
        <v>744</v>
      </c>
      <c r="O9"/>
      <c r="T9" s="8"/>
      <c r="U9" s="8"/>
      <c r="V9" s="8"/>
    </row>
    <row r="10" spans="1:22" ht="19.5" hidden="1" customHeight="1" thickBot="1">
      <c r="A10" s="328">
        <v>1998</v>
      </c>
      <c r="B10" s="188">
        <v>1287.8682695481587</v>
      </c>
      <c r="C10" s="158">
        <v>6.6848634534140125E-2</v>
      </c>
      <c r="D10" s="188">
        <v>517.22900730492677</v>
      </c>
      <c r="E10" s="187">
        <v>179.78046580638465</v>
      </c>
      <c r="F10" s="188">
        <v>128.85876662983108</v>
      </c>
      <c r="G10" s="187">
        <v>246.67237783815233</v>
      </c>
      <c r="H10" s="188">
        <v>30.906839827030989</v>
      </c>
      <c r="I10" s="187">
        <v>57.642077350310821</v>
      </c>
      <c r="J10" s="188">
        <v>54.853189405924091</v>
      </c>
      <c r="K10" s="187">
        <v>7.7691435561095004</v>
      </c>
      <c r="L10" s="188">
        <v>14.403964553938003</v>
      </c>
      <c r="M10" s="187">
        <v>12.033202808041713</v>
      </c>
      <c r="N10" s="185" t="s">
        <v>744</v>
      </c>
      <c r="O10"/>
    </row>
    <row r="11" spans="1:22" ht="20" customHeight="1" thickBot="1">
      <c r="A11" s="328">
        <v>1999</v>
      </c>
      <c r="B11" s="188">
        <v>1351.582122301535</v>
      </c>
      <c r="C11" s="158">
        <v>4.9472336775352059E-2</v>
      </c>
      <c r="D11" s="188">
        <v>517.77987880375031</v>
      </c>
      <c r="E11" s="187">
        <v>204.19029060086746</v>
      </c>
      <c r="F11" s="188">
        <v>141.91140608611047</v>
      </c>
      <c r="G11" s="187">
        <v>257.61974174619098</v>
      </c>
      <c r="H11" s="188">
        <v>32.359437190342035</v>
      </c>
      <c r="I11" s="187">
        <v>60.131858482788445</v>
      </c>
      <c r="J11" s="188">
        <v>56.924385896913591</v>
      </c>
      <c r="K11" s="187">
        <v>8.3350273886799329</v>
      </c>
      <c r="L11" s="188">
        <v>17.198214928721761</v>
      </c>
      <c r="M11" s="187">
        <v>12.089915964768418</v>
      </c>
      <c r="N11" s="185" t="s">
        <v>744</v>
      </c>
      <c r="O11"/>
    </row>
    <row r="12" spans="1:22" ht="20" customHeight="1" thickBot="1">
      <c r="A12" s="328">
        <v>2000</v>
      </c>
      <c r="B12" s="188">
        <v>1451.1566242672343</v>
      </c>
      <c r="C12" s="158">
        <v>7.3672550356125827E-2</v>
      </c>
      <c r="D12" s="188">
        <v>529.43047713091312</v>
      </c>
      <c r="E12" s="187">
        <v>229.29973959111166</v>
      </c>
      <c r="F12" s="188">
        <v>157.35584856009811</v>
      </c>
      <c r="G12" s="187">
        <v>288.745232868367</v>
      </c>
      <c r="H12" s="188">
        <v>34.840696214910899</v>
      </c>
      <c r="I12" s="187">
        <v>61.491416169301154</v>
      </c>
      <c r="J12" s="188">
        <v>60.94101454443998</v>
      </c>
      <c r="K12" s="187">
        <v>8.5739707007998369</v>
      </c>
      <c r="L12" s="188">
        <v>24.758128744866045</v>
      </c>
      <c r="M12" s="187">
        <v>15.766473005994538</v>
      </c>
      <c r="N12" s="185" t="s">
        <v>744</v>
      </c>
      <c r="O12"/>
    </row>
    <row r="13" spans="1:22" ht="20" customHeight="1" thickBot="1">
      <c r="A13" s="328">
        <v>2001</v>
      </c>
      <c r="B13" s="188">
        <v>1548.8249816122338</v>
      </c>
      <c r="C13" s="158">
        <v>6.7303801472372055E-2</v>
      </c>
      <c r="D13" s="188">
        <v>549.44923949294969</v>
      </c>
      <c r="E13" s="187">
        <v>263.7323584963807</v>
      </c>
      <c r="F13" s="188">
        <v>174.14628347977344</v>
      </c>
      <c r="G13" s="187">
        <v>307.1393643380062</v>
      </c>
      <c r="H13" s="188">
        <v>37.025033111675718</v>
      </c>
      <c r="I13" s="187">
        <v>65.76167578635949</v>
      </c>
      <c r="J13" s="188">
        <v>63.375782250498219</v>
      </c>
      <c r="K13" s="187">
        <v>8.9352628731483819</v>
      </c>
      <c r="L13" s="188">
        <v>23.698466932838429</v>
      </c>
      <c r="M13" s="187">
        <v>14.563635915382035</v>
      </c>
      <c r="N13" s="188">
        <v>2.7620899733599962</v>
      </c>
      <c r="O13"/>
    </row>
    <row r="14" spans="1:22" ht="20" customHeight="1" thickBot="1">
      <c r="A14" s="328">
        <v>2002</v>
      </c>
      <c r="B14" s="188">
        <v>1615.432400016774</v>
      </c>
      <c r="C14" s="158">
        <v>4.3005129175541695E-2</v>
      </c>
      <c r="D14" s="188">
        <v>559.43217658828928</v>
      </c>
      <c r="E14" s="187">
        <v>268.50345190882268</v>
      </c>
      <c r="F14" s="188">
        <v>171.66132067610738</v>
      </c>
      <c r="G14" s="187">
        <v>343.7455082841455</v>
      </c>
      <c r="H14" s="188">
        <v>39.493547804709614</v>
      </c>
      <c r="I14" s="187">
        <v>68.92734993393816</v>
      </c>
      <c r="J14" s="188">
        <v>66.109744640711739</v>
      </c>
      <c r="K14" s="187">
        <v>8.8787656073170158</v>
      </c>
      <c r="L14" s="188">
        <v>27.622294486640037</v>
      </c>
      <c r="M14" s="187">
        <v>15.361832696314805</v>
      </c>
      <c r="N14" s="188">
        <v>3.033957453552472</v>
      </c>
      <c r="O14"/>
    </row>
    <row r="15" spans="1:22" ht="20" customHeight="1" thickBot="1">
      <c r="A15" s="328">
        <v>2003</v>
      </c>
      <c r="B15" s="188">
        <v>1666.6209287074066</v>
      </c>
      <c r="C15" s="158">
        <v>3.1687199470619223E-2</v>
      </c>
      <c r="D15" s="188">
        <v>565.89080672037517</v>
      </c>
      <c r="E15" s="187">
        <v>290.45423380519912</v>
      </c>
      <c r="F15" s="188">
        <v>182.83129248471178</v>
      </c>
      <c r="G15" s="187">
        <v>352.94069193578031</v>
      </c>
      <c r="H15" s="188">
        <v>43.42085098619804</v>
      </c>
      <c r="I15" s="187">
        <v>66.649239980169568</v>
      </c>
      <c r="J15" s="188">
        <v>65.17295098477382</v>
      </c>
      <c r="K15" s="187">
        <v>8.8175191471555454</v>
      </c>
      <c r="L15" s="188">
        <v>29.097237370473131</v>
      </c>
      <c r="M15" s="187">
        <v>15.292816213756383</v>
      </c>
      <c r="N15" s="188">
        <v>4.1140870029928776</v>
      </c>
      <c r="O15"/>
    </row>
    <row r="16" spans="1:22" ht="20" customHeight="1" thickBot="1">
      <c r="A16" s="328">
        <v>2004</v>
      </c>
      <c r="B16" s="188">
        <v>1751.312015563195</v>
      </c>
      <c r="C16" s="158">
        <v>5.0816046646835811E-2</v>
      </c>
      <c r="D16" s="188">
        <v>592.89763778354495</v>
      </c>
      <c r="E16" s="187">
        <v>296.91590007765888</v>
      </c>
      <c r="F16" s="188">
        <v>189.43742407132373</v>
      </c>
      <c r="G16" s="187">
        <v>372.47504406402646</v>
      </c>
      <c r="H16" s="188">
        <v>49.454875646942796</v>
      </c>
      <c r="I16" s="187">
        <v>68.449757529348247</v>
      </c>
      <c r="J16" s="188">
        <v>80.079219765387336</v>
      </c>
      <c r="K16" s="187">
        <v>9.2427076643370807</v>
      </c>
      <c r="L16" s="188">
        <v>35.206929733486795</v>
      </c>
      <c r="M16" s="187">
        <v>10.766673971168975</v>
      </c>
      <c r="N16" s="188">
        <v>3.4775317481750707</v>
      </c>
      <c r="O16"/>
    </row>
    <row r="17" spans="1:17" ht="20" customHeight="1" thickBot="1">
      <c r="A17" s="328">
        <v>2005</v>
      </c>
      <c r="B17" s="188">
        <v>1868.8453126166223</v>
      </c>
      <c r="C17" s="158">
        <v>6.7111568931724833E-2</v>
      </c>
      <c r="D17" s="188">
        <v>608.74538167382002</v>
      </c>
      <c r="E17" s="187">
        <v>359.22898499367591</v>
      </c>
      <c r="F17" s="188">
        <v>198.02028876263893</v>
      </c>
      <c r="G17" s="187">
        <v>379.34998080250244</v>
      </c>
      <c r="H17" s="188">
        <v>52.228327605463519</v>
      </c>
      <c r="I17" s="187">
        <v>71.506769252803821</v>
      </c>
      <c r="J17" s="188">
        <v>89.431105997755466</v>
      </c>
      <c r="K17" s="187">
        <v>9.3082174030862586</v>
      </c>
      <c r="L17" s="188">
        <v>40.071474704018968</v>
      </c>
      <c r="M17" s="187">
        <v>7.0814671191582956</v>
      </c>
      <c r="N17" s="188">
        <v>3.2498517657327022</v>
      </c>
      <c r="O17"/>
    </row>
    <row r="18" spans="1:17" ht="20" customHeight="1" thickBot="1">
      <c r="A18" s="328">
        <v>2006</v>
      </c>
      <c r="B18" s="188">
        <v>1876.16</v>
      </c>
      <c r="C18" s="158">
        <v>3.9140143563494156E-3</v>
      </c>
      <c r="D18" s="188">
        <v>619.30999999999995</v>
      </c>
      <c r="E18" s="187">
        <v>353.68</v>
      </c>
      <c r="F18" s="188">
        <v>196.88</v>
      </c>
      <c r="G18" s="187">
        <v>378.01</v>
      </c>
      <c r="H18" s="188">
        <v>55.74</v>
      </c>
      <c r="I18" s="187">
        <v>72.13</v>
      </c>
      <c r="J18" s="188">
        <v>83.65</v>
      </c>
      <c r="K18" s="187">
        <v>9.15</v>
      </c>
      <c r="L18" s="188">
        <v>44.98</v>
      </c>
      <c r="M18" s="187">
        <v>8.26</v>
      </c>
      <c r="N18" s="188">
        <v>1.57</v>
      </c>
      <c r="O18"/>
    </row>
    <row r="19" spans="1:17" ht="20" customHeight="1" thickBot="1">
      <c r="A19" s="328">
        <v>2007</v>
      </c>
      <c r="B19" s="188">
        <v>1946.99</v>
      </c>
      <c r="C19" s="158">
        <v>3.7752643697765542E-2</v>
      </c>
      <c r="D19" s="188">
        <v>641.54999999999995</v>
      </c>
      <c r="E19" s="187">
        <v>374.75</v>
      </c>
      <c r="F19" s="188">
        <v>201.51</v>
      </c>
      <c r="G19" s="187">
        <v>383.11</v>
      </c>
      <c r="H19" s="188">
        <v>60.51</v>
      </c>
      <c r="I19" s="187">
        <v>73.489999999999995</v>
      </c>
      <c r="J19" s="188">
        <v>83.98</v>
      </c>
      <c r="K19" s="187">
        <v>9.4499999999999993</v>
      </c>
      <c r="L19" s="188">
        <v>49.59</v>
      </c>
      <c r="M19" s="187">
        <v>8.51</v>
      </c>
      <c r="N19" s="188">
        <v>1.3</v>
      </c>
      <c r="O19"/>
    </row>
    <row r="20" spans="1:17" ht="20" customHeight="1" thickBot="1">
      <c r="A20" s="328">
        <v>2008</v>
      </c>
      <c r="B20" s="188">
        <v>2050.5</v>
      </c>
      <c r="C20" s="158">
        <v>5.3164114864483025E-2</v>
      </c>
      <c r="D20" s="188">
        <v>670.19</v>
      </c>
      <c r="E20" s="187">
        <v>427.46</v>
      </c>
      <c r="F20" s="188">
        <v>212.65</v>
      </c>
      <c r="G20" s="187">
        <v>396.5</v>
      </c>
      <c r="H20" s="188">
        <v>65.150000000000006</v>
      </c>
      <c r="I20" s="187">
        <v>75.2</v>
      </c>
      <c r="J20" s="188">
        <v>90.16</v>
      </c>
      <c r="K20" s="187">
        <v>9.41</v>
      </c>
      <c r="L20" s="188">
        <v>49.18</v>
      </c>
      <c r="M20" s="187">
        <v>7.29</v>
      </c>
      <c r="N20" s="188">
        <v>1.42</v>
      </c>
      <c r="O20"/>
    </row>
    <row r="21" spans="1:17" s="162" customFormat="1" ht="27" customHeight="1">
      <c r="A21" s="329">
        <v>2009</v>
      </c>
      <c r="B21" s="191">
        <v>2108.4899999999998</v>
      </c>
      <c r="C21" s="962">
        <v>2.8280907095830088E-2</v>
      </c>
      <c r="D21" s="191">
        <v>678.09</v>
      </c>
      <c r="E21" s="963">
        <v>450.61</v>
      </c>
      <c r="F21" s="191">
        <v>220.2</v>
      </c>
      <c r="G21" s="963">
        <v>406.84</v>
      </c>
      <c r="H21" s="964">
        <v>68.92</v>
      </c>
      <c r="I21" s="963">
        <v>76.819999999999993</v>
      </c>
      <c r="J21" s="964">
        <v>89.74</v>
      </c>
      <c r="K21" s="963">
        <v>9.42</v>
      </c>
      <c r="L21" s="964">
        <v>50.87</v>
      </c>
      <c r="M21" s="963">
        <v>8.0500000000000007</v>
      </c>
      <c r="N21" s="964">
        <v>1.25</v>
      </c>
      <c r="O21"/>
      <c r="P21" s="965"/>
      <c r="Q21" s="966"/>
    </row>
    <row r="22" spans="1:17" ht="19.5" customHeight="1" thickBot="1">
      <c r="A22" s="418"/>
      <c r="B22" s="712"/>
      <c r="C22" s="967"/>
      <c r="D22" s="712"/>
      <c r="E22" s="967"/>
      <c r="F22" s="712"/>
      <c r="G22" s="967"/>
      <c r="P22" s="3"/>
      <c r="Q22" s="3"/>
    </row>
    <row r="23" spans="1:17" ht="54" customHeight="1" thickBot="1">
      <c r="A23" s="968" t="s">
        <v>924</v>
      </c>
      <c r="B23" s="969">
        <v>4.5473215042131754E-2</v>
      </c>
      <c r="C23" s="970" t="s">
        <v>744</v>
      </c>
      <c r="D23" s="969">
        <v>2.7340045195628271E-2</v>
      </c>
      <c r="E23" s="970">
        <v>8.2372062048927219E-2</v>
      </c>
      <c r="F23" s="969">
        <v>4.4912684287066407E-2</v>
      </c>
      <c r="G23" s="970">
        <v>4.6753569431860154E-2</v>
      </c>
      <c r="H23" s="461">
        <v>7.8535466331985715E-2</v>
      </c>
      <c r="I23" s="970">
        <v>2.4794928748108402E-2</v>
      </c>
      <c r="J23" s="461">
        <v>4.6571179861726542E-2</v>
      </c>
      <c r="K23" s="970">
        <v>1.2312004955188582E-2</v>
      </c>
      <c r="L23" s="461">
        <v>0.11454558678828897</v>
      </c>
      <c r="M23" s="970">
        <v>-3.9854037912607332E-2</v>
      </c>
      <c r="N23" s="461" t="s">
        <v>744</v>
      </c>
    </row>
    <row r="24" spans="1:17" ht="39.75" customHeight="1">
      <c r="A24" s="418"/>
      <c r="B24" s="971"/>
      <c r="C24" s="967"/>
      <c r="D24" s="712"/>
      <c r="E24" s="967"/>
      <c r="F24" s="712"/>
      <c r="G24" s="967"/>
      <c r="P24" s="3"/>
      <c r="Q24" s="3"/>
    </row>
    <row r="25" spans="1:17" ht="19.5" customHeight="1">
      <c r="A25" s="119" t="s">
        <v>2320</v>
      </c>
      <c r="B25" s="212" t="s">
        <v>925</v>
      </c>
      <c r="C25" s="121" t="s">
        <v>1801</v>
      </c>
      <c r="D25" s="120"/>
      <c r="E25" s="644"/>
      <c r="F25"/>
      <c r="G25" s="2"/>
      <c r="H25" s="356" t="s">
        <v>1567</v>
      </c>
      <c r="I25" s="121" t="s">
        <v>1801</v>
      </c>
    </row>
    <row r="26" spans="1:17" ht="16.5" customHeight="1">
      <c r="A26" s="325"/>
      <c r="B26" s="212" t="s">
        <v>910</v>
      </c>
      <c r="C26" s="124" t="s">
        <v>1802</v>
      </c>
      <c r="D26" s="972" t="s">
        <v>911</v>
      </c>
      <c r="E26" s="973" t="s">
        <v>911</v>
      </c>
      <c r="F26"/>
      <c r="G26" s="2"/>
      <c r="H26" s="212" t="s">
        <v>2541</v>
      </c>
      <c r="I26" s="124" t="s">
        <v>1802</v>
      </c>
    </row>
    <row r="27" spans="1:17" ht="16.5" customHeight="1">
      <c r="A27" s="325"/>
      <c r="B27" s="123"/>
      <c r="C27" s="124" t="s">
        <v>1806</v>
      </c>
      <c r="D27" s="972" t="s">
        <v>926</v>
      </c>
      <c r="E27" s="973" t="s">
        <v>927</v>
      </c>
      <c r="F27"/>
      <c r="G27" s="2"/>
      <c r="H27" s="123"/>
      <c r="I27" s="124" t="s">
        <v>1806</v>
      </c>
    </row>
    <row r="28" spans="1:17" ht="15.75" customHeight="1">
      <c r="A28" s="912"/>
      <c r="B28" s="392"/>
      <c r="C28" s="959"/>
      <c r="D28" s="972" t="s">
        <v>928</v>
      </c>
      <c r="E28" s="973"/>
      <c r="F28"/>
      <c r="G28" s="2"/>
      <c r="H28" s="392"/>
      <c r="I28" s="959"/>
    </row>
    <row r="29" spans="1:17" ht="12" customHeight="1">
      <c r="A29" s="326"/>
      <c r="B29" s="129"/>
      <c r="C29" s="646"/>
      <c r="D29" s="974"/>
      <c r="E29" s="975"/>
      <c r="F29"/>
      <c r="G29" s="2"/>
      <c r="H29" s="129"/>
      <c r="I29" s="646"/>
    </row>
    <row r="30" spans="1:17" ht="1.5" customHeight="1" thickBot="1">
      <c r="A30" s="327">
        <v>1996</v>
      </c>
      <c r="B30" s="170">
        <v>586.83678759613247</v>
      </c>
      <c r="C30" s="157">
        <v>7.9400703813924001E-2</v>
      </c>
      <c r="D30" s="185" t="s">
        <v>744</v>
      </c>
      <c r="E30" s="184" t="s">
        <v>744</v>
      </c>
      <c r="F30"/>
      <c r="G30" s="2"/>
      <c r="H30" s="170">
        <v>1722.6034667433191</v>
      </c>
      <c r="I30" s="157">
        <v>9.7018358352515099E-2</v>
      </c>
    </row>
    <row r="31" spans="1:17" ht="0.75" hidden="1" customHeight="1" thickBot="1">
      <c r="A31" s="328">
        <v>1997</v>
      </c>
      <c r="B31" s="188">
        <v>608.42125188692751</v>
      </c>
      <c r="C31" s="158">
        <v>3.678103477324892E-2</v>
      </c>
      <c r="D31" s="188" t="s">
        <v>744</v>
      </c>
      <c r="E31" s="187" t="s">
        <v>744</v>
      </c>
      <c r="F31"/>
      <c r="G31" s="2"/>
      <c r="H31" s="188">
        <v>1815.5918174756728</v>
      </c>
      <c r="I31" s="158">
        <v>5.3981286191275034E-2</v>
      </c>
    </row>
    <row r="32" spans="1:17" ht="19.5" hidden="1" customHeight="1" thickBot="1">
      <c r="A32" s="328">
        <v>1998</v>
      </c>
      <c r="B32" s="188">
        <v>647.39263733582663</v>
      </c>
      <c r="C32" s="158">
        <v>6.4053294206990977E-2</v>
      </c>
      <c r="D32" s="188">
        <v>492.71135658354189</v>
      </c>
      <c r="E32" s="187">
        <v>150.64686744819926</v>
      </c>
      <c r="F32"/>
      <c r="G32" s="2"/>
      <c r="H32" s="188">
        <v>1935.2609068839854</v>
      </c>
      <c r="I32" s="158">
        <v>6.5911890688456515E-2</v>
      </c>
    </row>
    <row r="33" spans="1:9" ht="19.5" customHeight="1" thickBot="1">
      <c r="A33" s="328">
        <v>1999</v>
      </c>
      <c r="B33" s="188">
        <v>659.34783816072627</v>
      </c>
      <c r="C33" s="158">
        <v>1.8466692599560762E-2</v>
      </c>
      <c r="D33" s="188">
        <v>496.69748609522117</v>
      </c>
      <c r="E33" s="187">
        <v>160.88253360625276</v>
      </c>
      <c r="F33"/>
      <c r="G33" s="2"/>
      <c r="H33" s="188">
        <v>2010.9299604622606</v>
      </c>
      <c r="I33" s="158">
        <v>3.9100181949167756E-2</v>
      </c>
    </row>
    <row r="34" spans="1:9" ht="19.5" customHeight="1" thickBot="1">
      <c r="A34" s="328">
        <v>2000</v>
      </c>
      <c r="B34" s="188">
        <v>679.34395321862166</v>
      </c>
      <c r="C34" s="158">
        <v>3.0327110973284228E-2</v>
      </c>
      <c r="D34" s="188">
        <v>508.80015768509037</v>
      </c>
      <c r="E34" s="187">
        <v>167.22954109591964</v>
      </c>
      <c r="F34"/>
      <c r="G34" s="2"/>
      <c r="H34" s="188">
        <v>2130.500577485856</v>
      </c>
      <c r="I34" s="158">
        <v>5.946035882627615E-2</v>
      </c>
    </row>
    <row r="35" spans="1:9" ht="19.5" customHeight="1" thickBot="1">
      <c r="A35" s="328">
        <v>2001</v>
      </c>
      <c r="B35" s="188">
        <v>695.57285390457537</v>
      </c>
      <c r="C35" s="158">
        <v>2.388907799806534E-2</v>
      </c>
      <c r="D35" s="188">
        <v>520.22845878332566</v>
      </c>
      <c r="E35" s="187">
        <v>172.28381767006115</v>
      </c>
      <c r="F35"/>
      <c r="G35" s="2"/>
      <c r="H35" s="188">
        <v>2244.3978355168092</v>
      </c>
      <c r="I35" s="158">
        <v>5.3460327227585272E-2</v>
      </c>
    </row>
    <row r="36" spans="1:9" ht="19.5" customHeight="1" thickBot="1">
      <c r="A36" s="328">
        <v>2002</v>
      </c>
      <c r="B36" s="188">
        <v>712.19782148377215</v>
      </c>
      <c r="C36" s="158">
        <v>2.3901116160403715E-2</v>
      </c>
      <c r="D36" s="188">
        <v>515.19747034296608</v>
      </c>
      <c r="E36" s="187">
        <v>189.57472804627923</v>
      </c>
      <c r="F36"/>
      <c r="G36" s="2"/>
      <c r="H36" s="188">
        <v>2327.6302215005462</v>
      </c>
      <c r="I36" s="158">
        <v>3.7084506439372583E-2</v>
      </c>
    </row>
    <row r="37" spans="1:9" ht="19.5" customHeight="1" thickBot="1">
      <c r="A37" s="328">
        <v>2003</v>
      </c>
      <c r="B37" s="188">
        <v>764.59062760893357</v>
      </c>
      <c r="C37" s="158">
        <v>7.3564962633566877E-2</v>
      </c>
      <c r="D37" s="188">
        <v>557.73124969057335</v>
      </c>
      <c r="E37" s="187">
        <v>200.44409586700854</v>
      </c>
      <c r="F37"/>
      <c r="G37" s="2"/>
      <c r="H37" s="188">
        <v>2431.2115563163402</v>
      </c>
      <c r="I37" s="158">
        <v>4.4500769004888807E-2</v>
      </c>
    </row>
    <row r="38" spans="1:9" ht="19.5" customHeight="1" thickBot="1">
      <c r="A38" s="328">
        <v>2004</v>
      </c>
      <c r="B38" s="188">
        <v>840.90429336795432</v>
      </c>
      <c r="C38" s="158">
        <v>9.9809836798121235E-2</v>
      </c>
      <c r="D38" s="188">
        <v>618.810128536668</v>
      </c>
      <c r="E38" s="187">
        <v>213.02590534069273</v>
      </c>
      <c r="F38"/>
      <c r="G38" s="2"/>
      <c r="H38" s="188">
        <v>2592.2163089311489</v>
      </c>
      <c r="I38" s="158">
        <v>6.622408165036682E-2</v>
      </c>
    </row>
    <row r="39" spans="1:9" ht="19.5" customHeight="1" thickBot="1">
      <c r="A39" s="328">
        <v>2005</v>
      </c>
      <c r="B39" s="188">
        <v>867.58002616373483</v>
      </c>
      <c r="C39" s="158">
        <v>3.1722674038135765E-2</v>
      </c>
      <c r="D39" s="188">
        <v>645.948160066112</v>
      </c>
      <c r="E39" s="187">
        <v>213.44705424318488</v>
      </c>
      <c r="F39"/>
      <c r="G39" s="2"/>
      <c r="H39" s="188">
        <v>2736.4253387803569</v>
      </c>
      <c r="I39" s="158">
        <v>5.5631557193878578E-2</v>
      </c>
    </row>
    <row r="40" spans="1:9" ht="19.5" customHeight="1" thickBot="1">
      <c r="A40" s="328">
        <v>2006</v>
      </c>
      <c r="B40" s="188">
        <v>878.78</v>
      </c>
      <c r="C40" s="158">
        <v>1.2909441778862885E-2</v>
      </c>
      <c r="D40" s="188">
        <v>654.29</v>
      </c>
      <c r="E40" s="187">
        <v>217.58</v>
      </c>
      <c r="F40"/>
      <c r="G40" s="2"/>
      <c r="H40" s="188">
        <v>2754.94</v>
      </c>
      <c r="I40" s="158">
        <v>6.7660026960192354E-3</v>
      </c>
    </row>
    <row r="41" spans="1:9" ht="19.5" customHeight="1" thickBot="1">
      <c r="A41" s="328">
        <v>2007</v>
      </c>
      <c r="B41" s="188">
        <v>915.82</v>
      </c>
      <c r="C41" s="158">
        <v>4.2149343407906548E-2</v>
      </c>
      <c r="D41" s="188">
        <v>681.54</v>
      </c>
      <c r="E41" s="187">
        <v>226.41</v>
      </c>
      <c r="F41"/>
      <c r="G41" s="2"/>
      <c r="H41" s="188">
        <v>2862.81</v>
      </c>
      <c r="I41" s="158">
        <v>3.915511771581226E-2</v>
      </c>
    </row>
    <row r="42" spans="1:9" ht="19.5" customHeight="1" thickBot="1">
      <c r="A42" s="328">
        <v>2008</v>
      </c>
      <c r="B42" s="188">
        <v>933.12</v>
      </c>
      <c r="C42" s="158">
        <v>1.8890174925203507E-2</v>
      </c>
      <c r="D42" s="188">
        <v>690.44</v>
      </c>
      <c r="E42" s="187">
        <v>234.3</v>
      </c>
      <c r="F42"/>
      <c r="G42" s="2"/>
      <c r="H42" s="188">
        <v>2983.62</v>
      </c>
      <c r="I42" s="158">
        <v>4.2199796703239034E-2</v>
      </c>
    </row>
    <row r="43" spans="1:9" ht="27" customHeight="1">
      <c r="A43" s="329">
        <v>2009</v>
      </c>
      <c r="B43" s="964">
        <v>960.23</v>
      </c>
      <c r="C43" s="962">
        <v>2.9053069272976684E-2</v>
      </c>
      <c r="D43" s="964">
        <v>711.06</v>
      </c>
      <c r="E43" s="963">
        <v>241.04</v>
      </c>
      <c r="F43" s="579"/>
      <c r="G43" s="141"/>
      <c r="H43" s="964">
        <v>3068.72</v>
      </c>
      <c r="I43" s="962">
        <v>2.8522398965015627E-2</v>
      </c>
    </row>
    <row r="44" spans="1:9" ht="19.5" customHeight="1" thickBot="1">
      <c r="A44" s="141"/>
      <c r="B44" s="712"/>
      <c r="C44" s="967"/>
      <c r="D44" s="712"/>
      <c r="E44" s="967"/>
      <c r="F44" s="712"/>
      <c r="G44" s="967"/>
    </row>
    <row r="45" spans="1:9" ht="51" customHeight="1" thickBot="1">
      <c r="A45" s="968" t="s">
        <v>924</v>
      </c>
      <c r="B45" s="461">
        <v>3.830768483163971E-2</v>
      </c>
      <c r="C45" s="970" t="s">
        <v>744</v>
      </c>
      <c r="D45" s="461">
        <v>3.6528931669032705E-2</v>
      </c>
      <c r="E45" s="970">
        <v>4.1257211313233677E-2</v>
      </c>
      <c r="F45" s="671"/>
      <c r="G45" s="2"/>
      <c r="H45" s="461">
        <v>4.3172265089105544E-2</v>
      </c>
      <c r="I45" s="970" t="s">
        <v>744</v>
      </c>
    </row>
    <row r="46" spans="1:9" ht="17.25" customHeight="1">
      <c r="A46" s="140" t="s">
        <v>1837</v>
      </c>
      <c r="B46" s="712"/>
      <c r="C46" s="967"/>
      <c r="D46" s="712"/>
      <c r="E46" s="967"/>
      <c r="F46" s="712"/>
      <c r="G46" s="967"/>
    </row>
    <row r="47" spans="1:9" ht="14">
      <c r="A47" s="418"/>
      <c r="B47" s="712"/>
      <c r="C47" s="967"/>
      <c r="D47" s="712"/>
      <c r="E47" s="967"/>
      <c r="F47" s="712"/>
      <c r="G47" s="967"/>
    </row>
    <row r="48" spans="1:9" ht="14">
      <c r="A48" s="141" t="s">
        <v>929</v>
      </c>
      <c r="B48" s="712"/>
      <c r="C48" s="967"/>
      <c r="D48" s="712"/>
      <c r="E48" s="967"/>
      <c r="F48" s="712"/>
      <c r="G48" s="967"/>
    </row>
    <row r="49" spans="1:7" ht="14">
      <c r="A49" s="141" t="s">
        <v>930</v>
      </c>
      <c r="B49" s="712"/>
      <c r="C49" s="967"/>
      <c r="D49" s="712"/>
      <c r="E49" s="967"/>
      <c r="F49" s="712"/>
      <c r="G49" s="967"/>
    </row>
    <row r="50" spans="1:7" ht="14">
      <c r="A50" s="141" t="s">
        <v>933</v>
      </c>
      <c r="B50" s="712"/>
      <c r="C50" s="967"/>
      <c r="D50" s="712"/>
      <c r="E50" s="967"/>
      <c r="F50" s="712"/>
      <c r="G50" s="967"/>
    </row>
    <row r="51" spans="1:7" ht="14">
      <c r="B51" s="712"/>
      <c r="C51" s="967"/>
      <c r="D51" s="712"/>
      <c r="E51" s="967"/>
      <c r="F51" s="712"/>
      <c r="G51" s="967"/>
    </row>
    <row r="52" spans="1:7">
      <c r="A52" s="2" t="s">
        <v>931</v>
      </c>
      <c r="B52" s="3"/>
      <c r="C52" s="976"/>
      <c r="D52" s="3"/>
      <c r="E52" s="976"/>
      <c r="F52" s="3"/>
      <c r="G52" s="976"/>
    </row>
    <row r="53" spans="1:7">
      <c r="A53" s="3"/>
      <c r="B53" s="3"/>
      <c r="C53" s="976"/>
      <c r="D53" s="3"/>
      <c r="E53" s="976"/>
      <c r="F53" s="3"/>
      <c r="G53" s="976"/>
    </row>
    <row r="55" spans="1:7">
      <c r="A55" s="2" t="s">
        <v>710</v>
      </c>
    </row>
    <row r="58" spans="1:7">
      <c r="B58"/>
      <c r="C58"/>
      <c r="D58"/>
      <c r="E58"/>
    </row>
    <row r="59" spans="1:7">
      <c r="B59"/>
      <c r="C59"/>
      <c r="D59"/>
      <c r="E59"/>
    </row>
    <row r="60" spans="1:7">
      <c r="B60"/>
      <c r="C60"/>
      <c r="D60"/>
      <c r="E60"/>
    </row>
    <row r="61" spans="1:7">
      <c r="B61"/>
      <c r="C61"/>
      <c r="D61"/>
      <c r="E61"/>
    </row>
    <row r="62" spans="1:7">
      <c r="B62"/>
      <c r="C62"/>
      <c r="D62"/>
      <c r="E62"/>
    </row>
  </sheetData>
  <phoneticPr fontId="0" type="noConversion"/>
  <pageMargins left="0.52" right="0.37" top="0.55000000000000004" bottom="0.49" header="0.42" footer="0.4921259845"/>
  <pageSetup paperSize="9" scale="54" orientation="landscape" horizontalDpi="4294967292" verticalDpi="4294967292"/>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0DF5C-659A-4E45-87D2-38222E376542}">
  <sheetPr>
    <pageSetUpPr fitToPage="1"/>
  </sheetPr>
  <dimension ref="A1:H41"/>
  <sheetViews>
    <sheetView topLeftCell="A23" zoomScale="75" workbookViewId="0">
      <selection activeCell="C39" sqref="C39"/>
    </sheetView>
  </sheetViews>
  <sheetFormatPr baseColWidth="10" defaultColWidth="11.3984375" defaultRowHeight="13"/>
  <cols>
    <col min="1" max="1" width="41.3984375" style="2" customWidth="1"/>
    <col min="2" max="4" width="15.19921875" style="2" customWidth="1"/>
    <col min="5" max="5" width="15.19921875" style="277" customWidth="1"/>
    <col min="6" max="6" width="15.19921875" style="2" customWidth="1"/>
    <col min="7" max="7" width="15.3984375" style="2" customWidth="1"/>
    <col min="8" max="8" width="15.59765625" style="2" customWidth="1"/>
    <col min="9" max="16384" width="11.3984375" style="2"/>
  </cols>
  <sheetData>
    <row r="1" spans="1:8" s="1" customFormat="1" ht="14" customHeight="1">
      <c r="E1" s="16"/>
    </row>
    <row r="2" spans="1:8" s="1" customFormat="1" ht="30.75" customHeight="1">
      <c r="A2" s="177" t="s">
        <v>1218</v>
      </c>
      <c r="B2" s="478"/>
      <c r="C2" s="478"/>
      <c r="D2" s="478"/>
      <c r="E2" s="478"/>
      <c r="H2" s="118">
        <v>2009</v>
      </c>
    </row>
    <row r="3" spans="1:8" ht="24" customHeight="1">
      <c r="A3" s="119" t="s">
        <v>2103</v>
      </c>
      <c r="B3" s="120" t="s">
        <v>1833</v>
      </c>
      <c r="C3" s="121" t="s">
        <v>1834</v>
      </c>
      <c r="D3" s="120" t="s">
        <v>1798</v>
      </c>
      <c r="E3" s="389" t="s">
        <v>1567</v>
      </c>
      <c r="F3" s="120" t="s">
        <v>2104</v>
      </c>
      <c r="G3" s="121" t="s">
        <v>1801</v>
      </c>
      <c r="H3" s="120" t="s">
        <v>1801</v>
      </c>
    </row>
    <row r="4" spans="1:8" ht="15" customHeight="1">
      <c r="A4" s="325"/>
      <c r="B4" s="123"/>
      <c r="C4" s="124"/>
      <c r="D4" s="123"/>
      <c r="E4" s="479"/>
      <c r="F4" s="123" t="s">
        <v>2323</v>
      </c>
      <c r="G4" s="124" t="s">
        <v>1802</v>
      </c>
      <c r="H4" s="123" t="s">
        <v>1802</v>
      </c>
    </row>
    <row r="5" spans="1:8" ht="15" customHeight="1">
      <c r="A5" s="325"/>
      <c r="B5" s="123"/>
      <c r="C5" s="124"/>
      <c r="D5" s="123"/>
      <c r="E5" s="479"/>
      <c r="F5" s="123" t="s">
        <v>2105</v>
      </c>
      <c r="G5" s="124" t="s">
        <v>1806</v>
      </c>
      <c r="H5" s="123" t="s">
        <v>1806</v>
      </c>
    </row>
    <row r="6" spans="1:8" ht="24" customHeight="1">
      <c r="A6" s="326"/>
      <c r="B6" s="129"/>
      <c r="C6" s="128"/>
      <c r="D6" s="129"/>
      <c r="E6" s="480"/>
      <c r="F6" s="129"/>
      <c r="G6" s="128" t="s">
        <v>2528</v>
      </c>
      <c r="H6" s="129" t="s">
        <v>2030</v>
      </c>
    </row>
    <row r="7" spans="1:8" ht="30" customHeight="1" thickBot="1">
      <c r="A7" s="453" t="s">
        <v>1014</v>
      </c>
      <c r="B7" s="132">
        <v>589.58000000000004</v>
      </c>
      <c r="C7" s="184">
        <v>903.41</v>
      </c>
      <c r="D7" s="185">
        <v>379.39</v>
      </c>
      <c r="E7" s="414">
        <v>678.09</v>
      </c>
      <c r="F7" s="454">
        <v>0.22096835162543343</v>
      </c>
      <c r="G7" s="184">
        <v>7.8999999999999773</v>
      </c>
      <c r="H7" s="454">
        <v>1.1787701994956601E-2</v>
      </c>
    </row>
    <row r="8" spans="1:8" ht="20" customHeight="1" thickBot="1">
      <c r="A8" s="328" t="s">
        <v>1033</v>
      </c>
      <c r="B8" s="455">
        <v>785.07</v>
      </c>
      <c r="C8" s="187">
        <v>905.04</v>
      </c>
      <c r="D8" s="188">
        <v>153.04</v>
      </c>
      <c r="E8" s="456">
        <v>711.06</v>
      </c>
      <c r="F8" s="454">
        <v>0.23171224484475611</v>
      </c>
      <c r="G8" s="187">
        <v>20.619999999999891</v>
      </c>
      <c r="H8" s="454">
        <v>2.9865013614506442E-2</v>
      </c>
    </row>
    <row r="9" spans="1:8" ht="20" customHeight="1" thickBot="1">
      <c r="A9" s="328" t="s">
        <v>1015</v>
      </c>
      <c r="B9" s="188">
        <v>481.62</v>
      </c>
      <c r="C9" s="187">
        <v>543.54999999999995</v>
      </c>
      <c r="D9" s="188">
        <v>192.17</v>
      </c>
      <c r="E9" s="456">
        <v>450.61</v>
      </c>
      <c r="F9" s="454">
        <v>0.14683972470606638</v>
      </c>
      <c r="G9" s="187">
        <v>23.15</v>
      </c>
      <c r="H9" s="454">
        <v>5.4157114115940708E-2</v>
      </c>
    </row>
    <row r="10" spans="1:8" ht="20" customHeight="1" thickBot="1">
      <c r="A10" s="328" t="s">
        <v>1016</v>
      </c>
      <c r="B10" s="188">
        <v>234.04</v>
      </c>
      <c r="C10" s="187">
        <v>286.52</v>
      </c>
      <c r="D10" s="188">
        <v>52.38</v>
      </c>
      <c r="E10" s="456">
        <v>220.2</v>
      </c>
      <c r="F10" s="454">
        <v>7.1756302301936969E-2</v>
      </c>
      <c r="G10" s="187">
        <v>7.5499999999999829</v>
      </c>
      <c r="H10" s="454">
        <v>3.5504349870679519E-2</v>
      </c>
    </row>
    <row r="11" spans="1:8" ht="20" customHeight="1" thickBot="1">
      <c r="A11" s="328" t="s">
        <v>1017</v>
      </c>
      <c r="B11" s="188">
        <v>441.66</v>
      </c>
      <c r="C11" s="187">
        <v>534.48</v>
      </c>
      <c r="D11" s="188">
        <v>67.45</v>
      </c>
      <c r="E11" s="456">
        <v>406.84</v>
      </c>
      <c r="F11" s="454">
        <v>0.13257644881253422</v>
      </c>
      <c r="G11" s="187">
        <v>10.34</v>
      </c>
      <c r="H11" s="454">
        <v>2.6078184110970959E-2</v>
      </c>
    </row>
    <row r="12" spans="1:8" ht="20" customHeight="1" thickBot="1">
      <c r="A12" s="328" t="s">
        <v>1034</v>
      </c>
      <c r="B12" s="188">
        <v>160.9</v>
      </c>
      <c r="C12" s="187">
        <v>431.06</v>
      </c>
      <c r="D12" s="188">
        <v>0.14000000000000001</v>
      </c>
      <c r="E12" s="456">
        <v>241.04</v>
      </c>
      <c r="F12" s="454">
        <v>7.8547407388096666E-2</v>
      </c>
      <c r="G12" s="187">
        <v>6.7399999999999807</v>
      </c>
      <c r="H12" s="454">
        <v>2.876653862569345E-2</v>
      </c>
    </row>
    <row r="13" spans="1:8" ht="20" customHeight="1" thickBot="1">
      <c r="A13" s="328" t="s">
        <v>1018</v>
      </c>
      <c r="B13" s="188">
        <v>58.05</v>
      </c>
      <c r="C13" s="187">
        <v>111</v>
      </c>
      <c r="D13" s="188">
        <v>1.79</v>
      </c>
      <c r="E13" s="456">
        <v>68.92</v>
      </c>
      <c r="F13" s="454">
        <v>2.2458875361714332E-2</v>
      </c>
      <c r="G13" s="187">
        <v>3.77</v>
      </c>
      <c r="H13" s="454">
        <v>5.7866462010744302E-2</v>
      </c>
    </row>
    <row r="14" spans="1:8" ht="20" customHeight="1" thickBot="1">
      <c r="A14" s="328" t="s">
        <v>1019</v>
      </c>
      <c r="B14" s="188">
        <v>65.5</v>
      </c>
      <c r="C14" s="187">
        <v>114.65</v>
      </c>
      <c r="D14" s="188">
        <v>19.600000000000001</v>
      </c>
      <c r="E14" s="456">
        <v>76.819999999999993</v>
      </c>
      <c r="F14" s="454">
        <v>2.503323861414531E-2</v>
      </c>
      <c r="G14" s="187">
        <v>1.6199999999999903</v>
      </c>
      <c r="H14" s="454">
        <v>2.1542553191489233E-2</v>
      </c>
    </row>
    <row r="15" spans="1:8" ht="20" customHeight="1" thickBot="1">
      <c r="A15" s="328" t="s">
        <v>1020</v>
      </c>
      <c r="B15" s="188">
        <v>75.81</v>
      </c>
      <c r="C15" s="187">
        <v>131.32</v>
      </c>
      <c r="D15" s="188">
        <v>29.82</v>
      </c>
      <c r="E15" s="456">
        <v>89.74</v>
      </c>
      <c r="F15" s="454">
        <v>2.9243463072551424E-2</v>
      </c>
      <c r="G15" s="187">
        <v>-0.42000000000000171</v>
      </c>
      <c r="H15" s="454">
        <v>-4.6583850931677384E-3</v>
      </c>
    </row>
    <row r="16" spans="1:8" ht="20" customHeight="1" thickBot="1">
      <c r="A16" s="328" t="s">
        <v>1021</v>
      </c>
      <c r="B16" s="188">
        <v>9.11</v>
      </c>
      <c r="C16" s="187">
        <v>13.06</v>
      </c>
      <c r="D16" s="188">
        <v>2.33</v>
      </c>
      <c r="E16" s="456">
        <v>9.42</v>
      </c>
      <c r="F16" s="454">
        <v>3.069683776949347E-3</v>
      </c>
      <c r="G16" s="187">
        <v>9.9999999999997868E-3</v>
      </c>
      <c r="H16" s="454">
        <v>1.0626992561104665E-3</v>
      </c>
    </row>
    <row r="17" spans="1:8" ht="20" customHeight="1" thickBot="1">
      <c r="A17" s="328" t="s">
        <v>1022</v>
      </c>
      <c r="B17" s="188">
        <v>61.05</v>
      </c>
      <c r="C17" s="187">
        <v>57</v>
      </c>
      <c r="D17" s="188">
        <v>17.55</v>
      </c>
      <c r="E17" s="456">
        <v>50.87</v>
      </c>
      <c r="F17" s="454">
        <v>1.6576944133058734E-2</v>
      </c>
      <c r="G17" s="187">
        <v>1.69</v>
      </c>
      <c r="H17" s="454">
        <v>3.4363562423749494E-2</v>
      </c>
    </row>
    <row r="18" spans="1:8" ht="20" customHeight="1" thickBot="1">
      <c r="A18" s="328" t="s">
        <v>1035</v>
      </c>
      <c r="B18" s="188">
        <v>7.4</v>
      </c>
      <c r="C18" s="187">
        <v>11.39</v>
      </c>
      <c r="D18" s="188">
        <v>2.2799999999999998</v>
      </c>
      <c r="E18" s="456">
        <v>8.0500000000000007</v>
      </c>
      <c r="F18" s="454">
        <v>2.6232435673505571E-3</v>
      </c>
      <c r="G18" s="187">
        <v>0.76000000000000068</v>
      </c>
      <c r="H18" s="454">
        <v>0.10425240054869689</v>
      </c>
    </row>
    <row r="19" spans="1:8" ht="20" customHeight="1" thickBot="1">
      <c r="A19" s="135" t="s">
        <v>1023</v>
      </c>
      <c r="B19" s="188">
        <v>0.82</v>
      </c>
      <c r="C19" s="187">
        <v>2.12</v>
      </c>
      <c r="D19" s="188">
        <v>0.25</v>
      </c>
      <c r="E19" s="456">
        <v>1.25</v>
      </c>
      <c r="F19" s="454">
        <v>4.0733595766312994E-4</v>
      </c>
      <c r="G19" s="187">
        <v>-0.17</v>
      </c>
      <c r="H19" s="454">
        <v>-0.11971830985915488</v>
      </c>
    </row>
    <row r="20" spans="1:8" ht="20" customHeight="1" thickBot="1">
      <c r="A20" s="328" t="s">
        <v>1036</v>
      </c>
      <c r="B20" s="188">
        <v>41.95</v>
      </c>
      <c r="C20" s="187">
        <v>56.65</v>
      </c>
      <c r="D20" s="188">
        <v>40.159999999999997</v>
      </c>
      <c r="E20" s="456">
        <v>47.67</v>
      </c>
      <c r="F20" s="454">
        <v>1.5534164081441124E-2</v>
      </c>
      <c r="G20" s="187">
        <v>1.79</v>
      </c>
      <c r="H20" s="454">
        <v>3.9014821272885802E-2</v>
      </c>
    </row>
    <row r="21" spans="1:8" ht="20" customHeight="1" thickBot="1">
      <c r="A21" s="328" t="s">
        <v>1037</v>
      </c>
      <c r="B21" s="188">
        <v>9.98</v>
      </c>
      <c r="C21" s="187">
        <v>8.81</v>
      </c>
      <c r="D21" s="188">
        <v>2.99</v>
      </c>
      <c r="E21" s="456">
        <v>8.1300000000000008</v>
      </c>
      <c r="F21" s="454">
        <v>2.6493130686409973E-3</v>
      </c>
      <c r="G21" s="187">
        <v>-0.25</v>
      </c>
      <c r="H21" s="454">
        <v>-2.9832935560859197E-2</v>
      </c>
    </row>
    <row r="22" spans="1:8" ht="30" customHeight="1" thickBot="1">
      <c r="A22" s="458" t="s">
        <v>1024</v>
      </c>
      <c r="B22" s="459">
        <v>3022.55</v>
      </c>
      <c r="C22" s="460">
        <v>4110.0600000000004</v>
      </c>
      <c r="D22" s="459">
        <v>961.34</v>
      </c>
      <c r="E22" s="193">
        <v>3068.72</v>
      </c>
      <c r="F22" s="461">
        <v>1</v>
      </c>
      <c r="G22" s="460">
        <v>85.099999999999909</v>
      </c>
      <c r="H22" s="461">
        <v>2.8522398965015627E-2</v>
      </c>
    </row>
    <row r="23" spans="1:8" ht="15" customHeight="1">
      <c r="A23" s="462"/>
      <c r="B23" s="314"/>
      <c r="C23" s="314"/>
      <c r="D23" s="314"/>
      <c r="E23" s="315"/>
      <c r="F23" s="463"/>
      <c r="G23" s="314"/>
      <c r="H23" s="463"/>
    </row>
    <row r="24" spans="1:8" ht="30" customHeight="1" thickBot="1">
      <c r="A24" s="464" t="s">
        <v>1025</v>
      </c>
      <c r="B24" s="465" t="s">
        <v>744</v>
      </c>
      <c r="C24" s="466">
        <v>175.71</v>
      </c>
      <c r="D24" s="465">
        <v>1.69</v>
      </c>
      <c r="E24" s="467" t="s">
        <v>744</v>
      </c>
      <c r="F24" s="468" t="s">
        <v>744</v>
      </c>
      <c r="G24" s="466" t="s">
        <v>744</v>
      </c>
      <c r="H24" s="468" t="s">
        <v>744</v>
      </c>
    </row>
    <row r="25" spans="1:8" ht="30.75" customHeight="1" thickBot="1">
      <c r="A25" s="469" t="s">
        <v>2203</v>
      </c>
      <c r="B25" s="470">
        <v>87.13</v>
      </c>
      <c r="C25" s="471">
        <v>88.06</v>
      </c>
      <c r="D25" s="470">
        <v>7.53</v>
      </c>
      <c r="E25" s="472">
        <v>71.95</v>
      </c>
      <c r="F25" s="473">
        <v>2.344625772308976E-2</v>
      </c>
      <c r="G25" s="471">
        <v>7.26</v>
      </c>
      <c r="H25" s="473">
        <v>0.11222754676147795</v>
      </c>
    </row>
    <row r="26" spans="1:8" ht="15" customHeight="1">
      <c r="A26" s="462"/>
      <c r="B26" s="314"/>
      <c r="C26" s="314"/>
      <c r="D26" s="314"/>
      <c r="E26" s="315"/>
      <c r="F26" s="463"/>
      <c r="G26" s="314"/>
      <c r="H26" s="463"/>
    </row>
    <row r="27" spans="1:8" ht="30" customHeight="1" thickBot="1">
      <c r="A27" s="464" t="s">
        <v>1216</v>
      </c>
      <c r="B27" s="465">
        <v>5.47</v>
      </c>
      <c r="C27" s="466">
        <v>5.87</v>
      </c>
      <c r="D27" s="465">
        <v>11.12</v>
      </c>
      <c r="E27" s="467">
        <v>6.74</v>
      </c>
      <c r="F27" s="468">
        <v>2.1963554837195966E-3</v>
      </c>
      <c r="G27" s="466" t="s">
        <v>744</v>
      </c>
      <c r="H27" s="468" t="s">
        <v>744</v>
      </c>
    </row>
    <row r="28" spans="1:8" ht="30.75" customHeight="1" thickBot="1">
      <c r="A28" s="469" t="s">
        <v>1217</v>
      </c>
      <c r="B28" s="470">
        <v>7.08</v>
      </c>
      <c r="C28" s="471">
        <v>7.16</v>
      </c>
      <c r="D28" s="470">
        <v>3.29</v>
      </c>
      <c r="E28" s="472">
        <v>6.37</v>
      </c>
      <c r="F28" s="473">
        <v>2.0757840402513103E-3</v>
      </c>
      <c r="G28" s="471" t="s">
        <v>744</v>
      </c>
      <c r="H28" s="473" t="s">
        <v>744</v>
      </c>
    </row>
    <row r="29" spans="1:8" ht="20" customHeight="1">
      <c r="A29" s="140" t="s">
        <v>1837</v>
      </c>
      <c r="B29" s="194"/>
      <c r="C29" s="194"/>
      <c r="D29" s="194"/>
      <c r="E29" s="481"/>
      <c r="F29" s="194"/>
    </row>
    <row r="30" spans="1:8" ht="12.75" customHeight="1">
      <c r="A30" s="141"/>
      <c r="B30" s="196"/>
      <c r="C30" s="196"/>
      <c r="D30" s="196"/>
      <c r="E30" s="482"/>
      <c r="F30" s="196"/>
    </row>
    <row r="31" spans="1:8">
      <c r="A31" s="141" t="s">
        <v>1026</v>
      </c>
    </row>
    <row r="32" spans="1:8">
      <c r="A32" s="141" t="s">
        <v>1027</v>
      </c>
    </row>
    <row r="33" spans="1:1">
      <c r="A33" s="474" t="s">
        <v>1028</v>
      </c>
    </row>
    <row r="34" spans="1:1">
      <c r="A34" s="474" t="s">
        <v>1029</v>
      </c>
    </row>
    <row r="35" spans="1:1">
      <c r="A35" s="474" t="s">
        <v>1030</v>
      </c>
    </row>
    <row r="36" spans="1:1">
      <c r="A36" s="474" t="s">
        <v>1031</v>
      </c>
    </row>
    <row r="38" spans="1:1">
      <c r="A38" s="2" t="s">
        <v>1219</v>
      </c>
    </row>
    <row r="41" spans="1:1">
      <c r="A41" s="2" t="s">
        <v>710</v>
      </c>
    </row>
  </sheetData>
  <phoneticPr fontId="0" type="noConversion"/>
  <pageMargins left="0.59055118110236227" right="0.51181102362204722" top="0.47244094488188981" bottom="0.37" header="0.31496062992125984" footer="0.25"/>
  <pageSetup paperSize="9" scale="69" orientation="landscape" horizontalDpi="1200" verticalDpi="1200"/>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E75D7-D16A-B14F-AC1A-2B1384263356}">
  <sheetPr>
    <pageSetUpPr fitToPage="1"/>
  </sheetPr>
  <dimension ref="A1:J31"/>
  <sheetViews>
    <sheetView topLeftCell="A13" zoomScale="75" workbookViewId="0">
      <selection activeCell="A23" sqref="A23"/>
    </sheetView>
  </sheetViews>
  <sheetFormatPr baseColWidth="10" defaultColWidth="11.3984375" defaultRowHeight="13"/>
  <cols>
    <col min="1" max="1" width="19.3984375" style="2" customWidth="1"/>
    <col min="2" max="2" width="16.59765625" style="2" customWidth="1"/>
    <col min="3" max="3" width="17.3984375" style="2" customWidth="1"/>
    <col min="4" max="5" width="15.3984375" style="2" customWidth="1"/>
    <col min="6" max="6" width="16.796875" style="2" customWidth="1"/>
    <col min="7" max="7" width="15.59765625" style="2" customWidth="1"/>
    <col min="8" max="16384" width="11.3984375" style="2"/>
  </cols>
  <sheetData>
    <row r="1" spans="1:10" s="1" customFormat="1" ht="14" customHeight="1"/>
    <row r="2" spans="1:10" s="1" customFormat="1" ht="28" customHeight="1">
      <c r="A2" s="118" t="s">
        <v>1180</v>
      </c>
      <c r="G2" s="398"/>
    </row>
    <row r="3" spans="1:10" ht="24" customHeight="1">
      <c r="A3" s="119" t="s">
        <v>2320</v>
      </c>
      <c r="B3" s="120" t="s">
        <v>2251</v>
      </c>
      <c r="C3" s="121" t="s">
        <v>2252</v>
      </c>
      <c r="D3" s="120" t="s">
        <v>2253</v>
      </c>
      <c r="E3" s="121" t="s">
        <v>2254</v>
      </c>
      <c r="F3" s="120" t="s">
        <v>1567</v>
      </c>
      <c r="G3" s="306" t="s">
        <v>1801</v>
      </c>
    </row>
    <row r="4" spans="1:10" ht="15" customHeight="1">
      <c r="A4" s="325"/>
      <c r="B4" s="123" t="s">
        <v>2255</v>
      </c>
      <c r="C4" s="124" t="s">
        <v>2256</v>
      </c>
      <c r="D4" s="123" t="s">
        <v>2124</v>
      </c>
      <c r="E4" s="150" t="s">
        <v>2125</v>
      </c>
      <c r="F4" s="123"/>
      <c r="G4" s="122" t="s">
        <v>1802</v>
      </c>
    </row>
    <row r="5" spans="1:10" ht="15" customHeight="1">
      <c r="A5" s="325"/>
      <c r="B5" s="123" t="s">
        <v>2259</v>
      </c>
      <c r="C5" s="124" t="s">
        <v>2260</v>
      </c>
      <c r="D5" s="123" t="s">
        <v>2300</v>
      </c>
      <c r="E5" s="150" t="s">
        <v>2126</v>
      </c>
      <c r="F5" s="123"/>
      <c r="G5" s="122" t="s">
        <v>1806</v>
      </c>
    </row>
    <row r="6" spans="1:10" ht="24" customHeight="1">
      <c r="A6" s="326"/>
      <c r="B6" s="129"/>
      <c r="C6" s="128"/>
      <c r="D6" s="129"/>
      <c r="E6" s="153" t="s">
        <v>2262</v>
      </c>
      <c r="F6" s="129"/>
      <c r="G6" s="126"/>
    </row>
    <row r="7" spans="1:10" ht="1.5" customHeight="1" thickBot="1">
      <c r="A7" s="327">
        <v>1996</v>
      </c>
      <c r="B7" s="439">
        <v>8068.747832</v>
      </c>
      <c r="C7" s="440">
        <v>2578.7974989999998</v>
      </c>
      <c r="D7" s="439">
        <v>25.416930000000001</v>
      </c>
      <c r="E7" s="440">
        <v>107.523248</v>
      </c>
      <c r="F7" s="439">
        <v>10780.485509</v>
      </c>
      <c r="G7" s="375" t="s">
        <v>744</v>
      </c>
    </row>
    <row r="8" spans="1:10" ht="0.75" hidden="1" customHeight="1" thickBot="1">
      <c r="A8" s="328">
        <v>1997</v>
      </c>
      <c r="B8" s="441">
        <v>7130.3436650000003</v>
      </c>
      <c r="C8" s="442">
        <v>3864.390214</v>
      </c>
      <c r="D8" s="441">
        <v>13.596114</v>
      </c>
      <c r="E8" s="442">
        <v>352.16520000000003</v>
      </c>
      <c r="F8" s="441">
        <v>11360.495192</v>
      </c>
      <c r="G8" s="364">
        <v>5.3801814632168828E-2</v>
      </c>
      <c r="H8" s="8"/>
      <c r="I8" s="8"/>
      <c r="J8" s="8"/>
    </row>
    <row r="9" spans="1:10" ht="19.5" hidden="1" customHeight="1" thickBot="1">
      <c r="A9" s="328">
        <v>1998</v>
      </c>
      <c r="B9" s="441">
        <v>7021.0225700000001</v>
      </c>
      <c r="C9" s="442">
        <v>4312.7338319999999</v>
      </c>
      <c r="D9" s="441">
        <v>6.4190870000000002</v>
      </c>
      <c r="E9" s="442">
        <v>586.68436299999996</v>
      </c>
      <c r="F9" s="441">
        <v>11926.859852</v>
      </c>
      <c r="G9" s="364">
        <v>4.9853870841724421E-2</v>
      </c>
    </row>
    <row r="10" spans="1:10" ht="20" customHeight="1" thickBot="1">
      <c r="A10" s="328">
        <v>1999</v>
      </c>
      <c r="B10" s="441">
        <v>7777.7143260000003</v>
      </c>
      <c r="C10" s="442">
        <v>3929.1822109999998</v>
      </c>
      <c r="D10" s="441">
        <v>6.4800399999999998</v>
      </c>
      <c r="E10" s="442">
        <v>717.23275599999999</v>
      </c>
      <c r="F10" s="441">
        <v>12430.609334000001</v>
      </c>
      <c r="G10" s="364">
        <v>4.2236555828693498E-2</v>
      </c>
    </row>
    <row r="11" spans="1:10" ht="20" customHeight="1" thickBot="1">
      <c r="A11" s="328">
        <v>2000</v>
      </c>
      <c r="B11" s="441">
        <v>8082.7115553000003</v>
      </c>
      <c r="C11" s="442">
        <v>4300.2223146999995</v>
      </c>
      <c r="D11" s="441">
        <v>6.28484658</v>
      </c>
      <c r="E11" s="442">
        <v>801.09118021000006</v>
      </c>
      <c r="F11" s="441">
        <v>13190.30989679</v>
      </c>
      <c r="G11" s="364">
        <v>6.111531159716195E-2</v>
      </c>
    </row>
    <row r="12" spans="1:10" ht="20" customHeight="1" thickBot="1">
      <c r="A12" s="328">
        <v>2001</v>
      </c>
      <c r="B12" s="441">
        <v>8576.2604756000001</v>
      </c>
      <c r="C12" s="442">
        <v>4525.6886304</v>
      </c>
      <c r="D12" s="441">
        <v>7.0934559400000001</v>
      </c>
      <c r="E12" s="442">
        <v>877.22872129999996</v>
      </c>
      <c r="F12" s="441">
        <v>13986.271283239999</v>
      </c>
      <c r="G12" s="364">
        <v>6.0344403784152512E-2</v>
      </c>
    </row>
    <row r="13" spans="1:10" ht="20" customHeight="1" thickBot="1">
      <c r="A13" s="328">
        <v>2002</v>
      </c>
      <c r="B13" s="441">
        <v>8890.6642347999987</v>
      </c>
      <c r="C13" s="442">
        <v>4785.7639721999994</v>
      </c>
      <c r="D13" s="441">
        <v>6.6999405400000001</v>
      </c>
      <c r="E13" s="442">
        <v>909.62889640999992</v>
      </c>
      <c r="F13" s="441">
        <v>14592.757043950001</v>
      </c>
      <c r="G13" s="364">
        <v>4.3362934153634278E-2</v>
      </c>
    </row>
    <row r="14" spans="1:10" ht="20" customHeight="1" thickBot="1">
      <c r="A14" s="328">
        <v>2003</v>
      </c>
      <c r="B14" s="441">
        <v>9320.4810839999991</v>
      </c>
      <c r="C14" s="442">
        <v>5132.6037123000006</v>
      </c>
      <c r="D14" s="441">
        <v>7.0683550799999999</v>
      </c>
      <c r="E14" s="442">
        <v>875.46655299999998</v>
      </c>
      <c r="F14" s="441">
        <v>15335.619704379998</v>
      </c>
      <c r="G14" s="364">
        <v>5.0906258371373338E-2</v>
      </c>
    </row>
    <row r="15" spans="1:10" ht="20" customHeight="1" thickBot="1">
      <c r="A15" s="328">
        <v>2004</v>
      </c>
      <c r="B15" s="441">
        <v>9988.6658920000009</v>
      </c>
      <c r="C15" s="442">
        <v>5289.8342951999994</v>
      </c>
      <c r="D15" s="441">
        <v>7.2944575399999998</v>
      </c>
      <c r="E15" s="442">
        <v>1021.7139006</v>
      </c>
      <c r="F15" s="441">
        <v>16307.508545340002</v>
      </c>
      <c r="G15" s="364">
        <v>6.3374604984656954E-2</v>
      </c>
    </row>
    <row r="16" spans="1:10" ht="20" customHeight="1" thickBot="1">
      <c r="A16" s="328">
        <v>2005</v>
      </c>
      <c r="B16" s="441">
        <v>10948.37887789</v>
      </c>
      <c r="C16" s="442">
        <v>5106.1971250400002</v>
      </c>
      <c r="D16" s="441">
        <v>7.7069186199999997</v>
      </c>
      <c r="E16" s="442">
        <v>1290.43711553</v>
      </c>
      <c r="F16" s="441">
        <v>17352.720037080002</v>
      </c>
      <c r="G16" s="364">
        <v>6.4093879750789812E-2</v>
      </c>
    </row>
    <row r="17" spans="1:7" ht="20" customHeight="1" thickBot="1">
      <c r="A17" s="328">
        <v>2006</v>
      </c>
      <c r="B17" s="441">
        <v>10882.30509285</v>
      </c>
      <c r="C17" s="442">
        <v>4819.3397623999999</v>
      </c>
      <c r="D17" s="441">
        <v>7.6050231300000002</v>
      </c>
      <c r="E17" s="442">
        <v>1854.6657244100002</v>
      </c>
      <c r="F17" s="441">
        <v>17563.915602789999</v>
      </c>
      <c r="G17" s="364">
        <v>1.2170747021717962E-2</v>
      </c>
    </row>
    <row r="18" spans="1:7" ht="20" customHeight="1" thickBot="1">
      <c r="A18" s="328">
        <v>2007</v>
      </c>
      <c r="B18" s="441">
        <v>10974.96309465</v>
      </c>
      <c r="C18" s="442">
        <v>4774.9719946599998</v>
      </c>
      <c r="D18" s="441">
        <v>7.66488031</v>
      </c>
      <c r="E18" s="442">
        <v>2666.0220249899999</v>
      </c>
      <c r="F18" s="441">
        <v>18423.621994609999</v>
      </c>
      <c r="G18" s="364">
        <v>4.8947308291747725E-2</v>
      </c>
    </row>
    <row r="19" spans="1:7" ht="20" customHeight="1" thickBot="1">
      <c r="A19" s="328">
        <v>2008</v>
      </c>
      <c r="B19" s="441">
        <v>11138.471106950001</v>
      </c>
      <c r="C19" s="442">
        <v>4743.4199530100004</v>
      </c>
      <c r="D19" s="441">
        <v>8.7684434000000007</v>
      </c>
      <c r="E19" s="442">
        <v>3540.7977514200002</v>
      </c>
      <c r="F19" s="441">
        <v>19431.457254780002</v>
      </c>
      <c r="G19" s="364">
        <v>5.470342696267072E-2</v>
      </c>
    </row>
    <row r="20" spans="1:7" ht="30" customHeight="1" thickBot="1">
      <c r="A20" s="329">
        <v>2009</v>
      </c>
      <c r="B20" s="690">
        <v>11053.462400930001</v>
      </c>
      <c r="C20" s="935">
        <v>4569.8885413900007</v>
      </c>
      <c r="D20" s="690">
        <v>8.6721991899999988</v>
      </c>
      <c r="E20" s="935">
        <v>4641.8274524099998</v>
      </c>
      <c r="F20" s="690">
        <v>20273.85059392</v>
      </c>
      <c r="G20" s="377">
        <v>4.3352041388083462E-2</v>
      </c>
    </row>
    <row r="21" spans="1:7" ht="20" customHeight="1">
      <c r="A21" s="140" t="s">
        <v>1837</v>
      </c>
      <c r="B21" s="140"/>
      <c r="C21" s="140"/>
      <c r="D21" s="140"/>
      <c r="E21" s="140"/>
      <c r="F21" s="140"/>
      <c r="G21" s="140"/>
    </row>
    <row r="22" spans="1:7" ht="16.5" customHeight="1">
      <c r="A22" s="141"/>
      <c r="B22" s="141"/>
      <c r="C22" s="141"/>
      <c r="D22" s="141"/>
      <c r="E22" s="141"/>
      <c r="F22" s="141"/>
      <c r="G22" s="141"/>
    </row>
    <row r="23" spans="1:7">
      <c r="A23" s="495" t="s">
        <v>1181</v>
      </c>
    </row>
    <row r="25" spans="1:7">
      <c r="A25" s="2" t="s">
        <v>2202</v>
      </c>
    </row>
    <row r="28" spans="1:7">
      <c r="A28" s="2" t="s">
        <v>710</v>
      </c>
    </row>
    <row r="30" spans="1:7" ht="14">
      <c r="F30" s="953"/>
    </row>
    <row r="31" spans="1:7" ht="14">
      <c r="F31" s="954"/>
    </row>
  </sheetData>
  <phoneticPr fontId="0" type="noConversion"/>
  <pageMargins left="0.57999999999999996" right="0.61" top="1.01" bottom="0.49" header="0.57999999999999996" footer="0.4921259845"/>
  <pageSetup paperSize="9" scale="77" orientation="portrait" horizontalDpi="4294967292" verticalDpi="4294967292"/>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482E2-C818-C04D-9F5F-A22EF6096159}">
  <sheetPr>
    <pageSetUpPr fitToPage="1"/>
  </sheetPr>
  <dimension ref="A1:J55"/>
  <sheetViews>
    <sheetView topLeftCell="A37" zoomScale="75" workbookViewId="0">
      <selection activeCell="E53" sqref="E53"/>
    </sheetView>
  </sheetViews>
  <sheetFormatPr baseColWidth="10" defaultColWidth="11.3984375" defaultRowHeight="13"/>
  <cols>
    <col min="1" max="1" width="23.3984375" style="2" customWidth="1"/>
    <col min="2" max="3" width="15.796875" style="2" customWidth="1"/>
    <col min="4" max="4" width="19.19921875" style="2" customWidth="1"/>
    <col min="5" max="5" width="15.796875" style="2" customWidth="1"/>
    <col min="6" max="6" width="20" style="2" customWidth="1"/>
    <col min="7" max="7" width="16.3984375" style="2" customWidth="1"/>
    <col min="8" max="8" width="13.19921875" style="2" customWidth="1"/>
    <col min="9" max="10" width="13.3984375" style="2" customWidth="1"/>
    <col min="11" max="16384" width="11.3984375" style="2"/>
  </cols>
  <sheetData>
    <row r="1" spans="1:10" s="1" customFormat="1" ht="14" customHeight="1"/>
    <row r="2" spans="1:10" s="1" customFormat="1" ht="30.75" customHeight="1">
      <c r="A2" s="2014" t="s">
        <v>1185</v>
      </c>
      <c r="B2" s="2018"/>
      <c r="C2" s="2018"/>
      <c r="D2" s="2018"/>
      <c r="E2" s="2018"/>
      <c r="F2" s="2018"/>
      <c r="G2" s="118"/>
    </row>
    <row r="3" spans="1:10" ht="24" customHeight="1">
      <c r="A3" s="305" t="s">
        <v>2200</v>
      </c>
      <c r="B3" s="120" t="s">
        <v>2251</v>
      </c>
      <c r="C3" s="121" t="s">
        <v>2252</v>
      </c>
      <c r="D3" s="120" t="s">
        <v>2253</v>
      </c>
      <c r="E3" s="121" t="s">
        <v>2254</v>
      </c>
      <c r="F3" s="120" t="s">
        <v>2026</v>
      </c>
      <c r="G3" s="306" t="s">
        <v>1801</v>
      </c>
    </row>
    <row r="4" spans="1:10" ht="15" customHeight="1">
      <c r="A4" s="325"/>
      <c r="B4" s="123" t="s">
        <v>2255</v>
      </c>
      <c r="C4" s="124" t="s">
        <v>2256</v>
      </c>
      <c r="D4" s="123" t="s">
        <v>2257</v>
      </c>
      <c r="E4" s="150" t="s">
        <v>2258</v>
      </c>
      <c r="F4" s="123"/>
      <c r="G4" s="122" t="s">
        <v>1802</v>
      </c>
    </row>
    <row r="5" spans="1:10" ht="15" customHeight="1">
      <c r="A5" s="325"/>
      <c r="B5" s="123" t="s">
        <v>2259</v>
      </c>
      <c r="C5" s="124" t="s">
        <v>2260</v>
      </c>
      <c r="D5" s="123"/>
      <c r="E5" s="150" t="s">
        <v>589</v>
      </c>
      <c r="F5" s="123"/>
      <c r="G5" s="122" t="s">
        <v>1806</v>
      </c>
    </row>
    <row r="6" spans="1:10" ht="24" customHeight="1">
      <c r="A6" s="291" t="s">
        <v>1065</v>
      </c>
      <c r="B6" s="129"/>
      <c r="C6" s="128"/>
      <c r="D6" s="129"/>
      <c r="E6" s="153" t="s">
        <v>2262</v>
      </c>
      <c r="F6" s="129"/>
      <c r="G6" s="152"/>
    </row>
    <row r="7" spans="1:10" ht="2.25" customHeight="1" thickBot="1">
      <c r="A7" s="327">
        <v>1996</v>
      </c>
      <c r="B7" s="170">
        <v>1693.472957927004</v>
      </c>
      <c r="C7" s="171">
        <v>1112.5875100399426</v>
      </c>
      <c r="D7" s="170">
        <v>908.57038606702895</v>
      </c>
      <c r="E7" s="171">
        <v>879.61661091952851</v>
      </c>
      <c r="F7" s="170">
        <v>1490.5270087783663</v>
      </c>
      <c r="G7" s="375" t="s">
        <v>744</v>
      </c>
    </row>
    <row r="8" spans="1:10" ht="0.75" hidden="1" customHeight="1" thickBot="1">
      <c r="A8" s="328">
        <v>1997</v>
      </c>
      <c r="B8" s="188">
        <v>1740.7565036180117</v>
      </c>
      <c r="C8" s="187">
        <v>1408.0072046657929</v>
      </c>
      <c r="D8" s="188">
        <v>1179.3463740854293</v>
      </c>
      <c r="E8" s="187">
        <v>916.51587762677957</v>
      </c>
      <c r="F8" s="188">
        <v>1569.8943852604398</v>
      </c>
      <c r="G8" s="364">
        <v>5.3247862007628349E-2</v>
      </c>
      <c r="H8" s="8"/>
      <c r="I8" s="8"/>
      <c r="J8" s="8"/>
    </row>
    <row r="9" spans="1:10" ht="19.5" hidden="1" customHeight="1" thickBot="1">
      <c r="A9" s="328">
        <v>1998</v>
      </c>
      <c r="B9" s="188">
        <v>1748.6257046580097</v>
      </c>
      <c r="C9" s="187">
        <v>1582.236200997007</v>
      </c>
      <c r="D9" s="188">
        <v>542.85146212992356</v>
      </c>
      <c r="E9" s="187">
        <v>1187.8496276871122</v>
      </c>
      <c r="F9" s="188">
        <v>1645.8523332821831</v>
      </c>
      <c r="G9" s="364">
        <v>4.8384113437759779E-2</v>
      </c>
    </row>
    <row r="10" spans="1:10" ht="22.5" customHeight="1" thickBot="1">
      <c r="A10" s="328">
        <v>1999</v>
      </c>
      <c r="B10" s="188">
        <v>1943.9724380280036</v>
      </c>
      <c r="C10" s="187">
        <v>1446.076835760324</v>
      </c>
      <c r="D10" s="188">
        <v>631.35948452726836</v>
      </c>
      <c r="E10" s="187">
        <v>1322.850287189882</v>
      </c>
      <c r="F10" s="188">
        <v>1709.7272154599079</v>
      </c>
      <c r="G10" s="364">
        <v>3.880960696537377E-2</v>
      </c>
    </row>
    <row r="11" spans="1:10" ht="22.5" customHeight="1" thickBot="1">
      <c r="A11" s="328">
        <v>2000</v>
      </c>
      <c r="B11" s="188">
        <v>2061.7572370412531</v>
      </c>
      <c r="C11" s="187">
        <v>1559.5200327769257</v>
      </c>
      <c r="D11" s="188">
        <v>640.85618858059308</v>
      </c>
      <c r="E11" s="187">
        <v>1386.9243548352326</v>
      </c>
      <c r="F11" s="188">
        <v>1815.5684428845086</v>
      </c>
      <c r="G11" s="364">
        <v>6.1905329965827281E-2</v>
      </c>
    </row>
    <row r="12" spans="1:10" ht="22.5" customHeight="1" thickBot="1">
      <c r="A12" s="328">
        <v>2001</v>
      </c>
      <c r="B12" s="188">
        <v>2215.2521849633595</v>
      </c>
      <c r="C12" s="187">
        <v>1601.456447034876</v>
      </c>
      <c r="D12" s="188">
        <v>761.4942224833801</v>
      </c>
      <c r="E12" s="187">
        <v>1476.0910392091953</v>
      </c>
      <c r="F12" s="188">
        <v>1915.6520340553755</v>
      </c>
      <c r="G12" s="364">
        <v>5.5125209717711163E-2</v>
      </c>
    </row>
    <row r="13" spans="1:10" ht="22.5" customHeight="1" thickBot="1">
      <c r="A13" s="328">
        <v>2002</v>
      </c>
      <c r="B13" s="188">
        <v>2336.5480943488155</v>
      </c>
      <c r="C13" s="187">
        <v>1608.7398764542932</v>
      </c>
      <c r="D13" s="188">
        <v>759.86194884606937</v>
      </c>
      <c r="E13" s="187">
        <v>1636.2590696884934</v>
      </c>
      <c r="F13" s="188">
        <v>1986.8602053785678</v>
      </c>
      <c r="G13" s="364">
        <v>3.7171767135833575E-2</v>
      </c>
    </row>
    <row r="14" spans="1:10" ht="22.5" customHeight="1" thickBot="1">
      <c r="A14" s="328">
        <v>2003</v>
      </c>
      <c r="B14" s="188">
        <v>2543.8057035018146</v>
      </c>
      <c r="C14" s="187">
        <v>1656.5311093343439</v>
      </c>
      <c r="D14" s="188">
        <v>852.25259235500948</v>
      </c>
      <c r="E14" s="187">
        <v>1454.7088463142236</v>
      </c>
      <c r="F14" s="188">
        <v>2080.1097733239922</v>
      </c>
      <c r="G14" s="364">
        <v>4.6933129816074295E-2</v>
      </c>
    </row>
    <row r="15" spans="1:10" ht="22.5" customHeight="1" thickBot="1">
      <c r="A15" s="328">
        <v>2004</v>
      </c>
      <c r="B15" s="188">
        <v>2758.2074827327442</v>
      </c>
      <c r="C15" s="187">
        <v>1757.4292603708973</v>
      </c>
      <c r="D15" s="188">
        <v>905.21341172647249</v>
      </c>
      <c r="E15" s="187">
        <v>1373.0910592494565</v>
      </c>
      <c r="F15" s="188">
        <v>2208.6199102683881</v>
      </c>
      <c r="G15" s="364">
        <v>6.1780459181747037E-2</v>
      </c>
    </row>
    <row r="16" spans="1:10" ht="22.5" customHeight="1" thickBot="1">
      <c r="A16" s="328">
        <v>2005</v>
      </c>
      <c r="B16" s="188">
        <v>3045.7444736931438</v>
      </c>
      <c r="C16" s="187">
        <v>1742.6322440668202</v>
      </c>
      <c r="D16" s="188">
        <v>1002.5097658133579</v>
      </c>
      <c r="E16" s="187">
        <v>1428.4762573055013</v>
      </c>
      <c r="F16" s="188">
        <v>2333.6518397093009</v>
      </c>
      <c r="G16" s="364">
        <v>5.6610885766088748E-2</v>
      </c>
    </row>
    <row r="17" spans="1:7" ht="22.5" customHeight="1" thickBot="1">
      <c r="A17" s="328">
        <v>2006</v>
      </c>
      <c r="B17" s="188">
        <v>3255.1789461574645</v>
      </c>
      <c r="C17" s="187">
        <v>1735.686558346925</v>
      </c>
      <c r="D17" s="188">
        <v>1057.4282552437587</v>
      </c>
      <c r="E17" s="187">
        <v>1372.2570154496282</v>
      </c>
      <c r="F17" s="188">
        <v>2348.6103301629255</v>
      </c>
      <c r="G17" s="364">
        <v>6.409906653208397E-3</v>
      </c>
    </row>
    <row r="18" spans="1:7" ht="22.5" customHeight="1" thickBot="1">
      <c r="A18" s="328">
        <v>2007</v>
      </c>
      <c r="B18" s="188">
        <v>3503.0279381745177</v>
      </c>
      <c r="C18" s="187">
        <v>1860.6542092302925</v>
      </c>
      <c r="D18" s="188">
        <v>1116.1951590251049</v>
      </c>
      <c r="E18" s="187">
        <v>1455.6986782891856</v>
      </c>
      <c r="F18" s="188">
        <v>2444.2340609903572</v>
      </c>
      <c r="G18" s="364">
        <v>4.071502607280042E-2</v>
      </c>
    </row>
    <row r="19" spans="1:7" ht="22.5" customHeight="1" thickBot="1">
      <c r="A19" s="328">
        <v>2008</v>
      </c>
      <c r="B19" s="188">
        <v>3779.2804890017851</v>
      </c>
      <c r="C19" s="187">
        <v>1995.0917014086594</v>
      </c>
      <c r="D19" s="188">
        <v>1346.7554924819322</v>
      </c>
      <c r="E19" s="187">
        <v>1550.0860006459327</v>
      </c>
      <c r="F19" s="188">
        <v>2551.5464001640853</v>
      </c>
      <c r="G19" s="364">
        <v>4.3904281053283034E-2</v>
      </c>
    </row>
    <row r="20" spans="1:7" ht="22.5" customHeight="1" thickBot="1">
      <c r="A20" s="329">
        <v>2009</v>
      </c>
      <c r="B20" s="675">
        <v>4022.2406746329993</v>
      </c>
      <c r="C20" s="674">
        <v>2093.8863767697767</v>
      </c>
      <c r="D20" s="675">
        <v>1408.5627057694212</v>
      </c>
      <c r="E20" s="674">
        <v>1674.5944131607669</v>
      </c>
      <c r="F20" s="191">
        <v>2629.9453310737449</v>
      </c>
      <c r="G20" s="909">
        <v>3.0726045548149949E-2</v>
      </c>
    </row>
    <row r="21" spans="1:7" ht="20" customHeight="1">
      <c r="A21" s="140" t="s">
        <v>1837</v>
      </c>
      <c r="B21" s="140"/>
      <c r="C21" s="140"/>
      <c r="D21" s="140"/>
      <c r="E21" s="140"/>
      <c r="F21" s="140"/>
      <c r="G21" s="373"/>
    </row>
    <row r="22" spans="1:7">
      <c r="G22" s="374"/>
    </row>
    <row r="23" spans="1:7">
      <c r="A23" s="1104" t="s">
        <v>1182</v>
      </c>
      <c r="G23" s="374"/>
    </row>
    <row r="24" spans="1:7">
      <c r="G24" s="374"/>
    </row>
    <row r="25" spans="1:7">
      <c r="G25" s="374"/>
    </row>
    <row r="26" spans="1:7" ht="18">
      <c r="A26" s="918" t="s">
        <v>2201</v>
      </c>
      <c r="G26" s="374"/>
    </row>
    <row r="27" spans="1:7">
      <c r="G27" s="374"/>
    </row>
    <row r="28" spans="1:7" ht="18" customHeight="1">
      <c r="A28" s="305"/>
      <c r="B28" s="120" t="s">
        <v>1798</v>
      </c>
      <c r="C28" s="357" t="s">
        <v>1801</v>
      </c>
      <c r="D28" s="120" t="s">
        <v>611</v>
      </c>
      <c r="E28" s="357" t="s">
        <v>1801</v>
      </c>
      <c r="F28" s="120" t="s">
        <v>2210</v>
      </c>
      <c r="G28" s="357" t="s">
        <v>1801</v>
      </c>
    </row>
    <row r="29" spans="1:7" ht="18" customHeight="1">
      <c r="A29" s="919"/>
      <c r="B29" s="123" t="s">
        <v>1803</v>
      </c>
      <c r="C29" s="358" t="s">
        <v>1802</v>
      </c>
      <c r="D29" s="123" t="s">
        <v>1804</v>
      </c>
      <c r="E29" s="358" t="s">
        <v>1802</v>
      </c>
      <c r="F29" s="123" t="s">
        <v>2211</v>
      </c>
      <c r="G29" s="358" t="s">
        <v>1802</v>
      </c>
    </row>
    <row r="30" spans="1:7" ht="18" customHeight="1">
      <c r="A30" s="325"/>
      <c r="B30" s="123"/>
      <c r="C30" s="358" t="s">
        <v>1806</v>
      </c>
      <c r="D30" s="123"/>
      <c r="E30" s="358" t="s">
        <v>1806</v>
      </c>
      <c r="F30" s="123"/>
      <c r="G30" s="358" t="s">
        <v>1806</v>
      </c>
    </row>
    <row r="31" spans="1:7" ht="18" customHeight="1">
      <c r="A31" s="326" t="s">
        <v>2320</v>
      </c>
      <c r="B31" s="129"/>
      <c r="C31" s="128"/>
      <c r="D31" s="129"/>
      <c r="E31" s="153"/>
      <c r="F31" s="129"/>
      <c r="G31" s="359"/>
    </row>
    <row r="32" spans="1:7" ht="1.5" customHeight="1" thickBot="1">
      <c r="A32" s="327">
        <v>1996</v>
      </c>
      <c r="B32" s="170" t="s">
        <v>744</v>
      </c>
      <c r="C32" s="920" t="s">
        <v>744</v>
      </c>
      <c r="D32" s="170" t="s">
        <v>744</v>
      </c>
      <c r="E32" s="920" t="s">
        <v>744</v>
      </c>
      <c r="F32" s="170" t="s">
        <v>744</v>
      </c>
      <c r="G32" s="375" t="s">
        <v>744</v>
      </c>
    </row>
    <row r="33" spans="1:7" ht="0.75" hidden="1" customHeight="1" thickBot="1">
      <c r="A33" s="328">
        <v>1997</v>
      </c>
      <c r="B33" s="188">
        <v>514.44000000000005</v>
      </c>
      <c r="C33" s="364" t="s">
        <v>744</v>
      </c>
      <c r="D33" s="188">
        <v>710.67</v>
      </c>
      <c r="E33" s="364" t="s">
        <v>744</v>
      </c>
      <c r="F33" s="188">
        <v>1974.25</v>
      </c>
      <c r="G33" s="364" t="s">
        <v>744</v>
      </c>
    </row>
    <row r="34" spans="1:7" ht="18" hidden="1" customHeight="1" thickBot="1">
      <c r="A34" s="328">
        <v>1998</v>
      </c>
      <c r="B34" s="188">
        <v>551.9</v>
      </c>
      <c r="C34" s="364">
        <v>7.2817043775756041E-2</v>
      </c>
      <c r="D34" s="188">
        <v>720.82</v>
      </c>
      <c r="E34" s="364">
        <v>1.4282296987350174E-2</v>
      </c>
      <c r="F34" s="188">
        <v>2092.48</v>
      </c>
      <c r="G34" s="364">
        <v>5.9886032670634526E-2</v>
      </c>
    </row>
    <row r="35" spans="1:7" ht="21.75" customHeight="1" thickBot="1">
      <c r="A35" s="328">
        <v>1999</v>
      </c>
      <c r="B35" s="188">
        <v>566.42999999999995</v>
      </c>
      <c r="C35" s="364">
        <v>2.6327233194419319E-2</v>
      </c>
      <c r="D35" s="188">
        <v>737.62</v>
      </c>
      <c r="E35" s="364">
        <v>2.3306789489747626E-2</v>
      </c>
      <c r="F35" s="188">
        <v>2185.0300000000002</v>
      </c>
      <c r="G35" s="364">
        <v>4.4229813427129727E-2</v>
      </c>
    </row>
    <row r="36" spans="1:7" ht="21.75" customHeight="1" thickBot="1">
      <c r="A36" s="328">
        <v>2000</v>
      </c>
      <c r="B36" s="188">
        <v>597.91</v>
      </c>
      <c r="C36" s="364">
        <v>5.5576152393058242E-2</v>
      </c>
      <c r="D36" s="188">
        <v>787.29</v>
      </c>
      <c r="E36" s="364">
        <v>6.7338195818985369E-2</v>
      </c>
      <c r="F36" s="188">
        <v>2348.13</v>
      </c>
      <c r="G36" s="364">
        <v>7.4644284060173094E-2</v>
      </c>
    </row>
    <row r="37" spans="1:7" ht="21.75" customHeight="1" thickBot="1">
      <c r="A37" s="328">
        <v>2001</v>
      </c>
      <c r="B37" s="188">
        <v>627.16</v>
      </c>
      <c r="C37" s="364">
        <v>4.8920406081182755E-2</v>
      </c>
      <c r="D37" s="188">
        <v>820.79</v>
      </c>
      <c r="E37" s="364">
        <v>4.2551029480877522E-2</v>
      </c>
      <c r="F37" s="188">
        <v>2475.4499999999998</v>
      </c>
      <c r="G37" s="364">
        <v>5.4221870169028019E-2</v>
      </c>
    </row>
    <row r="38" spans="1:7" ht="21.75" customHeight="1" thickBot="1">
      <c r="A38" s="328">
        <v>2002</v>
      </c>
      <c r="B38" s="188">
        <v>640.42999999999995</v>
      </c>
      <c r="C38" s="364">
        <v>2.1158874928247862E-2</v>
      </c>
      <c r="D38" s="188">
        <v>831.97</v>
      </c>
      <c r="E38" s="364">
        <v>1.3621023647949038E-2</v>
      </c>
      <c r="F38" s="188">
        <v>2560.0700000000002</v>
      </c>
      <c r="G38" s="364">
        <v>3.4183683774667406E-2</v>
      </c>
    </row>
    <row r="39" spans="1:7" ht="21.75" customHeight="1" thickBot="1">
      <c r="A39" s="328">
        <v>2003</v>
      </c>
      <c r="B39" s="188">
        <v>664.36</v>
      </c>
      <c r="C39" s="364">
        <v>3.73655200412224E-2</v>
      </c>
      <c r="D39" s="188">
        <v>853.64</v>
      </c>
      <c r="E39" s="364">
        <v>2.6046612257653479E-2</v>
      </c>
      <c r="F39" s="188">
        <v>2673.16</v>
      </c>
      <c r="G39" s="364">
        <v>4.417457335150976E-2</v>
      </c>
    </row>
    <row r="40" spans="1:7" ht="21.75" customHeight="1" thickBot="1">
      <c r="A40" s="328">
        <v>2004</v>
      </c>
      <c r="B40" s="188">
        <v>701.54</v>
      </c>
      <c r="C40" s="364">
        <v>5.5963634174242882E-2</v>
      </c>
      <c r="D40" s="188">
        <v>876.55</v>
      </c>
      <c r="E40" s="364">
        <v>2.6838011339674672E-2</v>
      </c>
      <c r="F40" s="188">
        <v>2810.53</v>
      </c>
      <c r="G40" s="364">
        <v>5.1388618713432921E-2</v>
      </c>
    </row>
    <row r="41" spans="1:7" ht="21.75" customHeight="1" thickBot="1">
      <c r="A41" s="328">
        <v>2005</v>
      </c>
      <c r="B41" s="188">
        <v>754.24</v>
      </c>
      <c r="C41" s="364">
        <v>7.5120449297260361E-2</v>
      </c>
      <c r="D41" s="188">
        <v>890.22</v>
      </c>
      <c r="E41" s="364">
        <v>1.5595231304546209E-2</v>
      </c>
      <c r="F41" s="188">
        <v>2951.91</v>
      </c>
      <c r="G41" s="364">
        <v>5.0303679377199151E-2</v>
      </c>
    </row>
    <row r="42" spans="1:7" ht="21.75" customHeight="1" thickBot="1">
      <c r="A42" s="328">
        <v>2006</v>
      </c>
      <c r="B42" s="188">
        <v>763.04</v>
      </c>
      <c r="C42" s="364">
        <v>1.1667373780229084E-2</v>
      </c>
      <c r="D42" s="188">
        <v>867.53</v>
      </c>
      <c r="E42" s="364">
        <v>-2.5488081597807355E-2</v>
      </c>
      <c r="F42" s="188">
        <v>2973.8</v>
      </c>
      <c r="G42" s="364">
        <v>7.4155377365843211E-3</v>
      </c>
    </row>
    <row r="43" spans="1:7" ht="21.75" customHeight="1" thickBot="1">
      <c r="A43" s="328">
        <v>2007</v>
      </c>
      <c r="B43" s="188">
        <v>810.32</v>
      </c>
      <c r="C43" s="364">
        <v>6.1962675613336238E-2</v>
      </c>
      <c r="D43" s="188">
        <v>881.08</v>
      </c>
      <c r="E43" s="364">
        <v>1.5619056401507736E-2</v>
      </c>
      <c r="F43" s="188">
        <v>3078.72</v>
      </c>
      <c r="G43" s="364">
        <v>3.5281458067119464E-2</v>
      </c>
    </row>
    <row r="44" spans="1:7" ht="21.75" customHeight="1" thickBot="1">
      <c r="A44" s="328">
        <v>2008</v>
      </c>
      <c r="B44" s="188">
        <v>832.01939676998109</v>
      </c>
      <c r="C44" s="364">
        <v>2.6778799449576729E-2</v>
      </c>
      <c r="D44" s="188">
        <v>911.28491306252249</v>
      </c>
      <c r="E44" s="364">
        <v>3.428169185831309E-2</v>
      </c>
      <c r="F44" s="188">
        <v>3207.8085629331267</v>
      </c>
      <c r="G44" s="364">
        <v>4.1929296244259673E-2</v>
      </c>
    </row>
    <row r="45" spans="1:7" ht="21.75" customHeight="1" thickBot="1">
      <c r="A45" s="921">
        <v>2009</v>
      </c>
      <c r="B45" s="192">
        <v>865.61555000898773</v>
      </c>
      <c r="C45" s="909">
        <v>4.0379050499822267E-2</v>
      </c>
      <c r="D45" s="192">
        <v>949.75755898656007</v>
      </c>
      <c r="E45" s="909">
        <v>4.2218021359251789E-2</v>
      </c>
      <c r="F45" s="192">
        <v>3306.4958915508864</v>
      </c>
      <c r="G45" s="909">
        <v>3.0764718866989726E-2</v>
      </c>
    </row>
    <row r="46" spans="1:7" ht="15" customHeight="1">
      <c r="A46" s="140" t="s">
        <v>1837</v>
      </c>
    </row>
    <row r="48" spans="1:7">
      <c r="A48" s="495" t="s">
        <v>1184</v>
      </c>
    </row>
    <row r="50" spans="1:1">
      <c r="A50" s="495" t="s">
        <v>1181</v>
      </c>
    </row>
    <row r="51" spans="1:1">
      <c r="A51" s="1104" t="s">
        <v>1183</v>
      </c>
    </row>
    <row r="52" spans="1:1">
      <c r="A52" s="2" t="s">
        <v>2199</v>
      </c>
    </row>
    <row r="55" spans="1:1">
      <c r="A55" s="2" t="s">
        <v>710</v>
      </c>
    </row>
  </sheetData>
  <mergeCells count="1">
    <mergeCell ref="A2:F2"/>
  </mergeCells>
  <phoneticPr fontId="0" type="noConversion"/>
  <pageMargins left="0.56000000000000005" right="0.38" top="0.48" bottom="0.49" header="0.36" footer="0.4921259845"/>
  <pageSetup paperSize="9" scale="74" orientation="portrait" horizontalDpi="1200" verticalDpi="1200"/>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DF068-B5A5-1D48-BDB9-FF1710D7E427}">
  <sheetPr>
    <pageSetUpPr fitToPage="1"/>
  </sheetPr>
  <dimension ref="A1:I19"/>
  <sheetViews>
    <sheetView zoomScale="75" workbookViewId="0">
      <selection activeCell="E1" sqref="E1"/>
    </sheetView>
  </sheetViews>
  <sheetFormatPr baseColWidth="10" defaultColWidth="11.3984375" defaultRowHeight="13"/>
  <cols>
    <col min="1" max="1" width="19.3984375" style="2" customWidth="1"/>
    <col min="2" max="2" width="16.3984375" style="2" customWidth="1"/>
    <col min="3" max="3" width="17.3984375" style="2" customWidth="1"/>
    <col min="4" max="4" width="17.19921875" style="2" customWidth="1"/>
    <col min="5" max="5" width="18.19921875" style="2" customWidth="1"/>
    <col min="6" max="7" width="13.3984375" style="2" customWidth="1"/>
    <col min="8" max="8" width="11.3984375" style="2"/>
    <col min="9" max="9" width="15.796875" style="2" hidden="1" customWidth="1"/>
    <col min="10" max="16384" width="11.3984375" style="2"/>
  </cols>
  <sheetData>
    <row r="1" spans="1:9" ht="14" customHeight="1">
      <c r="A1" s="275"/>
      <c r="B1" s="141"/>
      <c r="C1" s="141"/>
      <c r="D1" s="141"/>
      <c r="E1" s="141"/>
      <c r="F1" s="141"/>
      <c r="G1" s="141"/>
      <c r="I1" s="141"/>
    </row>
    <row r="2" spans="1:9" ht="27.75" customHeight="1">
      <c r="A2" s="177" t="s">
        <v>908</v>
      </c>
      <c r="B2" s="478"/>
      <c r="C2" s="478"/>
      <c r="D2" s="478"/>
      <c r="E2" s="478"/>
      <c r="F2" s="478"/>
      <c r="G2" s="398">
        <v>2009</v>
      </c>
      <c r="I2" s="141"/>
    </row>
    <row r="3" spans="1:9" ht="24" customHeight="1">
      <c r="A3" s="119" t="s">
        <v>578</v>
      </c>
      <c r="B3" s="120" t="s">
        <v>1833</v>
      </c>
      <c r="C3" s="121" t="s">
        <v>1834</v>
      </c>
      <c r="D3" s="120" t="s">
        <v>1798</v>
      </c>
      <c r="E3" s="121" t="s">
        <v>1567</v>
      </c>
      <c r="F3" s="120" t="s">
        <v>2104</v>
      </c>
      <c r="G3" s="121" t="s">
        <v>1801</v>
      </c>
      <c r="I3" s="121" t="s">
        <v>1567</v>
      </c>
    </row>
    <row r="4" spans="1:9" ht="15" customHeight="1">
      <c r="A4" s="325"/>
      <c r="B4" s="123"/>
      <c r="C4" s="124"/>
      <c r="D4" s="123"/>
      <c r="E4" s="150"/>
      <c r="F4" s="123" t="s">
        <v>2323</v>
      </c>
      <c r="G4" s="124" t="s">
        <v>1802</v>
      </c>
      <c r="I4" s="150">
        <v>1999</v>
      </c>
    </row>
    <row r="5" spans="1:9" ht="15" customHeight="1">
      <c r="A5" s="122"/>
      <c r="B5" s="123"/>
      <c r="C5" s="124"/>
      <c r="D5" s="123"/>
      <c r="E5" s="124"/>
      <c r="F5" s="123" t="s">
        <v>2105</v>
      </c>
      <c r="G5" s="124" t="s">
        <v>1806</v>
      </c>
      <c r="I5" s="124"/>
    </row>
    <row r="6" spans="1:9" ht="24" customHeight="1">
      <c r="A6" s="292"/>
      <c r="B6" s="599"/>
      <c r="C6" s="600"/>
      <c r="D6" s="599"/>
      <c r="E6" s="600"/>
      <c r="F6" s="129"/>
      <c r="G6" s="128"/>
      <c r="I6" s="600"/>
    </row>
    <row r="7" spans="1:9" ht="36" customHeight="1" thickBot="1">
      <c r="A7" s="647" t="s">
        <v>579</v>
      </c>
      <c r="B7" s="155">
        <v>4563740468.9499998</v>
      </c>
      <c r="C7" s="156">
        <v>6771034244.9799995</v>
      </c>
      <c r="D7" s="155">
        <v>872312620.15999997</v>
      </c>
      <c r="E7" s="156">
        <v>12207087334.09</v>
      </c>
      <c r="F7" s="602">
        <v>0.51601796356700536</v>
      </c>
      <c r="G7" s="603">
        <v>-1.2225836223073227E-2</v>
      </c>
      <c r="I7" s="924">
        <v>6794064715</v>
      </c>
    </row>
    <row r="8" spans="1:9" ht="31.5" customHeight="1" thickBot="1">
      <c r="A8" s="647" t="s">
        <v>580</v>
      </c>
      <c r="B8" s="155">
        <v>2436504486.8200002</v>
      </c>
      <c r="C8" s="156">
        <v>3234973841.0500002</v>
      </c>
      <c r="D8" s="155">
        <v>86347299.519999996</v>
      </c>
      <c r="E8" s="156">
        <v>5757825627.3900013</v>
      </c>
      <c r="F8" s="602">
        <v>0.24339478972370215</v>
      </c>
      <c r="G8" s="603">
        <v>-4.0974810541270411E-2</v>
      </c>
      <c r="I8" s="924">
        <v>5396193285</v>
      </c>
    </row>
    <row r="9" spans="1:9" ht="33" customHeight="1" thickBot="1">
      <c r="A9" s="647" t="s">
        <v>581</v>
      </c>
      <c r="B9" s="155">
        <v>5905909.7599999998</v>
      </c>
      <c r="C9" s="156">
        <v>4118990.17</v>
      </c>
      <c r="D9" s="155">
        <v>23375.58</v>
      </c>
      <c r="E9" s="156">
        <v>10048275.51</v>
      </c>
      <c r="F9" s="602">
        <v>4.2476067583708692E-4</v>
      </c>
      <c r="G9" s="603">
        <v>-1.2606744093673156E-2</v>
      </c>
      <c r="I9" s="924">
        <v>15330070</v>
      </c>
    </row>
    <row r="10" spans="1:9" ht="34.5" customHeight="1" thickBot="1">
      <c r="A10" s="647" t="s">
        <v>2215</v>
      </c>
      <c r="B10" s="155">
        <v>2117026444.78</v>
      </c>
      <c r="C10" s="156">
        <v>3074302737.1100001</v>
      </c>
      <c r="D10" s="155">
        <v>490032027.23000002</v>
      </c>
      <c r="E10" s="156">
        <v>5681361209.1200008</v>
      </c>
      <c r="F10" s="602">
        <v>0.24016248603641452</v>
      </c>
      <c r="G10" s="603">
        <v>0.30614200340383496</v>
      </c>
      <c r="I10" s="924">
        <v>828254703</v>
      </c>
    </row>
    <row r="11" spans="1:9" s="265" customFormat="1" ht="38.25" customHeight="1" thickBot="1">
      <c r="A11" s="609" t="s">
        <v>1567</v>
      </c>
      <c r="B11" s="610">
        <v>9123177310.2700005</v>
      </c>
      <c r="C11" s="611">
        <v>13084429813.27</v>
      </c>
      <c r="D11" s="610">
        <v>1448715322.5</v>
      </c>
      <c r="E11" s="611">
        <v>23656322446.040001</v>
      </c>
      <c r="F11" s="925">
        <v>1</v>
      </c>
      <c r="G11" s="652">
        <v>4.1123783266038084E-2</v>
      </c>
      <c r="I11" s="926">
        <v>13033842773</v>
      </c>
    </row>
    <row r="12" spans="1:9" ht="19.5" customHeight="1">
      <c r="A12" s="140" t="s">
        <v>1837</v>
      </c>
      <c r="B12" s="140"/>
      <c r="C12" s="140"/>
      <c r="D12" s="140"/>
      <c r="E12" s="140"/>
      <c r="F12" s="140"/>
      <c r="G12" s="140"/>
      <c r="I12" s="140"/>
    </row>
    <row r="14" spans="1:9">
      <c r="A14" s="2" t="s">
        <v>907</v>
      </c>
    </row>
    <row r="16" spans="1:9">
      <c r="A16" s="141" t="s">
        <v>2157</v>
      </c>
    </row>
    <row r="19" spans="1:1">
      <c r="A19" s="2" t="s">
        <v>710</v>
      </c>
    </row>
  </sheetData>
  <phoneticPr fontId="0" type="noConversion"/>
  <pageMargins left="0.57999999999999996" right="0.63" top="1.01" bottom="0.49" header="0.59" footer="0.4921259845"/>
  <pageSetup paperSize="9" scale="78" orientation="portrait" horizontalDpi="4294967292" verticalDpi="4294967292"/>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9BB15-8B20-BD4A-8C81-9CEF82E0433D}">
  <sheetPr>
    <pageSetUpPr fitToPage="1"/>
  </sheetPr>
  <dimension ref="A1:G52"/>
  <sheetViews>
    <sheetView zoomScale="75" workbookViewId="0">
      <selection activeCell="H4" sqref="H4"/>
    </sheetView>
  </sheetViews>
  <sheetFormatPr baseColWidth="10" defaultColWidth="11.3984375" defaultRowHeight="13"/>
  <cols>
    <col min="1" max="1" width="25.796875" style="2" customWidth="1"/>
    <col min="2" max="2" width="25.59765625" style="2" customWidth="1"/>
    <col min="3" max="6" width="17.59765625" style="2" customWidth="1"/>
    <col min="7" max="7" width="14.59765625" style="2" customWidth="1"/>
    <col min="8" max="16384" width="11.3984375" style="2"/>
  </cols>
  <sheetData>
    <row r="1" spans="1:7" s="1" customFormat="1" ht="14" customHeight="1">
      <c r="A1" s="271"/>
      <c r="B1" s="271"/>
      <c r="C1" s="271"/>
      <c r="D1" s="271"/>
      <c r="E1" s="271"/>
      <c r="F1" s="271"/>
    </row>
    <row r="2" spans="1:7" s="1" customFormat="1" ht="20.25" customHeight="1">
      <c r="A2" s="1105" t="s">
        <v>1195</v>
      </c>
      <c r="B2" s="894"/>
      <c r="C2" s="271"/>
      <c r="D2" s="271"/>
      <c r="E2" s="271"/>
      <c r="F2" s="491">
        <v>2009</v>
      </c>
      <c r="G2" s="491"/>
    </row>
    <row r="3" spans="1:7" s="1" customFormat="1" ht="10.5" customHeight="1">
      <c r="A3" s="1074"/>
      <c r="B3" s="1074"/>
      <c r="C3" s="1075"/>
      <c r="D3" s="1075"/>
      <c r="E3" s="1075"/>
      <c r="F3" s="1075"/>
      <c r="G3" s="275"/>
    </row>
    <row r="4" spans="1:7" s="1" customFormat="1" ht="81.75" customHeight="1">
      <c r="A4" s="1076" t="s">
        <v>2508</v>
      </c>
      <c r="B4" s="1077"/>
      <c r="C4" s="1078" t="s">
        <v>2487</v>
      </c>
      <c r="D4" s="1079" t="s">
        <v>2488</v>
      </c>
      <c r="E4" s="1078" t="s">
        <v>2489</v>
      </c>
      <c r="F4" s="1080" t="s">
        <v>2026</v>
      </c>
    </row>
    <row r="5" spans="1:7" ht="8.25" customHeight="1">
      <c r="A5" s="1081"/>
      <c r="B5" s="1082"/>
      <c r="C5" s="600"/>
      <c r="D5" s="599"/>
      <c r="E5" s="600"/>
      <c r="F5" s="599"/>
    </row>
    <row r="6" spans="1:7" ht="47.25" customHeight="1" thickBot="1">
      <c r="A6" s="1083" t="s">
        <v>2490</v>
      </c>
      <c r="B6" s="1084" t="s">
        <v>2509</v>
      </c>
      <c r="C6" s="320">
        <v>86.05537078560063</v>
      </c>
      <c r="D6" s="319">
        <v>326.4877349207033</v>
      </c>
      <c r="E6" s="320">
        <v>590.1787952974903</v>
      </c>
      <c r="F6" s="319">
        <v>419.73019788908238</v>
      </c>
    </row>
    <row r="7" spans="1:7" ht="19.5" customHeight="1" thickBot="1">
      <c r="A7" s="136"/>
      <c r="B7" s="1085"/>
      <c r="C7" s="367"/>
      <c r="D7" s="593"/>
      <c r="E7" s="367"/>
      <c r="F7" s="593"/>
    </row>
    <row r="8" spans="1:7" ht="21" customHeight="1" thickBot="1">
      <c r="A8" s="1086" t="s">
        <v>2491</v>
      </c>
      <c r="B8" s="1087" t="s">
        <v>2510</v>
      </c>
      <c r="C8" s="367">
        <v>168.62081556114231</v>
      </c>
      <c r="D8" s="593">
        <v>375.89426901028617</v>
      </c>
      <c r="E8" s="367">
        <v>645.43692590944079</v>
      </c>
      <c r="F8" s="593">
        <v>631.08544731770689</v>
      </c>
    </row>
    <row r="9" spans="1:7" ht="20" customHeight="1" thickBot="1">
      <c r="A9" s="1088" t="s">
        <v>2492</v>
      </c>
      <c r="B9" s="1087" t="s">
        <v>2511</v>
      </c>
      <c r="C9" s="367">
        <v>212.12824613644884</v>
      </c>
      <c r="D9" s="593">
        <v>386.62944963744081</v>
      </c>
      <c r="E9" s="367">
        <v>605.02223282840703</v>
      </c>
      <c r="F9" s="593">
        <v>513.48251164988676</v>
      </c>
    </row>
    <row r="10" spans="1:7" ht="20" customHeight="1" thickBot="1">
      <c r="A10" s="1088" t="s">
        <v>2493</v>
      </c>
      <c r="B10" s="1087" t="s">
        <v>2512</v>
      </c>
      <c r="C10" s="367">
        <v>241.77833458724908</v>
      </c>
      <c r="D10" s="593">
        <v>376.09312321973152</v>
      </c>
      <c r="E10" s="367">
        <v>558.16882796970458</v>
      </c>
      <c r="F10" s="593">
        <v>536.10588964511044</v>
      </c>
    </row>
    <row r="11" spans="1:7" ht="20" customHeight="1" thickBot="1">
      <c r="A11" s="1088"/>
      <c r="B11" s="1087" t="s">
        <v>2513</v>
      </c>
      <c r="C11" s="367">
        <v>237.94976572365925</v>
      </c>
      <c r="D11" s="593">
        <v>338.7590123104635</v>
      </c>
      <c r="E11" s="367">
        <v>460.39015647887641</v>
      </c>
      <c r="F11" s="593">
        <v>392.78308954512994</v>
      </c>
    </row>
    <row r="12" spans="1:7" ht="20" customHeight="1" thickBot="1">
      <c r="A12" s="1088"/>
      <c r="B12" s="1087" t="s">
        <v>2514</v>
      </c>
      <c r="C12" s="367">
        <v>240.06890364288316</v>
      </c>
      <c r="D12" s="593">
        <v>382.71174870076112</v>
      </c>
      <c r="E12" s="367">
        <v>464.43753489615284</v>
      </c>
      <c r="F12" s="593">
        <v>449.23644224963857</v>
      </c>
    </row>
    <row r="13" spans="1:7" ht="20" customHeight="1" thickBot="1">
      <c r="A13" s="1088"/>
      <c r="B13" s="1087" t="s">
        <v>2515</v>
      </c>
      <c r="C13" s="367">
        <v>246.01157979494636</v>
      </c>
      <c r="D13" s="296" t="s">
        <v>744</v>
      </c>
      <c r="E13" s="297" t="s">
        <v>744</v>
      </c>
      <c r="F13" s="593">
        <v>246.01157979494636</v>
      </c>
    </row>
    <row r="14" spans="1:7" ht="20" customHeight="1" thickBot="1">
      <c r="A14" s="1089"/>
      <c r="B14" s="1087" t="s">
        <v>1567</v>
      </c>
      <c r="C14" s="367">
        <v>229.50911794638645</v>
      </c>
      <c r="D14" s="593">
        <v>377.26300345824001</v>
      </c>
      <c r="E14" s="367">
        <v>574.60923725292048</v>
      </c>
      <c r="F14" s="593">
        <v>544.40918884592361</v>
      </c>
    </row>
    <row r="15" spans="1:7" ht="18.75" customHeight="1" thickBot="1">
      <c r="A15" s="415"/>
      <c r="B15" s="1090"/>
      <c r="C15" s="367"/>
      <c r="D15" s="593"/>
      <c r="E15" s="367"/>
      <c r="F15" s="593"/>
    </row>
    <row r="16" spans="1:7" ht="20" customHeight="1" thickBot="1">
      <c r="A16" s="415" t="s">
        <v>581</v>
      </c>
      <c r="B16" s="1090"/>
      <c r="C16" s="367">
        <v>36.747342600163535</v>
      </c>
      <c r="D16" s="593">
        <v>189.49826192948402</v>
      </c>
      <c r="E16" s="367">
        <v>226.33807934981667</v>
      </c>
      <c r="F16" s="593">
        <v>223.50620861263292</v>
      </c>
    </row>
    <row r="17" spans="1:6" ht="20.25" customHeight="1" thickBot="1">
      <c r="A17" s="415"/>
      <c r="B17" s="1090"/>
      <c r="C17" s="367"/>
      <c r="D17" s="593"/>
      <c r="E17" s="367"/>
      <c r="F17" s="593"/>
    </row>
    <row r="18" spans="1:6" ht="58.5" customHeight="1" thickBot="1">
      <c r="A18" s="1086" t="s">
        <v>2494</v>
      </c>
      <c r="B18" s="1087" t="s">
        <v>2509</v>
      </c>
      <c r="C18" s="367">
        <v>73.308254976224248</v>
      </c>
      <c r="D18" s="593">
        <v>300.06159400860122</v>
      </c>
      <c r="E18" s="367">
        <v>502.21896528591196</v>
      </c>
      <c r="F18" s="593">
        <v>314.1968855713414</v>
      </c>
    </row>
    <row r="19" spans="1:6" ht="20" customHeight="1" thickBot="1">
      <c r="A19" s="137"/>
      <c r="B19" s="1087" t="s">
        <v>2510</v>
      </c>
      <c r="C19" s="367">
        <v>134.01337060837011</v>
      </c>
      <c r="D19" s="593">
        <v>352.08338256862822</v>
      </c>
      <c r="E19" s="367">
        <v>522.49418350098665</v>
      </c>
      <c r="F19" s="593">
        <v>503.87147118499712</v>
      </c>
    </row>
    <row r="20" spans="1:6" ht="20" customHeight="1" thickBot="1">
      <c r="A20" s="137"/>
      <c r="B20" s="1087" t="s">
        <v>2511</v>
      </c>
      <c r="C20" s="367">
        <v>179.50055580708451</v>
      </c>
      <c r="D20" s="593">
        <v>331.58586521219877</v>
      </c>
      <c r="E20" s="367">
        <v>483.83761621033801</v>
      </c>
      <c r="F20" s="593">
        <v>436.33200000878463</v>
      </c>
    </row>
    <row r="21" spans="1:6" ht="20" customHeight="1" thickBot="1">
      <c r="A21" s="137"/>
      <c r="B21" s="1087" t="s">
        <v>2512</v>
      </c>
      <c r="C21" s="367">
        <v>177.82146912356026</v>
      </c>
      <c r="D21" s="593">
        <v>323.57636568673439</v>
      </c>
      <c r="E21" s="367">
        <v>449.21205347547914</v>
      </c>
      <c r="F21" s="593">
        <v>426.9438435510101</v>
      </c>
    </row>
    <row r="22" spans="1:6" ht="20" customHeight="1" thickBot="1">
      <c r="A22" s="137"/>
      <c r="B22" s="1087" t="s">
        <v>2513</v>
      </c>
      <c r="C22" s="367">
        <v>196.08853149786455</v>
      </c>
      <c r="D22" s="593">
        <v>284.1050218746139</v>
      </c>
      <c r="E22" s="367">
        <v>371.33188144748408</v>
      </c>
      <c r="F22" s="593">
        <v>336.4239050788243</v>
      </c>
    </row>
    <row r="23" spans="1:6" ht="20" customHeight="1" thickBot="1">
      <c r="A23" s="137"/>
      <c r="B23" s="1087" t="s">
        <v>2514</v>
      </c>
      <c r="C23" s="367">
        <v>231.64877877417194</v>
      </c>
      <c r="D23" s="593">
        <v>319.05391443797447</v>
      </c>
      <c r="E23" s="367">
        <v>394.25608097217605</v>
      </c>
      <c r="F23" s="593">
        <v>382.61020429438418</v>
      </c>
    </row>
    <row r="24" spans="1:6" ht="20" customHeight="1" thickBot="1">
      <c r="A24" s="137"/>
      <c r="B24" s="1087" t="s">
        <v>2515</v>
      </c>
      <c r="C24" s="367">
        <v>228.43560231720107</v>
      </c>
      <c r="D24" s="296" t="s">
        <v>744</v>
      </c>
      <c r="E24" s="297" t="s">
        <v>744</v>
      </c>
      <c r="F24" s="593">
        <v>228.43560231720107</v>
      </c>
    </row>
    <row r="25" spans="1:6" ht="20" customHeight="1" thickBot="1">
      <c r="A25" s="137"/>
      <c r="B25" s="1087" t="s">
        <v>2495</v>
      </c>
      <c r="C25" s="367">
        <v>85.931836421564228</v>
      </c>
      <c r="D25" s="593">
        <v>316.52755622941169</v>
      </c>
      <c r="E25" s="367">
        <v>472.8646699002785</v>
      </c>
      <c r="F25" s="593">
        <v>374.97265629912067</v>
      </c>
    </row>
    <row r="26" spans="1:6" ht="39.75" customHeight="1" thickBot="1">
      <c r="A26" s="1091"/>
      <c r="B26" s="1092" t="s">
        <v>2496</v>
      </c>
      <c r="C26" s="1093">
        <v>82.23443976606309</v>
      </c>
      <c r="D26" s="1094">
        <v>299.60676090502852</v>
      </c>
      <c r="E26" s="1093">
        <v>413.9098278169235</v>
      </c>
      <c r="F26" s="1094">
        <v>341.75620626800776</v>
      </c>
    </row>
    <row r="27" spans="1:6" ht="45" customHeight="1" thickBot="1">
      <c r="A27" s="1091"/>
      <c r="B27" s="1095" t="s">
        <v>2497</v>
      </c>
      <c r="C27" s="1093">
        <v>84.589297804331906</v>
      </c>
      <c r="D27" s="1094">
        <v>304.18092104735115</v>
      </c>
      <c r="E27" s="1093">
        <v>472.29710117586563</v>
      </c>
      <c r="F27" s="1094">
        <v>374.4391276571605</v>
      </c>
    </row>
    <row r="28" spans="1:6" ht="45" customHeight="1" thickBot="1">
      <c r="A28" s="1096"/>
      <c r="B28" s="1095" t="s">
        <v>2498</v>
      </c>
      <c r="C28" s="1093">
        <v>197.00931224708074</v>
      </c>
      <c r="D28" s="1094">
        <v>327.52254451420356</v>
      </c>
      <c r="E28" s="1093">
        <v>456.41743024739861</v>
      </c>
      <c r="F28" s="1094">
        <v>430.44643914364707</v>
      </c>
    </row>
    <row r="29" spans="1:6" ht="15.75" customHeight="1" thickBot="1">
      <c r="A29" s="1097"/>
      <c r="B29" s="1098"/>
      <c r="C29" s="367"/>
      <c r="D29" s="593"/>
      <c r="E29" s="367"/>
      <c r="F29" s="593"/>
    </row>
    <row r="30" spans="1:6" ht="27.75" customHeight="1" thickBot="1">
      <c r="A30" s="651" t="s">
        <v>2516</v>
      </c>
      <c r="B30" s="1099"/>
      <c r="C30" s="597">
        <v>95.725128068580091</v>
      </c>
      <c r="D30" s="770">
        <v>334.16934945537952</v>
      </c>
      <c r="E30" s="597">
        <v>544.22520386222106</v>
      </c>
      <c r="F30" s="770">
        <v>438.77782718478119</v>
      </c>
    </row>
    <row r="31" spans="1:6" ht="15.75" customHeight="1">
      <c r="A31" s="474" t="s">
        <v>1837</v>
      </c>
      <c r="B31" s="474"/>
      <c r="C31" s="474"/>
      <c r="D31" s="474"/>
      <c r="E31" s="474"/>
      <c r="F31" s="474"/>
    </row>
    <row r="32" spans="1:6" ht="13.5" customHeight="1">
      <c r="A32" s="418"/>
      <c r="B32" s="418"/>
      <c r="C32" s="474"/>
      <c r="D32" s="474"/>
      <c r="E32" s="474"/>
      <c r="F32" s="474"/>
    </row>
    <row r="33" spans="1:6" ht="13.5" customHeight="1">
      <c r="A33" s="474" t="s">
        <v>1186</v>
      </c>
      <c r="B33" s="474"/>
      <c r="C33" s="474"/>
      <c r="D33" s="474"/>
      <c r="E33" s="474"/>
      <c r="F33" s="474"/>
    </row>
    <row r="34" spans="1:6" ht="16.5" customHeight="1">
      <c r="A34" s="474"/>
      <c r="B34" s="474"/>
      <c r="C34" s="474"/>
      <c r="D34" s="474"/>
      <c r="E34" s="474"/>
      <c r="F34" s="474"/>
    </row>
    <row r="35" spans="1:6" ht="12" customHeight="1">
      <c r="A35" s="474" t="s">
        <v>2500</v>
      </c>
      <c r="B35" s="474"/>
      <c r="C35" s="201"/>
      <c r="D35" s="201"/>
      <c r="E35" s="201"/>
      <c r="F35" s="201"/>
    </row>
    <row r="36" spans="1:6" ht="12" customHeight="1">
      <c r="A36" s="141" t="s">
        <v>2501</v>
      </c>
      <c r="B36" s="141"/>
    </row>
    <row r="37" spans="1:6" ht="12" customHeight="1">
      <c r="A37" s="141" t="s">
        <v>2502</v>
      </c>
      <c r="B37" s="141"/>
    </row>
    <row r="38" spans="1:6" ht="12" customHeight="1">
      <c r="A38" s="141" t="s">
        <v>2503</v>
      </c>
      <c r="B38" s="141"/>
    </row>
    <row r="39" spans="1:6" ht="12" customHeight="1">
      <c r="A39" s="141" t="s">
        <v>2504</v>
      </c>
      <c r="B39" s="141"/>
    </row>
    <row r="40" spans="1:6" ht="12" customHeight="1">
      <c r="A40" s="141" t="s">
        <v>2505</v>
      </c>
      <c r="B40" s="141"/>
    </row>
    <row r="41" spans="1:6" ht="12" customHeight="1">
      <c r="A41" s="2" t="s">
        <v>2506</v>
      </c>
    </row>
    <row r="42" spans="1:6" ht="12" customHeight="1">
      <c r="A42" s="583" t="s">
        <v>1187</v>
      </c>
    </row>
    <row r="43" spans="1:6" ht="12" customHeight="1"/>
    <row r="44" spans="1:6" ht="12" customHeight="1"/>
    <row r="45" spans="1:6" ht="12" customHeight="1">
      <c r="A45" s="474" t="s">
        <v>710</v>
      </c>
      <c r="B45" s="474"/>
      <c r="C45" s="141"/>
      <c r="D45" s="141"/>
      <c r="E45" s="141"/>
      <c r="F45" s="141"/>
    </row>
    <row r="50" spans="1:7">
      <c r="A50" s="99"/>
      <c r="B50" s="99"/>
      <c r="C50" s="1100"/>
      <c r="D50" s="385"/>
      <c r="E50" s="1100"/>
      <c r="F50" s="385"/>
      <c r="G50" s="385"/>
    </row>
    <row r="51" spans="1:7">
      <c r="A51" s="1101"/>
      <c r="B51" s="1101"/>
      <c r="C51" s="1101"/>
      <c r="D51" s="1102"/>
      <c r="E51" s="1101"/>
      <c r="F51" s="86"/>
      <c r="G51" s="3"/>
    </row>
    <row r="52" spans="1:7">
      <c r="A52" s="3"/>
      <c r="B52" s="3"/>
      <c r="C52" s="3"/>
      <c r="D52" s="3"/>
      <c r="E52" s="3"/>
      <c r="F52" s="3"/>
      <c r="G52" s="3"/>
    </row>
  </sheetData>
  <phoneticPr fontId="0" type="noConversion"/>
  <pageMargins left="0.55118110236220474" right="0.45" top="0.59055118110236227" bottom="0.47244094488188981" header="0.43307086614173229" footer="0.31496062992125984"/>
  <pageSetup paperSize="9" scale="67" orientation="portrait"/>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0BE36-91A0-9545-9E54-7B68CEB28C76}">
  <sheetPr>
    <pageSetUpPr fitToPage="1"/>
  </sheetPr>
  <dimension ref="A1:G52"/>
  <sheetViews>
    <sheetView zoomScale="75" workbookViewId="0">
      <selection activeCell="A3" sqref="A3"/>
    </sheetView>
  </sheetViews>
  <sheetFormatPr baseColWidth="10" defaultColWidth="11.3984375" defaultRowHeight="13"/>
  <cols>
    <col min="1" max="1" width="25.796875" style="2" customWidth="1"/>
    <col min="2" max="2" width="25.59765625" style="2" customWidth="1"/>
    <col min="3" max="6" width="17.59765625" style="2" customWidth="1"/>
    <col min="7" max="7" width="14.59765625" style="2" customWidth="1"/>
    <col min="8" max="16384" width="11.3984375" style="2"/>
  </cols>
  <sheetData>
    <row r="1" spans="1:7" s="1" customFormat="1" ht="14" customHeight="1">
      <c r="A1" s="271"/>
      <c r="B1" s="271"/>
      <c r="C1" s="271"/>
      <c r="D1" s="271"/>
      <c r="E1" s="271"/>
      <c r="F1" s="271"/>
    </row>
    <row r="2" spans="1:7" s="1" customFormat="1" ht="20.25" customHeight="1">
      <c r="A2" s="894" t="s">
        <v>1189</v>
      </c>
      <c r="B2" s="894"/>
      <c r="C2" s="271"/>
      <c r="D2" s="271"/>
      <c r="E2" s="271"/>
      <c r="F2" s="491">
        <v>2009</v>
      </c>
      <c r="G2" s="491"/>
    </row>
    <row r="3" spans="1:7" s="1" customFormat="1" ht="10.5" customHeight="1">
      <c r="A3" s="1074"/>
      <c r="B3" s="1074"/>
      <c r="C3" s="1075"/>
      <c r="D3" s="1075"/>
      <c r="E3" s="1075"/>
      <c r="F3" s="1075"/>
      <c r="G3" s="275"/>
    </row>
    <row r="4" spans="1:7" s="1" customFormat="1" ht="81.75" customHeight="1">
      <c r="A4" s="1076" t="s">
        <v>2508</v>
      </c>
      <c r="B4" s="1077"/>
      <c r="C4" s="1078" t="s">
        <v>2487</v>
      </c>
      <c r="D4" s="1079" t="s">
        <v>2488</v>
      </c>
      <c r="E4" s="1078" t="s">
        <v>2489</v>
      </c>
      <c r="F4" s="1080" t="s">
        <v>2026</v>
      </c>
    </row>
    <row r="5" spans="1:7" ht="8.25" customHeight="1">
      <c r="A5" s="1081"/>
      <c r="B5" s="1082"/>
      <c r="C5" s="600"/>
      <c r="D5" s="599"/>
      <c r="E5" s="600"/>
      <c r="F5" s="599"/>
    </row>
    <row r="6" spans="1:7" ht="47.25" customHeight="1" thickBot="1">
      <c r="A6" s="1083" t="s">
        <v>2490</v>
      </c>
      <c r="B6" s="1084" t="s">
        <v>2509</v>
      </c>
      <c r="C6" s="320">
        <v>1063.1438156298109</v>
      </c>
      <c r="D6" s="319">
        <v>1882.6277898421301</v>
      </c>
      <c r="E6" s="320">
        <v>6365.403245229797</v>
      </c>
      <c r="F6" s="319">
        <v>4441.9708725220817</v>
      </c>
    </row>
    <row r="7" spans="1:7" ht="19.5" customHeight="1" thickBot="1">
      <c r="A7" s="136"/>
      <c r="B7" s="1085"/>
      <c r="C7" s="367"/>
      <c r="D7" s="593"/>
      <c r="E7" s="367"/>
      <c r="F7" s="593"/>
    </row>
    <row r="8" spans="1:7" ht="23.25" customHeight="1" thickBot="1">
      <c r="A8" s="1086" t="s">
        <v>2491</v>
      </c>
      <c r="B8" s="1087" t="s">
        <v>2510</v>
      </c>
      <c r="C8" s="367">
        <v>1120.7357728390439</v>
      </c>
      <c r="D8" s="593">
        <v>1555.6392869384304</v>
      </c>
      <c r="E8" s="367">
        <v>4843.4110773823859</v>
      </c>
      <c r="F8" s="593">
        <v>4677.0657917816879</v>
      </c>
    </row>
    <row r="9" spans="1:7" ht="20" customHeight="1" thickBot="1">
      <c r="A9" s="1088" t="s">
        <v>2492</v>
      </c>
      <c r="B9" s="1087" t="s">
        <v>2511</v>
      </c>
      <c r="C9" s="367">
        <v>962.99620149068267</v>
      </c>
      <c r="D9" s="593">
        <v>902.88312671692302</v>
      </c>
      <c r="E9" s="367">
        <v>2368.2904784575126</v>
      </c>
      <c r="F9" s="593">
        <v>1975.904240623747</v>
      </c>
    </row>
    <row r="10" spans="1:7" ht="20" customHeight="1" thickBot="1">
      <c r="A10" s="1088" t="s">
        <v>2493</v>
      </c>
      <c r="B10" s="1087" t="s">
        <v>2512</v>
      </c>
      <c r="C10" s="367">
        <v>922.14125595453675</v>
      </c>
      <c r="D10" s="593">
        <v>716.536785203779</v>
      </c>
      <c r="E10" s="367">
        <v>1544.9134741450896</v>
      </c>
      <c r="F10" s="593">
        <v>1460.8553064918399</v>
      </c>
    </row>
    <row r="11" spans="1:7" ht="20" customHeight="1" thickBot="1">
      <c r="A11" s="1088"/>
      <c r="B11" s="1087" t="s">
        <v>2513</v>
      </c>
      <c r="C11" s="367">
        <v>760.64968647452918</v>
      </c>
      <c r="D11" s="593">
        <v>567.38048074459687</v>
      </c>
      <c r="E11" s="367">
        <v>1025.7388050507495</v>
      </c>
      <c r="F11" s="593">
        <v>920.94924459114088</v>
      </c>
    </row>
    <row r="12" spans="1:7" ht="20" customHeight="1" thickBot="1">
      <c r="A12" s="1088"/>
      <c r="B12" s="1087" t="s">
        <v>2514</v>
      </c>
      <c r="C12" s="367">
        <v>621.29813550221434</v>
      </c>
      <c r="D12" s="593">
        <v>633.9517591273102</v>
      </c>
      <c r="E12" s="367">
        <v>973.65020757650245</v>
      </c>
      <c r="F12" s="593">
        <v>930.27744212700713</v>
      </c>
    </row>
    <row r="13" spans="1:7" ht="20" customHeight="1" thickBot="1">
      <c r="A13" s="1088"/>
      <c r="B13" s="1087" t="s">
        <v>2515</v>
      </c>
      <c r="C13" s="367">
        <v>555.30057089589218</v>
      </c>
      <c r="D13" s="296" t="s">
        <v>744</v>
      </c>
      <c r="E13" s="297" t="s">
        <v>744</v>
      </c>
      <c r="F13" s="593">
        <v>553.36984801693575</v>
      </c>
    </row>
    <row r="14" spans="1:7" ht="20" customHeight="1" thickBot="1">
      <c r="A14" s="1089"/>
      <c r="B14" s="1087" t="s">
        <v>1567</v>
      </c>
      <c r="C14" s="367">
        <v>800.14010318566693</v>
      </c>
      <c r="D14" s="593">
        <v>921.01328238175995</v>
      </c>
      <c r="E14" s="367">
        <v>2874.4698732685679</v>
      </c>
      <c r="F14" s="593">
        <v>2638.2955656157005</v>
      </c>
    </row>
    <row r="15" spans="1:7" ht="18.75" customHeight="1" thickBot="1">
      <c r="A15" s="415"/>
      <c r="B15" s="1090"/>
      <c r="C15" s="367"/>
      <c r="D15" s="593"/>
      <c r="E15" s="367"/>
      <c r="F15" s="593"/>
    </row>
    <row r="16" spans="1:7" ht="20" customHeight="1" thickBot="1">
      <c r="A16" s="415" t="s">
        <v>581</v>
      </c>
      <c r="B16" s="1090"/>
      <c r="C16" s="367">
        <v>477.83278822567456</v>
      </c>
      <c r="D16" s="593">
        <v>754.49740418039823</v>
      </c>
      <c r="E16" s="367">
        <v>1674.6855669227398</v>
      </c>
      <c r="F16" s="593">
        <v>1632.0689143820541</v>
      </c>
    </row>
    <row r="17" spans="1:6" ht="20.25" customHeight="1" thickBot="1">
      <c r="A17" s="415"/>
      <c r="B17" s="1090"/>
      <c r="C17" s="367"/>
      <c r="D17" s="593"/>
      <c r="E17" s="367"/>
      <c r="F17" s="593"/>
    </row>
    <row r="18" spans="1:6" ht="58.5" customHeight="1" thickBot="1">
      <c r="A18" s="1086" t="s">
        <v>2494</v>
      </c>
      <c r="B18" s="1087" t="s">
        <v>2509</v>
      </c>
      <c r="C18" s="367">
        <v>875.0486105472196</v>
      </c>
      <c r="D18" s="593">
        <v>1528.8516560465287</v>
      </c>
      <c r="E18" s="367">
        <v>4402.2525159625748</v>
      </c>
      <c r="F18" s="593">
        <v>2751.0500031582601</v>
      </c>
    </row>
    <row r="19" spans="1:6" ht="20" customHeight="1" thickBot="1">
      <c r="A19" s="137"/>
      <c r="B19" s="1087" t="s">
        <v>2510</v>
      </c>
      <c r="C19" s="367">
        <v>788.06844842659507</v>
      </c>
      <c r="D19" s="593">
        <v>1271.036011982666</v>
      </c>
      <c r="E19" s="367">
        <v>2929.1454065554703</v>
      </c>
      <c r="F19" s="593">
        <v>2756.850361923171</v>
      </c>
    </row>
    <row r="20" spans="1:6" ht="20" customHeight="1" thickBot="1">
      <c r="A20" s="137"/>
      <c r="B20" s="1087" t="s">
        <v>2511</v>
      </c>
      <c r="C20" s="367">
        <v>776.60659034560081</v>
      </c>
      <c r="D20" s="593">
        <v>689.5747828335584</v>
      </c>
      <c r="E20" s="367">
        <v>1435.643158885008</v>
      </c>
      <c r="F20" s="593">
        <v>1260.1378040215313</v>
      </c>
    </row>
    <row r="21" spans="1:6" ht="20" customHeight="1" thickBot="1">
      <c r="A21" s="137"/>
      <c r="B21" s="1087" t="s">
        <v>2512</v>
      </c>
      <c r="C21" s="367">
        <v>576.49657073739502</v>
      </c>
      <c r="D21" s="593">
        <v>562.35567510229453</v>
      </c>
      <c r="E21" s="367">
        <v>1076.373336819385</v>
      </c>
      <c r="F21" s="593">
        <v>996.20564184704097</v>
      </c>
    </row>
    <row r="22" spans="1:6" ht="20" customHeight="1" thickBot="1">
      <c r="A22" s="137"/>
      <c r="B22" s="1087" t="s">
        <v>2513</v>
      </c>
      <c r="C22" s="367">
        <v>556.14070555597914</v>
      </c>
      <c r="D22" s="593">
        <v>458.08015018904541</v>
      </c>
      <c r="E22" s="367">
        <v>768.89426946688354</v>
      </c>
      <c r="F22" s="593">
        <v>708.07992409155997</v>
      </c>
    </row>
    <row r="23" spans="1:6" ht="20" customHeight="1" thickBot="1">
      <c r="A23" s="137"/>
      <c r="B23" s="1087" t="s">
        <v>2514</v>
      </c>
      <c r="C23" s="367">
        <v>551.11816030478224</v>
      </c>
      <c r="D23" s="593">
        <v>498.98184672512411</v>
      </c>
      <c r="E23" s="367">
        <v>799.06244947885727</v>
      </c>
      <c r="F23" s="593">
        <v>764.29379284119329</v>
      </c>
    </row>
    <row r="24" spans="1:6" ht="20" customHeight="1" thickBot="1">
      <c r="A24" s="137"/>
      <c r="B24" s="1087" t="s">
        <v>2515</v>
      </c>
      <c r="C24" s="367">
        <v>498.5552128922659</v>
      </c>
      <c r="D24" s="296" t="s">
        <v>744</v>
      </c>
      <c r="E24" s="297" t="s">
        <v>744</v>
      </c>
      <c r="F24" s="593">
        <v>498.5552128922659</v>
      </c>
    </row>
    <row r="25" spans="1:6" ht="20" customHeight="1" thickBot="1">
      <c r="A25" s="137"/>
      <c r="B25" s="1087" t="s">
        <v>2495</v>
      </c>
      <c r="C25" s="367">
        <v>847.07782872591361</v>
      </c>
      <c r="D25" s="593">
        <v>1042.1470883080906</v>
      </c>
      <c r="E25" s="367">
        <v>2572.0324148334953</v>
      </c>
      <c r="F25" s="593">
        <v>2049.5670694598875</v>
      </c>
    </row>
    <row r="26" spans="1:6" ht="39.75" customHeight="1" thickBot="1">
      <c r="A26" s="1091"/>
      <c r="B26" s="1092" t="s">
        <v>2496</v>
      </c>
      <c r="C26" s="1093">
        <v>924.7598185446559</v>
      </c>
      <c r="D26" s="1094">
        <v>1086.0841720258945</v>
      </c>
      <c r="E26" s="1093">
        <v>2266.8025485954327</v>
      </c>
      <c r="F26" s="1094">
        <v>1900.272365221399</v>
      </c>
    </row>
    <row r="27" spans="1:6" ht="45" customHeight="1" thickBot="1">
      <c r="A27" s="1091"/>
      <c r="B27" s="1095" t="s">
        <v>2497</v>
      </c>
      <c r="C27" s="1093">
        <v>771.50783563109098</v>
      </c>
      <c r="D27" s="1094">
        <v>1009.2299851538431</v>
      </c>
      <c r="E27" s="1093">
        <v>2593.8410920024307</v>
      </c>
      <c r="F27" s="1094">
        <v>2056.9593190753303</v>
      </c>
    </row>
    <row r="28" spans="1:6" ht="45" customHeight="1" thickBot="1">
      <c r="A28" s="1096"/>
      <c r="B28" s="1095" t="s">
        <v>2498</v>
      </c>
      <c r="C28" s="1093">
        <v>600.95702414370555</v>
      </c>
      <c r="D28" s="1094">
        <v>717.15478999201082</v>
      </c>
      <c r="E28" s="1093">
        <v>1546.5587925830002</v>
      </c>
      <c r="F28" s="1094">
        <v>1409.2806398485334</v>
      </c>
    </row>
    <row r="29" spans="1:6" ht="15.75" customHeight="1" thickBot="1">
      <c r="A29" s="1097"/>
      <c r="B29" s="1098"/>
      <c r="C29" s="367"/>
      <c r="D29" s="593"/>
      <c r="E29" s="367"/>
      <c r="F29" s="593"/>
    </row>
    <row r="30" spans="1:6" ht="27.75" customHeight="1" thickBot="1">
      <c r="A30" s="651" t="s">
        <v>2516</v>
      </c>
      <c r="B30" s="1099"/>
      <c r="C30" s="597">
        <v>961.34072408317331</v>
      </c>
      <c r="D30" s="770">
        <v>1283.9268208694248</v>
      </c>
      <c r="E30" s="597">
        <v>3850.7209941594165</v>
      </c>
      <c r="F30" s="770">
        <v>3068.7231792819921</v>
      </c>
    </row>
    <row r="31" spans="1:6" ht="15.75" customHeight="1">
      <c r="A31" s="474" t="s">
        <v>1837</v>
      </c>
      <c r="B31" s="474"/>
      <c r="C31" s="474"/>
      <c r="D31" s="474"/>
      <c r="E31" s="474"/>
      <c r="F31" s="474"/>
    </row>
    <row r="32" spans="1:6" ht="13.5" customHeight="1">
      <c r="A32" s="418"/>
      <c r="B32" s="418"/>
      <c r="C32" s="474"/>
      <c r="D32" s="474"/>
      <c r="E32" s="474"/>
      <c r="F32" s="474"/>
    </row>
    <row r="33" spans="1:6" ht="13.5" customHeight="1">
      <c r="A33" s="474" t="s">
        <v>1188</v>
      </c>
      <c r="B33" s="474"/>
      <c r="C33" s="474"/>
      <c r="D33" s="474"/>
      <c r="E33" s="474"/>
      <c r="F33" s="474"/>
    </row>
    <row r="34" spans="1:6" ht="16.5" customHeight="1">
      <c r="A34" s="474"/>
      <c r="B34" s="474"/>
      <c r="C34" s="474"/>
      <c r="D34" s="474"/>
      <c r="E34" s="474"/>
      <c r="F34" s="474"/>
    </row>
    <row r="35" spans="1:6" ht="12" customHeight="1">
      <c r="A35" s="474" t="s">
        <v>2500</v>
      </c>
      <c r="B35" s="474"/>
      <c r="C35" s="201"/>
      <c r="D35" s="201"/>
      <c r="E35" s="201"/>
      <c r="F35" s="201"/>
    </row>
    <row r="36" spans="1:6" ht="12" customHeight="1">
      <c r="A36" s="141" t="s">
        <v>2501</v>
      </c>
      <c r="B36" s="141"/>
    </row>
    <row r="37" spans="1:6" ht="12" customHeight="1">
      <c r="A37" s="141" t="s">
        <v>2502</v>
      </c>
      <c r="B37" s="141"/>
    </row>
    <row r="38" spans="1:6" ht="12" customHeight="1">
      <c r="A38" s="141" t="s">
        <v>2503</v>
      </c>
      <c r="B38" s="141"/>
    </row>
    <row r="39" spans="1:6" ht="12" customHeight="1">
      <c r="A39" s="141" t="s">
        <v>2504</v>
      </c>
      <c r="B39" s="141"/>
    </row>
    <row r="40" spans="1:6" ht="12" customHeight="1">
      <c r="A40" s="141" t="s">
        <v>2505</v>
      </c>
      <c r="B40" s="141"/>
    </row>
    <row r="41" spans="1:6" ht="12" customHeight="1">
      <c r="A41" s="2" t="s">
        <v>2506</v>
      </c>
    </row>
    <row r="42" spans="1:6" ht="12" customHeight="1">
      <c r="A42" s="141" t="s">
        <v>1190</v>
      </c>
    </row>
    <row r="43" spans="1:6" ht="12" customHeight="1"/>
    <row r="44" spans="1:6" ht="12" customHeight="1"/>
    <row r="45" spans="1:6" ht="12" customHeight="1">
      <c r="A45" s="474" t="s">
        <v>710</v>
      </c>
      <c r="B45" s="474"/>
      <c r="C45" s="141"/>
      <c r="D45" s="141"/>
      <c r="E45" s="141"/>
      <c r="F45" s="141"/>
    </row>
    <row r="50" spans="1:7">
      <c r="A50" s="99"/>
      <c r="B50" s="99"/>
      <c r="C50" s="1100"/>
      <c r="D50" s="385"/>
      <c r="E50" s="1100"/>
      <c r="F50" s="385"/>
      <c r="G50" s="385"/>
    </row>
    <row r="51" spans="1:7">
      <c r="A51" s="1101"/>
      <c r="B51" s="1101"/>
      <c r="C51" s="1101"/>
      <c r="D51" s="1102"/>
      <c r="E51" s="1101"/>
      <c r="F51" s="86"/>
      <c r="G51" s="3"/>
    </row>
    <row r="52" spans="1:7">
      <c r="A52" s="3"/>
      <c r="B52" s="3"/>
      <c r="C52" s="3"/>
      <c r="D52" s="3"/>
      <c r="E52" s="3"/>
      <c r="F52" s="3"/>
      <c r="G52" s="3"/>
    </row>
  </sheetData>
  <phoneticPr fontId="0" type="noConversion"/>
  <pageMargins left="0.55118110236220474" right="0.45" top="0.59055118110236227" bottom="0.47244094488188981" header="0.43307086614173229" footer="0.31496062992125984"/>
  <pageSetup paperSize="9" scale="67" orientation="portrait"/>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96443-C7F3-1C4C-942C-BCB6AC271695}">
  <sheetPr>
    <pageSetUpPr fitToPage="1"/>
  </sheetPr>
  <dimension ref="A1:B20"/>
  <sheetViews>
    <sheetView workbookViewId="0">
      <selection activeCell="B18" sqref="B18"/>
    </sheetView>
  </sheetViews>
  <sheetFormatPr baseColWidth="10" defaultColWidth="11.3984375" defaultRowHeight="13"/>
  <cols>
    <col min="1" max="1" width="5.59765625" style="1107" customWidth="1"/>
    <col min="2" max="16384" width="11.3984375" style="1107"/>
  </cols>
  <sheetData>
    <row r="1" spans="1:2" ht="16">
      <c r="A1" s="1106" t="s">
        <v>1204</v>
      </c>
    </row>
    <row r="2" spans="1:2" ht="16">
      <c r="A2" s="1106"/>
    </row>
    <row r="3" spans="1:2">
      <c r="A3" s="1108">
        <v>3.01</v>
      </c>
      <c r="B3" s="1109" t="s">
        <v>1205</v>
      </c>
    </row>
    <row r="4" spans="1:2">
      <c r="A4" s="1108">
        <v>3.02</v>
      </c>
      <c r="B4" s="1109" t="s">
        <v>1206</v>
      </c>
    </row>
    <row r="5" spans="1:2">
      <c r="A5" s="1108">
        <v>3.03</v>
      </c>
      <c r="B5" s="1109" t="s">
        <v>1207</v>
      </c>
    </row>
    <row r="6" spans="1:2">
      <c r="A6" s="1108">
        <v>3.04</v>
      </c>
      <c r="B6" s="1109" t="s">
        <v>1208</v>
      </c>
    </row>
    <row r="7" spans="1:2">
      <c r="A7" s="1108">
        <v>3.05</v>
      </c>
      <c r="B7" s="1108" t="s">
        <v>1209</v>
      </c>
    </row>
    <row r="8" spans="1:2">
      <c r="A8" s="1108">
        <v>3.06</v>
      </c>
      <c r="B8" s="1108" t="s">
        <v>1210</v>
      </c>
    </row>
    <row r="9" spans="1:2">
      <c r="A9" s="1108">
        <v>3.07</v>
      </c>
      <c r="B9" s="1108" t="s">
        <v>1211</v>
      </c>
    </row>
    <row r="10" spans="1:2">
      <c r="A10" s="1108">
        <v>3.08</v>
      </c>
      <c r="B10" s="1108" t="s">
        <v>1212</v>
      </c>
    </row>
    <row r="11" spans="1:2">
      <c r="A11" s="1108">
        <v>3.09</v>
      </c>
      <c r="B11" s="1108" t="s">
        <v>1213</v>
      </c>
    </row>
    <row r="12" spans="1:2">
      <c r="A12" s="1110" t="s">
        <v>813</v>
      </c>
      <c r="B12" s="1108" t="s">
        <v>1214</v>
      </c>
    </row>
    <row r="13" spans="1:2">
      <c r="A13" s="1108">
        <v>3.11</v>
      </c>
      <c r="B13" s="1108" t="s">
        <v>1215</v>
      </c>
    </row>
    <row r="14" spans="1:2">
      <c r="A14" s="1108">
        <v>3.12</v>
      </c>
      <c r="B14" s="1108" t="s">
        <v>158</v>
      </c>
    </row>
    <row r="15" spans="1:2">
      <c r="A15" s="1108">
        <v>3.13</v>
      </c>
      <c r="B15" s="1108" t="s">
        <v>159</v>
      </c>
    </row>
    <row r="16" spans="1:2">
      <c r="A16" s="1108">
        <v>3.14</v>
      </c>
      <c r="B16" s="1108" t="s">
        <v>160</v>
      </c>
    </row>
    <row r="17" spans="1:2">
      <c r="A17" s="1108">
        <v>3.15</v>
      </c>
      <c r="B17" s="1108" t="s">
        <v>161</v>
      </c>
    </row>
    <row r="18" spans="1:2">
      <c r="A18" s="1108"/>
      <c r="B18" s="1108"/>
    </row>
    <row r="19" spans="1:2">
      <c r="A19" s="1108"/>
      <c r="B19" s="1108"/>
    </row>
    <row r="20" spans="1:2">
      <c r="A20" s="1111" t="s">
        <v>710</v>
      </c>
    </row>
  </sheetData>
  <phoneticPr fontId="30" type="noConversion"/>
  <pageMargins left="0.57999999999999996" right="0.6" top="0.65" bottom="0.984251969" header="0.34" footer="0.4921259845"/>
  <pageSetup paperSize="9" orientation="portrait"/>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40865-D08C-6049-AFAA-05EDA936E197}">
  <sheetPr>
    <pageSetUpPr fitToPage="1"/>
  </sheetPr>
  <dimension ref="A1:L42"/>
  <sheetViews>
    <sheetView topLeftCell="D13" zoomScale="75" workbookViewId="0">
      <selection activeCell="J27" sqref="J27:L27"/>
    </sheetView>
  </sheetViews>
  <sheetFormatPr baseColWidth="10" defaultColWidth="11.3984375" defaultRowHeight="13"/>
  <cols>
    <col min="1" max="1" width="14.3984375" style="2" customWidth="1"/>
    <col min="2" max="2" width="16.796875" style="2" customWidth="1"/>
    <col min="3" max="5" width="15.3984375" style="2" customWidth="1"/>
    <col min="6" max="6" width="15.3984375" style="488" customWidth="1"/>
    <col min="7" max="7" width="15.3984375" style="2" customWidth="1"/>
    <col min="8" max="16384" width="11.3984375" style="2"/>
  </cols>
  <sheetData>
    <row r="1" spans="1:11" s="1" customFormat="1" ht="14" customHeight="1">
      <c r="F1" s="587"/>
    </row>
    <row r="2" spans="1:11" s="1" customFormat="1" ht="30" customHeight="1">
      <c r="A2" s="118" t="s">
        <v>66</v>
      </c>
      <c r="F2" s="587"/>
      <c r="G2" s="398"/>
    </row>
    <row r="3" spans="1:11" ht="24" customHeight="1">
      <c r="A3" s="119" t="s">
        <v>2320</v>
      </c>
      <c r="B3" s="120" t="s">
        <v>1800</v>
      </c>
      <c r="C3" s="121" t="s">
        <v>1801</v>
      </c>
      <c r="D3" s="120" t="s">
        <v>1799</v>
      </c>
      <c r="E3" s="121" t="s">
        <v>1801</v>
      </c>
      <c r="F3" s="120" t="s">
        <v>1798</v>
      </c>
      <c r="G3" s="121" t="s">
        <v>1801</v>
      </c>
    </row>
    <row r="4" spans="1:11" ht="15" customHeight="1">
      <c r="A4" s="325"/>
      <c r="B4" s="149" t="s">
        <v>67</v>
      </c>
      <c r="C4" s="124" t="s">
        <v>1802</v>
      </c>
      <c r="D4" s="149" t="s">
        <v>1800</v>
      </c>
      <c r="E4" s="124" t="s">
        <v>1802</v>
      </c>
      <c r="F4" s="149" t="s">
        <v>1470</v>
      </c>
      <c r="G4" s="124" t="s">
        <v>1802</v>
      </c>
    </row>
    <row r="5" spans="1:11" ht="15" customHeight="1">
      <c r="A5" s="325"/>
      <c r="B5" s="123"/>
      <c r="C5" s="124" t="s">
        <v>1806</v>
      </c>
      <c r="D5" s="149" t="s">
        <v>1471</v>
      </c>
      <c r="E5" s="124" t="s">
        <v>1806</v>
      </c>
      <c r="F5" s="589"/>
      <c r="G5" s="124" t="s">
        <v>1806</v>
      </c>
    </row>
    <row r="6" spans="1:11" ht="24" customHeight="1">
      <c r="A6" s="326"/>
      <c r="B6" s="129"/>
      <c r="C6" s="128"/>
      <c r="D6" s="129"/>
      <c r="E6" s="128"/>
      <c r="F6" s="590"/>
      <c r="G6" s="128"/>
    </row>
    <row r="7" spans="1:11" ht="23.25" customHeight="1" thickBot="1">
      <c r="A7" s="327">
        <v>1996</v>
      </c>
      <c r="B7" s="914">
        <v>173.08</v>
      </c>
      <c r="C7" s="157" t="s">
        <v>1854</v>
      </c>
      <c r="D7" s="914">
        <v>114.73041951160255</v>
      </c>
      <c r="E7" s="157" t="s">
        <v>1854</v>
      </c>
      <c r="F7" s="914">
        <v>47.723529089864961</v>
      </c>
      <c r="G7" s="157" t="s">
        <v>1854</v>
      </c>
    </row>
    <row r="8" spans="1:11" ht="20" customHeight="1" thickBot="1">
      <c r="A8" s="328">
        <v>1997</v>
      </c>
      <c r="B8" s="915">
        <v>188.06152293360134</v>
      </c>
      <c r="C8" s="158">
        <v>8.6558371467537087E-2</v>
      </c>
      <c r="D8" s="915">
        <v>124.66129778231421</v>
      </c>
      <c r="E8" s="158">
        <v>8.6558371467537087E-2</v>
      </c>
      <c r="F8" s="915">
        <v>51.854400048567307</v>
      </c>
      <c r="G8" s="158">
        <v>8.6558371467537087E-2</v>
      </c>
      <c r="I8" s="8"/>
      <c r="J8" s="8"/>
      <c r="K8" s="8"/>
    </row>
    <row r="9" spans="1:11" ht="20" customHeight="1" thickBot="1">
      <c r="A9" s="328">
        <v>1998</v>
      </c>
      <c r="B9" s="915">
        <v>197.28646689698576</v>
      </c>
      <c r="C9" s="158">
        <v>4.9052798358128147E-2</v>
      </c>
      <c r="D9" s="915">
        <v>125.29607374124997</v>
      </c>
      <c r="E9" s="158">
        <v>5.0920050587330845E-3</v>
      </c>
      <c r="F9" s="915">
        <v>51.799576777497641</v>
      </c>
      <c r="G9" s="158">
        <v>-1.0572539845860041E-3</v>
      </c>
    </row>
    <row r="10" spans="1:11" ht="20" customHeight="1" thickBot="1">
      <c r="A10" s="328">
        <v>1999</v>
      </c>
      <c r="B10" s="915">
        <v>203.88952141156713</v>
      </c>
      <c r="C10" s="158">
        <v>3.3469373842196726E-2</v>
      </c>
      <c r="D10" s="915">
        <v>130.21886901362492</v>
      </c>
      <c r="E10" s="158">
        <v>3.9289301934081866E-2</v>
      </c>
      <c r="F10" s="915">
        <v>53.348085764350309</v>
      </c>
      <c r="G10" s="158">
        <v>2.9894240130652117E-2</v>
      </c>
    </row>
    <row r="11" spans="1:11" ht="20" customHeight="1" thickBot="1">
      <c r="A11" s="328">
        <v>2000</v>
      </c>
      <c r="B11" s="915">
        <v>211.67614847185897</v>
      </c>
      <c r="C11" s="158">
        <v>3.8190422962315562E-2</v>
      </c>
      <c r="D11" s="915">
        <v>134.7191420153035</v>
      </c>
      <c r="E11" s="158">
        <v>3.4559300320813779E-2</v>
      </c>
      <c r="F11" s="915">
        <v>55.173206027906794</v>
      </c>
      <c r="G11" s="158">
        <v>3.4211541752752428E-2</v>
      </c>
    </row>
    <row r="12" spans="1:11" ht="20" customHeight="1" thickBot="1">
      <c r="A12" s="328">
        <v>2001</v>
      </c>
      <c r="B12" s="915">
        <v>223.27</v>
      </c>
      <c r="C12" s="158">
        <v>5.4771648160833575E-2</v>
      </c>
      <c r="D12" s="915">
        <v>149.77000000000001</v>
      </c>
      <c r="E12" s="158">
        <v>0.11172026305650617</v>
      </c>
      <c r="F12" s="915">
        <v>57.65</v>
      </c>
      <c r="G12" s="158">
        <v>4.4891246139302288E-2</v>
      </c>
    </row>
    <row r="13" spans="1:11" ht="20" customHeight="1" thickBot="1">
      <c r="A13" s="328">
        <v>2002</v>
      </c>
      <c r="B13" s="915">
        <v>245.01247000000001</v>
      </c>
      <c r="C13" s="158">
        <v>9.7381959063017831E-2</v>
      </c>
      <c r="D13" s="915">
        <v>172.20867000000001</v>
      </c>
      <c r="E13" s="158">
        <v>0.14982085864992989</v>
      </c>
      <c r="F13" s="915">
        <v>63.127989999999997</v>
      </c>
      <c r="G13" s="158">
        <v>9.502150910667817E-2</v>
      </c>
    </row>
    <row r="14" spans="1:11" ht="20" customHeight="1" thickBot="1">
      <c r="A14" s="328">
        <v>2003</v>
      </c>
      <c r="B14" s="915">
        <v>268.54743999999999</v>
      </c>
      <c r="C14" s="158">
        <v>9.6056212975608846E-2</v>
      </c>
      <c r="D14" s="915">
        <v>198.72591</v>
      </c>
      <c r="E14" s="158">
        <v>0.15398318795447397</v>
      </c>
      <c r="F14" s="915">
        <v>68.990499999999997</v>
      </c>
      <c r="G14" s="158">
        <v>9.2867046772754813E-2</v>
      </c>
    </row>
    <row r="15" spans="1:11" ht="20" customHeight="1" thickBot="1">
      <c r="A15" s="328">
        <v>2004</v>
      </c>
      <c r="B15" s="915">
        <v>279.98</v>
      </c>
      <c r="C15" s="158">
        <v>4.2571845034158562E-2</v>
      </c>
      <c r="D15" s="915">
        <v>213.29</v>
      </c>
      <c r="E15" s="158">
        <v>7.3287323228259371E-2</v>
      </c>
      <c r="F15" s="915">
        <v>71.84</v>
      </c>
      <c r="G15" s="158">
        <v>4.1302788065023632E-2</v>
      </c>
    </row>
    <row r="16" spans="1:11" ht="20" customHeight="1" thickBot="1">
      <c r="A16" s="328">
        <v>2005</v>
      </c>
      <c r="B16" s="915">
        <v>290.21806622890591</v>
      </c>
      <c r="C16" s="158">
        <v>3.6567134184248395E-2</v>
      </c>
      <c r="D16" s="915">
        <v>225.09346768269774</v>
      </c>
      <c r="E16" s="158">
        <v>5.5339995699272171E-2</v>
      </c>
      <c r="F16" s="915">
        <v>71.95510451056029</v>
      </c>
      <c r="G16" s="158">
        <v>1.6022342784003385E-3</v>
      </c>
    </row>
    <row r="17" spans="1:12" ht="20" customHeight="1" thickBot="1">
      <c r="A17" s="328">
        <v>2006</v>
      </c>
      <c r="B17" s="915">
        <v>306.40836181971781</v>
      </c>
      <c r="C17" s="158">
        <v>5.5786656568933335E-2</v>
      </c>
      <c r="D17" s="915">
        <v>241.17388660184943</v>
      </c>
      <c r="E17" s="158">
        <v>7.1438851978678608E-2</v>
      </c>
      <c r="F17" s="915">
        <v>74.466353915536445</v>
      </c>
      <c r="G17" s="158">
        <v>3.4900225940295959E-2</v>
      </c>
    </row>
    <row r="18" spans="1:12" ht="20" customHeight="1" thickBot="1">
      <c r="A18" s="328">
        <v>2007</v>
      </c>
      <c r="B18" s="915">
        <v>313.01044236889447</v>
      </c>
      <c r="C18" s="158">
        <v>2.1546672257792832E-2</v>
      </c>
      <c r="D18" s="915">
        <v>246.30400307180668</v>
      </c>
      <c r="E18" s="158">
        <v>2.1271442535677476E-2</v>
      </c>
      <c r="F18" s="915">
        <v>75.718485025980357</v>
      </c>
      <c r="G18" s="158">
        <v>1.6814722953458094E-2</v>
      </c>
    </row>
    <row r="19" spans="1:12" ht="20" customHeight="1" thickBot="1">
      <c r="A19" s="328">
        <v>2008</v>
      </c>
      <c r="B19" s="915">
        <v>314.60604194243149</v>
      </c>
      <c r="C19" s="158">
        <v>5.097592148879615E-3</v>
      </c>
      <c r="D19" s="915">
        <v>248.01478980217522</v>
      </c>
      <c r="E19" s="158">
        <v>6.9458340466752588E-3</v>
      </c>
      <c r="F19" s="915">
        <v>75.260357578802569</v>
      </c>
      <c r="G19" s="158">
        <v>-6.0504042971883942E-3</v>
      </c>
    </row>
    <row r="20" spans="1:12" ht="20" customHeight="1" thickBot="1">
      <c r="A20" s="328">
        <v>2009</v>
      </c>
      <c r="B20" s="915">
        <v>322.86486279268746</v>
      </c>
      <c r="C20" s="158">
        <v>2.6251310366655956E-2</v>
      </c>
      <c r="D20" s="915">
        <v>258.51834876494348</v>
      </c>
      <c r="E20" s="158">
        <v>4.2350534704588494E-2</v>
      </c>
      <c r="F20" s="915">
        <v>76.359591370012836</v>
      </c>
      <c r="G20" s="158">
        <v>1.4605747654856671E-2</v>
      </c>
    </row>
    <row r="21" spans="1:12" ht="20" customHeight="1" thickBot="1">
      <c r="A21" s="328">
        <v>2010</v>
      </c>
      <c r="B21" s="915">
        <v>351.05082991253505</v>
      </c>
      <c r="C21" s="158">
        <v>8.7299580623444673E-2</v>
      </c>
      <c r="D21" s="915">
        <v>293.85185032818998</v>
      </c>
      <c r="E21" s="158">
        <v>0.13667695825867021</v>
      </c>
      <c r="F21" s="915">
        <v>84.027090196386368</v>
      </c>
      <c r="G21" s="158">
        <v>0.10041304162065789</v>
      </c>
    </row>
    <row r="22" spans="1:12" ht="30" customHeight="1" thickBot="1">
      <c r="A22" s="329">
        <v>2011</v>
      </c>
      <c r="B22" s="916">
        <v>373.81789265832555</v>
      </c>
      <c r="C22" s="161">
        <v>6.4854034817302564E-2</v>
      </c>
      <c r="D22" s="916">
        <v>328.49835406580917</v>
      </c>
      <c r="E22" s="161">
        <v>0.11790466420042645</v>
      </c>
      <c r="F22" s="916">
        <v>89.330984822405611</v>
      </c>
      <c r="G22" s="161">
        <v>6.3121245941315962E-2</v>
      </c>
    </row>
    <row r="23" spans="1:12" ht="20" customHeight="1">
      <c r="A23" s="140" t="s">
        <v>1594</v>
      </c>
      <c r="B23" s="140"/>
      <c r="C23" s="140"/>
      <c r="D23" s="140"/>
      <c r="E23" s="140"/>
      <c r="F23" s="653"/>
      <c r="G23" s="140"/>
    </row>
    <row r="24" spans="1:12" ht="14.25" customHeight="1">
      <c r="A24" s="141"/>
      <c r="B24" s="141"/>
      <c r="C24" s="141"/>
      <c r="D24" s="141"/>
      <c r="E24" s="141"/>
      <c r="F24" s="654"/>
      <c r="G24" s="141"/>
    </row>
    <row r="25" spans="1:12" ht="14.25" customHeight="1">
      <c r="A25" s="141" t="s">
        <v>54</v>
      </c>
      <c r="B25" s="196"/>
      <c r="C25" s="196"/>
      <c r="D25" s="196"/>
      <c r="E25" s="196"/>
      <c r="F25" s="196"/>
      <c r="G25" s="196"/>
      <c r="H25" s="196"/>
      <c r="I25" s="197"/>
    </row>
    <row r="26" spans="1:12" ht="20" customHeight="1">
      <c r="A26" s="141"/>
      <c r="B26" s="196"/>
      <c r="C26" s="196"/>
      <c r="D26" s="196"/>
      <c r="E26" s="196"/>
      <c r="F26" s="196"/>
      <c r="G26" s="196"/>
      <c r="H26" s="196"/>
      <c r="I26" s="197"/>
    </row>
    <row r="27" spans="1:12" ht="20" customHeight="1">
      <c r="A27" s="2" t="s">
        <v>55</v>
      </c>
      <c r="B27" s="196"/>
      <c r="C27" s="196"/>
      <c r="D27" s="196"/>
      <c r="E27" s="196"/>
      <c r="F27" s="196"/>
      <c r="G27" s="196"/>
      <c r="H27" s="196"/>
      <c r="I27" s="197"/>
      <c r="J27" s="3"/>
      <c r="K27" s="3"/>
      <c r="L27" s="3"/>
    </row>
    <row r="28" spans="1:12" ht="12.75" customHeight="1">
      <c r="A28" s="141" t="s">
        <v>1591</v>
      </c>
      <c r="B28" s="196"/>
      <c r="C28" s="196"/>
      <c r="D28" s="196"/>
      <c r="E28" s="196"/>
      <c r="F28" s="196"/>
      <c r="G28" s="196"/>
      <c r="H28" s="196"/>
      <c r="I28" s="197"/>
    </row>
    <row r="29" spans="1:12">
      <c r="A29" s="2" t="s">
        <v>1592</v>
      </c>
      <c r="F29" s="2"/>
    </row>
    <row r="30" spans="1:12">
      <c r="A30" s="2" t="s">
        <v>56</v>
      </c>
      <c r="F30" s="2"/>
    </row>
    <row r="31" spans="1:12">
      <c r="A31" s="2" t="s">
        <v>57</v>
      </c>
      <c r="F31" s="2"/>
    </row>
    <row r="32" spans="1:12">
      <c r="A32" s="2" t="s">
        <v>58</v>
      </c>
      <c r="F32" s="2"/>
    </row>
    <row r="33" spans="1:6">
      <c r="A33" s="141" t="s">
        <v>59</v>
      </c>
      <c r="F33" s="2"/>
    </row>
    <row r="34" spans="1:6">
      <c r="A34" s="141" t="s">
        <v>60</v>
      </c>
      <c r="F34" s="2"/>
    </row>
    <row r="35" spans="1:6">
      <c r="A35" s="917" t="s">
        <v>61</v>
      </c>
      <c r="F35" s="2"/>
    </row>
    <row r="36" spans="1:6">
      <c r="A36" s="2" t="s">
        <v>62</v>
      </c>
      <c r="F36" s="2"/>
    </row>
    <row r="37" spans="1:6">
      <c r="A37" s="2" t="s">
        <v>63</v>
      </c>
      <c r="F37" s="2"/>
    </row>
    <row r="38" spans="1:6">
      <c r="A38" s="2" t="s">
        <v>64</v>
      </c>
      <c r="F38" s="2"/>
    </row>
    <row r="39" spans="1:6">
      <c r="A39" s="917" t="s">
        <v>65</v>
      </c>
      <c r="F39" s="2"/>
    </row>
    <row r="42" spans="1:6">
      <c r="A42" s="2" t="s">
        <v>710</v>
      </c>
    </row>
  </sheetData>
  <phoneticPr fontId="0" type="noConversion"/>
  <pageMargins left="0.57999999999999996" right="0.69" top="0.94" bottom="0.49" header="0.53" footer="0.4921259845"/>
  <pageSetup paperSize="9" scale="74" orientation="portrait" horizontalDpi="4294967292" verticalDpi="4294967292"/>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256C5-74A3-D34E-9E7E-66ABD6331436}">
  <sheetPr>
    <pageSetUpPr fitToPage="1"/>
  </sheetPr>
  <dimension ref="A1:L45"/>
  <sheetViews>
    <sheetView topLeftCell="D26" zoomScale="75" workbookViewId="0">
      <selection activeCell="J42" sqref="J42:L42"/>
    </sheetView>
  </sheetViews>
  <sheetFormatPr baseColWidth="10" defaultColWidth="11.3984375" defaultRowHeight="13"/>
  <cols>
    <col min="1" max="1" width="15.19921875" style="2" customWidth="1"/>
    <col min="2" max="6" width="15.796875" style="2" customWidth="1"/>
    <col min="7" max="8" width="14.3984375" style="2" customWidth="1"/>
    <col min="9" max="16384" width="11.3984375" style="2"/>
  </cols>
  <sheetData>
    <row r="1" spans="1:8" s="1" customFormat="1" ht="14" customHeight="1">
      <c r="A1" s="271"/>
      <c r="B1" s="271"/>
      <c r="C1" s="271"/>
      <c r="D1" s="271"/>
      <c r="E1" s="271"/>
      <c r="F1" s="271"/>
    </row>
    <row r="2" spans="1:8" s="1" customFormat="1" ht="23.25" customHeight="1">
      <c r="A2" s="894" t="s">
        <v>53</v>
      </c>
      <c r="B2" s="271"/>
      <c r="C2" s="271"/>
      <c r="D2" s="271"/>
      <c r="E2" s="271"/>
      <c r="F2" s="271"/>
    </row>
    <row r="3" spans="1:8" s="1" customFormat="1" ht="27.75" customHeight="1">
      <c r="A3" s="894" t="s">
        <v>1596</v>
      </c>
      <c r="B3" s="271"/>
      <c r="C3" s="271"/>
      <c r="D3" s="271"/>
      <c r="E3" s="271"/>
      <c r="F3" s="271"/>
    </row>
    <row r="4" spans="1:8" ht="16.5" customHeight="1">
      <c r="A4" s="119" t="s">
        <v>1797</v>
      </c>
      <c r="B4" s="895" t="s">
        <v>38</v>
      </c>
      <c r="C4" s="896" t="s">
        <v>39</v>
      </c>
      <c r="D4" s="895" t="s">
        <v>40</v>
      </c>
      <c r="E4" s="896" t="s">
        <v>41</v>
      </c>
      <c r="F4" s="895" t="s">
        <v>51</v>
      </c>
      <c r="G4" s="897" t="s">
        <v>1801</v>
      </c>
      <c r="H4" s="898" t="s">
        <v>42</v>
      </c>
    </row>
    <row r="5" spans="1:8" ht="16.5" customHeight="1">
      <c r="A5" s="325"/>
      <c r="B5" s="899"/>
      <c r="C5" s="900"/>
      <c r="D5" s="899"/>
      <c r="E5" s="900"/>
      <c r="F5" s="899"/>
      <c r="G5" s="901" t="s">
        <v>1802</v>
      </c>
      <c r="H5" s="902" t="s">
        <v>43</v>
      </c>
    </row>
    <row r="6" spans="1:8" ht="16.5" customHeight="1">
      <c r="A6" s="912"/>
      <c r="B6" s="392"/>
      <c r="C6" s="913"/>
      <c r="D6" s="392"/>
      <c r="E6" s="913"/>
      <c r="F6" s="716"/>
      <c r="G6" s="903" t="s">
        <v>1806</v>
      </c>
      <c r="H6" s="904" t="s">
        <v>44</v>
      </c>
    </row>
    <row r="7" spans="1:8" ht="16.5" customHeight="1">
      <c r="A7" s="326"/>
      <c r="B7" s="129"/>
      <c r="C7" s="128"/>
      <c r="D7" s="129"/>
      <c r="E7" s="128"/>
      <c r="F7" s="154"/>
      <c r="G7" s="905"/>
      <c r="H7" s="906" t="s">
        <v>1597</v>
      </c>
    </row>
    <row r="8" spans="1:8" ht="30" customHeight="1" thickBot="1">
      <c r="A8" s="704" t="s">
        <v>1807</v>
      </c>
      <c r="B8" s="439">
        <v>402.21499999999997</v>
      </c>
      <c r="C8" s="440">
        <v>358.64389699999998</v>
      </c>
      <c r="D8" s="439">
        <v>333.70427799999999</v>
      </c>
      <c r="E8" s="440" t="s">
        <v>2317</v>
      </c>
      <c r="F8" s="907">
        <v>362.76941171540807</v>
      </c>
      <c r="G8" s="375">
        <v>6.821657380875723E-2</v>
      </c>
      <c r="H8" s="448">
        <v>4.853975835969071E-2</v>
      </c>
    </row>
    <row r="9" spans="1:8" ht="20" customHeight="1" thickBot="1">
      <c r="A9" s="705" t="s">
        <v>1808</v>
      </c>
      <c r="B9" s="441">
        <v>461.55901899999998</v>
      </c>
      <c r="C9" s="442">
        <v>409.04733299999998</v>
      </c>
      <c r="D9" s="441">
        <v>383.62664100000001</v>
      </c>
      <c r="E9" s="442" t="s">
        <v>2317</v>
      </c>
      <c r="F9" s="908">
        <v>418.96982537361117</v>
      </c>
      <c r="G9" s="364">
        <v>8.6212409173827664E-2</v>
      </c>
      <c r="H9" s="449">
        <v>6.9370547444886022E-2</v>
      </c>
    </row>
    <row r="10" spans="1:8" ht="20" customHeight="1" thickBot="1">
      <c r="A10" s="705" t="s">
        <v>1809</v>
      </c>
      <c r="B10" s="441">
        <v>349.95556099999999</v>
      </c>
      <c r="C10" s="442">
        <v>325.82666799999998</v>
      </c>
      <c r="D10" s="441">
        <v>312.149294</v>
      </c>
      <c r="E10" s="442" t="s">
        <v>2317</v>
      </c>
      <c r="F10" s="908">
        <v>331.69452057781336</v>
      </c>
      <c r="G10" s="364">
        <v>7.2915945348370981E-2</v>
      </c>
      <c r="H10" s="449">
        <v>6.653227171693521E-2</v>
      </c>
    </row>
    <row r="11" spans="1:8" ht="20" customHeight="1" thickBot="1">
      <c r="A11" s="705" t="s">
        <v>1810</v>
      </c>
      <c r="B11" s="441" t="s">
        <v>2317</v>
      </c>
      <c r="C11" s="442" t="s">
        <v>2317</v>
      </c>
      <c r="D11" s="441" t="s">
        <v>2317</v>
      </c>
      <c r="E11" s="442">
        <v>308.44783899999999</v>
      </c>
      <c r="F11" s="908">
        <v>308.44783860317972</v>
      </c>
      <c r="G11" s="364">
        <v>8.1718743548681694E-2</v>
      </c>
      <c r="H11" s="449">
        <v>6.6303831479691766E-2</v>
      </c>
    </row>
    <row r="12" spans="1:8" ht="20" customHeight="1" thickBot="1">
      <c r="A12" s="705" t="s">
        <v>1811</v>
      </c>
      <c r="B12" s="441" t="s">
        <v>2317</v>
      </c>
      <c r="C12" s="442" t="s">
        <v>2317</v>
      </c>
      <c r="D12" s="441" t="s">
        <v>2317</v>
      </c>
      <c r="E12" s="442">
        <v>320.43965700000001</v>
      </c>
      <c r="F12" s="908">
        <v>320.43965689742566</v>
      </c>
      <c r="G12" s="364">
        <v>6.0717886299427759E-2</v>
      </c>
      <c r="H12" s="449">
        <v>6.4779739975111106E-2</v>
      </c>
    </row>
    <row r="13" spans="1:8" ht="20" customHeight="1" thickBot="1">
      <c r="A13" s="705" t="s">
        <v>1812</v>
      </c>
      <c r="B13" s="441" t="s">
        <v>2317</v>
      </c>
      <c r="C13" s="442" t="s">
        <v>2317</v>
      </c>
      <c r="D13" s="441" t="s">
        <v>2317</v>
      </c>
      <c r="E13" s="442">
        <v>307.24419999999998</v>
      </c>
      <c r="F13" s="908">
        <v>307.24420008485038</v>
      </c>
      <c r="G13" s="364">
        <v>8.5953374919709891E-2</v>
      </c>
      <c r="H13" s="449">
        <v>6.4796543671757467E-2</v>
      </c>
    </row>
    <row r="14" spans="1:8" ht="20" customHeight="1" thickBot="1">
      <c r="A14" s="705" t="s">
        <v>1813</v>
      </c>
      <c r="B14" s="441" t="s">
        <v>2317</v>
      </c>
      <c r="C14" s="442" t="s">
        <v>2317</v>
      </c>
      <c r="D14" s="441" t="s">
        <v>2317</v>
      </c>
      <c r="E14" s="442">
        <v>282.20252299999999</v>
      </c>
      <c r="F14" s="908">
        <v>282.20252356474089</v>
      </c>
      <c r="G14" s="364">
        <v>0.10336199141390345</v>
      </c>
      <c r="H14" s="449">
        <v>6.1778992608917394E-2</v>
      </c>
    </row>
    <row r="15" spans="1:8" ht="20" customHeight="1" thickBot="1">
      <c r="A15" s="705" t="s">
        <v>1814</v>
      </c>
      <c r="B15" s="441" t="s">
        <v>2317</v>
      </c>
      <c r="C15" s="442" t="s">
        <v>2317</v>
      </c>
      <c r="D15" s="441" t="s">
        <v>2317</v>
      </c>
      <c r="E15" s="442">
        <v>319.37139500000001</v>
      </c>
      <c r="F15" s="908">
        <v>319.37139509527157</v>
      </c>
      <c r="G15" s="364">
        <v>7.7377408551189797E-2</v>
      </c>
      <c r="H15" s="449">
        <v>6.5355861136086046E-2</v>
      </c>
    </row>
    <row r="16" spans="1:8" ht="20" customHeight="1" thickBot="1">
      <c r="A16" s="705" t="s">
        <v>1815</v>
      </c>
      <c r="B16" s="441" t="s">
        <v>2317</v>
      </c>
      <c r="C16" s="442" t="s">
        <v>2317</v>
      </c>
      <c r="D16" s="441" t="s">
        <v>2317</v>
      </c>
      <c r="E16" s="442">
        <v>316.60916900000001</v>
      </c>
      <c r="F16" s="908">
        <v>316.60916896167373</v>
      </c>
      <c r="G16" s="364">
        <v>8.7121747455134235E-2</v>
      </c>
      <c r="H16" s="449">
        <v>6.6486322400671094E-2</v>
      </c>
    </row>
    <row r="17" spans="1:8" ht="20" customHeight="1" thickBot="1">
      <c r="A17" s="705" t="s">
        <v>1816</v>
      </c>
      <c r="B17" s="441">
        <v>365.59085199999998</v>
      </c>
      <c r="C17" s="442">
        <v>332.19558899999998</v>
      </c>
      <c r="D17" s="441" t="s">
        <v>2317</v>
      </c>
      <c r="E17" s="442" t="s">
        <v>2317</v>
      </c>
      <c r="F17" s="908">
        <v>343.72910682508848</v>
      </c>
      <c r="G17" s="364">
        <v>5.7802455607823156E-2</v>
      </c>
      <c r="H17" s="449">
        <v>4.6109676835485391E-2</v>
      </c>
    </row>
    <row r="18" spans="1:8" ht="20" customHeight="1" thickBot="1">
      <c r="A18" s="705" t="s">
        <v>1817</v>
      </c>
      <c r="B18" s="441" t="s">
        <v>2317</v>
      </c>
      <c r="C18" s="442" t="s">
        <v>2317</v>
      </c>
      <c r="D18" s="441" t="s">
        <v>2317</v>
      </c>
      <c r="E18" s="442">
        <v>350.99835300000001</v>
      </c>
      <c r="F18" s="908">
        <v>350.99835307026206</v>
      </c>
      <c r="G18" s="364">
        <v>7.5496071790176034E-2</v>
      </c>
      <c r="H18" s="449">
        <v>5.3515031323770446E-2</v>
      </c>
    </row>
    <row r="19" spans="1:8" ht="20" customHeight="1" thickBot="1">
      <c r="A19" s="705" t="s">
        <v>1818</v>
      </c>
      <c r="B19" s="441" t="s">
        <v>2317</v>
      </c>
      <c r="C19" s="442" t="s">
        <v>2317</v>
      </c>
      <c r="D19" s="441" t="s">
        <v>2317</v>
      </c>
      <c r="E19" s="442">
        <v>484.159066</v>
      </c>
      <c r="F19" s="908">
        <v>484.15906653581362</v>
      </c>
      <c r="G19" s="364">
        <v>7.0155508712769654E-2</v>
      </c>
      <c r="H19" s="449">
        <v>4.8929177660415935E-2</v>
      </c>
    </row>
    <row r="20" spans="1:8" ht="20" customHeight="1" thickBot="1">
      <c r="A20" s="705" t="s">
        <v>1819</v>
      </c>
      <c r="B20" s="441">
        <v>407.161023</v>
      </c>
      <c r="C20" s="442">
        <v>376.98342300000002</v>
      </c>
      <c r="D20" s="441" t="s">
        <v>2317</v>
      </c>
      <c r="E20" s="442" t="s">
        <v>2317</v>
      </c>
      <c r="F20" s="908">
        <v>398.77334378435302</v>
      </c>
      <c r="G20" s="364">
        <v>8.2470935054853811E-2</v>
      </c>
      <c r="H20" s="449">
        <v>5.8813891410365526E-2</v>
      </c>
    </row>
    <row r="21" spans="1:8" ht="20" customHeight="1" thickBot="1">
      <c r="A21" s="705" t="s">
        <v>1820</v>
      </c>
      <c r="B21" s="441">
        <v>364.53547300000002</v>
      </c>
      <c r="C21" s="442">
        <v>339.72553900000003</v>
      </c>
      <c r="D21" s="441" t="s">
        <v>2317</v>
      </c>
      <c r="E21" s="442" t="s">
        <v>2317</v>
      </c>
      <c r="F21" s="908">
        <v>354.54502030783766</v>
      </c>
      <c r="G21" s="364">
        <v>6.4408041212283829E-2</v>
      </c>
      <c r="H21" s="449">
        <v>5.7597333401529172E-2</v>
      </c>
    </row>
    <row r="22" spans="1:8" ht="20" customHeight="1" thickBot="1">
      <c r="A22" s="705" t="s">
        <v>1821</v>
      </c>
      <c r="B22" s="441" t="s">
        <v>2317</v>
      </c>
      <c r="C22" s="442" t="s">
        <v>2317</v>
      </c>
      <c r="D22" s="441" t="s">
        <v>2317</v>
      </c>
      <c r="E22" s="442">
        <v>295.21527900000001</v>
      </c>
      <c r="F22" s="908">
        <v>295.21527809505307</v>
      </c>
      <c r="G22" s="364">
        <v>6.651409007394915E-2</v>
      </c>
      <c r="H22" s="449">
        <v>6.2929054035535836E-2</v>
      </c>
    </row>
    <row r="23" spans="1:8" ht="20" customHeight="1" thickBot="1">
      <c r="A23" s="705" t="s">
        <v>1822</v>
      </c>
      <c r="B23" s="441" t="s">
        <v>2317</v>
      </c>
      <c r="C23" s="442" t="s">
        <v>2317</v>
      </c>
      <c r="D23" s="441" t="s">
        <v>2317</v>
      </c>
      <c r="E23" s="442">
        <v>277.20754699999998</v>
      </c>
      <c r="F23" s="908">
        <v>277.20754740439622</v>
      </c>
      <c r="G23" s="364">
        <v>7.8517636117587442E-2</v>
      </c>
      <c r="H23" s="449">
        <v>6.6824098377732843E-2</v>
      </c>
    </row>
    <row r="24" spans="1:8" ht="20" customHeight="1" thickBot="1">
      <c r="A24" s="705" t="s">
        <v>1823</v>
      </c>
      <c r="B24" s="441">
        <v>355.47549199999997</v>
      </c>
      <c r="C24" s="442">
        <v>325.74222800000001</v>
      </c>
      <c r="D24" s="441">
        <v>313.378514</v>
      </c>
      <c r="E24" s="442" t="s">
        <v>2317</v>
      </c>
      <c r="F24" s="908">
        <v>331.38974371944676</v>
      </c>
      <c r="G24" s="364">
        <v>6.6611420466498705E-2</v>
      </c>
      <c r="H24" s="449">
        <v>6.5580837341896014E-2</v>
      </c>
    </row>
    <row r="25" spans="1:8" ht="20" customHeight="1" thickBot="1">
      <c r="A25" s="705" t="s">
        <v>1824</v>
      </c>
      <c r="B25" s="441">
        <v>333.19890400000003</v>
      </c>
      <c r="C25" s="442">
        <v>310.584609</v>
      </c>
      <c r="D25" s="441">
        <v>294.353567</v>
      </c>
      <c r="E25" s="442" t="s">
        <v>2317</v>
      </c>
      <c r="F25" s="908">
        <v>312.6722829233529</v>
      </c>
      <c r="G25" s="364">
        <v>4.6307798742091899E-2</v>
      </c>
      <c r="H25" s="449">
        <v>6.4089138633445453E-2</v>
      </c>
    </row>
    <row r="26" spans="1:8" ht="20" customHeight="1" thickBot="1">
      <c r="A26" s="705" t="s">
        <v>1825</v>
      </c>
      <c r="B26" s="441" t="s">
        <v>2317</v>
      </c>
      <c r="C26" s="442" t="s">
        <v>2317</v>
      </c>
      <c r="D26" s="441" t="s">
        <v>2317</v>
      </c>
      <c r="E26" s="442">
        <v>351.05905000000001</v>
      </c>
      <c r="F26" s="908">
        <v>351.05904935874992</v>
      </c>
      <c r="G26" s="364">
        <v>7.6205638794716979E-2</v>
      </c>
      <c r="H26" s="449">
        <v>6.3255213934349408E-2</v>
      </c>
    </row>
    <row r="27" spans="1:8" ht="20" customHeight="1" thickBot="1">
      <c r="A27" s="705" t="s">
        <v>1826</v>
      </c>
      <c r="B27" s="441" t="s">
        <v>2317</v>
      </c>
      <c r="C27" s="442" t="s">
        <v>2317</v>
      </c>
      <c r="D27" s="441" t="s">
        <v>2317</v>
      </c>
      <c r="E27" s="442">
        <v>337.57739600000002</v>
      </c>
      <c r="F27" s="908">
        <v>337.57739554393498</v>
      </c>
      <c r="G27" s="364">
        <v>4.8545033433246898E-2</v>
      </c>
      <c r="H27" s="449">
        <v>5.4791035660870513E-2</v>
      </c>
    </row>
    <row r="28" spans="1:8" ht="20" customHeight="1" thickBot="1">
      <c r="A28" s="705" t="s">
        <v>1827</v>
      </c>
      <c r="B28" s="441">
        <v>415.46774599999998</v>
      </c>
      <c r="C28" s="442">
        <v>387.91095999999999</v>
      </c>
      <c r="D28" s="441" t="s">
        <v>2317</v>
      </c>
      <c r="E28" s="442" t="s">
        <v>2317</v>
      </c>
      <c r="F28" s="908">
        <v>411.30439493018582</v>
      </c>
      <c r="G28" s="364">
        <v>6.3532711817099186E-2</v>
      </c>
      <c r="H28" s="449">
        <v>4.7770457741768579E-2</v>
      </c>
    </row>
    <row r="29" spans="1:8" ht="20" customHeight="1" thickBot="1">
      <c r="A29" s="705" t="s">
        <v>1828</v>
      </c>
      <c r="B29" s="441">
        <v>421.55076400000002</v>
      </c>
      <c r="C29" s="442">
        <v>393.59363999999999</v>
      </c>
      <c r="D29" s="441" t="s">
        <v>2317</v>
      </c>
      <c r="E29" s="442" t="s">
        <v>2317</v>
      </c>
      <c r="F29" s="908">
        <v>412.83497216354249</v>
      </c>
      <c r="G29" s="364">
        <v>4.3851885088205478E-2</v>
      </c>
      <c r="H29" s="449">
        <v>3.6661312606251828E-2</v>
      </c>
    </row>
    <row r="30" spans="1:8" ht="20" customHeight="1" thickBot="1">
      <c r="A30" s="705" t="s">
        <v>1829</v>
      </c>
      <c r="B30" s="441">
        <v>330.97452500000003</v>
      </c>
      <c r="C30" s="442">
        <v>301.86281500000001</v>
      </c>
      <c r="D30" s="441" t="s">
        <v>2317</v>
      </c>
      <c r="E30" s="442" t="s">
        <v>2317</v>
      </c>
      <c r="F30" s="908">
        <v>322.09568048878214</v>
      </c>
      <c r="G30" s="364">
        <v>7.3497576803744469E-2</v>
      </c>
      <c r="H30" s="449">
        <v>6.0660302404976552E-2</v>
      </c>
    </row>
    <row r="31" spans="1:8" ht="20" customHeight="1" thickBot="1">
      <c r="A31" s="705" t="s">
        <v>1830</v>
      </c>
      <c r="B31" s="441" t="s">
        <v>2317</v>
      </c>
      <c r="C31" s="442" t="s">
        <v>2317</v>
      </c>
      <c r="D31" s="441" t="s">
        <v>2317</v>
      </c>
      <c r="E31" s="442">
        <v>389.99856799999998</v>
      </c>
      <c r="F31" s="908">
        <v>389.99856810845318</v>
      </c>
      <c r="G31" s="364">
        <v>2.1313872780943433E-2</v>
      </c>
      <c r="H31" s="449">
        <v>3.9995681127633187E-2</v>
      </c>
    </row>
    <row r="32" spans="1:8" ht="20" customHeight="1" thickBot="1">
      <c r="A32" s="705" t="s">
        <v>1831</v>
      </c>
      <c r="B32" s="441" t="s">
        <v>2317</v>
      </c>
      <c r="C32" s="442" t="s">
        <v>2317</v>
      </c>
      <c r="D32" s="441" t="s">
        <v>2317</v>
      </c>
      <c r="E32" s="442">
        <v>449.49866800000001</v>
      </c>
      <c r="F32" s="908">
        <v>449.49866722760646</v>
      </c>
      <c r="G32" s="364">
        <v>3.2481204720108847E-2</v>
      </c>
      <c r="H32" s="449">
        <v>2.9385878218085137E-2</v>
      </c>
    </row>
    <row r="33" spans="1:12" ht="20" customHeight="1" thickBot="1">
      <c r="A33" s="705" t="s">
        <v>1832</v>
      </c>
      <c r="B33" s="441" t="s">
        <v>2317</v>
      </c>
      <c r="C33" s="442" t="s">
        <v>2317</v>
      </c>
      <c r="D33" s="441" t="s">
        <v>2317</v>
      </c>
      <c r="E33" s="442">
        <v>379.83780200000001</v>
      </c>
      <c r="F33" s="908">
        <v>379.8378030251256</v>
      </c>
      <c r="G33" s="364">
        <v>4.1323016860725037E-2</v>
      </c>
      <c r="H33" s="449">
        <v>3.796116737206523E-2</v>
      </c>
    </row>
    <row r="34" spans="1:12" s="162" customFormat="1" ht="30" customHeight="1" thickBot="1">
      <c r="A34" s="137" t="s">
        <v>1222</v>
      </c>
      <c r="B34" s="443" t="s">
        <v>744</v>
      </c>
      <c r="C34" s="444" t="s">
        <v>744</v>
      </c>
      <c r="D34" s="443" t="s">
        <v>744</v>
      </c>
      <c r="E34" s="444" t="s">
        <v>744</v>
      </c>
      <c r="F34" s="443">
        <v>373.81789265832555</v>
      </c>
      <c r="G34" s="909">
        <v>6.4854034817302564E-2</v>
      </c>
      <c r="H34" s="451">
        <v>5.2889928068839742E-2</v>
      </c>
    </row>
    <row r="35" spans="1:12" ht="20" customHeight="1">
      <c r="A35" s="140" t="s">
        <v>1594</v>
      </c>
      <c r="B35" s="910"/>
      <c r="C35" s="910"/>
      <c r="D35" s="910"/>
      <c r="E35" s="910"/>
      <c r="F35" s="910"/>
    </row>
    <row r="36" spans="1:12" ht="12.75" customHeight="1">
      <c r="A36" s="141"/>
      <c r="B36" s="911"/>
      <c r="C36" s="911"/>
      <c r="D36" s="911"/>
      <c r="E36" s="911"/>
      <c r="F36" s="911"/>
    </row>
    <row r="37" spans="1:12" ht="15.75" customHeight="1">
      <c r="A37" s="141" t="s">
        <v>45</v>
      </c>
      <c r="B37" s="911"/>
      <c r="C37" s="911"/>
      <c r="D37" s="911"/>
      <c r="E37" s="911"/>
      <c r="F37" s="911"/>
    </row>
    <row r="38" spans="1:12" ht="13.5" customHeight="1">
      <c r="A38" s="141"/>
      <c r="B38" s="911"/>
      <c r="C38" s="911"/>
      <c r="D38" s="911"/>
      <c r="E38" s="911"/>
      <c r="F38" s="911"/>
    </row>
    <row r="39" spans="1:12" ht="12.75" customHeight="1">
      <c r="A39" s="141" t="s">
        <v>46</v>
      </c>
      <c r="B39" s="911"/>
      <c r="C39" s="911"/>
      <c r="D39" s="911"/>
      <c r="E39" s="911"/>
      <c r="F39" s="911"/>
    </row>
    <row r="40" spans="1:12">
      <c r="A40" s="2" t="s">
        <v>47</v>
      </c>
      <c r="B40" s="201"/>
      <c r="C40" s="201"/>
      <c r="D40" s="201"/>
      <c r="E40" s="201"/>
      <c r="F40" s="201"/>
    </row>
    <row r="41" spans="1:12">
      <c r="A41" s="2" t="s">
        <v>48</v>
      </c>
      <c r="B41" s="201"/>
      <c r="C41" s="201"/>
      <c r="D41" s="201"/>
      <c r="E41" s="201"/>
      <c r="F41" s="201"/>
    </row>
    <row r="42" spans="1:12">
      <c r="A42" s="2" t="s">
        <v>49</v>
      </c>
      <c r="B42" s="201"/>
      <c r="C42" s="201"/>
      <c r="D42" s="201"/>
      <c r="E42" s="201"/>
      <c r="F42" s="201"/>
      <c r="J42" s="3"/>
      <c r="K42" s="3"/>
      <c r="L42" s="3"/>
    </row>
    <row r="43" spans="1:12">
      <c r="B43" s="201"/>
      <c r="C43" s="201"/>
      <c r="D43" s="201"/>
      <c r="E43" s="201"/>
      <c r="F43" s="201"/>
    </row>
    <row r="44" spans="1:12">
      <c r="B44" s="201"/>
      <c r="C44" s="201"/>
      <c r="D44" s="201"/>
      <c r="E44" s="201"/>
      <c r="F44" s="201"/>
    </row>
    <row r="45" spans="1:12">
      <c r="A45" s="2" t="s">
        <v>710</v>
      </c>
    </row>
  </sheetData>
  <phoneticPr fontId="0" type="noConversion"/>
  <pageMargins left="0.57999999999999996" right="0.62" top="0.78" bottom="0.47244094488188981" header="0.44" footer="0.51181102362204722"/>
  <pageSetup paperSize="9" scale="74" orientation="portrait"/>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3661F-EE51-424F-979A-E10415FF3E33}">
  <sheetPr>
    <pageSetUpPr fitToPage="1"/>
  </sheetPr>
  <dimension ref="A1:L45"/>
  <sheetViews>
    <sheetView topLeftCell="E26" zoomScale="75" workbookViewId="0">
      <selection activeCell="J42" sqref="J42:L42"/>
    </sheetView>
  </sheetViews>
  <sheetFormatPr baseColWidth="10" defaultColWidth="11.3984375" defaultRowHeight="13"/>
  <cols>
    <col min="1" max="6" width="16" style="2" customWidth="1"/>
    <col min="7" max="8" width="14.3984375" style="2" customWidth="1"/>
    <col min="9" max="16384" width="11.3984375" style="2"/>
  </cols>
  <sheetData>
    <row r="1" spans="1:8" s="1" customFormat="1" ht="14" customHeight="1">
      <c r="A1" s="271"/>
      <c r="B1" s="271"/>
      <c r="C1" s="271"/>
      <c r="D1" s="271"/>
      <c r="E1" s="271"/>
      <c r="F1" s="271"/>
    </row>
    <row r="2" spans="1:8" s="1" customFormat="1" ht="21" customHeight="1">
      <c r="A2" s="894" t="s">
        <v>52</v>
      </c>
      <c r="B2" s="271"/>
      <c r="C2" s="271"/>
      <c r="D2" s="271"/>
      <c r="E2" s="271"/>
      <c r="F2" s="271"/>
    </row>
    <row r="3" spans="1:8" s="1" customFormat="1" ht="27" customHeight="1">
      <c r="A3" s="894" t="s">
        <v>1595</v>
      </c>
      <c r="B3" s="271"/>
      <c r="C3" s="271"/>
      <c r="D3" s="271"/>
      <c r="E3" s="271"/>
      <c r="F3" s="271"/>
    </row>
    <row r="4" spans="1:8" ht="24" customHeight="1">
      <c r="A4" s="119" t="s">
        <v>1797</v>
      </c>
      <c r="B4" s="895" t="s">
        <v>38</v>
      </c>
      <c r="C4" s="896" t="s">
        <v>39</v>
      </c>
      <c r="D4" s="895" t="s">
        <v>40</v>
      </c>
      <c r="E4" s="896" t="s">
        <v>41</v>
      </c>
      <c r="F4" s="895" t="s">
        <v>51</v>
      </c>
      <c r="G4" s="897" t="s">
        <v>1801</v>
      </c>
      <c r="H4" s="898" t="s">
        <v>42</v>
      </c>
    </row>
    <row r="5" spans="1:8" ht="24.75" customHeight="1">
      <c r="A5" s="325"/>
      <c r="B5" s="899"/>
      <c r="C5" s="900"/>
      <c r="D5" s="899"/>
      <c r="E5" s="900"/>
      <c r="F5" s="899"/>
      <c r="G5" s="901" t="s">
        <v>1802</v>
      </c>
      <c r="H5" s="902" t="s">
        <v>43</v>
      </c>
    </row>
    <row r="6" spans="1:8" ht="24.75" customHeight="1">
      <c r="A6" s="325"/>
      <c r="B6" s="899"/>
      <c r="C6" s="900"/>
      <c r="D6" s="899"/>
      <c r="E6" s="900"/>
      <c r="F6" s="899"/>
      <c r="G6" s="903" t="s">
        <v>1806</v>
      </c>
      <c r="H6" s="904" t="s">
        <v>44</v>
      </c>
    </row>
    <row r="7" spans="1:8" ht="16" customHeight="1">
      <c r="A7" s="326"/>
      <c r="B7" s="129"/>
      <c r="C7" s="128"/>
      <c r="D7" s="129"/>
      <c r="E7" s="128"/>
      <c r="F7" s="154"/>
      <c r="G7" s="905"/>
      <c r="H7" s="906" t="s">
        <v>1597</v>
      </c>
    </row>
    <row r="8" spans="1:8" ht="30" customHeight="1" thickBot="1">
      <c r="A8" s="704" t="s">
        <v>1807</v>
      </c>
      <c r="B8" s="439">
        <v>360.93167499999998</v>
      </c>
      <c r="C8" s="440">
        <v>318.37061299999999</v>
      </c>
      <c r="D8" s="439">
        <v>295.18616300000002</v>
      </c>
      <c r="E8" s="440" t="s">
        <v>2317</v>
      </c>
      <c r="F8" s="907">
        <v>319.97770608190257</v>
      </c>
      <c r="G8" s="375">
        <v>0.11552821184886919</v>
      </c>
      <c r="H8" s="448">
        <v>7.7717963984563321E-2</v>
      </c>
    </row>
    <row r="9" spans="1:8" ht="20" customHeight="1" thickBot="1">
      <c r="A9" s="705" t="s">
        <v>1808</v>
      </c>
      <c r="B9" s="441">
        <v>409.88366400000001</v>
      </c>
      <c r="C9" s="442">
        <v>353.74348300000003</v>
      </c>
      <c r="D9" s="441">
        <v>327.92791</v>
      </c>
      <c r="E9" s="442" t="s">
        <v>2317</v>
      </c>
      <c r="F9" s="908">
        <v>362.90144760571258</v>
      </c>
      <c r="G9" s="364">
        <v>0.14938427347091809</v>
      </c>
      <c r="H9" s="449">
        <v>0.10070551287636631</v>
      </c>
    </row>
    <row r="10" spans="1:8" ht="20" customHeight="1" thickBot="1">
      <c r="A10" s="705" t="s">
        <v>1809</v>
      </c>
      <c r="B10" s="441">
        <v>303.25416999999999</v>
      </c>
      <c r="C10" s="442">
        <v>281.53937200000001</v>
      </c>
      <c r="D10" s="441">
        <v>269.027985</v>
      </c>
      <c r="E10" s="442" t="s">
        <v>2317</v>
      </c>
      <c r="F10" s="908">
        <v>285.12423959540189</v>
      </c>
      <c r="G10" s="364">
        <v>0.12171506998941073</v>
      </c>
      <c r="H10" s="449">
        <v>9.3293650347973767E-2</v>
      </c>
    </row>
    <row r="11" spans="1:8" ht="20" customHeight="1" thickBot="1">
      <c r="A11" s="705" t="s">
        <v>1810</v>
      </c>
      <c r="B11" s="441" t="s">
        <v>2317</v>
      </c>
      <c r="C11" s="442" t="s">
        <v>2317</v>
      </c>
      <c r="D11" s="441" t="s">
        <v>2317</v>
      </c>
      <c r="E11" s="442">
        <v>262.89742899999999</v>
      </c>
      <c r="F11" s="908">
        <v>262.89742894333887</v>
      </c>
      <c r="G11" s="364">
        <v>0.12293338301981538</v>
      </c>
      <c r="H11" s="449">
        <v>9.0128384373642678E-2</v>
      </c>
    </row>
    <row r="12" spans="1:8" ht="20" customHeight="1" thickBot="1">
      <c r="A12" s="705" t="s">
        <v>1811</v>
      </c>
      <c r="B12" s="441" t="s">
        <v>2317</v>
      </c>
      <c r="C12" s="442" t="s">
        <v>2317</v>
      </c>
      <c r="D12" s="441" t="s">
        <v>2317</v>
      </c>
      <c r="E12" s="442">
        <v>277.26378</v>
      </c>
      <c r="F12" s="908">
        <v>277.26377966015934</v>
      </c>
      <c r="G12" s="364">
        <v>0.11492228315296771</v>
      </c>
      <c r="H12" s="449">
        <v>9.0840432305514973E-2</v>
      </c>
    </row>
    <row r="13" spans="1:8" ht="20" customHeight="1" thickBot="1">
      <c r="A13" s="705" t="s">
        <v>1812</v>
      </c>
      <c r="B13" s="441" t="s">
        <v>2317</v>
      </c>
      <c r="C13" s="442" t="s">
        <v>2317</v>
      </c>
      <c r="D13" s="441" t="s">
        <v>2317</v>
      </c>
      <c r="E13" s="442">
        <v>264.03719599999999</v>
      </c>
      <c r="F13" s="908">
        <v>264.03719630416737</v>
      </c>
      <c r="G13" s="364">
        <v>0.13581139530447084</v>
      </c>
      <c r="H13" s="449">
        <v>8.8681803183668029E-2</v>
      </c>
    </row>
    <row r="14" spans="1:8" ht="20" customHeight="1" thickBot="1">
      <c r="A14" s="705" t="s">
        <v>1813</v>
      </c>
      <c r="B14" s="441" t="s">
        <v>2317</v>
      </c>
      <c r="C14" s="442" t="s">
        <v>2317</v>
      </c>
      <c r="D14" s="441" t="s">
        <v>2317</v>
      </c>
      <c r="E14" s="442">
        <v>242.92148499999999</v>
      </c>
      <c r="F14" s="908">
        <v>242.92148507215543</v>
      </c>
      <c r="G14" s="364">
        <v>0.14958153792368956</v>
      </c>
      <c r="H14" s="449">
        <v>8.7082568061419119E-2</v>
      </c>
    </row>
    <row r="15" spans="1:8" ht="20" customHeight="1" thickBot="1">
      <c r="A15" s="705" t="s">
        <v>1814</v>
      </c>
      <c r="B15" s="441" t="s">
        <v>2317</v>
      </c>
      <c r="C15" s="442" t="s">
        <v>2317</v>
      </c>
      <c r="D15" s="441" t="s">
        <v>2317</v>
      </c>
      <c r="E15" s="442">
        <v>273.71360800000002</v>
      </c>
      <c r="F15" s="908">
        <v>273.7136077052964</v>
      </c>
      <c r="G15" s="364">
        <v>0.11879360775386827</v>
      </c>
      <c r="H15" s="449">
        <v>9.1051617355043968E-2</v>
      </c>
    </row>
    <row r="16" spans="1:8" ht="20" customHeight="1" thickBot="1">
      <c r="A16" s="705" t="s">
        <v>1815</v>
      </c>
      <c r="B16" s="441" t="s">
        <v>2317</v>
      </c>
      <c r="C16" s="442" t="s">
        <v>2317</v>
      </c>
      <c r="D16" s="441" t="s">
        <v>2317</v>
      </c>
      <c r="E16" s="442">
        <v>275.22594800000002</v>
      </c>
      <c r="F16" s="908">
        <v>275.22594749670105</v>
      </c>
      <c r="G16" s="364">
        <v>0.12924891287059137</v>
      </c>
      <c r="H16" s="449">
        <v>9.1901133111432332E-2</v>
      </c>
    </row>
    <row r="17" spans="1:8" ht="20" customHeight="1" thickBot="1">
      <c r="A17" s="705" t="s">
        <v>1816</v>
      </c>
      <c r="B17" s="441">
        <v>324.99279000000001</v>
      </c>
      <c r="C17" s="442">
        <v>291.20610599999998</v>
      </c>
      <c r="D17" s="441" t="s">
        <v>2317</v>
      </c>
      <c r="E17" s="442" t="s">
        <v>2317</v>
      </c>
      <c r="F17" s="908">
        <v>303.00185712462155</v>
      </c>
      <c r="G17" s="364">
        <v>0.10781968221063543</v>
      </c>
      <c r="H17" s="449">
        <v>6.9342833858700104E-2</v>
      </c>
    </row>
    <row r="18" spans="1:8" ht="20" customHeight="1" thickBot="1">
      <c r="A18" s="705" t="s">
        <v>1817</v>
      </c>
      <c r="B18" s="441" t="s">
        <v>2317</v>
      </c>
      <c r="C18" s="442" t="s">
        <v>2317</v>
      </c>
      <c r="D18" s="441" t="s">
        <v>2317</v>
      </c>
      <c r="E18" s="442">
        <v>311.10850699999997</v>
      </c>
      <c r="F18" s="908">
        <v>311.10850723007314</v>
      </c>
      <c r="G18" s="364">
        <v>0.13059319251874602</v>
      </c>
      <c r="H18" s="449">
        <v>8.5188444261448337E-2</v>
      </c>
    </row>
    <row r="19" spans="1:8" ht="20" customHeight="1" thickBot="1">
      <c r="A19" s="705" t="s">
        <v>1818</v>
      </c>
      <c r="B19" s="441" t="s">
        <v>2317</v>
      </c>
      <c r="C19" s="442" t="s">
        <v>2317</v>
      </c>
      <c r="D19" s="441" t="s">
        <v>2317</v>
      </c>
      <c r="E19" s="442">
        <v>430.58742100000001</v>
      </c>
      <c r="F19" s="908">
        <v>430.58742036012723</v>
      </c>
      <c r="G19" s="364">
        <v>0.11400853354554563</v>
      </c>
      <c r="H19" s="449">
        <v>8.0966058227550208E-2</v>
      </c>
    </row>
    <row r="20" spans="1:8" ht="20" customHeight="1" thickBot="1">
      <c r="A20" s="705" t="s">
        <v>1819</v>
      </c>
      <c r="B20" s="441">
        <v>356.38056499999999</v>
      </c>
      <c r="C20" s="442">
        <v>329.24273499999998</v>
      </c>
      <c r="D20" s="441" t="s">
        <v>2317</v>
      </c>
      <c r="E20" s="442" t="s">
        <v>2317</v>
      </c>
      <c r="F20" s="908">
        <v>348.14077211497442</v>
      </c>
      <c r="G20" s="364">
        <v>0.13483783039911179</v>
      </c>
      <c r="H20" s="449">
        <v>8.7373075513133669E-2</v>
      </c>
    </row>
    <row r="21" spans="1:8" ht="20" customHeight="1" thickBot="1">
      <c r="A21" s="705" t="s">
        <v>1820</v>
      </c>
      <c r="B21" s="441">
        <v>328.26597099999998</v>
      </c>
      <c r="C21" s="442">
        <v>302.03080299999999</v>
      </c>
      <c r="D21" s="441" t="s">
        <v>2317</v>
      </c>
      <c r="E21" s="442" t="s">
        <v>2317</v>
      </c>
      <c r="F21" s="908">
        <v>317.85263240792835</v>
      </c>
      <c r="G21" s="364">
        <v>0.12132415274860886</v>
      </c>
      <c r="H21" s="449">
        <v>8.7946708627695047E-2</v>
      </c>
    </row>
    <row r="22" spans="1:8" ht="20" customHeight="1" thickBot="1">
      <c r="A22" s="705" t="s">
        <v>1821</v>
      </c>
      <c r="B22" s="441" t="s">
        <v>2317</v>
      </c>
      <c r="C22" s="442" t="s">
        <v>2317</v>
      </c>
      <c r="D22" s="441" t="s">
        <v>2317</v>
      </c>
      <c r="E22" s="442">
        <v>262.10638799999998</v>
      </c>
      <c r="F22" s="908">
        <v>262.10638789866505</v>
      </c>
      <c r="G22" s="364">
        <v>0.11236601901905363</v>
      </c>
      <c r="H22" s="449">
        <v>9.4765924895586773E-2</v>
      </c>
    </row>
    <row r="23" spans="1:8" ht="20" customHeight="1" thickBot="1">
      <c r="A23" s="705" t="s">
        <v>1822</v>
      </c>
      <c r="B23" s="441" t="s">
        <v>2317</v>
      </c>
      <c r="C23" s="442" t="s">
        <v>2317</v>
      </c>
      <c r="D23" s="441" t="s">
        <v>2317</v>
      </c>
      <c r="E23" s="442">
        <v>243.64824100000001</v>
      </c>
      <c r="F23" s="908">
        <v>243.64824114020226</v>
      </c>
      <c r="G23" s="364">
        <v>0.12371149985774021</v>
      </c>
      <c r="H23" s="449">
        <v>9.480586249905576E-2</v>
      </c>
    </row>
    <row r="24" spans="1:8" ht="20" customHeight="1" thickBot="1">
      <c r="A24" s="705" t="s">
        <v>1823</v>
      </c>
      <c r="B24" s="441">
        <v>313.37676900000002</v>
      </c>
      <c r="C24" s="442">
        <v>284.86321800000002</v>
      </c>
      <c r="D24" s="441">
        <v>274.12766900000003</v>
      </c>
      <c r="E24" s="442" t="s">
        <v>2317</v>
      </c>
      <c r="F24" s="908">
        <v>290.21424423723823</v>
      </c>
      <c r="G24" s="364">
        <v>0.11653459449894044</v>
      </c>
      <c r="H24" s="449">
        <v>9.4250638054789837E-2</v>
      </c>
    </row>
    <row r="25" spans="1:8" ht="20" customHeight="1" thickBot="1">
      <c r="A25" s="705" t="s">
        <v>1824</v>
      </c>
      <c r="B25" s="441">
        <v>294.47924799999998</v>
      </c>
      <c r="C25" s="442">
        <v>275.73564299999998</v>
      </c>
      <c r="D25" s="441">
        <v>255.347286</v>
      </c>
      <c r="E25" s="442" t="s">
        <v>2317</v>
      </c>
      <c r="F25" s="908">
        <v>275.4526472599199</v>
      </c>
      <c r="G25" s="364">
        <v>0.10940040604708323</v>
      </c>
      <c r="H25" s="449">
        <v>9.5899615603087796E-2</v>
      </c>
    </row>
    <row r="26" spans="1:8" ht="20" customHeight="1" thickBot="1">
      <c r="A26" s="705" t="s">
        <v>1825</v>
      </c>
      <c r="B26" s="441" t="s">
        <v>2317</v>
      </c>
      <c r="C26" s="442" t="s">
        <v>2317</v>
      </c>
      <c r="D26" s="441" t="s">
        <v>2317</v>
      </c>
      <c r="E26" s="442">
        <v>305.67528700000003</v>
      </c>
      <c r="F26" s="908">
        <v>305.67528734955221</v>
      </c>
      <c r="G26" s="364">
        <v>0.11562603346901379</v>
      </c>
      <c r="H26" s="449">
        <v>9.0644119451039007E-2</v>
      </c>
    </row>
    <row r="27" spans="1:8" ht="20" customHeight="1" thickBot="1">
      <c r="A27" s="705" t="s">
        <v>1826</v>
      </c>
      <c r="B27" s="441" t="s">
        <v>2317</v>
      </c>
      <c r="C27" s="442" t="s">
        <v>2317</v>
      </c>
      <c r="D27" s="441" t="s">
        <v>2317</v>
      </c>
      <c r="E27" s="442">
        <v>297.54504400000002</v>
      </c>
      <c r="F27" s="908">
        <v>297.54504397453337</v>
      </c>
      <c r="G27" s="364">
        <v>9.4609420028560542E-2</v>
      </c>
      <c r="H27" s="449">
        <v>8.3494394341881106E-2</v>
      </c>
    </row>
    <row r="28" spans="1:8" ht="20" customHeight="1" thickBot="1">
      <c r="A28" s="705" t="s">
        <v>1827</v>
      </c>
      <c r="B28" s="441">
        <v>370.20831600000002</v>
      </c>
      <c r="C28" s="442">
        <v>343.42281400000002</v>
      </c>
      <c r="D28" s="441" t="s">
        <v>2317</v>
      </c>
      <c r="E28" s="442" t="s">
        <v>2317</v>
      </c>
      <c r="F28" s="908">
        <v>366.10751525538853</v>
      </c>
      <c r="G28" s="364">
        <v>0.10566793413884357</v>
      </c>
      <c r="H28" s="449">
        <v>7.8438532328979349E-2</v>
      </c>
    </row>
    <row r="29" spans="1:8" ht="20" customHeight="1" thickBot="1">
      <c r="A29" s="705" t="s">
        <v>1828</v>
      </c>
      <c r="B29" s="441">
        <v>399.061892</v>
      </c>
      <c r="C29" s="442">
        <v>369.83147700000001</v>
      </c>
      <c r="D29" s="441" t="s">
        <v>2317</v>
      </c>
      <c r="E29" s="442" t="s">
        <v>2317</v>
      </c>
      <c r="F29" s="908">
        <v>389.25408420377755</v>
      </c>
      <c r="G29" s="364">
        <v>0.11165397082896233</v>
      </c>
      <c r="H29" s="449">
        <v>6.6822695412014799E-2</v>
      </c>
    </row>
    <row r="30" spans="1:8" ht="20" customHeight="1" thickBot="1">
      <c r="A30" s="705" t="s">
        <v>1829</v>
      </c>
      <c r="B30" s="441">
        <v>297.73213099999998</v>
      </c>
      <c r="C30" s="442">
        <v>258.03198600000002</v>
      </c>
      <c r="D30" s="441" t="s">
        <v>2317</v>
      </c>
      <c r="E30" s="442" t="s">
        <v>2317</v>
      </c>
      <c r="F30" s="908">
        <v>285.3207021106922</v>
      </c>
      <c r="G30" s="364">
        <v>0.12714499159175685</v>
      </c>
      <c r="H30" s="449">
        <v>8.464227510558775E-2</v>
      </c>
    </row>
    <row r="31" spans="1:8" ht="20" customHeight="1" thickBot="1">
      <c r="A31" s="705" t="s">
        <v>1830</v>
      </c>
      <c r="B31" s="441" t="s">
        <v>2317</v>
      </c>
      <c r="C31" s="442" t="s">
        <v>2317</v>
      </c>
      <c r="D31" s="441" t="s">
        <v>2317</v>
      </c>
      <c r="E31" s="442">
        <v>365.07053100000002</v>
      </c>
      <c r="F31" s="908">
        <v>365.07053124536088</v>
      </c>
      <c r="G31" s="364">
        <v>8.8637303313526816E-2</v>
      </c>
      <c r="H31" s="449">
        <v>6.9754318840503426E-2</v>
      </c>
    </row>
    <row r="32" spans="1:8" ht="20" customHeight="1" thickBot="1">
      <c r="A32" s="705" t="s">
        <v>1831</v>
      </c>
      <c r="B32" s="441" t="s">
        <v>2317</v>
      </c>
      <c r="C32" s="442" t="s">
        <v>2317</v>
      </c>
      <c r="D32" s="441" t="s">
        <v>2317</v>
      </c>
      <c r="E32" s="442">
        <v>404.45855299999999</v>
      </c>
      <c r="F32" s="908">
        <v>404.45855404530784</v>
      </c>
      <c r="G32" s="364">
        <v>8.1346660616968602E-2</v>
      </c>
      <c r="H32" s="449">
        <v>5.2022486778637411E-2</v>
      </c>
    </row>
    <row r="33" spans="1:12" ht="20" customHeight="1" thickBot="1">
      <c r="A33" s="705" t="s">
        <v>1832</v>
      </c>
      <c r="B33" s="441" t="s">
        <v>2317</v>
      </c>
      <c r="C33" s="442" t="s">
        <v>2317</v>
      </c>
      <c r="D33" s="441" t="s">
        <v>2317</v>
      </c>
      <c r="E33" s="442">
        <v>349.54249800000002</v>
      </c>
      <c r="F33" s="908">
        <v>349.54249795737672</v>
      </c>
      <c r="G33" s="364">
        <v>0.10106047283759412</v>
      </c>
      <c r="H33" s="449">
        <v>6.7579355987552381E-2</v>
      </c>
    </row>
    <row r="34" spans="1:12" s="162" customFormat="1" ht="30" customHeight="1" thickBot="1">
      <c r="A34" s="137" t="s">
        <v>1222</v>
      </c>
      <c r="B34" s="443" t="s">
        <v>744</v>
      </c>
      <c r="C34" s="444" t="s">
        <v>744</v>
      </c>
      <c r="D34" s="443" t="s">
        <v>744</v>
      </c>
      <c r="E34" s="444" t="s">
        <v>744</v>
      </c>
      <c r="F34" s="443">
        <v>328.49835406580917</v>
      </c>
      <c r="G34" s="909">
        <v>0.11790466420042645</v>
      </c>
      <c r="H34" s="451">
        <v>8.1709980557977735E-2</v>
      </c>
    </row>
    <row r="35" spans="1:12" ht="20" customHeight="1">
      <c r="A35" s="140" t="s">
        <v>1594</v>
      </c>
      <c r="B35" s="910"/>
      <c r="C35" s="910"/>
      <c r="D35" s="910"/>
      <c r="E35" s="910"/>
      <c r="F35" s="910"/>
    </row>
    <row r="36" spans="1:12" ht="12.75" customHeight="1">
      <c r="A36" s="141"/>
      <c r="B36" s="911"/>
      <c r="C36" s="911"/>
      <c r="D36" s="911"/>
      <c r="E36" s="911"/>
      <c r="F36" s="911"/>
    </row>
    <row r="37" spans="1:12" ht="15.75" customHeight="1">
      <c r="A37" s="141" t="s">
        <v>45</v>
      </c>
      <c r="B37" s="911"/>
      <c r="C37" s="911"/>
      <c r="D37" s="911"/>
      <c r="E37" s="911"/>
      <c r="F37" s="911"/>
    </row>
    <row r="38" spans="1:12" ht="13.5" customHeight="1">
      <c r="A38" s="141"/>
      <c r="B38" s="911"/>
      <c r="C38" s="911"/>
      <c r="D38" s="911"/>
      <c r="E38" s="911"/>
      <c r="F38" s="911"/>
    </row>
    <row r="39" spans="1:12" ht="12.75" customHeight="1">
      <c r="A39" s="141" t="s">
        <v>46</v>
      </c>
      <c r="B39" s="911"/>
      <c r="C39" s="911"/>
      <c r="D39" s="911"/>
      <c r="E39" s="911"/>
      <c r="F39" s="911"/>
    </row>
    <row r="40" spans="1:12">
      <c r="A40" s="2" t="s">
        <v>47</v>
      </c>
      <c r="B40" s="201"/>
      <c r="C40" s="201"/>
      <c r="D40" s="201"/>
      <c r="E40" s="201"/>
      <c r="F40" s="201"/>
    </row>
    <row r="41" spans="1:12">
      <c r="A41" s="2" t="s">
        <v>48</v>
      </c>
      <c r="B41" s="201"/>
      <c r="C41" s="201"/>
      <c r="D41" s="201"/>
      <c r="E41" s="201"/>
      <c r="F41" s="201"/>
    </row>
    <row r="42" spans="1:12">
      <c r="A42" s="2" t="s">
        <v>49</v>
      </c>
      <c r="B42" s="201"/>
      <c r="C42" s="201"/>
      <c r="D42" s="201"/>
      <c r="E42" s="201"/>
      <c r="F42" s="201"/>
      <c r="J42" s="3"/>
      <c r="K42" s="3"/>
      <c r="L42" s="3"/>
    </row>
    <row r="43" spans="1:12">
      <c r="B43" s="201"/>
      <c r="C43" s="201"/>
      <c r="D43" s="201"/>
      <c r="E43" s="201"/>
      <c r="F43" s="201"/>
    </row>
    <row r="44" spans="1:12">
      <c r="B44" s="201"/>
      <c r="C44" s="201"/>
      <c r="D44" s="201"/>
      <c r="E44" s="201"/>
      <c r="F44" s="201"/>
    </row>
    <row r="45" spans="1:12">
      <c r="A45" s="2" t="s">
        <v>710</v>
      </c>
    </row>
  </sheetData>
  <phoneticPr fontId="0" type="noConversion"/>
  <pageMargins left="0.56000000000000005" right="0.54" top="0.9" bottom="0.47244094488188981" header="0.63" footer="0.51181102362204722"/>
  <pageSetup paperSize="9" scale="74" orientation="portrait"/>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07B5-9DEE-1B41-8BE5-48857C4B5704}">
  <sheetPr>
    <pageSetUpPr fitToPage="1"/>
  </sheetPr>
  <dimension ref="A1:L45"/>
  <sheetViews>
    <sheetView topLeftCell="C26" zoomScale="75" workbookViewId="0">
      <selection activeCell="J42" sqref="J42:L42"/>
    </sheetView>
  </sheetViews>
  <sheetFormatPr baseColWidth="10" defaultColWidth="11.3984375" defaultRowHeight="13"/>
  <cols>
    <col min="1" max="6" width="16" style="2" customWidth="1"/>
    <col min="7" max="8" width="14.3984375" style="2" customWidth="1"/>
    <col min="9" max="16384" width="11.3984375" style="2"/>
  </cols>
  <sheetData>
    <row r="1" spans="1:8" s="1" customFormat="1" ht="14" customHeight="1">
      <c r="A1" s="271"/>
      <c r="B1" s="271"/>
      <c r="C1" s="271"/>
      <c r="D1" s="271"/>
      <c r="E1" s="271"/>
      <c r="F1" s="271"/>
    </row>
    <row r="2" spans="1:8" s="1" customFormat="1" ht="18.75" customHeight="1">
      <c r="A2" s="894" t="s">
        <v>50</v>
      </c>
      <c r="B2" s="271"/>
      <c r="C2" s="271"/>
      <c r="D2" s="271"/>
      <c r="E2" s="271"/>
      <c r="F2" s="271"/>
    </row>
    <row r="3" spans="1:8" s="1" customFormat="1" ht="24" customHeight="1">
      <c r="A3" s="894" t="s">
        <v>1593</v>
      </c>
      <c r="B3" s="271"/>
      <c r="C3" s="271"/>
      <c r="D3" s="271"/>
      <c r="E3" s="271"/>
      <c r="F3" s="271"/>
    </row>
    <row r="4" spans="1:8" ht="24" customHeight="1">
      <c r="A4" s="119" t="s">
        <v>1797</v>
      </c>
      <c r="B4" s="895" t="s">
        <v>38</v>
      </c>
      <c r="C4" s="896" t="s">
        <v>39</v>
      </c>
      <c r="D4" s="895" t="s">
        <v>40</v>
      </c>
      <c r="E4" s="896" t="s">
        <v>41</v>
      </c>
      <c r="F4" s="895" t="s">
        <v>51</v>
      </c>
      <c r="G4" s="897" t="s">
        <v>1801</v>
      </c>
      <c r="H4" s="898" t="s">
        <v>42</v>
      </c>
    </row>
    <row r="5" spans="1:8" ht="24.75" customHeight="1">
      <c r="A5" s="325"/>
      <c r="B5" s="899"/>
      <c r="C5" s="900"/>
      <c r="D5" s="899"/>
      <c r="E5" s="900"/>
      <c r="F5" s="899"/>
      <c r="G5" s="901" t="s">
        <v>1802</v>
      </c>
      <c r="H5" s="902" t="s">
        <v>43</v>
      </c>
    </row>
    <row r="6" spans="1:8" ht="24.75" customHeight="1">
      <c r="A6" s="325"/>
      <c r="B6" s="899"/>
      <c r="C6" s="900"/>
      <c r="D6" s="899"/>
      <c r="E6" s="900"/>
      <c r="F6" s="899"/>
      <c r="G6" s="903" t="s">
        <v>1806</v>
      </c>
      <c r="H6" s="904" t="s">
        <v>44</v>
      </c>
    </row>
    <row r="7" spans="1:8" ht="16" customHeight="1">
      <c r="A7" s="326"/>
      <c r="B7" s="129"/>
      <c r="C7" s="128"/>
      <c r="D7" s="129"/>
      <c r="E7" s="128"/>
      <c r="F7" s="154"/>
      <c r="G7" s="905"/>
      <c r="H7" s="906" t="s">
        <v>1597</v>
      </c>
    </row>
    <row r="8" spans="1:8" ht="30" customHeight="1" thickBot="1">
      <c r="A8" s="704" t="s">
        <v>1807</v>
      </c>
      <c r="B8" s="439">
        <v>97.974128199999996</v>
      </c>
      <c r="C8" s="440">
        <v>87.573787800000005</v>
      </c>
      <c r="D8" s="439">
        <v>81.448240400000003</v>
      </c>
      <c r="E8" s="440" t="s">
        <v>2317</v>
      </c>
      <c r="F8" s="907">
        <v>87.719017363804227</v>
      </c>
      <c r="G8" s="375">
        <v>7.371654013868234E-2</v>
      </c>
      <c r="H8" s="448">
        <v>4.2471108454229523E-2</v>
      </c>
    </row>
    <row r="9" spans="1:8" ht="20" customHeight="1" thickBot="1">
      <c r="A9" s="705" t="s">
        <v>1808</v>
      </c>
      <c r="B9" s="441">
        <v>111.464506</v>
      </c>
      <c r="C9" s="442">
        <v>95.686015800000007</v>
      </c>
      <c r="D9" s="441">
        <v>88.405056299999998</v>
      </c>
      <c r="E9" s="442" t="s">
        <v>2317</v>
      </c>
      <c r="F9" s="908">
        <v>98.116903596626088</v>
      </c>
      <c r="G9" s="364">
        <v>8.4420046982260688E-2</v>
      </c>
      <c r="H9" s="449">
        <v>5.755101842125776E-2</v>
      </c>
    </row>
    <row r="10" spans="1:8" ht="20" customHeight="1" thickBot="1">
      <c r="A10" s="705" t="s">
        <v>1809</v>
      </c>
      <c r="B10" s="441">
        <v>83.558826999999994</v>
      </c>
      <c r="C10" s="442">
        <v>76.702875300000002</v>
      </c>
      <c r="D10" s="441">
        <v>72.964723699999993</v>
      </c>
      <c r="E10" s="442" t="s">
        <v>2317</v>
      </c>
      <c r="F10" s="908">
        <v>77.595010650690597</v>
      </c>
      <c r="G10" s="364">
        <v>6.6044105924088825E-2</v>
      </c>
      <c r="H10" s="449">
        <v>5.7652516556607081E-2</v>
      </c>
    </row>
    <row r="11" spans="1:8" ht="20" customHeight="1" thickBot="1">
      <c r="A11" s="705" t="s">
        <v>1810</v>
      </c>
      <c r="B11" s="441" t="s">
        <v>2317</v>
      </c>
      <c r="C11" s="442" t="s">
        <v>2317</v>
      </c>
      <c r="D11" s="441" t="s">
        <v>2317</v>
      </c>
      <c r="E11" s="442">
        <v>72.898190099999994</v>
      </c>
      <c r="F11" s="908">
        <v>72.898190074512442</v>
      </c>
      <c r="G11" s="364">
        <v>7.0839469657224097E-2</v>
      </c>
      <c r="H11" s="449">
        <v>5.7369639140570028E-2</v>
      </c>
    </row>
    <row r="12" spans="1:8" ht="20" customHeight="1" thickBot="1">
      <c r="A12" s="705" t="s">
        <v>1811</v>
      </c>
      <c r="B12" s="441" t="s">
        <v>2317</v>
      </c>
      <c r="C12" s="442" t="s">
        <v>2317</v>
      </c>
      <c r="D12" s="441" t="s">
        <v>2317</v>
      </c>
      <c r="E12" s="442">
        <v>75.897067899999996</v>
      </c>
      <c r="F12" s="908">
        <v>75.897068013634737</v>
      </c>
      <c r="G12" s="364">
        <v>6.0955992269870363E-2</v>
      </c>
      <c r="H12" s="449">
        <v>5.6176486524279756E-2</v>
      </c>
    </row>
    <row r="13" spans="1:8" ht="20" customHeight="1" thickBot="1">
      <c r="A13" s="705" t="s">
        <v>1812</v>
      </c>
      <c r="B13" s="441" t="s">
        <v>2317</v>
      </c>
      <c r="C13" s="442" t="s">
        <v>2317</v>
      </c>
      <c r="D13" s="441" t="s">
        <v>2317</v>
      </c>
      <c r="E13" s="442">
        <v>73.230993100000006</v>
      </c>
      <c r="F13" s="908">
        <v>73.230993027478476</v>
      </c>
      <c r="G13" s="364">
        <v>8.9031684997637139E-2</v>
      </c>
      <c r="H13" s="449">
        <v>5.5670856744077124E-2</v>
      </c>
    </row>
    <row r="14" spans="1:8" ht="20" customHeight="1" thickBot="1">
      <c r="A14" s="705" t="s">
        <v>1813</v>
      </c>
      <c r="B14" s="441" t="s">
        <v>2317</v>
      </c>
      <c r="C14" s="442" t="s">
        <v>2317</v>
      </c>
      <c r="D14" s="441" t="s">
        <v>2317</v>
      </c>
      <c r="E14" s="442">
        <v>66.726512700000001</v>
      </c>
      <c r="F14" s="908">
        <v>66.72651272429249</v>
      </c>
      <c r="G14" s="364">
        <v>9.2116089456941719E-2</v>
      </c>
      <c r="H14" s="449">
        <v>5.130142959285422E-2</v>
      </c>
    </row>
    <row r="15" spans="1:8" ht="20" customHeight="1" thickBot="1">
      <c r="A15" s="705" t="s">
        <v>1814</v>
      </c>
      <c r="B15" s="441" t="s">
        <v>2317</v>
      </c>
      <c r="C15" s="442" t="s">
        <v>2317</v>
      </c>
      <c r="D15" s="441" t="s">
        <v>2317</v>
      </c>
      <c r="E15" s="442">
        <v>73.967533599999996</v>
      </c>
      <c r="F15" s="908">
        <v>73.967533689127421</v>
      </c>
      <c r="G15" s="364">
        <v>6.4548947960705538E-2</v>
      </c>
      <c r="H15" s="449">
        <v>5.3101191013341431E-2</v>
      </c>
    </row>
    <row r="16" spans="1:8" ht="20" customHeight="1" thickBot="1">
      <c r="A16" s="705" t="s">
        <v>1815</v>
      </c>
      <c r="B16" s="441" t="s">
        <v>2317</v>
      </c>
      <c r="C16" s="442" t="s">
        <v>2317</v>
      </c>
      <c r="D16" s="441" t="s">
        <v>2317</v>
      </c>
      <c r="E16" s="442">
        <v>75.4329228</v>
      </c>
      <c r="F16" s="908">
        <v>75.432922840048278</v>
      </c>
      <c r="G16" s="364">
        <v>6.5525012014834738E-2</v>
      </c>
      <c r="H16" s="449">
        <v>5.6494525823683528E-2</v>
      </c>
    </row>
    <row r="17" spans="1:8" ht="20" customHeight="1" thickBot="1">
      <c r="A17" s="705" t="s">
        <v>1816</v>
      </c>
      <c r="B17" s="441">
        <v>88.755184200000002</v>
      </c>
      <c r="C17" s="442">
        <v>80.041794999999993</v>
      </c>
      <c r="D17" s="441" t="s">
        <v>2317</v>
      </c>
      <c r="E17" s="442" t="s">
        <v>2317</v>
      </c>
      <c r="F17" s="908">
        <v>83.004025962562451</v>
      </c>
      <c r="G17" s="364">
        <v>6.50937956663864E-2</v>
      </c>
      <c r="H17" s="449">
        <v>3.8444825507049085E-2</v>
      </c>
    </row>
    <row r="18" spans="1:8" ht="20" customHeight="1" thickBot="1">
      <c r="A18" s="705" t="s">
        <v>1817</v>
      </c>
      <c r="B18" s="441" t="s">
        <v>2317</v>
      </c>
      <c r="C18" s="442" t="s">
        <v>2317</v>
      </c>
      <c r="D18" s="441" t="s">
        <v>2317</v>
      </c>
      <c r="E18" s="442">
        <v>88.242066899999998</v>
      </c>
      <c r="F18" s="908">
        <v>88.242066918912343</v>
      </c>
      <c r="G18" s="364">
        <v>0.10375652190850948</v>
      </c>
      <c r="H18" s="449">
        <v>5.384214948381949E-2</v>
      </c>
    </row>
    <row r="19" spans="1:8" ht="20" customHeight="1" thickBot="1">
      <c r="A19" s="705" t="s">
        <v>1818</v>
      </c>
      <c r="B19" s="441" t="s">
        <v>2317</v>
      </c>
      <c r="C19" s="442" t="s">
        <v>2317</v>
      </c>
      <c r="D19" s="441" t="s">
        <v>2317</v>
      </c>
      <c r="E19" s="442">
        <v>118.923</v>
      </c>
      <c r="F19" s="908">
        <v>118.9229995858547</v>
      </c>
      <c r="G19" s="364">
        <v>7.3073731764387695E-2</v>
      </c>
      <c r="H19" s="449">
        <v>4.6177860077798449E-2</v>
      </c>
    </row>
    <row r="20" spans="1:8" ht="20" customHeight="1" thickBot="1">
      <c r="A20" s="705" t="s">
        <v>1819</v>
      </c>
      <c r="B20" s="441">
        <v>100.458849</v>
      </c>
      <c r="C20" s="442">
        <v>92.132983100000004</v>
      </c>
      <c r="D20" s="441" t="s">
        <v>2317</v>
      </c>
      <c r="E20" s="442" t="s">
        <v>2317</v>
      </c>
      <c r="F20" s="908">
        <v>97.886002618915413</v>
      </c>
      <c r="G20" s="364">
        <v>8.4017833681680143E-2</v>
      </c>
      <c r="H20" s="449">
        <v>5.3911644483646715E-2</v>
      </c>
    </row>
    <row r="21" spans="1:8" ht="20" customHeight="1" thickBot="1">
      <c r="A21" s="705" t="s">
        <v>1820</v>
      </c>
      <c r="B21" s="441">
        <v>87.412376499999993</v>
      </c>
      <c r="C21" s="442">
        <v>81.692109799999997</v>
      </c>
      <c r="D21" s="441" t="s">
        <v>2317</v>
      </c>
      <c r="E21" s="442" t="s">
        <v>2317</v>
      </c>
      <c r="F21" s="908">
        <v>84.833168348486254</v>
      </c>
      <c r="G21" s="364">
        <v>5.5905818421428943E-2</v>
      </c>
      <c r="H21" s="449">
        <v>5.1647604693587645E-2</v>
      </c>
    </row>
    <row r="22" spans="1:8" ht="20" customHeight="1" thickBot="1">
      <c r="A22" s="705" t="s">
        <v>1821</v>
      </c>
      <c r="B22" s="441" t="s">
        <v>2317</v>
      </c>
      <c r="C22" s="442" t="s">
        <v>2317</v>
      </c>
      <c r="D22" s="441" t="s">
        <v>2317</v>
      </c>
      <c r="E22" s="442">
        <v>71.060101599999996</v>
      </c>
      <c r="F22" s="908">
        <v>71.060101589079437</v>
      </c>
      <c r="G22" s="364">
        <v>6.2289659970868216E-2</v>
      </c>
      <c r="H22" s="449">
        <v>5.7000718121089422E-2</v>
      </c>
    </row>
    <row r="23" spans="1:8" ht="20" customHeight="1" thickBot="1">
      <c r="A23" s="705" t="s">
        <v>1822</v>
      </c>
      <c r="B23" s="441" t="s">
        <v>2317</v>
      </c>
      <c r="C23" s="442" t="s">
        <v>2317</v>
      </c>
      <c r="D23" s="441" t="s">
        <v>2317</v>
      </c>
      <c r="E23" s="442">
        <v>67.008698199999998</v>
      </c>
      <c r="F23" s="908">
        <v>67.008698295643981</v>
      </c>
      <c r="G23" s="364">
        <v>7.2024382517685615E-2</v>
      </c>
      <c r="H23" s="449">
        <v>6.0020702709474127E-2</v>
      </c>
    </row>
    <row r="24" spans="1:8" ht="20" customHeight="1" thickBot="1">
      <c r="A24" s="705" t="s">
        <v>1823</v>
      </c>
      <c r="B24" s="441">
        <v>87.3160977</v>
      </c>
      <c r="C24" s="442">
        <v>79.429549399999999</v>
      </c>
      <c r="D24" s="441">
        <v>76.194536600000006</v>
      </c>
      <c r="E24" s="442" t="s">
        <v>2317</v>
      </c>
      <c r="F24" s="908">
        <v>80.611383916480975</v>
      </c>
      <c r="G24" s="364">
        <v>7.4608689075946977E-2</v>
      </c>
      <c r="H24" s="449">
        <v>6.0337279712700864E-2</v>
      </c>
    </row>
    <row r="25" spans="1:8" ht="20" customHeight="1" thickBot="1">
      <c r="A25" s="705" t="s">
        <v>1824</v>
      </c>
      <c r="B25" s="441">
        <v>81.748397299999993</v>
      </c>
      <c r="C25" s="442">
        <v>76.555849899999998</v>
      </c>
      <c r="D25" s="441">
        <v>70.552311500000002</v>
      </c>
      <c r="E25" s="442" t="s">
        <v>2317</v>
      </c>
      <c r="F25" s="908">
        <v>76.324415147432703</v>
      </c>
      <c r="G25" s="364">
        <v>4.8655819618323548E-2</v>
      </c>
      <c r="H25" s="449">
        <v>5.9625554632016797E-2</v>
      </c>
    </row>
    <row r="26" spans="1:8" ht="20" customHeight="1" thickBot="1">
      <c r="A26" s="705" t="s">
        <v>1825</v>
      </c>
      <c r="B26" s="441" t="s">
        <v>2317</v>
      </c>
      <c r="C26" s="442" t="s">
        <v>2317</v>
      </c>
      <c r="D26" s="441" t="s">
        <v>2317</v>
      </c>
      <c r="E26" s="442">
        <v>83.168843300000006</v>
      </c>
      <c r="F26" s="908">
        <v>83.168843281570517</v>
      </c>
      <c r="G26" s="364">
        <v>7.1699459162310353E-2</v>
      </c>
      <c r="H26" s="449">
        <v>5.3986088558055645E-2</v>
      </c>
    </row>
    <row r="27" spans="1:8" ht="20" customHeight="1" thickBot="1">
      <c r="A27" s="705" t="s">
        <v>1826</v>
      </c>
      <c r="B27" s="441" t="s">
        <v>2317</v>
      </c>
      <c r="C27" s="442" t="s">
        <v>2317</v>
      </c>
      <c r="D27" s="441" t="s">
        <v>2317</v>
      </c>
      <c r="E27" s="442">
        <v>82.400485099999997</v>
      </c>
      <c r="F27" s="908">
        <v>82.40048516412196</v>
      </c>
      <c r="G27" s="364">
        <v>4.4784949038858324E-2</v>
      </c>
      <c r="H27" s="449">
        <v>4.8469618542349213E-2</v>
      </c>
    </row>
    <row r="28" spans="1:8" ht="20" customHeight="1" thickBot="1">
      <c r="A28" s="705" t="s">
        <v>1827</v>
      </c>
      <c r="B28" s="441">
        <v>98.630148700000007</v>
      </c>
      <c r="C28" s="442">
        <v>92.548022700000004</v>
      </c>
      <c r="D28" s="441" t="s">
        <v>2317</v>
      </c>
      <c r="E28" s="442" t="s">
        <v>2317</v>
      </c>
      <c r="F28" s="908">
        <v>97.673549424286506</v>
      </c>
      <c r="G28" s="364">
        <v>5.3044542891167668E-2</v>
      </c>
      <c r="H28" s="449">
        <v>3.4944138247761991E-2</v>
      </c>
    </row>
    <row r="29" spans="1:8" ht="20" customHeight="1" thickBot="1">
      <c r="A29" s="705" t="s">
        <v>1828</v>
      </c>
      <c r="B29" s="441">
        <v>103.86421300000001</v>
      </c>
      <c r="C29" s="442">
        <v>96.147990199999995</v>
      </c>
      <c r="D29" s="441" t="s">
        <v>2317</v>
      </c>
      <c r="E29" s="442" t="s">
        <v>2317</v>
      </c>
      <c r="F29" s="908">
        <v>101.30081586135503</v>
      </c>
      <c r="G29" s="364">
        <v>2.8123602199606523E-2</v>
      </c>
      <c r="H29" s="449">
        <v>2.2957990552564977E-2</v>
      </c>
    </row>
    <row r="30" spans="1:8" ht="20" customHeight="1" thickBot="1">
      <c r="A30" s="705" t="s">
        <v>1829</v>
      </c>
      <c r="B30" s="441">
        <v>80.216597899999996</v>
      </c>
      <c r="C30" s="442">
        <v>72.579674499999996</v>
      </c>
      <c r="D30" s="441" t="s">
        <v>2317</v>
      </c>
      <c r="E30" s="442" t="s">
        <v>2317</v>
      </c>
      <c r="F30" s="908">
        <v>78.107391990505405</v>
      </c>
      <c r="G30" s="364">
        <v>6.8586277730229739E-2</v>
      </c>
      <c r="H30" s="449">
        <v>4.8654448103295334E-2</v>
      </c>
    </row>
    <row r="31" spans="1:8" ht="20" customHeight="1" thickBot="1">
      <c r="A31" s="705" t="s">
        <v>1830</v>
      </c>
      <c r="B31" s="441" t="s">
        <v>2317</v>
      </c>
      <c r="C31" s="442" t="s">
        <v>2317</v>
      </c>
      <c r="D31" s="441" t="s">
        <v>2317</v>
      </c>
      <c r="E31" s="442">
        <v>89.684990400000004</v>
      </c>
      <c r="F31" s="908">
        <v>89.684990314612477</v>
      </c>
      <c r="G31" s="364">
        <v>2.0730908991474228E-2</v>
      </c>
      <c r="H31" s="449">
        <v>2.7103594438429912E-2</v>
      </c>
    </row>
    <row r="32" spans="1:8" ht="20" customHeight="1" thickBot="1">
      <c r="A32" s="705" t="s">
        <v>1831</v>
      </c>
      <c r="B32" s="441" t="s">
        <v>2317</v>
      </c>
      <c r="C32" s="442" t="s">
        <v>2317</v>
      </c>
      <c r="D32" s="441" t="s">
        <v>2317</v>
      </c>
      <c r="E32" s="442">
        <v>104.66901900000001</v>
      </c>
      <c r="F32" s="908">
        <v>104.6690191450563</v>
      </c>
      <c r="G32" s="364">
        <v>3.106547544679894E-2</v>
      </c>
      <c r="H32" s="449">
        <v>1.6772380346764093E-2</v>
      </c>
    </row>
    <row r="33" spans="1:12" ht="20" customHeight="1" thickBot="1">
      <c r="A33" s="705" t="s">
        <v>1832</v>
      </c>
      <c r="B33" s="441" t="s">
        <v>2317</v>
      </c>
      <c r="C33" s="442" t="s">
        <v>2317</v>
      </c>
      <c r="D33" s="441" t="s">
        <v>2317</v>
      </c>
      <c r="E33" s="442">
        <v>87.268767100000005</v>
      </c>
      <c r="F33" s="908">
        <v>87.268767289448363</v>
      </c>
      <c r="G33" s="364">
        <v>2.2894840140876838E-2</v>
      </c>
      <c r="H33" s="449">
        <v>2.6905053129159029E-2</v>
      </c>
    </row>
    <row r="34" spans="1:12" s="162" customFormat="1" ht="30" customHeight="1" thickBot="1">
      <c r="A34" s="137" t="s">
        <v>1222</v>
      </c>
      <c r="B34" s="443" t="s">
        <v>744</v>
      </c>
      <c r="C34" s="444" t="s">
        <v>744</v>
      </c>
      <c r="D34" s="443" t="s">
        <v>744</v>
      </c>
      <c r="E34" s="444" t="s">
        <v>744</v>
      </c>
      <c r="F34" s="443">
        <v>89.330984822405611</v>
      </c>
      <c r="G34" s="909">
        <v>6.3121245941315962E-2</v>
      </c>
      <c r="H34" s="451">
        <v>4.4769007520881088E-2</v>
      </c>
    </row>
    <row r="35" spans="1:12" ht="20" customHeight="1">
      <c r="A35" s="140" t="s">
        <v>1594</v>
      </c>
      <c r="B35" s="910"/>
      <c r="C35" s="910"/>
      <c r="D35" s="910"/>
      <c r="E35" s="910"/>
      <c r="F35" s="910"/>
    </row>
    <row r="36" spans="1:12" ht="12.75" customHeight="1">
      <c r="A36" s="141"/>
      <c r="B36" s="911"/>
      <c r="C36" s="911"/>
      <c r="D36" s="911"/>
      <c r="E36" s="911"/>
      <c r="F36" s="911"/>
    </row>
    <row r="37" spans="1:12" ht="15.75" customHeight="1">
      <c r="A37" s="141" t="s">
        <v>45</v>
      </c>
      <c r="B37" s="911"/>
      <c r="C37" s="911"/>
      <c r="D37" s="911"/>
      <c r="E37" s="911"/>
      <c r="F37" s="911"/>
    </row>
    <row r="38" spans="1:12" ht="13.5" customHeight="1">
      <c r="A38" s="141"/>
      <c r="B38" s="911"/>
      <c r="C38" s="911"/>
      <c r="D38" s="911"/>
      <c r="E38" s="911"/>
      <c r="F38" s="911"/>
    </row>
    <row r="39" spans="1:12" ht="12.75" customHeight="1">
      <c r="A39" s="141" t="s">
        <v>46</v>
      </c>
      <c r="B39" s="911"/>
      <c r="C39" s="911"/>
      <c r="D39" s="911"/>
      <c r="E39" s="911"/>
      <c r="F39" s="911"/>
    </row>
    <row r="40" spans="1:12">
      <c r="A40" s="2" t="s">
        <v>47</v>
      </c>
      <c r="B40" s="201"/>
      <c r="C40" s="201"/>
      <c r="D40" s="201"/>
      <c r="E40" s="201"/>
      <c r="F40" s="201"/>
    </row>
    <row r="41" spans="1:12">
      <c r="A41" s="2" t="s">
        <v>48</v>
      </c>
      <c r="B41" s="201"/>
      <c r="C41" s="201"/>
      <c r="D41" s="201"/>
      <c r="E41" s="201"/>
      <c r="F41" s="201"/>
    </row>
    <row r="42" spans="1:12">
      <c r="A42" s="2" t="s">
        <v>49</v>
      </c>
      <c r="B42" s="201"/>
      <c r="C42" s="201"/>
      <c r="D42" s="201"/>
      <c r="E42" s="201"/>
      <c r="F42" s="201"/>
      <c r="J42" s="3"/>
      <c r="K42" s="3"/>
      <c r="L42" s="3"/>
    </row>
    <row r="43" spans="1:12">
      <c r="B43" s="201"/>
      <c r="C43" s="201"/>
      <c r="D43" s="201"/>
      <c r="E43" s="201"/>
      <c r="F43" s="201"/>
    </row>
    <row r="44" spans="1:12">
      <c r="B44" s="201"/>
      <c r="C44" s="201"/>
      <c r="D44" s="201"/>
      <c r="E44" s="201"/>
      <c r="F44" s="201"/>
    </row>
    <row r="45" spans="1:12">
      <c r="A45" s="2" t="s">
        <v>710</v>
      </c>
    </row>
  </sheetData>
  <phoneticPr fontId="0" type="noConversion"/>
  <pageMargins left="0.62" right="0.54" top="0.9" bottom="0.47244094488188981" header="0.53" footer="0.51181102362204722"/>
  <pageSetup paperSize="9" scale="74" orientation="portrait"/>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5BB97-D90B-064C-9CEC-8AEE494FD716}">
  <sheetPr>
    <pageSetUpPr fitToPage="1"/>
  </sheetPr>
  <dimension ref="A1:F46"/>
  <sheetViews>
    <sheetView topLeftCell="A27" zoomScale="75" workbookViewId="0">
      <selection activeCell="A41" sqref="A41:A43"/>
    </sheetView>
  </sheetViews>
  <sheetFormatPr baseColWidth="10" defaultColWidth="11.3984375" defaultRowHeight="13"/>
  <cols>
    <col min="1" max="1" width="17.19921875" style="2" customWidth="1"/>
    <col min="2" max="2" width="15.19921875" style="2" customWidth="1"/>
    <col min="3" max="3" width="14.19921875" style="2" customWidth="1"/>
    <col min="4" max="4" width="15.59765625" style="2" customWidth="1"/>
    <col min="5" max="5" width="15.3984375" style="2" customWidth="1"/>
    <col min="6" max="6" width="14.3984375" style="2" customWidth="1"/>
    <col min="7" max="7" width="17.59765625" style="2" customWidth="1"/>
    <col min="8" max="16384" width="11.3984375" style="2"/>
  </cols>
  <sheetData>
    <row r="1" spans="1:6" s="1" customFormat="1" ht="14" customHeight="1">
      <c r="A1" s="271"/>
      <c r="B1" s="271"/>
      <c r="C1" s="271"/>
      <c r="D1" s="271"/>
      <c r="E1" s="271"/>
      <c r="F1" s="271"/>
    </row>
    <row r="2" spans="1:6" s="1" customFormat="1" ht="18.75" customHeight="1">
      <c r="A2" s="894" t="s">
        <v>2136</v>
      </c>
      <c r="B2" s="271"/>
      <c r="C2" s="271"/>
      <c r="D2" s="271"/>
      <c r="E2" s="271"/>
      <c r="F2" s="271"/>
    </row>
    <row r="3" spans="1:6" s="1" customFormat="1" ht="24" customHeight="1">
      <c r="A3" s="894" t="s">
        <v>1596</v>
      </c>
      <c r="B3" s="271"/>
      <c r="C3" s="271"/>
      <c r="D3" s="271"/>
      <c r="E3" s="271"/>
      <c r="F3" s="271"/>
    </row>
    <row r="4" spans="1:6" ht="24" customHeight="1">
      <c r="A4" s="119" t="s">
        <v>1797</v>
      </c>
      <c r="B4" s="895">
        <v>0.05</v>
      </c>
      <c r="C4" s="896">
        <v>0.25</v>
      </c>
      <c r="D4" s="895">
        <v>0.5</v>
      </c>
      <c r="E4" s="896">
        <v>0.25</v>
      </c>
      <c r="F4" s="895">
        <v>0.05</v>
      </c>
    </row>
    <row r="5" spans="1:6" ht="73.5" customHeight="1">
      <c r="A5" s="325"/>
      <c r="B5" s="899" t="s">
        <v>2129</v>
      </c>
      <c r="C5" s="900" t="s">
        <v>2129</v>
      </c>
      <c r="D5" s="899" t="s">
        <v>2130</v>
      </c>
      <c r="E5" s="900" t="s">
        <v>2131</v>
      </c>
      <c r="F5" s="899" t="s">
        <v>2131</v>
      </c>
    </row>
    <row r="6" spans="1:6" ht="16" customHeight="1">
      <c r="A6" s="326"/>
      <c r="B6" s="129"/>
      <c r="C6" s="128"/>
      <c r="D6" s="129"/>
      <c r="E6" s="128"/>
      <c r="F6" s="154"/>
    </row>
    <row r="7" spans="1:6" ht="30" customHeight="1" thickBot="1">
      <c r="A7" s="704" t="s">
        <v>1807</v>
      </c>
      <c r="B7" s="185">
        <v>322</v>
      </c>
      <c r="C7" s="184">
        <v>340.9</v>
      </c>
      <c r="D7" s="185">
        <v>360.9</v>
      </c>
      <c r="E7" s="184">
        <v>425.9</v>
      </c>
      <c r="F7" s="185">
        <v>441</v>
      </c>
    </row>
    <row r="8" spans="1:6" ht="20" customHeight="1" thickBot="1">
      <c r="A8" s="705" t="s">
        <v>1808</v>
      </c>
      <c r="B8" s="188">
        <v>356</v>
      </c>
      <c r="C8" s="187">
        <v>389.2</v>
      </c>
      <c r="D8" s="188">
        <v>418.7</v>
      </c>
      <c r="E8" s="187">
        <v>494.9</v>
      </c>
      <c r="F8" s="188">
        <v>514.65</v>
      </c>
    </row>
    <row r="9" spans="1:6" ht="20" customHeight="1" thickBot="1">
      <c r="A9" s="705" t="s">
        <v>1809</v>
      </c>
      <c r="B9" s="188">
        <v>280</v>
      </c>
      <c r="C9" s="187">
        <v>315</v>
      </c>
      <c r="D9" s="188">
        <v>331.15</v>
      </c>
      <c r="E9" s="187">
        <v>376</v>
      </c>
      <c r="F9" s="188">
        <v>392.3</v>
      </c>
    </row>
    <row r="10" spans="1:6" ht="20" customHeight="1" thickBot="1">
      <c r="A10" s="705" t="s">
        <v>1810</v>
      </c>
      <c r="B10" s="188">
        <v>264</v>
      </c>
      <c r="C10" s="187">
        <v>266</v>
      </c>
      <c r="D10" s="188">
        <v>323</v>
      </c>
      <c r="E10" s="187">
        <v>353.6</v>
      </c>
      <c r="F10" s="188">
        <v>367</v>
      </c>
    </row>
    <row r="11" spans="1:6" ht="20" customHeight="1" thickBot="1">
      <c r="A11" s="705" t="s">
        <v>1811</v>
      </c>
      <c r="B11" s="188">
        <v>276</v>
      </c>
      <c r="C11" s="187">
        <v>309</v>
      </c>
      <c r="D11" s="188">
        <v>309</v>
      </c>
      <c r="E11" s="187">
        <v>371</v>
      </c>
      <c r="F11" s="188">
        <v>371</v>
      </c>
    </row>
    <row r="12" spans="1:6" ht="20" customHeight="1" thickBot="1">
      <c r="A12" s="705" t="s">
        <v>1812</v>
      </c>
      <c r="B12" s="188">
        <v>286</v>
      </c>
      <c r="C12" s="187">
        <v>309.45</v>
      </c>
      <c r="D12" s="188">
        <v>311</v>
      </c>
      <c r="E12" s="187">
        <v>327</v>
      </c>
      <c r="F12" s="188">
        <v>333</v>
      </c>
    </row>
    <row r="13" spans="1:6" ht="20" customHeight="1" thickBot="1">
      <c r="A13" s="705" t="s">
        <v>1813</v>
      </c>
      <c r="B13" s="188">
        <v>258.2</v>
      </c>
      <c r="C13" s="187">
        <v>265</v>
      </c>
      <c r="D13" s="188">
        <v>278</v>
      </c>
      <c r="E13" s="187">
        <v>321</v>
      </c>
      <c r="F13" s="188">
        <v>321</v>
      </c>
    </row>
    <row r="14" spans="1:6" ht="20" customHeight="1" thickBot="1">
      <c r="A14" s="705" t="s">
        <v>1814</v>
      </c>
      <c r="B14" s="188">
        <v>270</v>
      </c>
      <c r="C14" s="187">
        <v>289</v>
      </c>
      <c r="D14" s="188">
        <v>315</v>
      </c>
      <c r="E14" s="187">
        <v>368</v>
      </c>
      <c r="F14" s="188">
        <v>368</v>
      </c>
    </row>
    <row r="15" spans="1:6" ht="20" customHeight="1" thickBot="1">
      <c r="A15" s="705" t="s">
        <v>1815</v>
      </c>
      <c r="B15" s="188">
        <v>285</v>
      </c>
      <c r="C15" s="187">
        <v>296</v>
      </c>
      <c r="D15" s="188">
        <v>316.2</v>
      </c>
      <c r="E15" s="187">
        <v>363.7</v>
      </c>
      <c r="F15" s="188">
        <v>373</v>
      </c>
    </row>
    <row r="16" spans="1:6" ht="20" customHeight="1" thickBot="1">
      <c r="A16" s="705" t="s">
        <v>1816</v>
      </c>
      <c r="B16" s="188">
        <v>314</v>
      </c>
      <c r="C16" s="187">
        <v>323</v>
      </c>
      <c r="D16" s="188">
        <v>342</v>
      </c>
      <c r="E16" s="187">
        <v>368.05</v>
      </c>
      <c r="F16" s="188">
        <v>403.7</v>
      </c>
    </row>
    <row r="17" spans="1:6" ht="20" customHeight="1" thickBot="1">
      <c r="A17" s="705" t="s">
        <v>1817</v>
      </c>
      <c r="B17" s="188">
        <v>309</v>
      </c>
      <c r="C17" s="187">
        <v>321</v>
      </c>
      <c r="D17" s="188">
        <v>364</v>
      </c>
      <c r="E17" s="187">
        <v>383.6</v>
      </c>
      <c r="F17" s="188">
        <v>390.85</v>
      </c>
    </row>
    <row r="18" spans="1:6" ht="20" customHeight="1" thickBot="1">
      <c r="A18" s="705" t="s">
        <v>1818</v>
      </c>
      <c r="B18" s="188">
        <v>414</v>
      </c>
      <c r="C18" s="187">
        <v>459</v>
      </c>
      <c r="D18" s="188">
        <v>499</v>
      </c>
      <c r="E18" s="187">
        <v>528.6</v>
      </c>
      <c r="F18" s="188">
        <v>590</v>
      </c>
    </row>
    <row r="19" spans="1:6" ht="20" customHeight="1" thickBot="1">
      <c r="A19" s="705" t="s">
        <v>1819</v>
      </c>
      <c r="B19" s="188">
        <v>338</v>
      </c>
      <c r="C19" s="187">
        <v>371</v>
      </c>
      <c r="D19" s="188">
        <v>406</v>
      </c>
      <c r="E19" s="187">
        <v>453</v>
      </c>
      <c r="F19" s="188">
        <v>457</v>
      </c>
    </row>
    <row r="20" spans="1:6" ht="20" customHeight="1" thickBot="1">
      <c r="A20" s="705" t="s">
        <v>1820</v>
      </c>
      <c r="B20" s="188">
        <v>313</v>
      </c>
      <c r="C20" s="187">
        <v>331</v>
      </c>
      <c r="D20" s="188">
        <v>352.9</v>
      </c>
      <c r="E20" s="187">
        <v>391</v>
      </c>
      <c r="F20" s="188">
        <v>408.6</v>
      </c>
    </row>
    <row r="21" spans="1:6" ht="20" customHeight="1" thickBot="1">
      <c r="A21" s="705" t="s">
        <v>1821</v>
      </c>
      <c r="B21" s="188">
        <v>251</v>
      </c>
      <c r="C21" s="187">
        <v>277</v>
      </c>
      <c r="D21" s="188">
        <v>294.89999999999998</v>
      </c>
      <c r="E21" s="187">
        <v>339.9</v>
      </c>
      <c r="F21" s="188">
        <v>349</v>
      </c>
    </row>
    <row r="22" spans="1:6" ht="20" customHeight="1" thickBot="1">
      <c r="A22" s="705" t="s">
        <v>1822</v>
      </c>
      <c r="B22" s="188">
        <v>259</v>
      </c>
      <c r="C22" s="187">
        <v>266.25</v>
      </c>
      <c r="D22" s="188">
        <v>279.89999999999998</v>
      </c>
      <c r="E22" s="187">
        <v>303</v>
      </c>
      <c r="F22" s="188">
        <v>310.39999999999998</v>
      </c>
    </row>
    <row r="23" spans="1:6" ht="20" customHeight="1" thickBot="1">
      <c r="A23" s="705" t="s">
        <v>1823</v>
      </c>
      <c r="B23" s="188">
        <v>286</v>
      </c>
      <c r="C23" s="187">
        <v>314</v>
      </c>
      <c r="D23" s="188">
        <v>324</v>
      </c>
      <c r="E23" s="187">
        <v>372</v>
      </c>
      <c r="F23" s="188">
        <v>382</v>
      </c>
    </row>
    <row r="24" spans="1:6" ht="20" customHeight="1" thickBot="1">
      <c r="A24" s="705" t="s">
        <v>1824</v>
      </c>
      <c r="B24" s="188">
        <v>268</v>
      </c>
      <c r="C24" s="187">
        <v>302</v>
      </c>
      <c r="D24" s="188">
        <v>302</v>
      </c>
      <c r="E24" s="187">
        <v>356.15</v>
      </c>
      <c r="F24" s="188">
        <v>383</v>
      </c>
    </row>
    <row r="25" spans="1:6" ht="20" customHeight="1" thickBot="1">
      <c r="A25" s="705" t="s">
        <v>1825</v>
      </c>
      <c r="B25" s="188">
        <v>307</v>
      </c>
      <c r="C25" s="187">
        <v>321</v>
      </c>
      <c r="D25" s="188">
        <v>355.9</v>
      </c>
      <c r="E25" s="187">
        <v>390</v>
      </c>
      <c r="F25" s="188">
        <v>399</v>
      </c>
    </row>
    <row r="26" spans="1:6" ht="20" customHeight="1" thickBot="1">
      <c r="A26" s="705" t="s">
        <v>1826</v>
      </c>
      <c r="B26" s="188">
        <v>307</v>
      </c>
      <c r="C26" s="187">
        <v>317</v>
      </c>
      <c r="D26" s="188">
        <v>335</v>
      </c>
      <c r="E26" s="187">
        <v>376</v>
      </c>
      <c r="F26" s="188">
        <v>376</v>
      </c>
    </row>
    <row r="27" spans="1:6" ht="20" customHeight="1" thickBot="1">
      <c r="A27" s="705" t="s">
        <v>1827</v>
      </c>
      <c r="B27" s="188">
        <v>366</v>
      </c>
      <c r="C27" s="187">
        <v>379.6</v>
      </c>
      <c r="D27" s="188">
        <v>402</v>
      </c>
      <c r="E27" s="187">
        <v>447</v>
      </c>
      <c r="F27" s="188">
        <v>460</v>
      </c>
    </row>
    <row r="28" spans="1:6" ht="20" customHeight="1" thickBot="1">
      <c r="A28" s="705" t="s">
        <v>1828</v>
      </c>
      <c r="B28" s="188">
        <v>375.9</v>
      </c>
      <c r="C28" s="187">
        <v>377</v>
      </c>
      <c r="D28" s="188">
        <v>409</v>
      </c>
      <c r="E28" s="187">
        <v>457</v>
      </c>
      <c r="F28" s="188">
        <v>486</v>
      </c>
    </row>
    <row r="29" spans="1:6" ht="20" customHeight="1" thickBot="1">
      <c r="A29" s="705" t="s">
        <v>1829</v>
      </c>
      <c r="B29" s="188">
        <v>288</v>
      </c>
      <c r="C29" s="187">
        <v>294</v>
      </c>
      <c r="D29" s="188">
        <v>320</v>
      </c>
      <c r="E29" s="187">
        <v>356.15</v>
      </c>
      <c r="F29" s="188">
        <v>398</v>
      </c>
    </row>
    <row r="30" spans="1:6" ht="20" customHeight="1" thickBot="1">
      <c r="A30" s="705" t="s">
        <v>1830</v>
      </c>
      <c r="B30" s="188">
        <v>336.6</v>
      </c>
      <c r="C30" s="187">
        <v>336.6</v>
      </c>
      <c r="D30" s="188">
        <v>398</v>
      </c>
      <c r="E30" s="187">
        <v>446</v>
      </c>
      <c r="F30" s="188">
        <v>453</v>
      </c>
    </row>
    <row r="31" spans="1:6" ht="20" customHeight="1" thickBot="1">
      <c r="A31" s="705" t="s">
        <v>1831</v>
      </c>
      <c r="B31" s="188">
        <v>386</v>
      </c>
      <c r="C31" s="187">
        <v>441</v>
      </c>
      <c r="D31" s="188">
        <v>449</v>
      </c>
      <c r="E31" s="187">
        <v>474.4</v>
      </c>
      <c r="F31" s="188">
        <v>486.75</v>
      </c>
    </row>
    <row r="32" spans="1:6" ht="20" customHeight="1" thickBot="1">
      <c r="A32" s="705" t="s">
        <v>1832</v>
      </c>
      <c r="B32" s="188">
        <v>342.5</v>
      </c>
      <c r="C32" s="187">
        <v>353.7</v>
      </c>
      <c r="D32" s="188">
        <v>372.5</v>
      </c>
      <c r="E32" s="187">
        <v>442.55</v>
      </c>
      <c r="F32" s="188">
        <v>442.55</v>
      </c>
    </row>
    <row r="33" spans="1:6" ht="30" customHeight="1" thickBot="1">
      <c r="A33" s="137" t="s">
        <v>1222</v>
      </c>
      <c r="B33" s="191">
        <v>291.5</v>
      </c>
      <c r="C33" s="190">
        <v>331.15</v>
      </c>
      <c r="D33" s="191">
        <v>366</v>
      </c>
      <c r="E33" s="190">
        <v>410</v>
      </c>
      <c r="F33" s="191">
        <v>473.1</v>
      </c>
    </row>
    <row r="34" spans="1:6" ht="20" customHeight="1">
      <c r="A34" s="140" t="s">
        <v>1594</v>
      </c>
      <c r="B34" s="910"/>
      <c r="C34" s="910"/>
      <c r="D34" s="910"/>
      <c r="E34" s="910"/>
      <c r="F34" s="910"/>
    </row>
    <row r="35" spans="1:6" ht="12.75" customHeight="1">
      <c r="A35" s="141"/>
      <c r="B35" s="911"/>
      <c r="C35" s="911"/>
      <c r="D35" s="911"/>
      <c r="E35" s="911"/>
      <c r="F35" s="911"/>
    </row>
    <row r="36" spans="1:6" ht="15.75" customHeight="1">
      <c r="A36" s="141" t="s">
        <v>45</v>
      </c>
      <c r="B36" s="911"/>
      <c r="C36" s="911"/>
      <c r="D36" s="911"/>
      <c r="E36" s="911"/>
      <c r="F36" s="911"/>
    </row>
    <row r="37" spans="1:6" ht="13.5" customHeight="1">
      <c r="A37" s="141"/>
      <c r="B37" s="911"/>
      <c r="C37" s="911"/>
      <c r="D37" s="911"/>
      <c r="E37" s="911"/>
      <c r="F37" s="911"/>
    </row>
    <row r="38" spans="1:6" ht="12.75" customHeight="1">
      <c r="A38" s="141" t="s">
        <v>46</v>
      </c>
      <c r="B38" s="911"/>
      <c r="C38" s="911"/>
      <c r="D38" s="911"/>
      <c r="E38" s="911"/>
      <c r="F38" s="911"/>
    </row>
    <row r="39" spans="1:6">
      <c r="A39" s="2" t="s">
        <v>2134</v>
      </c>
      <c r="B39" s="201"/>
      <c r="C39" s="201"/>
      <c r="D39" s="201"/>
      <c r="E39" s="201"/>
      <c r="F39" s="201"/>
    </row>
    <row r="40" spans="1:6">
      <c r="A40" s="2" t="s">
        <v>2135</v>
      </c>
      <c r="B40" s="201"/>
      <c r="C40" s="201"/>
      <c r="D40" s="201"/>
      <c r="E40" s="201"/>
      <c r="F40" s="201"/>
    </row>
    <row r="41" spans="1:6">
      <c r="A41" s="1104" t="s">
        <v>271</v>
      </c>
      <c r="B41" s="201"/>
      <c r="C41" s="201"/>
      <c r="D41" s="201"/>
      <c r="E41" s="201"/>
      <c r="F41" s="201"/>
    </row>
    <row r="42" spans="1:6">
      <c r="A42" s="1104" t="s">
        <v>272</v>
      </c>
      <c r="B42" s="201"/>
      <c r="C42" s="201"/>
      <c r="D42" s="201"/>
      <c r="E42" s="201"/>
      <c r="F42" s="201"/>
    </row>
    <row r="43" spans="1:6">
      <c r="A43" s="1104" t="s">
        <v>273</v>
      </c>
      <c r="B43" s="201"/>
      <c r="C43" s="201"/>
      <c r="D43" s="201"/>
      <c r="E43" s="201"/>
      <c r="F43" s="201"/>
    </row>
    <row r="44" spans="1:6">
      <c r="B44" s="201"/>
      <c r="C44" s="201"/>
      <c r="D44" s="201"/>
      <c r="E44" s="201"/>
      <c r="F44" s="201"/>
    </row>
    <row r="45" spans="1:6">
      <c r="B45" s="201"/>
      <c r="C45" s="201"/>
      <c r="D45" s="201"/>
      <c r="E45" s="201"/>
      <c r="F45" s="201"/>
    </row>
    <row r="46" spans="1:6">
      <c r="A46" s="2" t="s">
        <v>710</v>
      </c>
      <c r="B46" s="201"/>
      <c r="C46" s="201"/>
      <c r="D46" s="201"/>
      <c r="E46" s="201"/>
      <c r="F46" s="201"/>
    </row>
  </sheetData>
  <phoneticPr fontId="0" type="noConversion"/>
  <pageMargins left="0.67" right="0.6" top="0.69" bottom="0.47244094488188981" header="0.57999999999999996" footer="0.51181102362204722"/>
  <pageSetup paperSize="9" scale="82" orientation="portrait" horizontalDpi="1200" verticalDpi="1200"/>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2594E-7DA7-8347-9B27-F9EE2532D9E5}">
  <sheetPr>
    <pageSetUpPr fitToPage="1"/>
  </sheetPr>
  <dimension ref="A1:G46"/>
  <sheetViews>
    <sheetView topLeftCell="A27" zoomScale="75" workbookViewId="0">
      <selection activeCell="A41" sqref="A41:A43"/>
    </sheetView>
  </sheetViews>
  <sheetFormatPr baseColWidth="10" defaultColWidth="11.3984375" defaultRowHeight="13"/>
  <cols>
    <col min="1" max="1" width="18.3984375" style="2" customWidth="1"/>
    <col min="2" max="6" width="15.59765625" style="2" customWidth="1"/>
    <col min="7" max="7" width="16.3984375" style="2" customWidth="1"/>
    <col min="8" max="8" width="11.3984375" style="2"/>
    <col min="9" max="9" width="6.59765625" style="2" customWidth="1"/>
    <col min="10" max="16384" width="11.3984375" style="2"/>
  </cols>
  <sheetData>
    <row r="1" spans="1:6" s="1" customFormat="1" ht="14" customHeight="1">
      <c r="A1" s="271"/>
      <c r="B1" s="271"/>
      <c r="C1" s="271"/>
      <c r="D1" s="271"/>
      <c r="E1" s="271"/>
      <c r="F1" s="271"/>
    </row>
    <row r="2" spans="1:6" s="1" customFormat="1" ht="18.75" customHeight="1">
      <c r="A2" s="894" t="s">
        <v>2133</v>
      </c>
      <c r="B2" s="271"/>
      <c r="C2" s="271"/>
      <c r="D2" s="271"/>
      <c r="E2" s="271"/>
      <c r="F2" s="271"/>
    </row>
    <row r="3" spans="1:6" s="1" customFormat="1" ht="24" customHeight="1">
      <c r="A3" s="894" t="s">
        <v>2137</v>
      </c>
      <c r="B3" s="271"/>
      <c r="C3" s="271"/>
      <c r="D3" s="271"/>
      <c r="E3" s="271"/>
      <c r="F3" s="271"/>
    </row>
    <row r="4" spans="1:6" ht="24" customHeight="1">
      <c r="A4" s="119" t="s">
        <v>1797</v>
      </c>
      <c r="B4" s="895">
        <v>0.05</v>
      </c>
      <c r="C4" s="896">
        <v>0.25</v>
      </c>
      <c r="D4" s="895">
        <v>0.5</v>
      </c>
      <c r="E4" s="896">
        <v>0.25</v>
      </c>
      <c r="F4" s="895">
        <v>0.05</v>
      </c>
    </row>
    <row r="5" spans="1:6" ht="73.5" customHeight="1">
      <c r="A5" s="325"/>
      <c r="B5" s="899" t="s">
        <v>2129</v>
      </c>
      <c r="C5" s="900" t="s">
        <v>2129</v>
      </c>
      <c r="D5" s="899" t="s">
        <v>2130</v>
      </c>
      <c r="E5" s="900" t="s">
        <v>2131</v>
      </c>
      <c r="F5" s="899" t="s">
        <v>2131</v>
      </c>
    </row>
    <row r="6" spans="1:6" ht="16" customHeight="1">
      <c r="A6" s="326"/>
      <c r="B6" s="129"/>
      <c r="C6" s="128"/>
      <c r="D6" s="129"/>
      <c r="E6" s="128"/>
      <c r="F6" s="154"/>
    </row>
    <row r="7" spans="1:6" ht="30" customHeight="1" thickBot="1">
      <c r="A7" s="704" t="s">
        <v>1807</v>
      </c>
      <c r="B7" s="185">
        <v>287.10000000000002</v>
      </c>
      <c r="C7" s="184">
        <v>302.2</v>
      </c>
      <c r="D7" s="185">
        <v>315.89999999999998</v>
      </c>
      <c r="E7" s="184">
        <v>374.4</v>
      </c>
      <c r="F7" s="185">
        <v>374.8</v>
      </c>
    </row>
    <row r="8" spans="1:6" ht="20" customHeight="1" thickBot="1">
      <c r="A8" s="705" t="s">
        <v>1808</v>
      </c>
      <c r="B8" s="188">
        <v>312.8</v>
      </c>
      <c r="C8" s="187">
        <v>339</v>
      </c>
      <c r="D8" s="188">
        <v>354.5</v>
      </c>
      <c r="E8" s="187">
        <v>425.8</v>
      </c>
      <c r="F8" s="188">
        <v>437.55</v>
      </c>
    </row>
    <row r="9" spans="1:6" ht="20" customHeight="1" thickBot="1">
      <c r="A9" s="705" t="s">
        <v>1809</v>
      </c>
      <c r="B9" s="188">
        <v>261</v>
      </c>
      <c r="C9" s="187">
        <v>269</v>
      </c>
      <c r="D9" s="188">
        <v>281.55</v>
      </c>
      <c r="E9" s="187">
        <v>314.55</v>
      </c>
      <c r="F9" s="188">
        <v>328.5</v>
      </c>
    </row>
    <row r="10" spans="1:6" ht="20" customHeight="1" thickBot="1">
      <c r="A10" s="705" t="s">
        <v>1810</v>
      </c>
      <c r="B10" s="188">
        <v>237.6</v>
      </c>
      <c r="C10" s="187">
        <v>237.6</v>
      </c>
      <c r="D10" s="188">
        <v>274.60000000000002</v>
      </c>
      <c r="E10" s="187">
        <v>284.8</v>
      </c>
      <c r="F10" s="188">
        <v>311.89999999999998</v>
      </c>
    </row>
    <row r="11" spans="1:6" ht="20" customHeight="1" thickBot="1">
      <c r="A11" s="705" t="s">
        <v>1811</v>
      </c>
      <c r="B11" s="188">
        <v>257.2</v>
      </c>
      <c r="C11" s="187">
        <v>262.7</v>
      </c>
      <c r="D11" s="188">
        <v>273.7</v>
      </c>
      <c r="E11" s="187">
        <v>315</v>
      </c>
      <c r="F11" s="188">
        <v>315.3</v>
      </c>
    </row>
    <row r="12" spans="1:6" ht="20" customHeight="1" thickBot="1">
      <c r="A12" s="705" t="s">
        <v>1812</v>
      </c>
      <c r="B12" s="188">
        <v>246.2</v>
      </c>
      <c r="C12" s="187">
        <v>264.39999999999998</v>
      </c>
      <c r="D12" s="188">
        <v>264.39999999999998</v>
      </c>
      <c r="E12" s="187">
        <v>283</v>
      </c>
      <c r="F12" s="188">
        <v>289.5</v>
      </c>
    </row>
    <row r="13" spans="1:6" ht="20" customHeight="1" thickBot="1">
      <c r="A13" s="705" t="s">
        <v>1813</v>
      </c>
      <c r="B13" s="188">
        <v>219.5</v>
      </c>
      <c r="C13" s="187">
        <v>225.3</v>
      </c>
      <c r="D13" s="188">
        <v>249.6</v>
      </c>
      <c r="E13" s="187">
        <v>272.8</v>
      </c>
      <c r="F13" s="188">
        <v>272.8</v>
      </c>
    </row>
    <row r="14" spans="1:6" ht="20" customHeight="1" thickBot="1">
      <c r="A14" s="705" t="s">
        <v>1814</v>
      </c>
      <c r="B14" s="188">
        <v>229.5</v>
      </c>
      <c r="C14" s="187">
        <v>261</v>
      </c>
      <c r="D14" s="188">
        <v>268.8</v>
      </c>
      <c r="E14" s="187">
        <v>312.8</v>
      </c>
      <c r="F14" s="188">
        <v>312.8</v>
      </c>
    </row>
    <row r="15" spans="1:6" ht="20" customHeight="1" thickBot="1">
      <c r="A15" s="705" t="s">
        <v>1815</v>
      </c>
      <c r="B15" s="188">
        <v>251.6</v>
      </c>
      <c r="C15" s="187">
        <v>251.6</v>
      </c>
      <c r="D15" s="188">
        <v>283.64999999999998</v>
      </c>
      <c r="E15" s="187">
        <v>296.7</v>
      </c>
      <c r="F15" s="188">
        <v>317</v>
      </c>
    </row>
    <row r="16" spans="1:6" ht="20" customHeight="1" thickBot="1">
      <c r="A16" s="705" t="s">
        <v>1816</v>
      </c>
      <c r="B16" s="188">
        <v>274.60000000000002</v>
      </c>
      <c r="C16" s="187">
        <v>274.60000000000002</v>
      </c>
      <c r="D16" s="188">
        <v>307</v>
      </c>
      <c r="E16" s="187">
        <v>338.6</v>
      </c>
      <c r="F16" s="188">
        <v>344.85</v>
      </c>
    </row>
    <row r="17" spans="1:6" ht="20" customHeight="1" thickBot="1">
      <c r="A17" s="705" t="s">
        <v>1817</v>
      </c>
      <c r="B17" s="188">
        <v>272.8</v>
      </c>
      <c r="C17" s="187">
        <v>283</v>
      </c>
      <c r="D17" s="188">
        <v>311.10000000000002</v>
      </c>
      <c r="E17" s="187">
        <v>342</v>
      </c>
      <c r="F17" s="188">
        <v>342</v>
      </c>
    </row>
    <row r="18" spans="1:6" ht="20" customHeight="1" thickBot="1">
      <c r="A18" s="705" t="s">
        <v>1818</v>
      </c>
      <c r="B18" s="188">
        <v>395</v>
      </c>
      <c r="C18" s="187">
        <v>422.9</v>
      </c>
      <c r="D18" s="188">
        <v>424.2</v>
      </c>
      <c r="E18" s="187">
        <v>450</v>
      </c>
      <c r="F18" s="188">
        <v>459</v>
      </c>
    </row>
    <row r="19" spans="1:6" ht="20" customHeight="1" thickBot="1">
      <c r="A19" s="705" t="s">
        <v>1819</v>
      </c>
      <c r="B19" s="188">
        <v>304</v>
      </c>
      <c r="C19" s="187">
        <v>320.89999999999998</v>
      </c>
      <c r="D19" s="188">
        <v>346.5</v>
      </c>
      <c r="E19" s="187">
        <v>385.1</v>
      </c>
      <c r="F19" s="188">
        <v>388.4</v>
      </c>
    </row>
    <row r="20" spans="1:6" ht="20" customHeight="1" thickBot="1">
      <c r="A20" s="705" t="s">
        <v>1820</v>
      </c>
      <c r="B20" s="188">
        <v>292.5</v>
      </c>
      <c r="C20" s="187">
        <v>305.10000000000002</v>
      </c>
      <c r="D20" s="188">
        <v>320</v>
      </c>
      <c r="E20" s="187">
        <v>343.8</v>
      </c>
      <c r="F20" s="188">
        <v>353.6</v>
      </c>
    </row>
    <row r="21" spans="1:6" ht="20" customHeight="1" thickBot="1">
      <c r="A21" s="705" t="s">
        <v>1821</v>
      </c>
      <c r="B21" s="188">
        <v>218.4</v>
      </c>
      <c r="C21" s="187">
        <v>257</v>
      </c>
      <c r="D21" s="188">
        <v>265.5</v>
      </c>
      <c r="E21" s="187">
        <v>296.7</v>
      </c>
      <c r="F21" s="188">
        <v>296.7</v>
      </c>
    </row>
    <row r="22" spans="1:6" ht="20" customHeight="1" thickBot="1">
      <c r="A22" s="705" t="s">
        <v>1822</v>
      </c>
      <c r="B22" s="188">
        <v>222.8</v>
      </c>
      <c r="C22" s="187">
        <v>233.8</v>
      </c>
      <c r="D22" s="188">
        <v>252</v>
      </c>
      <c r="E22" s="187">
        <v>259</v>
      </c>
      <c r="F22" s="188">
        <v>279.39999999999998</v>
      </c>
    </row>
    <row r="23" spans="1:6" ht="20" customHeight="1" thickBot="1">
      <c r="A23" s="705" t="s">
        <v>1823</v>
      </c>
      <c r="B23" s="188">
        <v>257.39999999999998</v>
      </c>
      <c r="C23" s="187">
        <v>275.39999999999998</v>
      </c>
      <c r="D23" s="188">
        <v>289.8</v>
      </c>
      <c r="E23" s="187">
        <v>333</v>
      </c>
      <c r="F23" s="188">
        <v>333</v>
      </c>
    </row>
    <row r="24" spans="1:6" ht="20" customHeight="1" thickBot="1">
      <c r="A24" s="705" t="s">
        <v>1824</v>
      </c>
      <c r="B24" s="188">
        <v>241.9</v>
      </c>
      <c r="C24" s="187">
        <v>271.8</v>
      </c>
      <c r="D24" s="188">
        <v>271.8</v>
      </c>
      <c r="E24" s="187">
        <v>306.35000000000002</v>
      </c>
      <c r="F24" s="188">
        <v>318.7</v>
      </c>
    </row>
    <row r="25" spans="1:6" ht="20" customHeight="1" thickBot="1">
      <c r="A25" s="705" t="s">
        <v>1825</v>
      </c>
      <c r="B25" s="188">
        <v>275.3</v>
      </c>
      <c r="C25" s="187">
        <v>291.60000000000002</v>
      </c>
      <c r="D25" s="188">
        <v>305.2</v>
      </c>
      <c r="E25" s="187">
        <v>331.5</v>
      </c>
      <c r="F25" s="188">
        <v>340.2</v>
      </c>
    </row>
    <row r="26" spans="1:6" ht="20" customHeight="1" thickBot="1">
      <c r="A26" s="705" t="s">
        <v>1826</v>
      </c>
      <c r="B26" s="188">
        <v>273.7</v>
      </c>
      <c r="C26" s="187">
        <v>284.8</v>
      </c>
      <c r="D26" s="188">
        <v>294.3</v>
      </c>
      <c r="E26" s="187">
        <v>319.60000000000002</v>
      </c>
      <c r="F26" s="188">
        <v>327.9</v>
      </c>
    </row>
    <row r="27" spans="1:6" ht="20" customHeight="1" thickBot="1">
      <c r="A27" s="705" t="s">
        <v>1827</v>
      </c>
      <c r="B27" s="188">
        <v>324.39999999999998</v>
      </c>
      <c r="C27" s="187">
        <v>341.7</v>
      </c>
      <c r="D27" s="188">
        <v>374.8</v>
      </c>
      <c r="E27" s="187">
        <v>396</v>
      </c>
      <c r="F27" s="188">
        <v>426.7</v>
      </c>
    </row>
    <row r="28" spans="1:6" ht="20" customHeight="1" thickBot="1">
      <c r="A28" s="705" t="s">
        <v>1828</v>
      </c>
      <c r="B28" s="188">
        <v>347.7</v>
      </c>
      <c r="C28" s="187">
        <v>350.7</v>
      </c>
      <c r="D28" s="188">
        <v>386.9</v>
      </c>
      <c r="E28" s="187">
        <v>442.6</v>
      </c>
      <c r="F28" s="188">
        <v>442.6</v>
      </c>
    </row>
    <row r="29" spans="1:6" ht="20" customHeight="1" thickBot="1">
      <c r="A29" s="705" t="s">
        <v>1829</v>
      </c>
      <c r="B29" s="188">
        <v>244.8</v>
      </c>
      <c r="C29" s="187">
        <v>266.89999999999998</v>
      </c>
      <c r="D29" s="188">
        <v>293.89999999999998</v>
      </c>
      <c r="E29" s="187">
        <v>311.60000000000002</v>
      </c>
      <c r="F29" s="188">
        <v>329.9</v>
      </c>
    </row>
    <row r="30" spans="1:6" ht="20" customHeight="1" thickBot="1">
      <c r="A30" s="705" t="s">
        <v>1830</v>
      </c>
      <c r="B30" s="188">
        <v>339.2</v>
      </c>
      <c r="C30" s="187">
        <v>349.8</v>
      </c>
      <c r="D30" s="188">
        <v>358.2</v>
      </c>
      <c r="E30" s="187">
        <v>413</v>
      </c>
      <c r="F30" s="188">
        <v>413</v>
      </c>
    </row>
    <row r="31" spans="1:6" ht="20" customHeight="1" thickBot="1">
      <c r="A31" s="705" t="s">
        <v>1831</v>
      </c>
      <c r="B31" s="188">
        <v>374.8</v>
      </c>
      <c r="C31" s="187">
        <v>386</v>
      </c>
      <c r="D31" s="188">
        <v>402.1</v>
      </c>
      <c r="E31" s="187">
        <v>427</v>
      </c>
      <c r="F31" s="188">
        <v>454.2</v>
      </c>
    </row>
    <row r="32" spans="1:6" ht="20" customHeight="1" thickBot="1">
      <c r="A32" s="705" t="s">
        <v>1832</v>
      </c>
      <c r="B32" s="188">
        <v>334.6</v>
      </c>
      <c r="C32" s="187">
        <v>336.7</v>
      </c>
      <c r="D32" s="188">
        <v>344.7</v>
      </c>
      <c r="E32" s="187">
        <v>376</v>
      </c>
      <c r="F32" s="188">
        <v>385.05</v>
      </c>
    </row>
    <row r="33" spans="1:7" ht="30" customHeight="1" thickBot="1">
      <c r="A33" s="137" t="s">
        <v>1222</v>
      </c>
      <c r="B33" s="191">
        <v>259.2</v>
      </c>
      <c r="C33" s="190">
        <v>291.10000000000002</v>
      </c>
      <c r="D33" s="191">
        <v>319.60000000000002</v>
      </c>
      <c r="E33" s="190">
        <v>362.7</v>
      </c>
      <c r="F33" s="191">
        <v>425</v>
      </c>
      <c r="G33" s="141"/>
    </row>
    <row r="34" spans="1:7" ht="20" customHeight="1">
      <c r="A34" s="140" t="s">
        <v>1594</v>
      </c>
      <c r="B34" s="910"/>
      <c r="C34" s="910"/>
      <c r="D34" s="910"/>
      <c r="E34" s="910"/>
      <c r="F34" s="910"/>
      <c r="G34" s="911"/>
    </row>
    <row r="35" spans="1:7" ht="12.75" customHeight="1">
      <c r="A35" s="141"/>
      <c r="B35" s="911"/>
      <c r="C35" s="911"/>
      <c r="D35" s="911"/>
      <c r="E35" s="911"/>
      <c r="F35" s="911"/>
      <c r="G35" s="911"/>
    </row>
    <row r="36" spans="1:7" ht="20" customHeight="1">
      <c r="A36" s="141" t="s">
        <v>45</v>
      </c>
      <c r="B36" s="911"/>
      <c r="C36" s="911"/>
      <c r="D36" s="911"/>
      <c r="E36" s="911"/>
      <c r="F36" s="911"/>
      <c r="G36" s="911"/>
    </row>
    <row r="37" spans="1:7" ht="14.25" customHeight="1">
      <c r="A37" s="141"/>
      <c r="B37" s="911"/>
      <c r="C37" s="911"/>
      <c r="D37" s="911"/>
      <c r="E37" s="911"/>
      <c r="F37" s="911"/>
      <c r="G37" s="911"/>
    </row>
    <row r="38" spans="1:7" ht="12.75" customHeight="1">
      <c r="A38" s="141" t="s">
        <v>46</v>
      </c>
      <c r="B38" s="911"/>
      <c r="C38" s="911"/>
      <c r="D38" s="911"/>
      <c r="E38" s="911"/>
      <c r="F38" s="911"/>
      <c r="G38" s="911"/>
    </row>
    <row r="39" spans="1:7">
      <c r="A39" s="2" t="s">
        <v>2134</v>
      </c>
      <c r="B39" s="201"/>
      <c r="C39" s="201"/>
      <c r="D39" s="201"/>
      <c r="E39" s="201"/>
      <c r="F39" s="201"/>
      <c r="G39" s="201"/>
    </row>
    <row r="40" spans="1:7">
      <c r="A40" s="2" t="s">
        <v>2135</v>
      </c>
      <c r="B40" s="201"/>
      <c r="C40" s="201"/>
      <c r="D40" s="201"/>
      <c r="E40" s="201"/>
      <c r="F40" s="201"/>
      <c r="G40" s="201"/>
    </row>
    <row r="41" spans="1:7">
      <c r="A41" s="1104" t="s">
        <v>271</v>
      </c>
      <c r="B41" s="201"/>
      <c r="C41" s="201"/>
      <c r="D41" s="201"/>
      <c r="E41" s="201"/>
      <c r="F41" s="201"/>
      <c r="G41" s="201"/>
    </row>
    <row r="42" spans="1:7">
      <c r="A42" s="1104" t="s">
        <v>272</v>
      </c>
      <c r="B42" s="201"/>
      <c r="C42" s="201"/>
      <c r="D42" s="201"/>
      <c r="E42" s="201"/>
      <c r="F42" s="201"/>
      <c r="G42" s="201"/>
    </row>
    <row r="43" spans="1:7">
      <c r="A43" s="1104" t="s">
        <v>273</v>
      </c>
      <c r="B43" s="201"/>
      <c r="C43" s="201"/>
      <c r="D43" s="201"/>
      <c r="E43" s="201"/>
      <c r="F43" s="201"/>
      <c r="G43" s="201"/>
    </row>
    <row r="44" spans="1:7">
      <c r="B44" s="201"/>
      <c r="C44" s="201"/>
      <c r="D44" s="201"/>
      <c r="E44" s="201"/>
      <c r="F44" s="201"/>
      <c r="G44" s="201"/>
    </row>
    <row r="45" spans="1:7">
      <c r="B45" s="201"/>
      <c r="C45" s="201"/>
      <c r="D45" s="201"/>
      <c r="E45" s="201"/>
      <c r="F45" s="201"/>
      <c r="G45" s="201"/>
    </row>
    <row r="46" spans="1:7">
      <c r="A46" s="2" t="s">
        <v>710</v>
      </c>
      <c r="B46" s="201"/>
      <c r="C46" s="201"/>
      <c r="D46" s="201"/>
      <c r="E46" s="201"/>
      <c r="F46" s="201"/>
      <c r="G46" s="201"/>
    </row>
  </sheetData>
  <phoneticPr fontId="0" type="noConversion"/>
  <pageMargins left="0.67" right="0.54" top="0.67" bottom="0.47244094488188981" header="0.49" footer="0.51181102362204722"/>
  <pageSetup paperSize="9" scale="79" orientation="portrait"/>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0600A-FF95-3743-8528-7779184E7911}">
  <sheetPr>
    <pageSetUpPr fitToPage="1"/>
  </sheetPr>
  <dimension ref="A1:F46"/>
  <sheetViews>
    <sheetView topLeftCell="A27" zoomScale="75" workbookViewId="0">
      <selection activeCell="G43" sqref="G43"/>
    </sheetView>
  </sheetViews>
  <sheetFormatPr baseColWidth="10" defaultColWidth="11.3984375" defaultRowHeight="13"/>
  <cols>
    <col min="1" max="1" width="21.19921875" style="2" customWidth="1"/>
    <col min="2" max="2" width="15.19921875" style="2" customWidth="1"/>
    <col min="3" max="3" width="14.19921875" style="2" customWidth="1"/>
    <col min="4" max="4" width="15.59765625" style="2" customWidth="1"/>
    <col min="5" max="5" width="15.3984375" style="2" customWidth="1"/>
    <col min="6" max="6" width="14.3984375" style="2" customWidth="1"/>
    <col min="7" max="7" width="15.59765625" style="2" customWidth="1"/>
    <col min="8" max="16384" width="11.3984375" style="2"/>
  </cols>
  <sheetData>
    <row r="1" spans="1:6" s="1" customFormat="1" ht="14" customHeight="1">
      <c r="A1" s="271"/>
      <c r="B1" s="271"/>
      <c r="C1" s="271"/>
      <c r="D1" s="271"/>
      <c r="E1" s="271"/>
      <c r="F1" s="271"/>
    </row>
    <row r="2" spans="1:6" s="1" customFormat="1" ht="18.75" customHeight="1">
      <c r="A2" s="894" t="s">
        <v>2132</v>
      </c>
      <c r="B2" s="271"/>
      <c r="C2" s="271"/>
      <c r="D2" s="271"/>
      <c r="E2" s="271"/>
      <c r="F2" s="271"/>
    </row>
    <row r="3" spans="1:6" s="1" customFormat="1" ht="22.5" customHeight="1">
      <c r="A3" s="894" t="s">
        <v>1593</v>
      </c>
      <c r="B3" s="271"/>
      <c r="C3" s="271"/>
      <c r="D3" s="271"/>
      <c r="E3" s="271"/>
      <c r="F3" s="271"/>
    </row>
    <row r="4" spans="1:6" ht="24" customHeight="1">
      <c r="A4" s="119" t="s">
        <v>1797</v>
      </c>
      <c r="B4" s="895">
        <v>0.05</v>
      </c>
      <c r="C4" s="896">
        <v>0.25</v>
      </c>
      <c r="D4" s="895">
        <v>0.5</v>
      </c>
      <c r="E4" s="896">
        <v>0.25</v>
      </c>
      <c r="F4" s="895">
        <v>0.05</v>
      </c>
    </row>
    <row r="5" spans="1:6" ht="73.5" customHeight="1">
      <c r="A5" s="325"/>
      <c r="B5" s="899" t="s">
        <v>2129</v>
      </c>
      <c r="C5" s="900" t="s">
        <v>2129</v>
      </c>
      <c r="D5" s="899" t="s">
        <v>2130</v>
      </c>
      <c r="E5" s="900" t="s">
        <v>2131</v>
      </c>
      <c r="F5" s="899" t="s">
        <v>2131</v>
      </c>
    </row>
    <row r="6" spans="1:6" ht="16" customHeight="1">
      <c r="A6" s="326"/>
      <c r="B6" s="129"/>
      <c r="C6" s="128"/>
      <c r="D6" s="129"/>
      <c r="E6" s="128"/>
      <c r="F6" s="154"/>
    </row>
    <row r="7" spans="1:6" ht="30" customHeight="1" thickBot="1">
      <c r="A7" s="704" t="s">
        <v>1807</v>
      </c>
      <c r="B7" s="185">
        <v>75.400000000000006</v>
      </c>
      <c r="C7" s="184">
        <v>82.5</v>
      </c>
      <c r="D7" s="185">
        <v>86.1</v>
      </c>
      <c r="E7" s="184">
        <v>104</v>
      </c>
      <c r="F7" s="185">
        <v>106.5</v>
      </c>
    </row>
    <row r="8" spans="1:6" ht="20" customHeight="1" thickBot="1">
      <c r="A8" s="705" t="s">
        <v>1808</v>
      </c>
      <c r="B8" s="188">
        <v>79.2</v>
      </c>
      <c r="C8" s="187">
        <v>87</v>
      </c>
      <c r="D8" s="188">
        <v>95</v>
      </c>
      <c r="E8" s="187">
        <v>123.8</v>
      </c>
      <c r="F8" s="188">
        <v>127.5</v>
      </c>
    </row>
    <row r="9" spans="1:6" ht="20" customHeight="1" thickBot="1">
      <c r="A9" s="705" t="s">
        <v>1809</v>
      </c>
      <c r="B9" s="188">
        <v>66</v>
      </c>
      <c r="C9" s="187">
        <v>69.25</v>
      </c>
      <c r="D9" s="188">
        <v>78.8</v>
      </c>
      <c r="E9" s="187">
        <v>90.1</v>
      </c>
      <c r="F9" s="188">
        <v>94</v>
      </c>
    </row>
    <row r="10" spans="1:6" ht="20" customHeight="1" thickBot="1">
      <c r="A10" s="705" t="s">
        <v>1810</v>
      </c>
      <c r="B10" s="188">
        <v>65.8</v>
      </c>
      <c r="C10" s="187">
        <v>70.849999999999994</v>
      </c>
      <c r="D10" s="188">
        <v>71.2</v>
      </c>
      <c r="E10" s="187">
        <v>80.8</v>
      </c>
      <c r="F10" s="188">
        <v>83.8</v>
      </c>
    </row>
    <row r="11" spans="1:6" ht="20" customHeight="1" thickBot="1">
      <c r="A11" s="705" t="s">
        <v>1811</v>
      </c>
      <c r="B11" s="188">
        <v>67.8</v>
      </c>
      <c r="C11" s="187">
        <v>72.150000000000006</v>
      </c>
      <c r="D11" s="188">
        <v>77.3</v>
      </c>
      <c r="E11" s="187">
        <v>87</v>
      </c>
      <c r="F11" s="188">
        <v>87.5</v>
      </c>
    </row>
    <row r="12" spans="1:6" ht="20" customHeight="1" thickBot="1">
      <c r="A12" s="705" t="s">
        <v>1812</v>
      </c>
      <c r="B12" s="188">
        <v>67.2</v>
      </c>
      <c r="C12" s="187">
        <v>67.25</v>
      </c>
      <c r="D12" s="188">
        <v>77.8</v>
      </c>
      <c r="E12" s="187">
        <v>80</v>
      </c>
      <c r="F12" s="188">
        <v>81.400000000000006</v>
      </c>
    </row>
    <row r="13" spans="1:6" ht="20" customHeight="1" thickBot="1">
      <c r="A13" s="705" t="s">
        <v>1813</v>
      </c>
      <c r="B13" s="188">
        <v>63.8</v>
      </c>
      <c r="C13" s="187">
        <v>64.55</v>
      </c>
      <c r="D13" s="188">
        <v>64.599999999999994</v>
      </c>
      <c r="E13" s="187">
        <v>78</v>
      </c>
      <c r="F13" s="188">
        <v>82.5</v>
      </c>
    </row>
    <row r="14" spans="1:6" ht="20" customHeight="1" thickBot="1">
      <c r="A14" s="705" t="s">
        <v>1814</v>
      </c>
      <c r="B14" s="188">
        <v>58</v>
      </c>
      <c r="C14" s="187">
        <v>65</v>
      </c>
      <c r="D14" s="188">
        <v>75.650000000000006</v>
      </c>
      <c r="E14" s="187">
        <v>82.5</v>
      </c>
      <c r="F14" s="188">
        <v>86.5</v>
      </c>
    </row>
    <row r="15" spans="1:6" ht="20" customHeight="1" thickBot="1">
      <c r="A15" s="705" t="s">
        <v>1815</v>
      </c>
      <c r="B15" s="188">
        <v>65</v>
      </c>
      <c r="C15" s="187">
        <v>74</v>
      </c>
      <c r="D15" s="188">
        <v>75.75</v>
      </c>
      <c r="E15" s="187">
        <v>86.3</v>
      </c>
      <c r="F15" s="188">
        <v>86.3</v>
      </c>
    </row>
    <row r="16" spans="1:6" ht="20" customHeight="1" thickBot="1">
      <c r="A16" s="705" t="s">
        <v>1816</v>
      </c>
      <c r="B16" s="188">
        <v>73.3</v>
      </c>
      <c r="C16" s="187">
        <v>78.3</v>
      </c>
      <c r="D16" s="188">
        <v>80.8</v>
      </c>
      <c r="E16" s="187">
        <v>91.5</v>
      </c>
      <c r="F16" s="188">
        <v>96</v>
      </c>
    </row>
    <row r="17" spans="1:6" ht="20" customHeight="1" thickBot="1">
      <c r="A17" s="705" t="s">
        <v>1817</v>
      </c>
      <c r="B17" s="188">
        <v>70.599999999999994</v>
      </c>
      <c r="C17" s="187">
        <v>76.900000000000006</v>
      </c>
      <c r="D17" s="188">
        <v>91.5</v>
      </c>
      <c r="E17" s="187">
        <v>99.5</v>
      </c>
      <c r="F17" s="188">
        <v>111.2</v>
      </c>
    </row>
    <row r="18" spans="1:6" ht="20" customHeight="1" thickBot="1">
      <c r="A18" s="705" t="s">
        <v>1818</v>
      </c>
      <c r="B18" s="188">
        <v>98</v>
      </c>
      <c r="C18" s="187">
        <v>116.4</v>
      </c>
      <c r="D18" s="188">
        <v>124.8</v>
      </c>
      <c r="E18" s="187">
        <v>130.1</v>
      </c>
      <c r="F18" s="188">
        <v>134.4</v>
      </c>
    </row>
    <row r="19" spans="1:6" ht="20" customHeight="1" thickBot="1">
      <c r="A19" s="705" t="s">
        <v>1819</v>
      </c>
      <c r="B19" s="188">
        <v>85.25</v>
      </c>
      <c r="C19" s="187">
        <v>91.65</v>
      </c>
      <c r="D19" s="188">
        <v>96.5</v>
      </c>
      <c r="E19" s="187">
        <v>113.3</v>
      </c>
      <c r="F19" s="188">
        <v>114.6</v>
      </c>
    </row>
    <row r="20" spans="1:6" ht="20" customHeight="1" thickBot="1">
      <c r="A20" s="705" t="s">
        <v>1820</v>
      </c>
      <c r="B20" s="188">
        <v>69.8</v>
      </c>
      <c r="C20" s="187">
        <v>80</v>
      </c>
      <c r="D20" s="188">
        <v>86</v>
      </c>
      <c r="E20" s="187">
        <v>97.3</v>
      </c>
      <c r="F20" s="188">
        <v>102.2</v>
      </c>
    </row>
    <row r="21" spans="1:6" ht="20" customHeight="1" thickBot="1">
      <c r="A21" s="705" t="s">
        <v>1821</v>
      </c>
      <c r="B21" s="188">
        <v>55.8</v>
      </c>
      <c r="C21" s="187">
        <v>64.2</v>
      </c>
      <c r="D21" s="188">
        <v>73.8</v>
      </c>
      <c r="E21" s="187">
        <v>85</v>
      </c>
      <c r="F21" s="188">
        <v>87.3</v>
      </c>
    </row>
    <row r="22" spans="1:6" ht="20" customHeight="1" thickBot="1">
      <c r="A22" s="705" t="s">
        <v>1822</v>
      </c>
      <c r="B22" s="188">
        <v>53</v>
      </c>
      <c r="C22" s="187">
        <v>63.95</v>
      </c>
      <c r="D22" s="188">
        <v>68.8</v>
      </c>
      <c r="E22" s="187">
        <v>71.5</v>
      </c>
      <c r="F22" s="188">
        <v>77.599999999999994</v>
      </c>
    </row>
    <row r="23" spans="1:6" ht="20" customHeight="1" thickBot="1">
      <c r="A23" s="705" t="s">
        <v>1823</v>
      </c>
      <c r="B23" s="188">
        <v>69.650000000000006</v>
      </c>
      <c r="C23" s="187">
        <v>76.45</v>
      </c>
      <c r="D23" s="188">
        <v>81</v>
      </c>
      <c r="E23" s="187">
        <v>92.5</v>
      </c>
      <c r="F23" s="188">
        <v>93</v>
      </c>
    </row>
    <row r="24" spans="1:6" ht="20" customHeight="1" thickBot="1">
      <c r="A24" s="705" t="s">
        <v>1824</v>
      </c>
      <c r="B24" s="188">
        <v>65.400000000000006</v>
      </c>
      <c r="C24" s="187">
        <v>75.5</v>
      </c>
      <c r="D24" s="188">
        <v>75.5</v>
      </c>
      <c r="E24" s="187">
        <v>85.8</v>
      </c>
      <c r="F24" s="188">
        <v>87.9</v>
      </c>
    </row>
    <row r="25" spans="1:6" ht="20" customHeight="1" thickBot="1">
      <c r="A25" s="705" t="s">
        <v>1825</v>
      </c>
      <c r="B25" s="188">
        <v>73</v>
      </c>
      <c r="C25" s="187">
        <v>75.349999999999994</v>
      </c>
      <c r="D25" s="188">
        <v>85.8</v>
      </c>
      <c r="E25" s="187">
        <v>94.5</v>
      </c>
      <c r="F25" s="188">
        <v>97.5</v>
      </c>
    </row>
    <row r="26" spans="1:6" ht="20" customHeight="1" thickBot="1">
      <c r="A26" s="705" t="s">
        <v>1826</v>
      </c>
      <c r="B26" s="188">
        <v>71</v>
      </c>
      <c r="C26" s="187">
        <v>80.5</v>
      </c>
      <c r="D26" s="188">
        <v>83.7</v>
      </c>
      <c r="E26" s="187">
        <v>88.3</v>
      </c>
      <c r="F26" s="188">
        <v>90</v>
      </c>
    </row>
    <row r="27" spans="1:6" ht="20" customHeight="1" thickBot="1">
      <c r="A27" s="705" t="s">
        <v>1827</v>
      </c>
      <c r="B27" s="188">
        <v>82.9</v>
      </c>
      <c r="C27" s="187">
        <v>89.3</v>
      </c>
      <c r="D27" s="188">
        <v>98.4</v>
      </c>
      <c r="E27" s="187">
        <v>113.1</v>
      </c>
      <c r="F27" s="188">
        <v>115</v>
      </c>
    </row>
    <row r="28" spans="1:6" ht="20" customHeight="1" thickBot="1">
      <c r="A28" s="705" t="s">
        <v>1828</v>
      </c>
      <c r="B28" s="188">
        <v>82.7</v>
      </c>
      <c r="C28" s="187">
        <v>89.8</v>
      </c>
      <c r="D28" s="188">
        <v>99</v>
      </c>
      <c r="E28" s="187">
        <v>121.9</v>
      </c>
      <c r="F28" s="188">
        <v>123.9</v>
      </c>
    </row>
    <row r="29" spans="1:6" ht="20" customHeight="1" thickBot="1">
      <c r="A29" s="705" t="s">
        <v>1829</v>
      </c>
      <c r="B29" s="188">
        <v>69</v>
      </c>
      <c r="C29" s="187">
        <v>72</v>
      </c>
      <c r="D29" s="188">
        <v>76</v>
      </c>
      <c r="E29" s="187">
        <v>89</v>
      </c>
      <c r="F29" s="188">
        <v>90.9</v>
      </c>
    </row>
    <row r="30" spans="1:6" ht="20" customHeight="1" thickBot="1">
      <c r="A30" s="705" t="s">
        <v>1830</v>
      </c>
      <c r="B30" s="188">
        <v>64</v>
      </c>
      <c r="C30" s="187">
        <v>64</v>
      </c>
      <c r="D30" s="188">
        <v>91.6</v>
      </c>
      <c r="E30" s="187">
        <v>111.5</v>
      </c>
      <c r="F30" s="188">
        <v>123.9</v>
      </c>
    </row>
    <row r="31" spans="1:6" ht="20" customHeight="1" thickBot="1">
      <c r="A31" s="705" t="s">
        <v>1831</v>
      </c>
      <c r="B31" s="188">
        <v>69.5</v>
      </c>
      <c r="C31" s="187">
        <v>97</v>
      </c>
      <c r="D31" s="188">
        <v>105</v>
      </c>
      <c r="E31" s="187">
        <v>118.6</v>
      </c>
      <c r="F31" s="188">
        <v>129</v>
      </c>
    </row>
    <row r="32" spans="1:6" ht="20" customHeight="1" thickBot="1">
      <c r="A32" s="705" t="s">
        <v>1832</v>
      </c>
      <c r="B32" s="188">
        <v>65.099999999999994</v>
      </c>
      <c r="C32" s="187">
        <v>82</v>
      </c>
      <c r="D32" s="188">
        <v>87</v>
      </c>
      <c r="E32" s="187">
        <v>103.65</v>
      </c>
      <c r="F32" s="188">
        <v>103.65</v>
      </c>
    </row>
    <row r="33" spans="1:6" ht="30" customHeight="1" thickBot="1">
      <c r="A33" s="137" t="s">
        <v>1222</v>
      </c>
      <c r="B33" s="191">
        <v>67.25</v>
      </c>
      <c r="C33" s="190">
        <v>79</v>
      </c>
      <c r="D33" s="191">
        <v>86.8</v>
      </c>
      <c r="E33" s="190">
        <v>98.8</v>
      </c>
      <c r="F33" s="191">
        <v>120.5</v>
      </c>
    </row>
    <row r="34" spans="1:6" ht="20" customHeight="1">
      <c r="A34" s="140" t="s">
        <v>1594</v>
      </c>
      <c r="B34" s="910"/>
      <c r="C34" s="910"/>
      <c r="D34" s="910"/>
      <c r="E34" s="910"/>
      <c r="F34" s="910"/>
    </row>
    <row r="35" spans="1:6" ht="15.75" customHeight="1">
      <c r="A35" s="141"/>
      <c r="B35" s="911"/>
      <c r="C35" s="911"/>
      <c r="D35" s="911"/>
      <c r="E35" s="911"/>
      <c r="F35" s="911"/>
    </row>
    <row r="36" spans="1:6" ht="20.25" customHeight="1">
      <c r="A36" s="141" t="s">
        <v>45</v>
      </c>
      <c r="B36" s="911"/>
      <c r="C36" s="911"/>
      <c r="D36" s="911"/>
      <c r="E36" s="911"/>
      <c r="F36" s="911"/>
    </row>
    <row r="37" spans="1:6" ht="13.5" customHeight="1">
      <c r="A37" s="141"/>
      <c r="B37" s="911"/>
      <c r="C37" s="911"/>
      <c r="D37" s="911"/>
      <c r="E37" s="911"/>
      <c r="F37" s="911"/>
    </row>
    <row r="38" spans="1:6" ht="12.75" customHeight="1">
      <c r="A38" s="141" t="s">
        <v>46</v>
      </c>
      <c r="B38" s="911"/>
      <c r="C38" s="911"/>
      <c r="D38" s="911"/>
      <c r="E38" s="911"/>
      <c r="F38" s="911"/>
    </row>
    <row r="39" spans="1:6">
      <c r="A39" s="2" t="s">
        <v>2134</v>
      </c>
      <c r="B39" s="201"/>
      <c r="C39" s="201"/>
      <c r="D39" s="201"/>
      <c r="E39" s="201"/>
      <c r="F39" s="201"/>
    </row>
    <row r="40" spans="1:6">
      <c r="A40" s="2" t="s">
        <v>2135</v>
      </c>
      <c r="B40" s="201"/>
      <c r="C40" s="201"/>
      <c r="D40" s="201"/>
      <c r="E40" s="201"/>
      <c r="F40" s="201"/>
    </row>
    <row r="41" spans="1:6">
      <c r="A41" s="1104" t="s">
        <v>271</v>
      </c>
      <c r="B41" s="201"/>
      <c r="C41" s="201"/>
      <c r="D41" s="201"/>
      <c r="E41" s="201"/>
      <c r="F41" s="201"/>
    </row>
    <row r="42" spans="1:6">
      <c r="A42" s="1104" t="s">
        <v>272</v>
      </c>
      <c r="B42" s="201"/>
      <c r="C42" s="201"/>
      <c r="D42" s="201"/>
      <c r="E42" s="201"/>
      <c r="F42" s="201"/>
    </row>
    <row r="43" spans="1:6">
      <c r="A43" s="1104" t="s">
        <v>273</v>
      </c>
      <c r="B43" s="201"/>
      <c r="C43" s="201"/>
      <c r="D43" s="201"/>
      <c r="E43" s="201"/>
      <c r="F43" s="201"/>
    </row>
    <row r="44" spans="1:6">
      <c r="B44" s="201"/>
      <c r="C44" s="201"/>
      <c r="D44" s="201"/>
      <c r="E44" s="201"/>
      <c r="F44" s="201"/>
    </row>
    <row r="45" spans="1:6">
      <c r="B45" s="201"/>
      <c r="C45" s="201"/>
      <c r="D45" s="201"/>
      <c r="E45" s="201"/>
      <c r="F45" s="201"/>
    </row>
    <row r="46" spans="1:6">
      <c r="A46" s="2" t="s">
        <v>710</v>
      </c>
      <c r="B46" s="201"/>
      <c r="C46" s="201"/>
      <c r="D46" s="201"/>
      <c r="E46" s="201"/>
      <c r="F46" s="201"/>
    </row>
  </sheetData>
  <phoneticPr fontId="0" type="noConversion"/>
  <pageMargins left="0.65" right="0.54" top="0.69" bottom="0.47244094488188981" header="0.57999999999999996" footer="0.51181102362204722"/>
  <pageSetup paperSize="9" scale="83" orientation="portrait"/>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E09A7-E396-0241-AA03-508812B8D799}">
  <sheetPr>
    <pageSetUpPr fitToPage="1"/>
  </sheetPr>
  <dimension ref="A1:N40"/>
  <sheetViews>
    <sheetView zoomScale="75" workbookViewId="0">
      <selection activeCell="O3" sqref="O3"/>
    </sheetView>
  </sheetViews>
  <sheetFormatPr baseColWidth="10" defaultColWidth="11.3984375" defaultRowHeight="13"/>
  <cols>
    <col min="1" max="1" width="14.3984375" style="2" customWidth="1"/>
    <col min="2" max="3" width="0.19921875" style="2" customWidth="1"/>
    <col min="4" max="10" width="10.3984375" style="2" customWidth="1"/>
    <col min="11" max="11" width="10.59765625" style="2" customWidth="1"/>
    <col min="12" max="12" width="10.3984375" style="2" customWidth="1"/>
    <col min="13" max="16384" width="11.3984375" style="2"/>
  </cols>
  <sheetData>
    <row r="1" spans="1:14" s="1" customFormat="1" ht="14" customHeight="1"/>
    <row r="2" spans="1:14" s="1" customFormat="1" ht="30.75" customHeight="1">
      <c r="A2" s="177" t="s">
        <v>1192</v>
      </c>
      <c r="B2" s="478"/>
      <c r="C2" s="478"/>
      <c r="D2" s="478"/>
      <c r="E2" s="478"/>
      <c r="F2" s="478"/>
      <c r="G2" s="478"/>
      <c r="H2" s="478"/>
      <c r="I2" s="118"/>
      <c r="J2" s="118"/>
      <c r="K2" s="118"/>
      <c r="L2" s="118"/>
    </row>
    <row r="3" spans="1:14" ht="24" customHeight="1">
      <c r="A3" s="178" t="s">
        <v>1797</v>
      </c>
      <c r="B3" s="121">
        <v>1997</v>
      </c>
      <c r="C3" s="120">
        <v>1998</v>
      </c>
      <c r="D3" s="121">
        <v>1999</v>
      </c>
      <c r="E3" s="120">
        <v>2000</v>
      </c>
      <c r="F3" s="121">
        <v>2001</v>
      </c>
      <c r="G3" s="120">
        <v>2002</v>
      </c>
      <c r="H3" s="121">
        <v>2003</v>
      </c>
      <c r="I3" s="120">
        <v>2004</v>
      </c>
      <c r="J3" s="121">
        <v>2005</v>
      </c>
      <c r="K3" s="120">
        <v>2006</v>
      </c>
      <c r="L3" s="121">
        <v>2007</v>
      </c>
      <c r="M3" s="120">
        <v>2008</v>
      </c>
      <c r="N3" s="121">
        <v>2009</v>
      </c>
    </row>
    <row r="4" spans="1:14" ht="15" customHeight="1">
      <c r="A4" s="181"/>
      <c r="B4" s="124"/>
      <c r="C4" s="123"/>
      <c r="D4" s="124"/>
      <c r="E4" s="149"/>
      <c r="F4" s="150"/>
      <c r="G4" s="123"/>
      <c r="H4" s="124"/>
      <c r="I4" s="123"/>
      <c r="J4" s="124"/>
      <c r="K4" s="123"/>
      <c r="L4" s="124"/>
      <c r="M4" s="123"/>
      <c r="N4" s="124"/>
    </row>
    <row r="5" spans="1:14" ht="16" customHeight="1">
      <c r="A5" s="182"/>
      <c r="B5" s="128"/>
      <c r="C5" s="129"/>
      <c r="D5" s="128"/>
      <c r="E5" s="154"/>
      <c r="F5" s="153"/>
      <c r="G5" s="129"/>
      <c r="H5" s="128"/>
      <c r="I5" s="129"/>
      <c r="J5" s="128"/>
      <c r="K5" s="129"/>
      <c r="L5" s="128"/>
      <c r="M5" s="129"/>
      <c r="N5" s="128"/>
    </row>
    <row r="6" spans="1:14" ht="30" customHeight="1" thickBot="1">
      <c r="A6" s="183" t="s">
        <v>1807</v>
      </c>
      <c r="B6" s="184">
        <v>1688.02</v>
      </c>
      <c r="C6" s="185">
        <v>1799.51</v>
      </c>
      <c r="D6" s="184">
        <v>1859.45</v>
      </c>
      <c r="E6" s="185">
        <v>1932.17</v>
      </c>
      <c r="F6" s="184">
        <v>2000.67</v>
      </c>
      <c r="G6" s="185">
        <v>2175.9</v>
      </c>
      <c r="H6" s="171">
        <v>2366.81</v>
      </c>
      <c r="I6" s="170">
        <v>2495.12</v>
      </c>
      <c r="J6" s="171">
        <v>2512.46</v>
      </c>
      <c r="K6" s="170">
        <v>2597.37</v>
      </c>
      <c r="L6" s="171">
        <v>2607.38</v>
      </c>
      <c r="M6" s="170">
        <v>2568.2800000000002</v>
      </c>
      <c r="N6" s="171">
        <v>2553.0417138843345</v>
      </c>
    </row>
    <row r="7" spans="1:14" ht="20" customHeight="1" thickBot="1">
      <c r="A7" s="186" t="s">
        <v>1808</v>
      </c>
      <c r="B7" s="187">
        <v>1610.77</v>
      </c>
      <c r="C7" s="188">
        <v>1713.16</v>
      </c>
      <c r="D7" s="187">
        <v>1780.25</v>
      </c>
      <c r="E7" s="188">
        <v>1812.27</v>
      </c>
      <c r="F7" s="187">
        <v>1870.42</v>
      </c>
      <c r="G7" s="188">
        <v>2082.84</v>
      </c>
      <c r="H7" s="171">
        <v>2276.4499999999998</v>
      </c>
      <c r="I7" s="170">
        <v>2416.31</v>
      </c>
      <c r="J7" s="171">
        <v>2477.62</v>
      </c>
      <c r="K7" s="170">
        <v>2658.08</v>
      </c>
      <c r="L7" s="171">
        <v>2719.2</v>
      </c>
      <c r="M7" s="170">
        <v>2704.46</v>
      </c>
      <c r="N7" s="171">
        <v>2759.6216653565525</v>
      </c>
    </row>
    <row r="8" spans="1:14" ht="20" customHeight="1" thickBot="1">
      <c r="A8" s="186" t="s">
        <v>1809</v>
      </c>
      <c r="B8" s="187">
        <v>1310.87</v>
      </c>
      <c r="C8" s="188">
        <v>1376.77</v>
      </c>
      <c r="D8" s="187">
        <v>1372.72</v>
      </c>
      <c r="E8" s="188">
        <v>1445.98</v>
      </c>
      <c r="F8" s="187">
        <v>1524.97</v>
      </c>
      <c r="G8" s="188">
        <v>1680.73</v>
      </c>
      <c r="H8" s="171">
        <v>1833.21</v>
      </c>
      <c r="I8" s="170">
        <v>1964.57</v>
      </c>
      <c r="J8" s="171">
        <v>2018.62</v>
      </c>
      <c r="K8" s="170">
        <v>2089.5100000000002</v>
      </c>
      <c r="L8" s="171">
        <v>2142.65</v>
      </c>
      <c r="M8" s="170">
        <v>2125.62</v>
      </c>
      <c r="N8" s="171">
        <v>2171.352517674145</v>
      </c>
    </row>
    <row r="9" spans="1:14" ht="20" customHeight="1" thickBot="1">
      <c r="A9" s="186" t="s">
        <v>1810</v>
      </c>
      <c r="B9" s="187">
        <v>1327.83</v>
      </c>
      <c r="C9" s="188">
        <v>1370.87</v>
      </c>
      <c r="D9" s="187">
        <v>1354.37</v>
      </c>
      <c r="E9" s="188">
        <v>1389.03</v>
      </c>
      <c r="F9" s="187">
        <v>1438.94</v>
      </c>
      <c r="G9" s="188">
        <v>1573.5</v>
      </c>
      <c r="H9" s="171">
        <v>1729.88</v>
      </c>
      <c r="I9" s="170">
        <v>1826.57</v>
      </c>
      <c r="J9" s="171">
        <v>1872.59</v>
      </c>
      <c r="K9" s="170">
        <v>1899.6</v>
      </c>
      <c r="L9" s="171">
        <v>1931.59</v>
      </c>
      <c r="M9" s="170">
        <v>1911.84</v>
      </c>
      <c r="N9" s="171">
        <v>1955.006748060292</v>
      </c>
    </row>
    <row r="10" spans="1:14" ht="20" customHeight="1" thickBot="1">
      <c r="A10" s="186" t="s">
        <v>1811</v>
      </c>
      <c r="B10" s="187">
        <v>1378.39</v>
      </c>
      <c r="C10" s="188">
        <v>1421.61</v>
      </c>
      <c r="D10" s="187">
        <v>1399.03</v>
      </c>
      <c r="E10" s="188">
        <v>1426.25</v>
      </c>
      <c r="F10" s="187">
        <v>1495.42</v>
      </c>
      <c r="G10" s="188">
        <v>1667.21</v>
      </c>
      <c r="H10" s="171">
        <v>1832.71</v>
      </c>
      <c r="I10" s="170">
        <v>1957.54</v>
      </c>
      <c r="J10" s="171">
        <v>2019.36</v>
      </c>
      <c r="K10" s="170">
        <v>2081.8000000000002</v>
      </c>
      <c r="L10" s="171">
        <v>2113.37</v>
      </c>
      <c r="M10" s="170">
        <v>2104.39</v>
      </c>
      <c r="N10" s="171">
        <v>2138.5684760685695</v>
      </c>
    </row>
    <row r="11" spans="1:14" ht="20" customHeight="1" thickBot="1">
      <c r="A11" s="186" t="s">
        <v>1812</v>
      </c>
      <c r="B11" s="187">
        <v>1311.57</v>
      </c>
      <c r="C11" s="188">
        <v>1338.4</v>
      </c>
      <c r="D11" s="187">
        <v>1334.71</v>
      </c>
      <c r="E11" s="188">
        <v>1366.66</v>
      </c>
      <c r="F11" s="187">
        <v>1424.17</v>
      </c>
      <c r="G11" s="188">
        <v>1534.16</v>
      </c>
      <c r="H11" s="171">
        <v>1624.62</v>
      </c>
      <c r="I11" s="170">
        <v>1734.01</v>
      </c>
      <c r="J11" s="171">
        <v>1787.8</v>
      </c>
      <c r="K11" s="170">
        <v>1845.75</v>
      </c>
      <c r="L11" s="171">
        <v>1882.79</v>
      </c>
      <c r="M11" s="170">
        <v>1880.03</v>
      </c>
      <c r="N11" s="171">
        <v>1944.3164077974288</v>
      </c>
    </row>
    <row r="12" spans="1:14" ht="20" customHeight="1" thickBot="1">
      <c r="A12" s="186" t="s">
        <v>1813</v>
      </c>
      <c r="B12" s="187">
        <v>1279.67</v>
      </c>
      <c r="C12" s="188">
        <v>1306.6500000000001</v>
      </c>
      <c r="D12" s="187">
        <v>1290.04</v>
      </c>
      <c r="E12" s="188">
        <v>1317.38</v>
      </c>
      <c r="F12" s="187">
        <v>1362.46</v>
      </c>
      <c r="G12" s="188">
        <v>1471.56</v>
      </c>
      <c r="H12" s="171">
        <v>1597.44</v>
      </c>
      <c r="I12" s="170">
        <v>1703.3</v>
      </c>
      <c r="J12" s="171">
        <v>1752.65</v>
      </c>
      <c r="K12" s="170">
        <v>1803.54</v>
      </c>
      <c r="L12" s="171">
        <v>1836.01</v>
      </c>
      <c r="M12" s="170">
        <v>1823.58</v>
      </c>
      <c r="N12" s="171">
        <v>1867.5283697227594</v>
      </c>
    </row>
    <row r="13" spans="1:14" ht="20" customHeight="1" thickBot="1">
      <c r="A13" s="186" t="s">
        <v>1814</v>
      </c>
      <c r="B13" s="187">
        <v>1314.66</v>
      </c>
      <c r="C13" s="188">
        <v>1401.63</v>
      </c>
      <c r="D13" s="187">
        <v>1415.91</v>
      </c>
      <c r="E13" s="188">
        <v>1452.85</v>
      </c>
      <c r="F13" s="187">
        <v>1515.31</v>
      </c>
      <c r="G13" s="188">
        <v>1686.02</v>
      </c>
      <c r="H13" s="171">
        <v>1873.67</v>
      </c>
      <c r="I13" s="170">
        <v>1994.02</v>
      </c>
      <c r="J13" s="171">
        <v>2059.5700000000002</v>
      </c>
      <c r="K13" s="170">
        <v>2139.7199999999998</v>
      </c>
      <c r="L13" s="171">
        <v>2193.9</v>
      </c>
      <c r="M13" s="170">
        <v>2173.87</v>
      </c>
      <c r="N13" s="171">
        <v>2204.6169963077955</v>
      </c>
    </row>
    <row r="14" spans="1:14" ht="20" customHeight="1" thickBot="1">
      <c r="A14" s="186" t="s">
        <v>1815</v>
      </c>
      <c r="B14" s="187">
        <v>1391.21</v>
      </c>
      <c r="C14" s="188">
        <v>1395.83</v>
      </c>
      <c r="D14" s="187">
        <v>1376.28</v>
      </c>
      <c r="E14" s="188">
        <v>1416.79</v>
      </c>
      <c r="F14" s="187">
        <v>1476.5</v>
      </c>
      <c r="G14" s="188">
        <v>1628.62</v>
      </c>
      <c r="H14" s="171">
        <v>1804.72</v>
      </c>
      <c r="I14" s="170">
        <v>1965.66</v>
      </c>
      <c r="J14" s="171">
        <v>2020.31</v>
      </c>
      <c r="K14" s="170">
        <v>2088.7399999999998</v>
      </c>
      <c r="L14" s="171">
        <v>2120.6999999999998</v>
      </c>
      <c r="M14" s="170">
        <v>2089.59</v>
      </c>
      <c r="N14" s="171">
        <v>2124.2562209431949</v>
      </c>
    </row>
    <row r="15" spans="1:14" ht="20" customHeight="1" thickBot="1">
      <c r="A15" s="186" t="s">
        <v>1816</v>
      </c>
      <c r="B15" s="187">
        <v>1662.52</v>
      </c>
      <c r="C15" s="188">
        <v>1691.51</v>
      </c>
      <c r="D15" s="187">
        <v>1708.26</v>
      </c>
      <c r="E15" s="188">
        <v>1792.77</v>
      </c>
      <c r="F15" s="187">
        <v>1884.13</v>
      </c>
      <c r="G15" s="188">
        <v>2032.77</v>
      </c>
      <c r="H15" s="171">
        <v>2145.92</v>
      </c>
      <c r="I15" s="170">
        <v>2232.06</v>
      </c>
      <c r="J15" s="171">
        <v>2290.17</v>
      </c>
      <c r="K15" s="170">
        <v>2366.2199999999998</v>
      </c>
      <c r="L15" s="171">
        <v>2383.66</v>
      </c>
      <c r="M15" s="170">
        <v>2358.3200000000002</v>
      </c>
      <c r="N15" s="171">
        <v>2384.3628245658833</v>
      </c>
    </row>
    <row r="16" spans="1:14" ht="20" customHeight="1" thickBot="1">
      <c r="A16" s="186" t="s">
        <v>1817</v>
      </c>
      <c r="B16" s="187">
        <v>1528.63</v>
      </c>
      <c r="C16" s="188">
        <v>1671.86</v>
      </c>
      <c r="D16" s="187">
        <v>1674.73</v>
      </c>
      <c r="E16" s="188">
        <v>1732.84</v>
      </c>
      <c r="F16" s="187">
        <v>1798.83</v>
      </c>
      <c r="G16" s="188">
        <v>1932.71</v>
      </c>
      <c r="H16" s="171">
        <v>2101.9899999999998</v>
      </c>
      <c r="I16" s="170">
        <v>2241.66</v>
      </c>
      <c r="J16" s="171">
        <v>2287.27</v>
      </c>
      <c r="K16" s="170">
        <v>2348.75</v>
      </c>
      <c r="L16" s="171">
        <v>2377.7600000000002</v>
      </c>
      <c r="M16" s="170">
        <v>2384.2399999999998</v>
      </c>
      <c r="N16" s="171">
        <v>2430.7046474771378</v>
      </c>
    </row>
    <row r="17" spans="1:14" ht="20" customHeight="1" thickBot="1">
      <c r="A17" s="186" t="s">
        <v>1818</v>
      </c>
      <c r="B17" s="187">
        <v>2134.35</v>
      </c>
      <c r="C17" s="188">
        <v>2306.19</v>
      </c>
      <c r="D17" s="187">
        <v>2446.3200000000002</v>
      </c>
      <c r="E17" s="188">
        <v>2556.6999999999998</v>
      </c>
      <c r="F17" s="187">
        <v>2691.54</v>
      </c>
      <c r="G17" s="188">
        <v>2885.13</v>
      </c>
      <c r="H17" s="171">
        <v>3131.64</v>
      </c>
      <c r="I17" s="170">
        <v>3389.7</v>
      </c>
      <c r="J17" s="171">
        <v>3454.84</v>
      </c>
      <c r="K17" s="170">
        <v>3572</v>
      </c>
      <c r="L17" s="171">
        <v>3607.85</v>
      </c>
      <c r="M17" s="170">
        <v>3582.4</v>
      </c>
      <c r="N17" s="171">
        <v>3636.9303412384484</v>
      </c>
    </row>
    <row r="18" spans="1:14" ht="20" customHeight="1" thickBot="1">
      <c r="A18" s="186" t="s">
        <v>1819</v>
      </c>
      <c r="B18" s="187">
        <v>1756.37</v>
      </c>
      <c r="C18" s="188">
        <v>1850.43</v>
      </c>
      <c r="D18" s="187">
        <v>1846.14</v>
      </c>
      <c r="E18" s="188">
        <v>1899.24</v>
      </c>
      <c r="F18" s="187">
        <v>1967.11</v>
      </c>
      <c r="G18" s="188">
        <v>2139.59</v>
      </c>
      <c r="H18" s="171">
        <v>2334.69</v>
      </c>
      <c r="I18" s="170">
        <v>2504.48</v>
      </c>
      <c r="J18" s="171">
        <v>2542.48</v>
      </c>
      <c r="K18" s="170">
        <v>2624.88</v>
      </c>
      <c r="L18" s="171">
        <v>2668.04</v>
      </c>
      <c r="M18" s="170">
        <v>2654.07</v>
      </c>
      <c r="N18" s="171">
        <v>2720.5119199181258</v>
      </c>
    </row>
    <row r="19" spans="1:14" ht="20" customHeight="1" thickBot="1">
      <c r="A19" s="186" t="s">
        <v>1820</v>
      </c>
      <c r="B19" s="187">
        <v>1505.08</v>
      </c>
      <c r="C19" s="188">
        <v>1601.39</v>
      </c>
      <c r="D19" s="187">
        <v>1633.62</v>
      </c>
      <c r="E19" s="188">
        <v>1686.78</v>
      </c>
      <c r="F19" s="187">
        <v>1766.11</v>
      </c>
      <c r="G19" s="188">
        <v>1981.87</v>
      </c>
      <c r="H19" s="171">
        <v>2190.31</v>
      </c>
      <c r="I19" s="170">
        <v>2327.5</v>
      </c>
      <c r="J19" s="171">
        <v>2363.2399999999998</v>
      </c>
      <c r="K19" s="170">
        <v>2444.56</v>
      </c>
      <c r="L19" s="171">
        <v>2493.17</v>
      </c>
      <c r="M19" s="170">
        <v>2479.8200000000002</v>
      </c>
      <c r="N19" s="171">
        <v>2492.4390560167353</v>
      </c>
    </row>
    <row r="20" spans="1:14" ht="20" customHeight="1" thickBot="1">
      <c r="A20" s="186" t="s">
        <v>1821</v>
      </c>
      <c r="B20" s="187">
        <v>1258.0999999999999</v>
      </c>
      <c r="C20" s="188">
        <v>1328.57</v>
      </c>
      <c r="D20" s="187">
        <v>1316.4</v>
      </c>
      <c r="E20" s="188">
        <v>1345.5</v>
      </c>
      <c r="F20" s="187">
        <v>1414.62</v>
      </c>
      <c r="G20" s="188">
        <v>1544.03</v>
      </c>
      <c r="H20" s="171">
        <v>1703.59</v>
      </c>
      <c r="I20" s="170">
        <v>1786.16</v>
      </c>
      <c r="J20" s="171">
        <v>1841.02</v>
      </c>
      <c r="K20" s="170">
        <v>1925.49</v>
      </c>
      <c r="L20" s="171">
        <v>1947.56</v>
      </c>
      <c r="M20" s="170">
        <v>1939.81</v>
      </c>
      <c r="N20" s="171">
        <v>1980.3919865184796</v>
      </c>
    </row>
    <row r="21" spans="1:14" ht="20" customHeight="1" thickBot="1">
      <c r="A21" s="186" t="s">
        <v>1822</v>
      </c>
      <c r="B21" s="187">
        <v>1115.75</v>
      </c>
      <c r="C21" s="188">
        <v>1159.99</v>
      </c>
      <c r="D21" s="187">
        <v>1141.01</v>
      </c>
      <c r="E21" s="188">
        <v>1157.06</v>
      </c>
      <c r="F21" s="187">
        <v>1243.0999999999999</v>
      </c>
      <c r="G21" s="188">
        <v>1360.38</v>
      </c>
      <c r="H21" s="171">
        <v>1486.23</v>
      </c>
      <c r="I21" s="170">
        <v>1572.95</v>
      </c>
      <c r="J21" s="171">
        <v>1625.7</v>
      </c>
      <c r="K21" s="170">
        <v>1711.9</v>
      </c>
      <c r="L21" s="171">
        <v>1755.14</v>
      </c>
      <c r="M21" s="170">
        <v>1767.98</v>
      </c>
      <c r="N21" s="171">
        <v>1808.2572305818178</v>
      </c>
    </row>
    <row r="22" spans="1:14" ht="20" customHeight="1" thickBot="1">
      <c r="A22" s="186" t="s">
        <v>1823</v>
      </c>
      <c r="B22" s="187">
        <v>1298.1600000000001</v>
      </c>
      <c r="C22" s="188">
        <v>1383.71</v>
      </c>
      <c r="D22" s="187">
        <v>1410.02</v>
      </c>
      <c r="E22" s="188">
        <v>1446.47</v>
      </c>
      <c r="F22" s="187">
        <v>1514.53</v>
      </c>
      <c r="G22" s="188">
        <v>1649.28</v>
      </c>
      <c r="H22" s="171">
        <v>1789.76</v>
      </c>
      <c r="I22" s="170">
        <v>1926.47</v>
      </c>
      <c r="J22" s="171">
        <v>1987.94</v>
      </c>
      <c r="K22" s="170">
        <v>2078.19</v>
      </c>
      <c r="L22" s="171">
        <v>2110.17</v>
      </c>
      <c r="M22" s="170">
        <v>2118.61</v>
      </c>
      <c r="N22" s="171">
        <v>2162.9519973111946</v>
      </c>
    </row>
    <row r="23" spans="1:14" ht="20" customHeight="1" thickBot="1">
      <c r="A23" s="186" t="s">
        <v>1824</v>
      </c>
      <c r="B23" s="187">
        <v>1279.6500000000001</v>
      </c>
      <c r="C23" s="188">
        <v>1344.95</v>
      </c>
      <c r="D23" s="187">
        <v>1380.23</v>
      </c>
      <c r="E23" s="188">
        <v>1377.12</v>
      </c>
      <c r="F23" s="187">
        <v>1519.27</v>
      </c>
      <c r="G23" s="188">
        <v>1713.63</v>
      </c>
      <c r="H23" s="171">
        <v>1922.61</v>
      </c>
      <c r="I23" s="170">
        <v>2061.46</v>
      </c>
      <c r="J23" s="171">
        <v>2102.89</v>
      </c>
      <c r="K23" s="170">
        <v>2181.4699999999998</v>
      </c>
      <c r="L23" s="171">
        <v>2212.5500000000002</v>
      </c>
      <c r="M23" s="170">
        <v>2224.4299999999998</v>
      </c>
      <c r="N23" s="171">
        <v>2260.611571997274</v>
      </c>
    </row>
    <row r="24" spans="1:14" ht="20" customHeight="1" thickBot="1">
      <c r="A24" s="186" t="s">
        <v>1825</v>
      </c>
      <c r="B24" s="187">
        <v>1297.99</v>
      </c>
      <c r="C24" s="188">
        <v>1393.43</v>
      </c>
      <c r="D24" s="187">
        <v>1471.71</v>
      </c>
      <c r="E24" s="188">
        <v>1544.48</v>
      </c>
      <c r="F24" s="187">
        <v>1656.78</v>
      </c>
      <c r="G24" s="188">
        <v>1837.97</v>
      </c>
      <c r="H24" s="171">
        <v>2013.78</v>
      </c>
      <c r="I24" s="170">
        <v>2145.9699999999998</v>
      </c>
      <c r="J24" s="171">
        <v>2187.8200000000002</v>
      </c>
      <c r="K24" s="170">
        <v>2271.02</v>
      </c>
      <c r="L24" s="171">
        <v>2322.1799999999998</v>
      </c>
      <c r="M24" s="170">
        <v>2331.63</v>
      </c>
      <c r="N24" s="171">
        <v>2380.1168143167224</v>
      </c>
    </row>
    <row r="25" spans="1:14" ht="20" customHeight="1" thickBot="1">
      <c r="A25" s="186" t="s">
        <v>1826</v>
      </c>
      <c r="B25" s="187">
        <v>1343.68</v>
      </c>
      <c r="C25" s="188">
        <v>1452.32</v>
      </c>
      <c r="D25" s="187">
        <v>1507.06</v>
      </c>
      <c r="E25" s="188">
        <v>1558.7</v>
      </c>
      <c r="F25" s="187">
        <v>1679.14</v>
      </c>
      <c r="G25" s="188">
        <v>1869.09</v>
      </c>
      <c r="H25" s="171">
        <v>2058.1999999999998</v>
      </c>
      <c r="I25" s="170">
        <v>2194.13</v>
      </c>
      <c r="J25" s="171">
        <v>2229.67</v>
      </c>
      <c r="K25" s="170">
        <v>2302.0500000000002</v>
      </c>
      <c r="L25" s="171">
        <v>2315.5100000000002</v>
      </c>
      <c r="M25" s="170">
        <v>2298.46</v>
      </c>
      <c r="N25" s="171">
        <v>2310.2839491028731</v>
      </c>
    </row>
    <row r="26" spans="1:14" ht="20" customHeight="1" thickBot="1">
      <c r="A26" s="186" t="s">
        <v>1827</v>
      </c>
      <c r="B26" s="187">
        <v>2095.4899999999998</v>
      </c>
      <c r="C26" s="188">
        <v>2211.92</v>
      </c>
      <c r="D26" s="187">
        <v>2198.02</v>
      </c>
      <c r="E26" s="188">
        <v>2220.3000000000002</v>
      </c>
      <c r="F26" s="187">
        <v>2271.73</v>
      </c>
      <c r="G26" s="188">
        <v>2467.0700000000002</v>
      </c>
      <c r="H26" s="171">
        <v>2676.85</v>
      </c>
      <c r="I26" s="170">
        <v>2936.03</v>
      </c>
      <c r="J26" s="171">
        <v>3024.2</v>
      </c>
      <c r="K26" s="170">
        <v>3163.51</v>
      </c>
      <c r="L26" s="171">
        <v>3188.19</v>
      </c>
      <c r="M26" s="170">
        <v>3149.59</v>
      </c>
      <c r="N26" s="171">
        <v>3113.9964674152993</v>
      </c>
    </row>
    <row r="27" spans="1:14" ht="20" customHeight="1" thickBot="1">
      <c r="A27" s="186" t="s">
        <v>1828</v>
      </c>
      <c r="B27" s="187">
        <v>2197.46</v>
      </c>
      <c r="C27" s="188">
        <v>2269.8000000000002</v>
      </c>
      <c r="D27" s="187">
        <v>2319.29</v>
      </c>
      <c r="E27" s="188">
        <v>2317.16</v>
      </c>
      <c r="F27" s="187">
        <v>2400.63</v>
      </c>
      <c r="G27" s="188">
        <v>2581.7199999999998</v>
      </c>
      <c r="H27" s="171">
        <v>2789.21</v>
      </c>
      <c r="I27" s="170">
        <v>2938.15</v>
      </c>
      <c r="J27" s="171">
        <v>2977.76</v>
      </c>
      <c r="K27" s="170">
        <v>3089.02</v>
      </c>
      <c r="L27" s="171">
        <v>3080.97</v>
      </c>
      <c r="M27" s="170">
        <v>2995.4</v>
      </c>
      <c r="N27" s="171">
        <v>2982.6854115033552</v>
      </c>
    </row>
    <row r="28" spans="1:14" ht="20" customHeight="1" thickBot="1">
      <c r="A28" s="186" t="s">
        <v>1829</v>
      </c>
      <c r="B28" s="187">
        <v>1574.86</v>
      </c>
      <c r="C28" s="188">
        <v>1544.82</v>
      </c>
      <c r="D28" s="187">
        <v>1554.32</v>
      </c>
      <c r="E28" s="188">
        <v>1580.24</v>
      </c>
      <c r="F28" s="187">
        <v>1621.59</v>
      </c>
      <c r="G28" s="188">
        <v>1747.44</v>
      </c>
      <c r="H28" s="171">
        <v>1911.96</v>
      </c>
      <c r="I28" s="170">
        <v>2070.33</v>
      </c>
      <c r="J28" s="171">
        <v>2154.77</v>
      </c>
      <c r="K28" s="170">
        <v>2233.69</v>
      </c>
      <c r="L28" s="171">
        <v>2289.7600000000002</v>
      </c>
      <c r="M28" s="170">
        <v>2283.61</v>
      </c>
      <c r="N28" s="171">
        <v>2341.0548273196509</v>
      </c>
    </row>
    <row r="29" spans="1:14" ht="20" customHeight="1" thickBot="1">
      <c r="A29" s="186" t="s">
        <v>1830</v>
      </c>
      <c r="B29" s="187">
        <v>1872.33</v>
      </c>
      <c r="C29" s="188">
        <v>2074.35</v>
      </c>
      <c r="D29" s="187">
        <v>2121.75</v>
      </c>
      <c r="E29" s="188">
        <v>2169.7199999999998</v>
      </c>
      <c r="F29" s="187">
        <v>2241.9899999999998</v>
      </c>
      <c r="G29" s="188">
        <v>2442.38</v>
      </c>
      <c r="H29" s="171">
        <v>2628.36</v>
      </c>
      <c r="I29" s="170">
        <v>2856.16</v>
      </c>
      <c r="J29" s="171">
        <v>2941.13</v>
      </c>
      <c r="K29" s="170">
        <v>3026.67</v>
      </c>
      <c r="L29" s="171">
        <v>3039.16</v>
      </c>
      <c r="M29" s="170">
        <v>2971.68</v>
      </c>
      <c r="N29" s="171">
        <v>2927.0194519439683</v>
      </c>
    </row>
    <row r="30" spans="1:14" ht="20" customHeight="1" thickBot="1">
      <c r="A30" s="186" t="s">
        <v>1831</v>
      </c>
      <c r="B30" s="187">
        <v>2490.64</v>
      </c>
      <c r="C30" s="188">
        <v>2600.92</v>
      </c>
      <c r="D30" s="187">
        <v>2618.6</v>
      </c>
      <c r="E30" s="188">
        <v>2755.39</v>
      </c>
      <c r="F30" s="187">
        <v>2906.95</v>
      </c>
      <c r="G30" s="188">
        <v>3137.29</v>
      </c>
      <c r="H30" s="171">
        <v>3318.18</v>
      </c>
      <c r="I30" s="170">
        <v>3499.12</v>
      </c>
      <c r="J30" s="171">
        <v>3545.51</v>
      </c>
      <c r="K30" s="170">
        <v>3664.36</v>
      </c>
      <c r="L30" s="171">
        <v>3642.38</v>
      </c>
      <c r="M30" s="170">
        <v>3556.32</v>
      </c>
      <c r="N30" s="171">
        <v>3476.4972788144619</v>
      </c>
    </row>
    <row r="31" spans="1:14" ht="20" customHeight="1" thickBot="1">
      <c r="A31" s="186" t="s">
        <v>1832</v>
      </c>
      <c r="B31" s="187">
        <v>1764.15</v>
      </c>
      <c r="C31" s="188">
        <v>1924.67</v>
      </c>
      <c r="D31" s="187">
        <v>1920.33</v>
      </c>
      <c r="E31" s="188">
        <v>2008.3</v>
      </c>
      <c r="F31" s="187">
        <v>2165.84</v>
      </c>
      <c r="G31" s="188">
        <v>2325.96</v>
      </c>
      <c r="H31" s="171">
        <v>2455.4699999999998</v>
      </c>
      <c r="I31" s="170">
        <v>2614.3200000000002</v>
      </c>
      <c r="J31" s="171">
        <v>2681.64</v>
      </c>
      <c r="K31" s="170">
        <v>2755.56</v>
      </c>
      <c r="L31" s="171">
        <v>2739.1</v>
      </c>
      <c r="M31" s="170">
        <v>2671.3</v>
      </c>
      <c r="N31" s="171">
        <v>2671.0952437588021</v>
      </c>
    </row>
    <row r="32" spans="1:14" ht="30" customHeight="1" thickBot="1">
      <c r="A32" s="189" t="s">
        <v>1222</v>
      </c>
      <c r="B32" s="190">
        <v>1663.8889491853145</v>
      </c>
      <c r="C32" s="191">
        <v>1753.683394842503</v>
      </c>
      <c r="D32" s="190">
        <v>1792.6969718267821</v>
      </c>
      <c r="E32" s="191">
        <v>1850.1645719756871</v>
      </c>
      <c r="F32" s="190">
        <v>1917.1642434992227</v>
      </c>
      <c r="G32" s="191">
        <v>2090.6486849170938</v>
      </c>
      <c r="H32" s="173">
        <v>2281.464868725081</v>
      </c>
      <c r="I32" s="192">
        <v>2441.8668834361247</v>
      </c>
      <c r="J32" s="193">
        <v>2487.4603849935415</v>
      </c>
      <c r="K32" s="192">
        <v>2582.7207564451369</v>
      </c>
      <c r="L32" s="193">
        <v>2612.1277928402606</v>
      </c>
      <c r="M32" s="192">
        <v>2585.7925929424223</v>
      </c>
      <c r="N32" s="193">
        <v>2610.6061328786159</v>
      </c>
    </row>
    <row r="33" spans="1:8" ht="20" customHeight="1">
      <c r="A33" s="140" t="s">
        <v>1837</v>
      </c>
      <c r="B33" s="194"/>
      <c r="C33" s="194"/>
      <c r="D33" s="194"/>
      <c r="E33" s="194"/>
      <c r="F33" s="194"/>
      <c r="G33" s="194"/>
      <c r="H33" s="195"/>
    </row>
    <row r="34" spans="1:8" ht="15.75" customHeight="1">
      <c r="A34" s="141"/>
      <c r="B34" s="196"/>
      <c r="C34" s="196"/>
      <c r="D34" s="196"/>
      <c r="E34" s="196"/>
      <c r="F34" s="196"/>
      <c r="G34" s="196"/>
      <c r="H34" s="197"/>
    </row>
    <row r="35" spans="1:8" ht="14.25" customHeight="1">
      <c r="A35" s="495" t="s">
        <v>1191</v>
      </c>
      <c r="B35" s="196"/>
      <c r="C35" s="196"/>
      <c r="D35" s="196"/>
      <c r="E35" s="196"/>
      <c r="F35" s="196"/>
      <c r="G35" s="196"/>
      <c r="H35" s="197"/>
    </row>
    <row r="36" spans="1:8" ht="13.5" customHeight="1">
      <c r="A36" s="141"/>
      <c r="B36" s="196"/>
      <c r="C36" s="196"/>
      <c r="D36" s="196"/>
      <c r="E36" s="196"/>
      <c r="F36" s="196"/>
      <c r="G36" s="196"/>
      <c r="H36" s="197"/>
    </row>
    <row r="37" spans="1:8" ht="12.75" customHeight="1">
      <c r="A37" s="141" t="s">
        <v>1835</v>
      </c>
      <c r="B37" s="196"/>
      <c r="C37" s="196"/>
      <c r="D37" s="196"/>
      <c r="E37" s="196"/>
      <c r="F37" s="196"/>
      <c r="G37" s="196"/>
      <c r="H37" s="197"/>
    </row>
    <row r="39" spans="1:8">
      <c r="A39" s="141"/>
    </row>
    <row r="40" spans="1:8">
      <c r="A40" s="141" t="s">
        <v>710</v>
      </c>
    </row>
  </sheetData>
  <phoneticPr fontId="0" type="noConversion"/>
  <pageMargins left="0.45" right="0.49" top="0.78" bottom="0.49" header="0.5" footer="0.4921259845"/>
  <pageSetup paperSize="9" scale="72" orientation="portrait"/>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5EB19-74E9-E043-AA0C-9318D26E7959}">
  <sheetPr>
    <pageSetUpPr fitToPage="1"/>
  </sheetPr>
  <dimension ref="A1:K28"/>
  <sheetViews>
    <sheetView zoomScale="75" workbookViewId="0">
      <selection activeCell="A3" sqref="A3"/>
    </sheetView>
  </sheetViews>
  <sheetFormatPr baseColWidth="10" defaultColWidth="11.3984375" defaultRowHeight="13"/>
  <cols>
    <col min="1" max="1" width="14.3984375" style="2" customWidth="1"/>
    <col min="2" max="2" width="17" style="2" customWidth="1"/>
    <col min="3" max="3" width="16.3984375" style="2" customWidth="1"/>
    <col min="4" max="4" width="15.59765625" style="2" customWidth="1"/>
    <col min="5" max="5" width="17" style="2" customWidth="1"/>
    <col min="6" max="6" width="18" style="2" customWidth="1"/>
    <col min="7" max="7" width="13.3984375" style="2" customWidth="1"/>
    <col min="8" max="16384" width="11.3984375" style="2"/>
  </cols>
  <sheetData>
    <row r="1" spans="1:11" s="1" customFormat="1" ht="14" customHeight="1"/>
    <row r="2" spans="1:11" s="1" customFormat="1" ht="28" customHeight="1">
      <c r="A2" s="118" t="s">
        <v>2123</v>
      </c>
      <c r="G2" s="398"/>
    </row>
    <row r="3" spans="1:11" ht="24" customHeight="1">
      <c r="A3" s="119" t="s">
        <v>633</v>
      </c>
      <c r="B3" s="120" t="s">
        <v>2251</v>
      </c>
      <c r="C3" s="121" t="s">
        <v>2252</v>
      </c>
      <c r="D3" s="120" t="s">
        <v>2253</v>
      </c>
      <c r="E3" s="121" t="s">
        <v>2254</v>
      </c>
      <c r="F3" s="120" t="s">
        <v>1567</v>
      </c>
      <c r="G3" s="121" t="s">
        <v>1801</v>
      </c>
    </row>
    <row r="4" spans="1:11" ht="15" customHeight="1">
      <c r="A4" s="325"/>
      <c r="B4" s="123" t="s">
        <v>2255</v>
      </c>
      <c r="C4" s="124" t="s">
        <v>2256</v>
      </c>
      <c r="D4" s="123" t="s">
        <v>2124</v>
      </c>
      <c r="E4" s="150" t="s">
        <v>2125</v>
      </c>
      <c r="F4" s="123"/>
      <c r="G4" s="124" t="s">
        <v>1802</v>
      </c>
    </row>
    <row r="5" spans="1:11" ht="15" customHeight="1">
      <c r="A5" s="325"/>
      <c r="B5" s="123" t="s">
        <v>2259</v>
      </c>
      <c r="C5" s="124" t="s">
        <v>2260</v>
      </c>
      <c r="D5" s="123" t="s">
        <v>2300</v>
      </c>
      <c r="E5" s="150" t="s">
        <v>2126</v>
      </c>
      <c r="F5" s="123"/>
      <c r="G5" s="124" t="s">
        <v>1806</v>
      </c>
    </row>
    <row r="6" spans="1:11" ht="24" customHeight="1">
      <c r="A6" s="326"/>
      <c r="B6" s="129"/>
      <c r="C6" s="128"/>
      <c r="D6" s="129"/>
      <c r="E6" s="153" t="s">
        <v>2262</v>
      </c>
      <c r="F6" s="129"/>
      <c r="G6" s="128"/>
    </row>
    <row r="7" spans="1:11" ht="2.25" customHeight="1" thickBot="1">
      <c r="A7" s="327">
        <v>1996</v>
      </c>
      <c r="B7" s="439">
        <v>7263.8791936000007</v>
      </c>
      <c r="C7" s="440">
        <v>3689.7169425000002</v>
      </c>
      <c r="D7" s="439">
        <v>38.020066050000004</v>
      </c>
      <c r="E7" s="440">
        <v>139.01961795</v>
      </c>
      <c r="F7" s="439">
        <v>11130.635820099998</v>
      </c>
      <c r="G7" s="157" t="s">
        <v>744</v>
      </c>
    </row>
    <row r="8" spans="1:11" ht="0.75" hidden="1" customHeight="1" thickBot="1">
      <c r="A8" s="328">
        <v>1997</v>
      </c>
      <c r="B8" s="441">
        <v>6540.5888779999996</v>
      </c>
      <c r="C8" s="442">
        <v>4995.2965729999996</v>
      </c>
      <c r="D8" s="441">
        <v>16.474356</v>
      </c>
      <c r="E8" s="442">
        <v>488.324321</v>
      </c>
      <c r="F8" s="441">
        <v>12040.684128000001</v>
      </c>
      <c r="G8" s="158">
        <v>8.1760675904660518E-2</v>
      </c>
      <c r="I8" s="8"/>
      <c r="J8" s="8"/>
      <c r="K8" s="8"/>
    </row>
    <row r="9" spans="1:11" ht="19.5" hidden="1" customHeight="1" thickBot="1">
      <c r="A9" s="328">
        <v>1998</v>
      </c>
      <c r="B9" s="441">
        <v>6687.4913850000003</v>
      </c>
      <c r="C9" s="442">
        <v>5281.0341630000003</v>
      </c>
      <c r="D9" s="441">
        <v>17.124804000000001</v>
      </c>
      <c r="E9" s="442">
        <v>722.61979599999995</v>
      </c>
      <c r="F9" s="441">
        <v>12708.270148</v>
      </c>
      <c r="G9" s="158">
        <v>5.5444193444752932E-2</v>
      </c>
    </row>
    <row r="10" spans="1:11" ht="20" customHeight="1" thickBot="1">
      <c r="A10" s="328">
        <v>1999</v>
      </c>
      <c r="B10" s="441">
        <v>6794.0647150000004</v>
      </c>
      <c r="C10" s="442">
        <v>5396.1932850000003</v>
      </c>
      <c r="D10" s="441">
        <v>15.330069999999999</v>
      </c>
      <c r="E10" s="442">
        <v>828.25470299999995</v>
      </c>
      <c r="F10" s="441">
        <v>13033.842773</v>
      </c>
      <c r="G10" s="158">
        <v>2.5618956884642552E-2</v>
      </c>
    </row>
    <row r="11" spans="1:11" ht="20" customHeight="1" thickBot="1">
      <c r="A11" s="328">
        <v>2000</v>
      </c>
      <c r="B11" s="441">
        <v>6892.0663969999996</v>
      </c>
      <c r="C11" s="442">
        <v>5620.0400929999996</v>
      </c>
      <c r="D11" s="441">
        <v>15.057027</v>
      </c>
      <c r="E11" s="442">
        <v>914.49116700000002</v>
      </c>
      <c r="F11" s="441">
        <v>13441.654683999999</v>
      </c>
      <c r="G11" s="158">
        <v>3.1288693450008065E-2</v>
      </c>
    </row>
    <row r="12" spans="1:11" ht="20" customHeight="1" thickBot="1">
      <c r="A12" s="328">
        <v>2001</v>
      </c>
      <c r="B12" s="441">
        <v>7135.0009239999999</v>
      </c>
      <c r="C12" s="442">
        <v>5862.0969020000002</v>
      </c>
      <c r="D12" s="441">
        <v>14.859370999999999</v>
      </c>
      <c r="E12" s="442">
        <v>985.35521000000006</v>
      </c>
      <c r="F12" s="441">
        <v>13997.312406999999</v>
      </c>
      <c r="G12" s="158">
        <v>4.1338491135426647E-2</v>
      </c>
    </row>
    <row r="13" spans="1:11" ht="20" customHeight="1" thickBot="1">
      <c r="A13" s="328">
        <v>2002</v>
      </c>
      <c r="B13" s="441">
        <v>7607.4934620000004</v>
      </c>
      <c r="C13" s="442">
        <v>6653.7724580000004</v>
      </c>
      <c r="D13" s="441">
        <v>15.940357000000001</v>
      </c>
      <c r="E13" s="442">
        <v>1077.8389540000001</v>
      </c>
      <c r="F13" s="441">
        <v>15355.045231</v>
      </c>
      <c r="G13" s="158">
        <v>9.6999537091206456E-2</v>
      </c>
    </row>
    <row r="14" spans="1:11" ht="20" customHeight="1" thickBot="1">
      <c r="A14" s="328">
        <v>2003</v>
      </c>
      <c r="B14" s="441">
        <v>8119.6939160000002</v>
      </c>
      <c r="C14" s="442">
        <v>7519.6442960000004</v>
      </c>
      <c r="D14" s="441">
        <v>16.399234</v>
      </c>
      <c r="E14" s="442">
        <v>1164.373707</v>
      </c>
      <c r="F14" s="441">
        <v>16820.111153000002</v>
      </c>
      <c r="G14" s="158">
        <v>9.541267381239682E-2</v>
      </c>
    </row>
    <row r="15" spans="1:11" ht="20" customHeight="1" thickBot="1">
      <c r="A15" s="328">
        <v>2004</v>
      </c>
      <c r="B15" s="441">
        <v>8488.1709709999996</v>
      </c>
      <c r="C15" s="442">
        <v>7961.8606556000004</v>
      </c>
      <c r="D15" s="441">
        <v>16.728842</v>
      </c>
      <c r="E15" s="442">
        <v>1562.9443670000001</v>
      </c>
      <c r="F15" s="441">
        <v>18029.704835599998</v>
      </c>
      <c r="G15" s="158">
        <v>7.1913536812998835E-2</v>
      </c>
    </row>
    <row r="16" spans="1:11" ht="20" customHeight="1" thickBot="1">
      <c r="A16" s="328">
        <v>2005</v>
      </c>
      <c r="B16" s="441">
        <v>8881.818765</v>
      </c>
      <c r="C16" s="442">
        <v>7722.8551509999998</v>
      </c>
      <c r="D16" s="441">
        <v>16.867663</v>
      </c>
      <c r="E16" s="442">
        <v>1874.8780380000001</v>
      </c>
      <c r="F16" s="441">
        <v>18496.419617</v>
      </c>
      <c r="G16" s="158">
        <v>2.588588031005723E-2</v>
      </c>
    </row>
    <row r="17" spans="1:7" ht="20" customHeight="1" thickBot="1">
      <c r="A17" s="328">
        <v>2006</v>
      </c>
      <c r="B17" s="441">
        <v>8791.2609179999999</v>
      </c>
      <c r="C17" s="442">
        <v>7672.0020180000001</v>
      </c>
      <c r="D17" s="441">
        <v>16.96679</v>
      </c>
      <c r="E17" s="442">
        <v>2834.4584479999999</v>
      </c>
      <c r="F17" s="441">
        <v>19314.688173999999</v>
      </c>
      <c r="G17" s="158">
        <v>4.4239294628022563E-2</v>
      </c>
    </row>
    <row r="18" spans="1:7" ht="20" customHeight="1" thickBot="1">
      <c r="A18" s="328">
        <v>2007</v>
      </c>
      <c r="B18" s="441">
        <v>8532.4678672199989</v>
      </c>
      <c r="C18" s="442">
        <v>7230.4641675700004</v>
      </c>
      <c r="D18" s="441">
        <v>16.854145679999998</v>
      </c>
      <c r="E18" s="442">
        <v>3909.3553057999998</v>
      </c>
      <c r="F18" s="441">
        <v>19689.14148627</v>
      </c>
      <c r="G18" s="158">
        <v>1.9386971660979802E-2</v>
      </c>
    </row>
    <row r="19" spans="1:7" ht="20" customHeight="1" thickBot="1">
      <c r="A19" s="328">
        <v>2008</v>
      </c>
      <c r="B19" s="441">
        <v>8154.0754505200002</v>
      </c>
      <c r="C19" s="442">
        <v>6692.2544465000001</v>
      </c>
      <c r="D19" s="441">
        <v>16.346897350000003</v>
      </c>
      <c r="E19" s="442">
        <v>4829.5904296099998</v>
      </c>
      <c r="F19" s="441">
        <v>19692.267223980001</v>
      </c>
      <c r="G19" s="158">
        <v>1.5875439323642659E-4</v>
      </c>
    </row>
    <row r="20" spans="1:7" ht="30" customHeight="1" thickBot="1">
      <c r="A20" s="927">
        <v>2009</v>
      </c>
      <c r="B20" s="928">
        <v>7763.2344209800003</v>
      </c>
      <c r="C20" s="929">
        <v>6192.48310683</v>
      </c>
      <c r="D20" s="928">
        <v>15.900914239999999</v>
      </c>
      <c r="E20" s="929">
        <v>6153.1486775000003</v>
      </c>
      <c r="F20" s="928">
        <v>20124.767119550004</v>
      </c>
      <c r="G20" s="161">
        <v>2.196293045644504E-2</v>
      </c>
    </row>
    <row r="21" spans="1:7" ht="20" customHeight="1">
      <c r="A21" s="140" t="s">
        <v>1837</v>
      </c>
      <c r="B21" s="194"/>
      <c r="C21" s="194"/>
      <c r="D21" s="194"/>
      <c r="E21" s="194"/>
      <c r="F21" s="194"/>
      <c r="G21" s="195"/>
    </row>
    <row r="22" spans="1:7" ht="14.25" customHeight="1">
      <c r="A22" s="141"/>
      <c r="B22" s="196"/>
      <c r="C22" s="196"/>
      <c r="D22" s="196"/>
      <c r="E22" s="196"/>
      <c r="F22" s="196"/>
      <c r="G22" s="197"/>
    </row>
    <row r="23" spans="1:7" ht="12.75" customHeight="1">
      <c r="A23" s="303" t="s">
        <v>2127</v>
      </c>
    </row>
    <row r="25" spans="1:7">
      <c r="A25" s="2" t="s">
        <v>2128</v>
      </c>
    </row>
    <row r="28" spans="1:7">
      <c r="A28" s="2" t="s">
        <v>710</v>
      </c>
    </row>
  </sheetData>
  <phoneticPr fontId="0" type="noConversion"/>
  <pageMargins left="0.56000000000000005" right="0.51" top="0.94" bottom="0.49" header="0.51" footer="0.4921259845"/>
  <pageSetup paperSize="9" scale="83" orientation="portrait" horizontalDpi="4294967292" verticalDpi="4294967292"/>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A81A2-4233-CE48-9B7F-D7913B789D0B}">
  <sheetPr>
    <pageSetUpPr fitToPage="1"/>
  </sheetPr>
  <dimension ref="A1:I17"/>
  <sheetViews>
    <sheetView zoomScale="75" workbookViewId="0">
      <selection activeCell="B7" sqref="B7"/>
    </sheetView>
  </sheetViews>
  <sheetFormatPr baseColWidth="10" defaultColWidth="11.3984375" defaultRowHeight="13"/>
  <cols>
    <col min="1" max="1" width="19.3984375" style="2" customWidth="1"/>
    <col min="2" max="2" width="17.3984375" style="2" customWidth="1"/>
    <col min="3" max="3" width="17.19921875" style="2" customWidth="1"/>
    <col min="4" max="4" width="16.59765625" style="2" customWidth="1"/>
    <col min="5" max="5" width="18.3984375" style="2" customWidth="1"/>
    <col min="6" max="7" width="13.3984375" style="2" customWidth="1"/>
    <col min="8" max="8" width="11.3984375" style="2"/>
    <col min="9" max="9" width="15.796875" style="2" hidden="1" customWidth="1"/>
    <col min="10" max="16384" width="11.3984375" style="2"/>
  </cols>
  <sheetData>
    <row r="1" spans="1:9" ht="14" customHeight="1">
      <c r="A1" s="275"/>
      <c r="B1" s="141"/>
      <c r="C1" s="141"/>
      <c r="D1" s="141"/>
      <c r="E1" s="141"/>
      <c r="F1" s="141"/>
      <c r="G1" s="141"/>
      <c r="I1" s="141"/>
    </row>
    <row r="2" spans="1:9" ht="28" customHeight="1">
      <c r="A2" s="48" t="s">
        <v>2121</v>
      </c>
      <c r="B2" s="141"/>
      <c r="C2" s="141"/>
      <c r="D2" s="141"/>
      <c r="E2" s="141"/>
      <c r="F2" s="141"/>
      <c r="G2" s="398">
        <v>2009</v>
      </c>
      <c r="I2" s="141"/>
    </row>
    <row r="3" spans="1:9" ht="24" customHeight="1">
      <c r="A3" s="119" t="s">
        <v>578</v>
      </c>
      <c r="B3" s="120" t="s">
        <v>1833</v>
      </c>
      <c r="C3" s="121" t="s">
        <v>1834</v>
      </c>
      <c r="D3" s="120" t="s">
        <v>1798</v>
      </c>
      <c r="E3" s="121" t="s">
        <v>1567</v>
      </c>
      <c r="F3" s="120" t="s">
        <v>2104</v>
      </c>
      <c r="G3" s="121" t="s">
        <v>1801</v>
      </c>
      <c r="I3" s="121" t="s">
        <v>1567</v>
      </c>
    </row>
    <row r="4" spans="1:9" ht="15" customHeight="1">
      <c r="A4" s="325"/>
      <c r="B4" s="123"/>
      <c r="C4" s="124"/>
      <c r="D4" s="123"/>
      <c r="E4" s="150"/>
      <c r="F4" s="123" t="s">
        <v>2323</v>
      </c>
      <c r="G4" s="124" t="s">
        <v>1802</v>
      </c>
      <c r="I4" s="150">
        <v>1999</v>
      </c>
    </row>
    <row r="5" spans="1:9" ht="15" customHeight="1">
      <c r="A5" s="122"/>
      <c r="B5" s="123"/>
      <c r="C5" s="124"/>
      <c r="D5" s="123"/>
      <c r="E5" s="124"/>
      <c r="F5" s="123" t="s">
        <v>2105</v>
      </c>
      <c r="G5" s="124" t="s">
        <v>1806</v>
      </c>
      <c r="I5" s="124"/>
    </row>
    <row r="6" spans="1:9" ht="24" customHeight="1">
      <c r="A6" s="292"/>
      <c r="B6" s="599"/>
      <c r="C6" s="600"/>
      <c r="D6" s="599"/>
      <c r="E6" s="600"/>
      <c r="F6" s="129"/>
      <c r="G6" s="128"/>
      <c r="I6" s="600"/>
    </row>
    <row r="7" spans="1:9" ht="40.5" customHeight="1" thickBot="1">
      <c r="A7" s="647" t="s">
        <v>579</v>
      </c>
      <c r="B7" s="648">
        <v>3031593730.1999998</v>
      </c>
      <c r="C7" s="649">
        <v>4012341412.0700002</v>
      </c>
      <c r="D7" s="648">
        <v>719299278.71000004</v>
      </c>
      <c r="E7" s="649">
        <v>7763234420.9800005</v>
      </c>
      <c r="F7" s="923">
        <v>0.38575524252593635</v>
      </c>
      <c r="G7" s="650">
        <v>-4.7931985902224548E-2</v>
      </c>
      <c r="I7" s="924">
        <v>6794064715</v>
      </c>
    </row>
    <row r="8" spans="1:9" ht="36.75" customHeight="1" thickBot="1">
      <c r="A8" s="647" t="s">
        <v>580</v>
      </c>
      <c r="B8" s="648">
        <v>3095530180.5500002</v>
      </c>
      <c r="C8" s="649">
        <v>3027639431.4299998</v>
      </c>
      <c r="D8" s="648">
        <v>69313494.849999994</v>
      </c>
      <c r="E8" s="649">
        <v>6192483106.8299999</v>
      </c>
      <c r="F8" s="923">
        <v>0.30770458460681388</v>
      </c>
      <c r="G8" s="650">
        <v>-7.4679070209498211E-2</v>
      </c>
      <c r="I8" s="924">
        <v>5396193285</v>
      </c>
    </row>
    <row r="9" spans="1:9" ht="36.75" customHeight="1" thickBot="1">
      <c r="A9" s="647" t="s">
        <v>581</v>
      </c>
      <c r="B9" s="648">
        <v>10187739.619999999</v>
      </c>
      <c r="C9" s="649">
        <v>5679947.5899999999</v>
      </c>
      <c r="D9" s="648">
        <v>33227.03</v>
      </c>
      <c r="E9" s="649">
        <v>15900914.239999998</v>
      </c>
      <c r="F9" s="923">
        <v>7.9011668286850458E-4</v>
      </c>
      <c r="G9" s="650">
        <v>-2.7282431671965146E-2</v>
      </c>
      <c r="I9" s="924">
        <v>15330070</v>
      </c>
    </row>
    <row r="10" spans="1:9" ht="36.75" customHeight="1" thickBot="1">
      <c r="A10" s="647" t="s">
        <v>2215</v>
      </c>
      <c r="B10" s="648">
        <v>2718234468.21</v>
      </c>
      <c r="C10" s="649">
        <v>3013010286.5799999</v>
      </c>
      <c r="D10" s="648">
        <v>421903922.70999998</v>
      </c>
      <c r="E10" s="649">
        <v>6153148677.5</v>
      </c>
      <c r="F10" s="923">
        <v>0.30575005618438117</v>
      </c>
      <c r="G10" s="650">
        <v>0.2740518615771898</v>
      </c>
      <c r="I10" s="924">
        <v>828254703</v>
      </c>
    </row>
    <row r="11" spans="1:9" s="265" customFormat="1" ht="38.25" customHeight="1" thickBot="1">
      <c r="A11" s="609" t="s">
        <v>1567</v>
      </c>
      <c r="B11" s="610">
        <v>8855546118.5499992</v>
      </c>
      <c r="C11" s="611">
        <v>10058671077.67</v>
      </c>
      <c r="D11" s="610">
        <v>1210549923.3299999</v>
      </c>
      <c r="E11" s="611">
        <v>20124767119.550003</v>
      </c>
      <c r="F11" s="925">
        <v>1</v>
      </c>
      <c r="G11" s="652">
        <v>2.1962930456444978E-2</v>
      </c>
      <c r="I11" s="926">
        <v>13033842773</v>
      </c>
    </row>
    <row r="12" spans="1:9" ht="19.5" customHeight="1">
      <c r="A12" s="140" t="s">
        <v>1837</v>
      </c>
      <c r="B12" s="140"/>
      <c r="C12" s="140"/>
      <c r="D12" s="140"/>
      <c r="E12" s="140"/>
      <c r="F12" s="140"/>
      <c r="G12" s="140"/>
      <c r="I12" s="140"/>
    </row>
    <row r="14" spans="1:9">
      <c r="A14" s="2" t="s">
        <v>2122</v>
      </c>
    </row>
    <row r="17" spans="1:1">
      <c r="A17" s="2" t="s">
        <v>710</v>
      </c>
    </row>
  </sheetData>
  <phoneticPr fontId="0" type="noConversion"/>
  <pageMargins left="0.56000000000000005" right="0.57999999999999996" top="0.96" bottom="0.49" header="0.61" footer="0.4921259845"/>
  <pageSetup paperSize="9" scale="78" orientation="portrait" horizontalDpi="4294967292" verticalDpi="4294967292"/>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CFEE2-3E79-B34C-9FDC-55EFF3D1B2AC}">
  <sheetPr>
    <pageSetUpPr fitToPage="1"/>
  </sheetPr>
  <dimension ref="A1:G51"/>
  <sheetViews>
    <sheetView topLeftCell="A4" zoomScale="75" workbookViewId="0">
      <selection activeCell="G6" sqref="G6"/>
    </sheetView>
  </sheetViews>
  <sheetFormatPr baseColWidth="10" defaultColWidth="11.3984375" defaultRowHeight="13"/>
  <cols>
    <col min="1" max="1" width="25.796875" style="2" customWidth="1"/>
    <col min="2" max="2" width="25.59765625" style="2" customWidth="1"/>
    <col min="3" max="6" width="17.59765625" style="2" customWidth="1"/>
    <col min="7" max="7" width="14.59765625" style="2" customWidth="1"/>
    <col min="8" max="16384" width="11.3984375" style="2"/>
  </cols>
  <sheetData>
    <row r="1" spans="1:7" s="1" customFormat="1" ht="14" customHeight="1">
      <c r="A1" s="271"/>
      <c r="B1" s="271"/>
      <c r="C1" s="271"/>
      <c r="D1" s="271"/>
      <c r="E1" s="271"/>
      <c r="F1" s="271"/>
    </row>
    <row r="2" spans="1:7" s="1" customFormat="1" ht="20.25" customHeight="1">
      <c r="A2" s="1105" t="s">
        <v>1194</v>
      </c>
      <c r="B2" s="894"/>
      <c r="C2" s="271"/>
      <c r="D2" s="271"/>
      <c r="E2" s="271"/>
      <c r="F2" s="491">
        <v>2009</v>
      </c>
      <c r="G2" s="491"/>
    </row>
    <row r="3" spans="1:7" s="1" customFormat="1" ht="10.5" customHeight="1">
      <c r="A3" s="1074"/>
      <c r="B3" s="1074"/>
      <c r="C3" s="1075"/>
      <c r="D3" s="1075"/>
      <c r="E3" s="1075"/>
      <c r="F3" s="1075"/>
      <c r="G3" s="275"/>
    </row>
    <row r="4" spans="1:7" s="1" customFormat="1" ht="81.75" customHeight="1">
      <c r="A4" s="1076" t="s">
        <v>2508</v>
      </c>
      <c r="B4" s="1077"/>
      <c r="C4" s="1078" t="s">
        <v>2487</v>
      </c>
      <c r="D4" s="1079" t="s">
        <v>2488</v>
      </c>
      <c r="E4" s="1078" t="s">
        <v>2489</v>
      </c>
      <c r="F4" s="1080" t="s">
        <v>2026</v>
      </c>
    </row>
    <row r="5" spans="1:7" ht="8.25" customHeight="1">
      <c r="A5" s="1081"/>
      <c r="B5" s="1082"/>
      <c r="C5" s="600"/>
      <c r="D5" s="599"/>
      <c r="E5" s="600"/>
      <c r="F5" s="599"/>
    </row>
    <row r="6" spans="1:7" ht="47.25" customHeight="1" thickBot="1">
      <c r="A6" s="1083" t="s">
        <v>2490</v>
      </c>
      <c r="B6" s="1084" t="s">
        <v>2509</v>
      </c>
      <c r="C6" s="320">
        <v>882.59512824586511</v>
      </c>
      <c r="D6" s="319">
        <v>2948.0928513853983</v>
      </c>
      <c r="E6" s="320">
        <v>3733.7016061366107</v>
      </c>
      <c r="F6" s="319">
        <v>2823.6745881888778</v>
      </c>
    </row>
    <row r="7" spans="1:7" ht="19.5" customHeight="1" thickBot="1">
      <c r="A7" s="136"/>
      <c r="B7" s="1085"/>
      <c r="C7" s="367"/>
      <c r="D7" s="593"/>
      <c r="E7" s="367"/>
      <c r="F7" s="593"/>
    </row>
    <row r="8" spans="1:7" ht="22.5" customHeight="1" thickBot="1">
      <c r="A8" s="1086" t="s">
        <v>2491</v>
      </c>
      <c r="B8" s="1087" t="s">
        <v>2510</v>
      </c>
      <c r="C8" s="367">
        <v>866.41845903056765</v>
      </c>
      <c r="D8" s="593">
        <v>2988.3044826226942</v>
      </c>
      <c r="E8" s="367">
        <v>3724.8076970688735</v>
      </c>
      <c r="F8" s="593">
        <v>3679.1225012892733</v>
      </c>
    </row>
    <row r="9" spans="1:7" ht="20" customHeight="1" thickBot="1">
      <c r="A9" s="1088" t="s">
        <v>2492</v>
      </c>
      <c r="B9" s="1087" t="s">
        <v>2511</v>
      </c>
      <c r="C9" s="367">
        <v>749.4997536780852</v>
      </c>
      <c r="D9" s="593">
        <v>2401.3773303550415</v>
      </c>
      <c r="E9" s="367">
        <v>3136.2694102458568</v>
      </c>
      <c r="F9" s="593">
        <v>2636.3706737820507</v>
      </c>
    </row>
    <row r="10" spans="1:7" ht="20" customHeight="1" thickBot="1">
      <c r="A10" s="1088" t="s">
        <v>2493</v>
      </c>
      <c r="B10" s="1087" t="s">
        <v>2512</v>
      </c>
      <c r="C10" s="367">
        <v>661.12190124897495</v>
      </c>
      <c r="D10" s="593">
        <v>2035.6726415888065</v>
      </c>
      <c r="E10" s="367">
        <v>2680.3759367021771</v>
      </c>
      <c r="F10" s="593">
        <v>2584.2902462925454</v>
      </c>
    </row>
    <row r="11" spans="1:7" ht="20" customHeight="1" thickBot="1">
      <c r="A11" s="1088"/>
      <c r="B11" s="1087" t="s">
        <v>2513</v>
      </c>
      <c r="C11" s="367">
        <v>547.63820354078246</v>
      </c>
      <c r="D11" s="593">
        <v>1787.4223894078773</v>
      </c>
      <c r="E11" s="367">
        <v>2148.1515805360755</v>
      </c>
      <c r="F11" s="593">
        <v>1701.4577324865052</v>
      </c>
    </row>
    <row r="12" spans="1:7" ht="20" customHeight="1" thickBot="1">
      <c r="A12" s="1088"/>
      <c r="B12" s="1087" t="s">
        <v>2514</v>
      </c>
      <c r="C12" s="367">
        <v>496.64020562096596</v>
      </c>
      <c r="D12" s="593">
        <v>1727.1650312333365</v>
      </c>
      <c r="E12" s="367">
        <v>2067.4253234203184</v>
      </c>
      <c r="F12" s="593">
        <v>1982.3996068378087</v>
      </c>
    </row>
    <row r="13" spans="1:7" ht="20" customHeight="1" thickBot="1">
      <c r="A13" s="1088"/>
      <c r="B13" s="1087" t="s">
        <v>2515</v>
      </c>
      <c r="C13" s="367">
        <v>500.15797181942895</v>
      </c>
      <c r="D13" s="296" t="s">
        <v>744</v>
      </c>
      <c r="E13" s="297" t="s">
        <v>744</v>
      </c>
      <c r="F13" s="593">
        <v>500.15797181942895</v>
      </c>
    </row>
    <row r="14" spans="1:7" ht="20" customHeight="1" thickBot="1">
      <c r="A14" s="1089"/>
      <c r="B14" s="1087" t="s">
        <v>1567</v>
      </c>
      <c r="C14" s="367">
        <v>617.18046101037419</v>
      </c>
      <c r="D14" s="593">
        <v>2217.5540357068426</v>
      </c>
      <c r="E14" s="367">
        <v>3005.287360998333</v>
      </c>
      <c r="F14" s="593">
        <v>2837.4638725119903</v>
      </c>
    </row>
    <row r="15" spans="1:7" ht="18.75" customHeight="1" thickBot="1">
      <c r="A15" s="415"/>
      <c r="B15" s="1090"/>
      <c r="C15" s="367"/>
      <c r="D15" s="593"/>
      <c r="E15" s="367"/>
      <c r="F15" s="593"/>
    </row>
    <row r="16" spans="1:7" ht="20" customHeight="1" thickBot="1">
      <c r="A16" s="415" t="s">
        <v>581</v>
      </c>
      <c r="B16" s="1090"/>
      <c r="C16" s="367">
        <v>679.21156991005716</v>
      </c>
      <c r="D16" s="593">
        <v>2086.4628233488329</v>
      </c>
      <c r="E16" s="367">
        <v>2617.1636059079156</v>
      </c>
      <c r="F16" s="593">
        <v>2582.6714722167626</v>
      </c>
    </row>
    <row r="17" spans="1:6" ht="20.25" customHeight="1" thickBot="1">
      <c r="A17" s="415"/>
      <c r="B17" s="1090"/>
      <c r="C17" s="367"/>
      <c r="D17" s="593"/>
      <c r="E17" s="367"/>
      <c r="F17" s="593"/>
    </row>
    <row r="18" spans="1:6" ht="58.5" customHeight="1" thickBot="1">
      <c r="A18" s="1086" t="s">
        <v>2494</v>
      </c>
      <c r="B18" s="1087" t="s">
        <v>2509</v>
      </c>
      <c r="C18" s="367">
        <v>748.28464498333517</v>
      </c>
      <c r="D18" s="593">
        <v>2499.4970005598898</v>
      </c>
      <c r="E18" s="367">
        <v>3177.5203803978447</v>
      </c>
      <c r="F18" s="593">
        <v>2153.0936259081354</v>
      </c>
    </row>
    <row r="19" spans="1:6" ht="20" customHeight="1" thickBot="1">
      <c r="A19" s="137"/>
      <c r="B19" s="1087" t="s">
        <v>2510</v>
      </c>
      <c r="C19" s="367">
        <v>704.14880543715026</v>
      </c>
      <c r="D19" s="593">
        <v>2423.7786813250732</v>
      </c>
      <c r="E19" s="367">
        <v>3070.8519062179789</v>
      </c>
      <c r="F19" s="593">
        <v>2995.2941989687602</v>
      </c>
    </row>
    <row r="20" spans="1:6" ht="20" customHeight="1" thickBot="1">
      <c r="A20" s="137"/>
      <c r="B20" s="1087" t="s">
        <v>2511</v>
      </c>
      <c r="C20" s="367">
        <v>639.40940775715251</v>
      </c>
      <c r="D20" s="593">
        <v>2008.1257016866339</v>
      </c>
      <c r="E20" s="367">
        <v>2578.7458914594181</v>
      </c>
      <c r="F20" s="593">
        <v>2345.7279948475348</v>
      </c>
    </row>
    <row r="21" spans="1:6" ht="20" customHeight="1" thickBot="1">
      <c r="A21" s="137"/>
      <c r="B21" s="1087" t="s">
        <v>2512</v>
      </c>
      <c r="C21" s="367">
        <v>502.51997515500875</v>
      </c>
      <c r="D21" s="593">
        <v>1700.9825093830864</v>
      </c>
      <c r="E21" s="367">
        <v>2195.4982381896975</v>
      </c>
      <c r="F21" s="593">
        <v>2096.6531959720678</v>
      </c>
    </row>
    <row r="22" spans="1:6" ht="20" customHeight="1" thickBot="1">
      <c r="A22" s="137"/>
      <c r="B22" s="1087" t="s">
        <v>2513</v>
      </c>
      <c r="C22" s="367">
        <v>461.97230590298983</v>
      </c>
      <c r="D22" s="593">
        <v>1595.0568960876067</v>
      </c>
      <c r="E22" s="367">
        <v>1916.9997183833705</v>
      </c>
      <c r="F22" s="593">
        <v>1663.3528917348588</v>
      </c>
    </row>
    <row r="23" spans="1:6" ht="20" customHeight="1" thickBot="1">
      <c r="A23" s="137"/>
      <c r="B23" s="1087" t="s">
        <v>2514</v>
      </c>
      <c r="C23" s="367">
        <v>483.26359769398135</v>
      </c>
      <c r="D23" s="593">
        <v>1673.2324980268177</v>
      </c>
      <c r="E23" s="367">
        <v>2038.7033771034419</v>
      </c>
      <c r="F23" s="593">
        <v>1959.7710328800104</v>
      </c>
    </row>
    <row r="24" spans="1:6" ht="20" customHeight="1" thickBot="1">
      <c r="A24" s="137"/>
      <c r="B24" s="1087" t="s">
        <v>2515</v>
      </c>
      <c r="C24" s="367">
        <v>496.77822613308405</v>
      </c>
      <c r="D24" s="296" t="s">
        <v>744</v>
      </c>
      <c r="E24" s="297" t="s">
        <v>744</v>
      </c>
      <c r="F24" s="593">
        <v>496.77822613308405</v>
      </c>
    </row>
    <row r="25" spans="1:6" ht="20" customHeight="1" thickBot="1">
      <c r="A25" s="137"/>
      <c r="B25" s="1087" t="s">
        <v>2495</v>
      </c>
      <c r="C25" s="367">
        <v>724.83338366446094</v>
      </c>
      <c r="D25" s="593">
        <v>2136.5577752287059</v>
      </c>
      <c r="E25" s="367">
        <v>2694.6389273084615</v>
      </c>
      <c r="F25" s="593">
        <v>2220.8587243287579</v>
      </c>
    </row>
    <row r="26" spans="1:6" ht="39.75" customHeight="1" thickBot="1">
      <c r="A26" s="1091"/>
      <c r="B26" s="1092" t="s">
        <v>2496</v>
      </c>
      <c r="C26" s="1093">
        <v>738.82584417497424</v>
      </c>
      <c r="D26" s="1094">
        <v>2140.8203522053082</v>
      </c>
      <c r="E26" s="1093">
        <v>2680.246911519705</v>
      </c>
      <c r="F26" s="1094">
        <v>2271.3653424493764</v>
      </c>
    </row>
    <row r="27" spans="1:6" ht="45" customHeight="1" thickBot="1">
      <c r="A27" s="1091"/>
      <c r="B27" s="1095" t="s">
        <v>2497</v>
      </c>
      <c r="C27" s="1093">
        <v>715.81180355334345</v>
      </c>
      <c r="D27" s="1094">
        <v>2125.0709498118217</v>
      </c>
      <c r="E27" s="1093">
        <v>2720.2532274718765</v>
      </c>
      <c r="F27" s="1094">
        <v>2240.8580895243858</v>
      </c>
    </row>
    <row r="28" spans="1:6" ht="45" customHeight="1" thickBot="1">
      <c r="A28" s="1096"/>
      <c r="B28" s="1095" t="s">
        <v>2498</v>
      </c>
      <c r="C28" s="1093">
        <v>518.48078968363927</v>
      </c>
      <c r="D28" s="1094">
        <v>1894.2085951631802</v>
      </c>
      <c r="E28" s="1093">
        <v>2424.0800731465497</v>
      </c>
      <c r="F28" s="1094">
        <v>2282.7121460863186</v>
      </c>
    </row>
    <row r="29" spans="1:6" ht="15.75" customHeight="1" thickBot="1">
      <c r="A29" s="1097"/>
      <c r="B29" s="1098"/>
      <c r="C29" s="367"/>
      <c r="D29" s="593"/>
      <c r="E29" s="367"/>
      <c r="F29" s="593"/>
    </row>
    <row r="30" spans="1:6" ht="27.75" customHeight="1" thickBot="1">
      <c r="A30" s="651" t="s">
        <v>2516</v>
      </c>
      <c r="B30" s="1099"/>
      <c r="C30" s="597">
        <v>803.29856487090694</v>
      </c>
      <c r="D30" s="770">
        <v>2417.2717694780367</v>
      </c>
      <c r="E30" s="597">
        <v>3124.0889604481335</v>
      </c>
      <c r="F30" s="770">
        <v>2610.6060854467783</v>
      </c>
    </row>
    <row r="31" spans="1:6" ht="15.75" customHeight="1">
      <c r="A31" s="474" t="s">
        <v>1837</v>
      </c>
      <c r="B31" s="474"/>
      <c r="C31" s="474"/>
      <c r="D31" s="474"/>
      <c r="E31" s="474"/>
      <c r="F31" s="474"/>
    </row>
    <row r="32" spans="1:6" ht="13.5" customHeight="1">
      <c r="A32" s="418"/>
      <c r="B32" s="418"/>
      <c r="C32" s="474"/>
      <c r="D32" s="474"/>
      <c r="E32" s="474"/>
      <c r="F32" s="474"/>
    </row>
    <row r="33" spans="1:6" ht="13.5" customHeight="1">
      <c r="A33" s="474" t="s">
        <v>1193</v>
      </c>
      <c r="B33" s="474"/>
      <c r="C33" s="474"/>
      <c r="D33" s="474"/>
      <c r="E33" s="474"/>
      <c r="F33" s="474"/>
    </row>
    <row r="34" spans="1:6" ht="16.5" customHeight="1">
      <c r="A34" s="474"/>
      <c r="B34" s="474"/>
      <c r="C34" s="474"/>
      <c r="D34" s="474"/>
      <c r="E34" s="474"/>
      <c r="F34" s="474"/>
    </row>
    <row r="35" spans="1:6" ht="12" customHeight="1">
      <c r="A35" s="474" t="s">
        <v>2500</v>
      </c>
      <c r="B35" s="474"/>
      <c r="C35" s="201"/>
      <c r="D35" s="201"/>
      <c r="E35" s="201"/>
      <c r="F35" s="201"/>
    </row>
    <row r="36" spans="1:6" ht="12" customHeight="1">
      <c r="A36" s="141" t="s">
        <v>2501</v>
      </c>
      <c r="B36" s="141"/>
    </row>
    <row r="37" spans="1:6" ht="12" customHeight="1">
      <c r="A37" s="141" t="s">
        <v>2502</v>
      </c>
      <c r="B37" s="141"/>
    </row>
    <row r="38" spans="1:6" ht="12" customHeight="1">
      <c r="A38" s="141" t="s">
        <v>2503</v>
      </c>
      <c r="B38" s="141"/>
    </row>
    <row r="39" spans="1:6" ht="12" customHeight="1">
      <c r="A39" s="141" t="s">
        <v>2504</v>
      </c>
      <c r="B39" s="141"/>
    </row>
    <row r="40" spans="1:6" ht="12" customHeight="1">
      <c r="A40" s="141" t="s">
        <v>2505</v>
      </c>
      <c r="B40" s="141"/>
    </row>
    <row r="41" spans="1:6" ht="12" customHeight="1">
      <c r="A41" s="2" t="s">
        <v>2506</v>
      </c>
    </row>
    <row r="42" spans="1:6" ht="12" customHeight="1"/>
    <row r="43" spans="1:6" ht="12" customHeight="1"/>
    <row r="44" spans="1:6" ht="12" customHeight="1">
      <c r="A44" s="474" t="s">
        <v>710</v>
      </c>
      <c r="B44" s="474"/>
      <c r="C44" s="141"/>
      <c r="D44" s="141"/>
      <c r="E44" s="141"/>
      <c r="F44" s="141"/>
    </row>
    <row r="49" spans="1:7">
      <c r="A49" s="99"/>
      <c r="B49" s="99"/>
      <c r="C49" s="1100"/>
      <c r="D49" s="385"/>
      <c r="E49" s="1100"/>
      <c r="F49" s="385"/>
      <c r="G49" s="385"/>
    </row>
    <row r="50" spans="1:7">
      <c r="A50" s="1101"/>
      <c r="B50" s="1101"/>
      <c r="C50" s="1101"/>
      <c r="D50" s="1102"/>
      <c r="E50" s="1101"/>
      <c r="F50" s="86"/>
      <c r="G50" s="3"/>
    </row>
    <row r="51" spans="1:7">
      <c r="A51" s="3"/>
      <c r="B51" s="3"/>
      <c r="C51" s="3"/>
      <c r="D51" s="3"/>
      <c r="E51" s="3"/>
      <c r="F51" s="3"/>
      <c r="G51" s="3"/>
    </row>
  </sheetData>
  <phoneticPr fontId="0" type="noConversion"/>
  <pageMargins left="0.55118110236220474" right="0.45" top="0.59055118110236227" bottom="0.47244094488188981" header="0.43307086614173229" footer="0.31496062992125984"/>
  <pageSetup paperSize="9" scale="67" orientation="portrait"/>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909BA-24F2-8C43-9D53-4EFD44CBF7A5}">
  <sheetPr>
    <pageSetUpPr fitToPage="1"/>
  </sheetPr>
  <dimension ref="A1:K54"/>
  <sheetViews>
    <sheetView topLeftCell="A32" zoomScale="75" workbookViewId="0">
      <selection activeCell="F52" sqref="F52"/>
    </sheetView>
  </sheetViews>
  <sheetFormatPr baseColWidth="10" defaultColWidth="11.3984375" defaultRowHeight="13"/>
  <cols>
    <col min="1" max="1" width="21.59765625" style="2" customWidth="1"/>
    <col min="2" max="2" width="18.796875" style="2" customWidth="1"/>
    <col min="3" max="3" width="15" style="2" customWidth="1"/>
    <col min="4" max="4" width="19.3984375" style="2" customWidth="1"/>
    <col min="5" max="5" width="15.3984375" style="2" customWidth="1"/>
    <col min="6" max="6" width="20" style="2" customWidth="1"/>
    <col min="7" max="7" width="15.59765625" style="2" customWidth="1"/>
    <col min="8" max="8" width="13.796875" style="2" customWidth="1"/>
    <col min="9" max="9" width="13.59765625" style="2" customWidth="1"/>
    <col min="10" max="10" width="13.796875" style="2" customWidth="1"/>
    <col min="11" max="16384" width="11.3984375" style="2"/>
  </cols>
  <sheetData>
    <row r="1" spans="1:11" s="1" customFormat="1" ht="8.25" customHeight="1"/>
    <row r="2" spans="1:11" s="1" customFormat="1" ht="28.5" customHeight="1">
      <c r="A2" s="177" t="s">
        <v>2209</v>
      </c>
      <c r="B2" s="478"/>
      <c r="C2" s="478"/>
      <c r="D2" s="478"/>
      <c r="E2" s="478"/>
      <c r="F2" s="118"/>
      <c r="G2" s="118"/>
    </row>
    <row r="3" spans="1:11" ht="24" customHeight="1">
      <c r="A3" s="305" t="s">
        <v>2213</v>
      </c>
      <c r="B3" s="120" t="s">
        <v>2251</v>
      </c>
      <c r="C3" s="121" t="s">
        <v>2252</v>
      </c>
      <c r="D3" s="120" t="s">
        <v>2253</v>
      </c>
      <c r="E3" s="121" t="s">
        <v>2254</v>
      </c>
      <c r="F3" s="120" t="s">
        <v>1567</v>
      </c>
      <c r="G3" s="306" t="s">
        <v>1801</v>
      </c>
    </row>
    <row r="4" spans="1:11" ht="15" customHeight="1">
      <c r="A4" s="325"/>
      <c r="B4" s="123" t="s">
        <v>2255</v>
      </c>
      <c r="C4" s="124" t="s">
        <v>2256</v>
      </c>
      <c r="D4" s="123" t="s">
        <v>2257</v>
      </c>
      <c r="E4" s="150" t="s">
        <v>2258</v>
      </c>
      <c r="F4" s="123"/>
      <c r="G4" s="122" t="s">
        <v>1802</v>
      </c>
    </row>
    <row r="5" spans="1:11" ht="15" customHeight="1">
      <c r="A5" s="325" t="s">
        <v>2320</v>
      </c>
      <c r="B5" s="123" t="s">
        <v>2259</v>
      </c>
      <c r="C5" s="124" t="s">
        <v>2260</v>
      </c>
      <c r="D5" s="123"/>
      <c r="E5" s="150" t="s">
        <v>589</v>
      </c>
      <c r="F5" s="123"/>
      <c r="G5" s="122" t="s">
        <v>1806</v>
      </c>
    </row>
    <row r="6" spans="1:11" ht="20.25" customHeight="1">
      <c r="A6" s="291"/>
      <c r="B6" s="129"/>
      <c r="C6" s="128"/>
      <c r="D6" s="129"/>
      <c r="E6" s="153" t="s">
        <v>2262</v>
      </c>
      <c r="F6" s="129"/>
      <c r="G6" s="152"/>
    </row>
    <row r="7" spans="1:11" ht="1.5" customHeight="1" thickBot="1">
      <c r="A7" s="327">
        <v>1996</v>
      </c>
      <c r="B7" s="170">
        <v>1524.5463513417667</v>
      </c>
      <c r="C7" s="171">
        <v>1591.881526355354</v>
      </c>
      <c r="D7" s="170">
        <v>1359.088238474134</v>
      </c>
      <c r="E7" s="171">
        <v>1137.2770798904471</v>
      </c>
      <c r="F7" s="170">
        <v>1538.9405008830074</v>
      </c>
      <c r="G7" s="375" t="s">
        <v>744</v>
      </c>
    </row>
    <row r="8" spans="1:11" ht="19.5" hidden="1" customHeight="1" thickBot="1">
      <c r="A8" s="328">
        <v>1997</v>
      </c>
      <c r="B8" s="188">
        <v>1596.7748981305942</v>
      </c>
      <c r="C8" s="187">
        <v>1820.0543916502945</v>
      </c>
      <c r="D8" s="188">
        <v>1429.0086986460665</v>
      </c>
      <c r="E8" s="187">
        <v>1270.8735771137619</v>
      </c>
      <c r="F8" s="188">
        <v>1663.893341996396</v>
      </c>
      <c r="G8" s="364">
        <v>8.1194068933590158E-2</v>
      </c>
      <c r="I8" s="8"/>
      <c r="J8" s="8"/>
      <c r="K8" s="8"/>
    </row>
    <row r="9" spans="1:11" ht="19.5" hidden="1" customHeight="1" thickBot="1">
      <c r="A9" s="328">
        <v>1998</v>
      </c>
      <c r="B9" s="188">
        <v>1665.5565653402912</v>
      </c>
      <c r="C9" s="187">
        <v>1937.4811057809607</v>
      </c>
      <c r="D9" s="188">
        <v>1448.2169878271459</v>
      </c>
      <c r="E9" s="187">
        <v>1463.0710596518434</v>
      </c>
      <c r="F9" s="188">
        <v>1753.6807220915252</v>
      </c>
      <c r="G9" s="364">
        <v>5.3962220912188608E-2</v>
      </c>
    </row>
    <row r="10" spans="1:11" ht="20" customHeight="1" thickBot="1">
      <c r="A10" s="328">
        <v>1999</v>
      </c>
      <c r="B10" s="188">
        <v>1698.1180433399416</v>
      </c>
      <c r="C10" s="187">
        <v>1985.9900541831798</v>
      </c>
      <c r="D10" s="188">
        <v>1493.6302697798037</v>
      </c>
      <c r="E10" s="187">
        <v>1527.6216147396292</v>
      </c>
      <c r="F10" s="188">
        <v>1792.6961372402147</v>
      </c>
      <c r="G10" s="364">
        <v>2.2247729964299134E-2</v>
      </c>
    </row>
    <row r="11" spans="1:11" ht="20" customHeight="1" thickBot="1">
      <c r="A11" s="328">
        <v>2000</v>
      </c>
      <c r="B11" s="188">
        <v>1758.0451704632812</v>
      </c>
      <c r="C11" s="187">
        <v>2038.1607144334851</v>
      </c>
      <c r="D11" s="188">
        <v>1535.3433088803986</v>
      </c>
      <c r="E11" s="187">
        <v>1583.2530710258736</v>
      </c>
      <c r="F11" s="188">
        <v>1850.1631679231971</v>
      </c>
      <c r="G11" s="364">
        <v>3.2056202659894506E-2</v>
      </c>
    </row>
    <row r="12" spans="1:11" ht="20" customHeight="1" thickBot="1">
      <c r="A12" s="328">
        <v>2001</v>
      </c>
      <c r="B12" s="188">
        <v>1842.9742230994177</v>
      </c>
      <c r="C12" s="187">
        <v>2074.3537866389079</v>
      </c>
      <c r="D12" s="188">
        <v>1595.1792853069078</v>
      </c>
      <c r="E12" s="187">
        <v>1658.0330212983067</v>
      </c>
      <c r="F12" s="188">
        <v>1917.1693080707569</v>
      </c>
      <c r="G12" s="364">
        <v>3.6216340974279504E-2</v>
      </c>
    </row>
    <row r="13" spans="1:11" ht="20" customHeight="1" thickBot="1">
      <c r="A13" s="328">
        <v>2002</v>
      </c>
      <c r="B13" s="188">
        <v>1999.3225217818947</v>
      </c>
      <c r="C13" s="187">
        <v>2236.6776923608968</v>
      </c>
      <c r="D13" s="188">
        <v>1807.8492038743398</v>
      </c>
      <c r="E13" s="187">
        <v>1938.8414423486433</v>
      </c>
      <c r="F13" s="188">
        <v>2090.6453445046668</v>
      </c>
      <c r="G13" s="364">
        <v>9.0485506785250136E-2</v>
      </c>
    </row>
    <row r="14" spans="1:11" ht="20" customHeight="1" thickBot="1">
      <c r="A14" s="328">
        <v>2003</v>
      </c>
      <c r="B14" s="188">
        <v>2216.0796496496105</v>
      </c>
      <c r="C14" s="187">
        <v>2426.9395460837259</v>
      </c>
      <c r="D14" s="188">
        <v>1977.301650220651</v>
      </c>
      <c r="E14" s="187">
        <v>1934.7726722030034</v>
      </c>
      <c r="F14" s="188">
        <v>2281.4625632725915</v>
      </c>
      <c r="G14" s="364">
        <v>9.1271921978299364E-2</v>
      </c>
    </row>
    <row r="15" spans="1:11" ht="20" customHeight="1" thickBot="1">
      <c r="A15" s="328">
        <v>2004</v>
      </c>
      <c r="B15" s="188">
        <v>2343.8682619528158</v>
      </c>
      <c r="C15" s="187">
        <v>2645.1462345444088</v>
      </c>
      <c r="D15" s="188">
        <v>2075.9841086714919</v>
      </c>
      <c r="E15" s="187">
        <v>2100.4541508082671</v>
      </c>
      <c r="F15" s="188">
        <v>2441.8690220833437</v>
      </c>
      <c r="G15" s="364">
        <v>7.0308608781491921E-2</v>
      </c>
    </row>
    <row r="16" spans="1:11" ht="20" customHeight="1" thickBot="1">
      <c r="A16" s="328">
        <v>2005</v>
      </c>
      <c r="B16" s="188">
        <v>2470.8502609985521</v>
      </c>
      <c r="C16" s="187">
        <v>2635.6398124159059</v>
      </c>
      <c r="D16" s="188">
        <v>2194.1314013904234</v>
      </c>
      <c r="E16" s="187">
        <v>2075.4315686877048</v>
      </c>
      <c r="F16" s="188">
        <v>2487.4606144678528</v>
      </c>
      <c r="G16" s="364">
        <v>1.8670777167897112E-2</v>
      </c>
    </row>
    <row r="17" spans="1:7" ht="20" customHeight="1" thickBot="1">
      <c r="A17" s="328">
        <v>2006</v>
      </c>
      <c r="B17" s="188">
        <v>2629.69</v>
      </c>
      <c r="C17" s="187">
        <v>2763.07</v>
      </c>
      <c r="D17" s="188">
        <v>2359.12</v>
      </c>
      <c r="E17" s="187">
        <v>2097.1999999999998</v>
      </c>
      <c r="F17" s="188">
        <v>2582.7199999999998</v>
      </c>
      <c r="G17" s="364">
        <v>3.8295836717208154E-2</v>
      </c>
    </row>
    <row r="18" spans="1:7" ht="20" customHeight="1" thickBot="1">
      <c r="A18" s="328">
        <v>2007</v>
      </c>
      <c r="B18" s="188">
        <v>2723.42</v>
      </c>
      <c r="C18" s="187">
        <v>2817.48</v>
      </c>
      <c r="D18" s="188">
        <v>2454.38</v>
      </c>
      <c r="E18" s="187">
        <v>2134.58</v>
      </c>
      <c r="F18" s="188">
        <v>2612.13</v>
      </c>
      <c r="G18" s="364">
        <v>1.1387219675381033E-2</v>
      </c>
    </row>
    <row r="19" spans="1:7" ht="20" customHeight="1" thickBot="1">
      <c r="A19" s="328">
        <v>2008</v>
      </c>
      <c r="B19" s="188">
        <v>2766.67</v>
      </c>
      <c r="C19" s="187">
        <v>2814.77</v>
      </c>
      <c r="D19" s="188">
        <v>2510.7399999999998</v>
      </c>
      <c r="E19" s="187">
        <v>2114.29</v>
      </c>
      <c r="F19" s="188">
        <v>2585.79</v>
      </c>
      <c r="G19" s="364">
        <v>-1.0083724776332015E-2</v>
      </c>
    </row>
    <row r="20" spans="1:7" ht="22.5" customHeight="1" thickBot="1">
      <c r="A20" s="329">
        <v>2009</v>
      </c>
      <c r="B20" s="675">
        <v>2823.6745881888778</v>
      </c>
      <c r="C20" s="674">
        <v>2837.4638725119903</v>
      </c>
      <c r="D20" s="675">
        <v>2582.6714722167626</v>
      </c>
      <c r="E20" s="674">
        <v>2220.8587243287579</v>
      </c>
      <c r="F20" s="191">
        <v>2610.6060854467783</v>
      </c>
      <c r="G20" s="909">
        <v>9.5971000919556904E-3</v>
      </c>
    </row>
    <row r="21" spans="1:7" ht="20" customHeight="1">
      <c r="A21" s="140" t="s">
        <v>1837</v>
      </c>
      <c r="B21" s="194"/>
      <c r="C21" s="194"/>
      <c r="D21" s="194"/>
      <c r="E21" s="194"/>
      <c r="F21" s="194"/>
      <c r="G21" s="373"/>
    </row>
    <row r="22" spans="1:7" ht="13.5" customHeight="1">
      <c r="A22" s="141"/>
      <c r="B22" s="196"/>
      <c r="C22" s="196"/>
      <c r="D22" s="196"/>
      <c r="E22" s="196"/>
      <c r="F22" s="196"/>
      <c r="G22" s="374"/>
    </row>
    <row r="23" spans="1:7">
      <c r="A23" s="1104" t="s">
        <v>1196</v>
      </c>
      <c r="G23" s="374"/>
    </row>
    <row r="24" spans="1:7">
      <c r="G24" s="374"/>
    </row>
    <row r="25" spans="1:7">
      <c r="G25" s="374"/>
    </row>
    <row r="26" spans="1:7" ht="18">
      <c r="A26" s="918" t="s">
        <v>2214</v>
      </c>
      <c r="G26" s="374"/>
    </row>
    <row r="27" spans="1:7">
      <c r="G27" s="374"/>
    </row>
    <row r="28" spans="1:7" ht="19.5" customHeight="1">
      <c r="A28" s="305"/>
      <c r="B28" s="120" t="s">
        <v>1798</v>
      </c>
      <c r="C28" s="357" t="s">
        <v>1801</v>
      </c>
      <c r="D28" s="120" t="s">
        <v>611</v>
      </c>
      <c r="E28" s="357" t="s">
        <v>1801</v>
      </c>
      <c r="F28" s="120" t="s">
        <v>2210</v>
      </c>
      <c r="G28" s="357" t="s">
        <v>1801</v>
      </c>
    </row>
    <row r="29" spans="1:7" ht="19.5" customHeight="1">
      <c r="A29" s="919"/>
      <c r="B29" s="123" t="s">
        <v>1803</v>
      </c>
      <c r="C29" s="358" t="s">
        <v>1802</v>
      </c>
      <c r="D29" s="123" t="s">
        <v>1804</v>
      </c>
      <c r="E29" s="358" t="s">
        <v>1802</v>
      </c>
      <c r="F29" s="123" t="s">
        <v>2211</v>
      </c>
      <c r="G29" s="358" t="s">
        <v>1802</v>
      </c>
    </row>
    <row r="30" spans="1:7" ht="19.5" customHeight="1">
      <c r="A30" s="325"/>
      <c r="B30" s="123"/>
      <c r="C30" s="358" t="s">
        <v>1806</v>
      </c>
      <c r="D30" s="123"/>
      <c r="E30" s="358" t="s">
        <v>1806</v>
      </c>
      <c r="F30" s="123"/>
      <c r="G30" s="358" t="s">
        <v>1806</v>
      </c>
    </row>
    <row r="31" spans="1:7" ht="19.5" customHeight="1">
      <c r="A31" s="326" t="s">
        <v>2320</v>
      </c>
      <c r="B31" s="129"/>
      <c r="C31" s="359"/>
      <c r="D31" s="129"/>
      <c r="E31" s="359"/>
      <c r="F31" s="129"/>
      <c r="G31" s="359"/>
    </row>
    <row r="32" spans="1:7" ht="1.5" customHeight="1" thickBot="1">
      <c r="A32" s="327">
        <v>1996</v>
      </c>
      <c r="B32" s="170" t="s">
        <v>744</v>
      </c>
      <c r="C32" s="920" t="s">
        <v>744</v>
      </c>
      <c r="D32" s="170" t="s">
        <v>744</v>
      </c>
      <c r="E32" s="920" t="s">
        <v>744</v>
      </c>
      <c r="F32" s="170" t="s">
        <v>744</v>
      </c>
      <c r="G32" s="375" t="s">
        <v>744</v>
      </c>
    </row>
    <row r="33" spans="1:7" ht="0.75" hidden="1" customHeight="1" thickBot="1">
      <c r="A33" s="328">
        <v>1997</v>
      </c>
      <c r="B33" s="170">
        <v>571.27</v>
      </c>
      <c r="C33" s="920" t="s">
        <v>744</v>
      </c>
      <c r="D33" s="170">
        <v>1459.12</v>
      </c>
      <c r="E33" s="920" t="s">
        <v>744</v>
      </c>
      <c r="F33" s="170">
        <v>2024.73</v>
      </c>
      <c r="G33" s="364" t="s">
        <v>744</v>
      </c>
    </row>
    <row r="34" spans="1:7" ht="19.5" hidden="1" customHeight="1" thickBot="1">
      <c r="A34" s="328">
        <v>1998</v>
      </c>
      <c r="B34" s="188">
        <v>588.77</v>
      </c>
      <c r="C34" s="364">
        <v>3.0633500796471091E-2</v>
      </c>
      <c r="D34" s="188">
        <v>1563.95</v>
      </c>
      <c r="E34" s="364">
        <v>7.1844673501836764E-2</v>
      </c>
      <c r="F34" s="188">
        <v>2142.38</v>
      </c>
      <c r="G34" s="364">
        <v>5.8106512967161184E-2</v>
      </c>
    </row>
    <row r="35" spans="1:7" ht="19.5" customHeight="1" thickBot="1">
      <c r="A35" s="328">
        <v>1999</v>
      </c>
      <c r="B35" s="188">
        <v>603.19000000000005</v>
      </c>
      <c r="C35" s="364">
        <v>2.4491737011057113E-2</v>
      </c>
      <c r="D35" s="188">
        <v>1581.32</v>
      </c>
      <c r="E35" s="364">
        <v>1.1106493174334098E-2</v>
      </c>
      <c r="F35" s="188">
        <v>2190.21</v>
      </c>
      <c r="G35" s="364">
        <v>2.2325637842026014E-2</v>
      </c>
    </row>
    <row r="36" spans="1:7" ht="19.5" customHeight="1" thickBot="1">
      <c r="A36" s="328">
        <v>2000</v>
      </c>
      <c r="B36" s="188">
        <v>621.73</v>
      </c>
      <c r="C36" s="364">
        <v>3.073658382930744E-2</v>
      </c>
      <c r="D36" s="188">
        <v>1566.95</v>
      </c>
      <c r="E36" s="364">
        <v>-9.0873447499556503E-3</v>
      </c>
      <c r="F36" s="188">
        <v>2256.67</v>
      </c>
      <c r="G36" s="364">
        <v>3.0344122253117334E-2</v>
      </c>
    </row>
    <row r="37" spans="1:7" ht="19.5" customHeight="1" thickBot="1">
      <c r="A37" s="328">
        <v>2001</v>
      </c>
      <c r="B37" s="188">
        <v>652.66999999999996</v>
      </c>
      <c r="C37" s="364">
        <v>4.9764367169028212E-2</v>
      </c>
      <c r="D37" s="188">
        <v>1580.79</v>
      </c>
      <c r="E37" s="364">
        <v>8.8324451960815065E-3</v>
      </c>
      <c r="F37" s="188">
        <v>2352.56</v>
      </c>
      <c r="G37" s="364">
        <v>4.2491813158326064E-2</v>
      </c>
    </row>
    <row r="38" spans="1:7" ht="19.5" customHeight="1" thickBot="1">
      <c r="A38" s="328">
        <v>2002</v>
      </c>
      <c r="B38" s="188">
        <v>712.31</v>
      </c>
      <c r="C38" s="364">
        <v>9.1378491427520858E-2</v>
      </c>
      <c r="D38" s="188">
        <v>1782.56</v>
      </c>
      <c r="E38" s="364">
        <v>0.12763871228942492</v>
      </c>
      <c r="F38" s="188">
        <v>2553.98</v>
      </c>
      <c r="G38" s="364">
        <v>8.5617370013942207E-2</v>
      </c>
    </row>
    <row r="39" spans="1:7" ht="19.5" customHeight="1" thickBot="1">
      <c r="A39" s="328">
        <v>2003</v>
      </c>
      <c r="B39" s="188">
        <v>775.13</v>
      </c>
      <c r="C39" s="364">
        <v>8.8191938903005695E-2</v>
      </c>
      <c r="D39" s="188">
        <v>2027.01</v>
      </c>
      <c r="E39" s="364">
        <v>0.13713423391077995</v>
      </c>
      <c r="F39" s="188">
        <v>2767.57</v>
      </c>
      <c r="G39" s="364">
        <v>8.3630255522752828E-2</v>
      </c>
    </row>
    <row r="40" spans="1:7" ht="19.5" customHeight="1" thickBot="1">
      <c r="A40" s="328">
        <v>2004</v>
      </c>
      <c r="B40" s="188">
        <v>811.85</v>
      </c>
      <c r="C40" s="364">
        <v>4.7372698773109123E-2</v>
      </c>
      <c r="D40" s="188">
        <v>2229.4699999999998</v>
      </c>
      <c r="E40" s="364">
        <v>9.9881105667954273E-2</v>
      </c>
      <c r="F40" s="188">
        <v>2944.97</v>
      </c>
      <c r="G40" s="364">
        <v>6.4099553037502144E-2</v>
      </c>
    </row>
    <row r="41" spans="1:7" ht="19.5" customHeight="1" thickBot="1">
      <c r="A41" s="328">
        <v>2005</v>
      </c>
      <c r="B41" s="188">
        <v>810.41</v>
      </c>
      <c r="C41" s="364">
        <v>-1.773726673646725E-3</v>
      </c>
      <c r="D41" s="188">
        <v>2295.98</v>
      </c>
      <c r="E41" s="364">
        <v>2.9832202272288999E-2</v>
      </c>
      <c r="F41" s="188">
        <v>3001.01</v>
      </c>
      <c r="G41" s="364">
        <v>1.9029056323154547E-2</v>
      </c>
    </row>
    <row r="42" spans="1:7" ht="19.5" customHeight="1" thickBot="1">
      <c r="A42" s="328">
        <v>2006</v>
      </c>
      <c r="B42" s="188">
        <v>831.45</v>
      </c>
      <c r="C42" s="364">
        <v>2.5962167298034355E-2</v>
      </c>
      <c r="D42" s="188">
        <v>2397.42</v>
      </c>
      <c r="E42" s="364">
        <v>4.4181569525866937E-2</v>
      </c>
      <c r="F42" s="188">
        <v>3120.11</v>
      </c>
      <c r="G42" s="364">
        <v>3.9686638831593291E-2</v>
      </c>
    </row>
    <row r="43" spans="1:7" ht="19.5" customHeight="1" thickBot="1">
      <c r="A43" s="328">
        <v>2007</v>
      </c>
      <c r="B43" s="188">
        <v>830.97</v>
      </c>
      <c r="C43" s="364">
        <v>-5.7730470864159056E-4</v>
      </c>
      <c r="D43" s="188">
        <v>2410.9299999999998</v>
      </c>
      <c r="E43" s="364">
        <v>5.6352245330395512E-3</v>
      </c>
      <c r="F43" s="188">
        <v>3148.34</v>
      </c>
      <c r="G43" s="364">
        <v>9.0477579316114998E-3</v>
      </c>
    </row>
    <row r="44" spans="1:7" ht="19.5" customHeight="1" thickBot="1">
      <c r="A44" s="328">
        <v>2008</v>
      </c>
      <c r="B44" s="188">
        <v>805.67</v>
      </c>
      <c r="C44" s="364">
        <v>-3.0446345836793176E-2</v>
      </c>
      <c r="D44" s="188">
        <v>2390.77</v>
      </c>
      <c r="E44" s="364">
        <v>-8.3619184298174831E-3</v>
      </c>
      <c r="F44" s="188">
        <v>3113.11</v>
      </c>
      <c r="G44" s="364">
        <v>-1.1190023949128713E-2</v>
      </c>
    </row>
    <row r="45" spans="1:7" ht="21.75" customHeight="1" thickBot="1">
      <c r="A45" s="921">
        <v>2009</v>
      </c>
      <c r="B45" s="192">
        <v>803.29852245883592</v>
      </c>
      <c r="C45" s="909">
        <v>-2.9434849766828419E-3</v>
      </c>
      <c r="D45" s="192">
        <v>2417.2719920855861</v>
      </c>
      <c r="E45" s="909">
        <v>1.1085128258086829E-2</v>
      </c>
      <c r="F45" s="192">
        <v>3124.0890560836219</v>
      </c>
      <c r="G45" s="909">
        <v>3.5267163973073945E-3</v>
      </c>
    </row>
    <row r="46" spans="1:7" ht="15" customHeight="1">
      <c r="A46" s="140" t="s">
        <v>1837</v>
      </c>
    </row>
    <row r="48" spans="1:7">
      <c r="A48" s="495" t="s">
        <v>1197</v>
      </c>
    </row>
    <row r="49" spans="1:7">
      <c r="A49" s="1104"/>
    </row>
    <row r="50" spans="1:7" ht="12" customHeight="1">
      <c r="A50" s="1104" t="s">
        <v>1198</v>
      </c>
      <c r="B50" s="277"/>
      <c r="F50" s="277"/>
      <c r="G50" s="922"/>
    </row>
    <row r="51" spans="1:7">
      <c r="A51" s="2" t="s">
        <v>2212</v>
      </c>
    </row>
    <row r="54" spans="1:7">
      <c r="A54" s="2" t="s">
        <v>710</v>
      </c>
    </row>
  </sheetData>
  <phoneticPr fontId="0" type="noConversion"/>
  <pageMargins left="0.47244094488188981" right="0.43307086614173229" top="0.43" bottom="0.37" header="0.31" footer="0.28000000000000003"/>
  <pageSetup paperSize="9" scale="76" orientation="portrait"/>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20A0A-39AF-174A-9988-501DE6C73F3C}">
  <sheetPr>
    <pageSetUpPr fitToPage="1"/>
  </sheetPr>
  <dimension ref="A1:H44"/>
  <sheetViews>
    <sheetView topLeftCell="A26" zoomScale="75" workbookViewId="0">
      <selection activeCell="F41" sqref="F41"/>
    </sheetView>
  </sheetViews>
  <sheetFormatPr baseColWidth="10" defaultColWidth="11.3984375" defaultRowHeight="13"/>
  <cols>
    <col min="1" max="1" width="20.59765625" style="2" customWidth="1"/>
    <col min="2" max="4" width="17" style="7" customWidth="1"/>
    <col min="5" max="5" width="17.3984375" style="7" customWidth="1"/>
    <col min="6" max="6" width="17.3984375" style="168" customWidth="1"/>
    <col min="7" max="7" width="11.3984375" style="2"/>
    <col min="8" max="8" width="0" style="2" hidden="1" customWidth="1"/>
    <col min="9" max="16384" width="11.3984375" style="2"/>
  </cols>
  <sheetData>
    <row r="1" spans="1:8" s="1" customFormat="1" ht="14" customHeight="1">
      <c r="B1" s="144"/>
      <c r="C1" s="144"/>
      <c r="D1" s="144"/>
      <c r="E1" s="144"/>
      <c r="F1" s="145"/>
    </row>
    <row r="2" spans="1:8" s="1" customFormat="1" ht="29.25" customHeight="1">
      <c r="A2" s="2014" t="s">
        <v>1199</v>
      </c>
      <c r="B2" s="2018"/>
      <c r="C2" s="2018"/>
      <c r="D2" s="2018"/>
      <c r="E2" s="2018"/>
      <c r="F2" s="146">
        <v>2009</v>
      </c>
      <c r="G2" s="146"/>
    </row>
    <row r="3" spans="1:8" ht="27" customHeight="1">
      <c r="A3" s="119" t="s">
        <v>1797</v>
      </c>
      <c r="B3" s="120" t="s">
        <v>1798</v>
      </c>
      <c r="C3" s="121" t="s">
        <v>1799</v>
      </c>
      <c r="D3" s="120" t="s">
        <v>1800</v>
      </c>
      <c r="E3" s="121" t="s">
        <v>1567</v>
      </c>
      <c r="F3" s="120" t="s">
        <v>1801</v>
      </c>
    </row>
    <row r="4" spans="1:8" ht="20.25" customHeight="1">
      <c r="A4" s="122"/>
      <c r="B4" s="123"/>
      <c r="C4" s="124" t="s">
        <v>1800</v>
      </c>
      <c r="D4" s="125"/>
      <c r="E4" s="124"/>
      <c r="F4" s="123" t="s">
        <v>1802</v>
      </c>
    </row>
    <row r="5" spans="1:8" ht="20.25" customHeight="1">
      <c r="A5" s="122"/>
      <c r="B5" s="123" t="s">
        <v>1803</v>
      </c>
      <c r="C5" s="124" t="s">
        <v>1804</v>
      </c>
      <c r="D5" s="123" t="s">
        <v>1805</v>
      </c>
      <c r="E5" s="124"/>
      <c r="F5" s="123" t="s">
        <v>1806</v>
      </c>
    </row>
    <row r="6" spans="1:8" ht="24" customHeight="1">
      <c r="A6" s="126"/>
      <c r="B6" s="151"/>
      <c r="C6" s="152"/>
      <c r="D6" s="151"/>
      <c r="E6" s="153"/>
      <c r="F6" s="129"/>
    </row>
    <row r="7" spans="1:8" ht="30" customHeight="1" thickBot="1">
      <c r="A7" s="131" t="s">
        <v>1807</v>
      </c>
      <c r="B7" s="155">
        <v>804.82689035760677</v>
      </c>
      <c r="C7" s="156">
        <v>2415.5048692652963</v>
      </c>
      <c r="D7" s="155">
        <v>3005.2664607066786</v>
      </c>
      <c r="E7" s="156">
        <v>2553.0417138843345</v>
      </c>
      <c r="F7" s="576">
        <v>-5.9332651095930682E-3</v>
      </c>
      <c r="H7" s="134">
        <v>172.8785586534616</v>
      </c>
    </row>
    <row r="8" spans="1:8" ht="20" customHeight="1" thickBot="1">
      <c r="A8" s="135" t="s">
        <v>1808</v>
      </c>
      <c r="B8" s="155">
        <v>818.64025001428865</v>
      </c>
      <c r="C8" s="156">
        <v>2439.2256244465316</v>
      </c>
      <c r="D8" s="155">
        <v>3286.294281381271</v>
      </c>
      <c r="E8" s="156">
        <v>2759.6216653565525</v>
      </c>
      <c r="F8" s="457">
        <v>2.0396554342291057E-2</v>
      </c>
      <c r="H8" s="134">
        <v>161.49387493756916</v>
      </c>
    </row>
    <row r="9" spans="1:8" ht="20" customHeight="1" thickBot="1">
      <c r="A9" s="135" t="s">
        <v>1809</v>
      </c>
      <c r="B9" s="155">
        <v>668.00905944064925</v>
      </c>
      <c r="C9" s="156">
        <v>1990.722680471147</v>
      </c>
      <c r="D9" s="155">
        <v>2633.3651602774271</v>
      </c>
      <c r="E9" s="156">
        <v>2171.352517674145</v>
      </c>
      <c r="F9" s="457">
        <v>2.1514907497175002E-2</v>
      </c>
      <c r="H9" s="134">
        <v>129.41591119853354</v>
      </c>
    </row>
    <row r="10" spans="1:8" ht="20" customHeight="1" thickBot="1">
      <c r="A10" s="135" t="s">
        <v>1810</v>
      </c>
      <c r="B10" s="155">
        <v>602.63868898873466</v>
      </c>
      <c r="C10" s="156">
        <v>1766.310294321936</v>
      </c>
      <c r="D10" s="155">
        <v>2369.5726752045721</v>
      </c>
      <c r="E10" s="156">
        <v>1955.006748060292</v>
      </c>
      <c r="F10" s="457">
        <v>2.2578640503542188E-2</v>
      </c>
      <c r="H10" s="134">
        <v>126.90557061409594</v>
      </c>
    </row>
    <row r="11" spans="1:8" ht="20" customHeight="1" thickBot="1">
      <c r="A11" s="135" t="s">
        <v>1811</v>
      </c>
      <c r="B11" s="155">
        <v>673.26268241009484</v>
      </c>
      <c r="C11" s="156">
        <v>1981.1627683041299</v>
      </c>
      <c r="D11" s="155">
        <v>2579.7848649032735</v>
      </c>
      <c r="E11" s="156">
        <v>2138.5684760685695</v>
      </c>
      <c r="F11" s="457">
        <v>1.6241512299796892E-2</v>
      </c>
      <c r="H11" s="134">
        <v>131.64111605385247</v>
      </c>
    </row>
    <row r="12" spans="1:8" ht="20" customHeight="1" thickBot="1">
      <c r="A12" s="135" t="s">
        <v>1812</v>
      </c>
      <c r="B12" s="155">
        <v>618.12694402167938</v>
      </c>
      <c r="C12" s="156">
        <v>1815.4998454641523</v>
      </c>
      <c r="D12" s="155">
        <v>2359.5585462132426</v>
      </c>
      <c r="E12" s="156">
        <v>1944.3164077974288</v>
      </c>
      <c r="F12" s="457">
        <v>3.4194352110034999E-2</v>
      </c>
      <c r="H12" s="134">
        <v>125.19129183854066</v>
      </c>
    </row>
    <row r="13" spans="1:8" ht="20" customHeight="1" thickBot="1">
      <c r="A13" s="135" t="s">
        <v>1813</v>
      </c>
      <c r="B13" s="155">
        <v>577.43917760166289</v>
      </c>
      <c r="C13" s="156">
        <v>1722.4262853751925</v>
      </c>
      <c r="D13" s="155">
        <v>2224.5621088496309</v>
      </c>
      <c r="E13" s="156">
        <v>1867.5283697227594</v>
      </c>
      <c r="F13" s="457">
        <v>2.4100050298182411E-2</v>
      </c>
      <c r="H13" s="134">
        <v>117.8833340734285</v>
      </c>
    </row>
    <row r="14" spans="1:8" ht="20" customHeight="1" thickBot="1">
      <c r="A14" s="135" t="s">
        <v>1814</v>
      </c>
      <c r="B14" s="155">
        <v>666.58361510256395</v>
      </c>
      <c r="C14" s="156">
        <v>1985.1142691945677</v>
      </c>
      <c r="D14" s="155">
        <v>2654.924912663063</v>
      </c>
      <c r="E14" s="156">
        <v>2204.6169963077955</v>
      </c>
      <c r="F14" s="457">
        <v>1.414389835077332E-2</v>
      </c>
      <c r="H14" s="134">
        <v>140.25371771237261</v>
      </c>
    </row>
    <row r="15" spans="1:8" ht="20" customHeight="1" thickBot="1">
      <c r="A15" s="135" t="s">
        <v>1815</v>
      </c>
      <c r="B15" s="155">
        <v>675.53496445570761</v>
      </c>
      <c r="C15" s="156">
        <v>2029.2753662078728</v>
      </c>
      <c r="D15" s="155">
        <v>2521.8163479894697</v>
      </c>
      <c r="E15" s="156">
        <v>2124.2562209431949</v>
      </c>
      <c r="F15" s="457">
        <v>1.6589963075624752E-2</v>
      </c>
      <c r="H15" s="134">
        <v>131.3336445580656</v>
      </c>
    </row>
    <row r="16" spans="1:8" ht="20" customHeight="1" thickBot="1">
      <c r="A16" s="135" t="s">
        <v>1816</v>
      </c>
      <c r="B16" s="155">
        <v>769.60143324611261</v>
      </c>
      <c r="C16" s="156">
        <v>2312.9853165026057</v>
      </c>
      <c r="D16" s="155">
        <v>2927.0959499007181</v>
      </c>
      <c r="E16" s="156">
        <v>2384.3628245658833</v>
      </c>
      <c r="F16" s="457">
        <v>1.1042956242529921E-2</v>
      </c>
      <c r="H16" s="134">
        <v>163.19734143075968</v>
      </c>
    </row>
    <row r="17" spans="1:8" ht="20" customHeight="1" thickBot="1">
      <c r="A17" s="135" t="s">
        <v>1817</v>
      </c>
      <c r="B17" s="155">
        <v>756.17404609428002</v>
      </c>
      <c r="C17" s="156">
        <v>2230.9993409466169</v>
      </c>
      <c r="D17" s="155">
        <v>2893.7185399967611</v>
      </c>
      <c r="E17" s="156">
        <v>2430.7046474771378</v>
      </c>
      <c r="F17" s="457">
        <v>1.9488242575050326E-2</v>
      </c>
      <c r="H17" s="134">
        <v>156.59253023292777</v>
      </c>
    </row>
    <row r="18" spans="1:8" ht="20" customHeight="1" thickBot="1">
      <c r="A18" s="135" t="s">
        <v>1818</v>
      </c>
      <c r="B18" s="155">
        <v>1068.6273499217384</v>
      </c>
      <c r="C18" s="156">
        <v>3264.1544361657661</v>
      </c>
      <c r="D18" s="155">
        <v>4195.3551269003892</v>
      </c>
      <c r="E18" s="156">
        <v>3636.9303412384484</v>
      </c>
      <c r="F18" s="457">
        <v>1.5221734378753855E-2</v>
      </c>
      <c r="H18" s="134">
        <v>239.48436004651805</v>
      </c>
    </row>
    <row r="19" spans="1:8" ht="20" customHeight="1" thickBot="1">
      <c r="A19" s="135" t="s">
        <v>1819</v>
      </c>
      <c r="B19" s="155">
        <v>837.89915013627956</v>
      </c>
      <c r="C19" s="156">
        <v>2460.6900070174083</v>
      </c>
      <c r="D19" s="155">
        <v>3216.2287074326691</v>
      </c>
      <c r="E19" s="156">
        <v>2720.5119199181258</v>
      </c>
      <c r="F19" s="457">
        <v>2.503397420494775E-2</v>
      </c>
      <c r="H19" s="134">
        <v>177.06647582891381</v>
      </c>
    </row>
    <row r="20" spans="1:8" ht="20" customHeight="1" thickBot="1">
      <c r="A20" s="135" t="s">
        <v>1820</v>
      </c>
      <c r="B20" s="155">
        <v>765.76478694918205</v>
      </c>
      <c r="C20" s="156">
        <v>2249.5963595161716</v>
      </c>
      <c r="D20" s="155">
        <v>2955.2671952809123</v>
      </c>
      <c r="E20" s="156">
        <v>2492.4390560167353</v>
      </c>
      <c r="F20" s="457">
        <v>5.0886983800175643E-3</v>
      </c>
      <c r="H20" s="134">
        <v>165.60622548393192</v>
      </c>
    </row>
    <row r="21" spans="1:8" ht="20" customHeight="1" thickBot="1">
      <c r="A21" s="135" t="s">
        <v>1821</v>
      </c>
      <c r="B21" s="155">
        <v>612.43637234596338</v>
      </c>
      <c r="C21" s="156">
        <v>1833.5928564137114</v>
      </c>
      <c r="D21" s="155">
        <v>2389.2087005293306</v>
      </c>
      <c r="E21" s="156">
        <v>1980.3919865184796</v>
      </c>
      <c r="F21" s="457">
        <v>2.0920598676406273E-2</v>
      </c>
      <c r="H21" s="134">
        <v>125.02923450612184</v>
      </c>
    </row>
    <row r="22" spans="1:8" ht="20" customHeight="1" thickBot="1">
      <c r="A22" s="135" t="s">
        <v>1822</v>
      </c>
      <c r="B22" s="155">
        <v>567.59604641048304</v>
      </c>
      <c r="C22" s="156">
        <v>1717.343805339978</v>
      </c>
      <c r="D22" s="155">
        <v>2243.7373095454645</v>
      </c>
      <c r="E22" s="156">
        <v>1808.2572305818178</v>
      </c>
      <c r="F22" s="457">
        <v>2.2781496726104241E-2</v>
      </c>
      <c r="H22" s="134">
        <v>109.87124540182084</v>
      </c>
    </row>
    <row r="23" spans="1:8" ht="20" customHeight="1" thickBot="1">
      <c r="A23" s="135" t="s">
        <v>1823</v>
      </c>
      <c r="B23" s="155">
        <v>663.29592752929193</v>
      </c>
      <c r="C23" s="156">
        <v>1979.3719622792437</v>
      </c>
      <c r="D23" s="155">
        <v>2633.375528431714</v>
      </c>
      <c r="E23" s="156">
        <v>2162.9519973111946</v>
      </c>
      <c r="F23" s="457">
        <v>2.0929759281413055E-2</v>
      </c>
      <c r="H23" s="134">
        <v>134.24530167185685</v>
      </c>
    </row>
    <row r="24" spans="1:8" ht="20" customHeight="1" thickBot="1">
      <c r="A24" s="135" t="s">
        <v>1824</v>
      </c>
      <c r="B24" s="155">
        <v>692.85515529974612</v>
      </c>
      <c r="C24" s="156">
        <v>2083.9145655566076</v>
      </c>
      <c r="D24" s="155">
        <v>2672.0210297529434</v>
      </c>
      <c r="E24" s="156">
        <v>2260.611571997274</v>
      </c>
      <c r="F24" s="457">
        <v>1.6265547577255391E-2</v>
      </c>
      <c r="H24" s="134">
        <v>132.91701511018809</v>
      </c>
    </row>
    <row r="25" spans="1:8" ht="20" customHeight="1" thickBot="1">
      <c r="A25" s="135" t="s">
        <v>1825</v>
      </c>
      <c r="B25" s="155">
        <v>744.70150920903563</v>
      </c>
      <c r="C25" s="156">
        <v>2242.4792121606451</v>
      </c>
      <c r="D25" s="155">
        <v>2851.4949714282088</v>
      </c>
      <c r="E25" s="156">
        <v>2380.1168143167224</v>
      </c>
      <c r="F25" s="457">
        <v>2.0795243806574069E-2</v>
      </c>
      <c r="H25" s="134">
        <v>145.05617363699608</v>
      </c>
    </row>
    <row r="26" spans="1:8" ht="20" customHeight="1" thickBot="1">
      <c r="A26" s="135" t="s">
        <v>1826</v>
      </c>
      <c r="B26" s="155">
        <v>729.56112438373316</v>
      </c>
      <c r="C26" s="156">
        <v>2141.4215303670544</v>
      </c>
      <c r="D26" s="155">
        <v>2804.8826959403677</v>
      </c>
      <c r="E26" s="156">
        <v>2310.2839491028731</v>
      </c>
      <c r="F26" s="457">
        <v>5.1442918749393203E-3</v>
      </c>
      <c r="H26" s="134">
        <v>145.7338374894791</v>
      </c>
    </row>
    <row r="27" spans="1:8" ht="20" customHeight="1" thickBot="1">
      <c r="A27" s="135" t="s">
        <v>1827</v>
      </c>
      <c r="B27" s="155">
        <v>946.09147166347464</v>
      </c>
      <c r="C27" s="156">
        <v>2855.2865951499084</v>
      </c>
      <c r="D27" s="155">
        <v>3653.9246299907877</v>
      </c>
      <c r="E27" s="156">
        <v>3113.9964674152993</v>
      </c>
      <c r="F27" s="457">
        <v>-1.1301005078343791E-2</v>
      </c>
      <c r="H27" s="134">
        <v>199.67764846714121</v>
      </c>
    </row>
    <row r="28" spans="1:8" ht="20" customHeight="1" thickBot="1">
      <c r="A28" s="135" t="s">
        <v>1828</v>
      </c>
      <c r="B28" s="155">
        <v>936.59045294644829</v>
      </c>
      <c r="C28" s="156">
        <v>2919.136457299363</v>
      </c>
      <c r="D28" s="155">
        <v>3610.3405269252294</v>
      </c>
      <c r="E28" s="156">
        <v>2982.6854115033552</v>
      </c>
      <c r="F28" s="457">
        <v>-4.2447047127745427E-3</v>
      </c>
      <c r="H28" s="134">
        <v>203.24357993536964</v>
      </c>
    </row>
    <row r="29" spans="1:8" ht="20" customHeight="1" thickBot="1">
      <c r="A29" s="135" t="s">
        <v>1829</v>
      </c>
      <c r="B29" s="155">
        <v>735.38989145068683</v>
      </c>
      <c r="C29" s="156">
        <v>2280.6446044886707</v>
      </c>
      <c r="D29" s="155">
        <v>2791.2517874701607</v>
      </c>
      <c r="E29" s="156">
        <v>2341.0548273196509</v>
      </c>
      <c r="F29" s="457">
        <v>2.5155270523272717E-2</v>
      </c>
      <c r="H29" s="134">
        <v>144.85185631308477</v>
      </c>
    </row>
    <row r="30" spans="1:8" ht="20" customHeight="1" thickBot="1">
      <c r="A30" s="135" t="s">
        <v>1830</v>
      </c>
      <c r="B30" s="155">
        <v>862.43138686335476</v>
      </c>
      <c r="C30" s="156">
        <v>2749.1666504465784</v>
      </c>
      <c r="D30" s="155">
        <v>3554.8279276564381</v>
      </c>
      <c r="E30" s="156">
        <v>2927.0194519439683</v>
      </c>
      <c r="F30" s="457">
        <v>-1.5028720473278257E-2</v>
      </c>
      <c r="H30" s="134">
        <v>184.5803903521614</v>
      </c>
    </row>
    <row r="31" spans="1:8" ht="20" customHeight="1" thickBot="1">
      <c r="A31" s="135" t="s">
        <v>1831</v>
      </c>
      <c r="B31" s="155">
        <v>1036.0279080025211</v>
      </c>
      <c r="C31" s="156">
        <v>3399.3086759226562</v>
      </c>
      <c r="D31" s="155">
        <v>4210.7263403691677</v>
      </c>
      <c r="E31" s="156">
        <v>3476.4972788144619</v>
      </c>
      <c r="F31" s="457">
        <v>-2.2445314590795622E-2</v>
      </c>
      <c r="H31" s="134">
        <v>244.01642882305748</v>
      </c>
    </row>
    <row r="32" spans="1:8" ht="20" customHeight="1" thickBot="1">
      <c r="A32" s="136" t="s">
        <v>1832</v>
      </c>
      <c r="B32" s="155">
        <v>799.26285444477492</v>
      </c>
      <c r="C32" s="156">
        <v>2507.5615329768852</v>
      </c>
      <c r="D32" s="155">
        <v>3270.8657340453719</v>
      </c>
      <c r="E32" s="156">
        <v>2671.0952437588021</v>
      </c>
      <c r="F32" s="457">
        <v>-7.6650410361278561E-5</v>
      </c>
      <c r="H32" s="134">
        <v>200.58331332206401</v>
      </c>
    </row>
    <row r="33" spans="1:8" ht="20" customHeight="1" thickBot="1">
      <c r="A33" s="318" t="s">
        <v>2156</v>
      </c>
      <c r="B33" s="155">
        <v>1366.3510492199518</v>
      </c>
      <c r="C33" s="156">
        <v>5678.4762381190603</v>
      </c>
      <c r="D33" s="155">
        <v>3261.8119096324444</v>
      </c>
      <c r="E33" s="156">
        <v>3298.3150125243528</v>
      </c>
      <c r="F33" s="457" t="s">
        <v>744</v>
      </c>
      <c r="H33" s="134">
        <v>244.01642882305748</v>
      </c>
    </row>
    <row r="34" spans="1:8" ht="20" customHeight="1" thickBot="1">
      <c r="A34" s="136" t="s">
        <v>657</v>
      </c>
      <c r="B34" s="170" t="s">
        <v>744</v>
      </c>
      <c r="C34" s="171" t="s">
        <v>744</v>
      </c>
      <c r="D34" s="170" t="s">
        <v>744</v>
      </c>
      <c r="E34" s="171" t="s">
        <v>744</v>
      </c>
      <c r="F34" s="457" t="s">
        <v>744</v>
      </c>
      <c r="H34" s="134">
        <v>200.58331332206401</v>
      </c>
    </row>
    <row r="35" spans="1:8" s="162" customFormat="1" ht="30" customHeight="1" thickBot="1">
      <c r="A35" s="137" t="s">
        <v>1222</v>
      </c>
      <c r="B35" s="159">
        <v>803.29852245883592</v>
      </c>
      <c r="C35" s="160">
        <v>2417.2719920855861</v>
      </c>
      <c r="D35" s="159">
        <v>3124.0890560836219</v>
      </c>
      <c r="E35" s="160">
        <v>2610.6061328786159</v>
      </c>
      <c r="F35" s="577">
        <v>9.596106046524713E-3</v>
      </c>
      <c r="H35" s="163">
        <v>167.9825427102873</v>
      </c>
    </row>
    <row r="36" spans="1:8" ht="20" customHeight="1">
      <c r="A36" s="140" t="s">
        <v>1837</v>
      </c>
      <c r="B36" s="164"/>
      <c r="C36" s="164"/>
      <c r="D36" s="164"/>
      <c r="E36" s="164"/>
      <c r="F36" s="165"/>
    </row>
    <row r="37" spans="1:8" ht="14.25" customHeight="1">
      <c r="A37" s="141"/>
      <c r="B37" s="166"/>
      <c r="C37" s="166"/>
      <c r="D37" s="166"/>
      <c r="E37" s="166"/>
      <c r="F37" s="167"/>
    </row>
    <row r="38" spans="1:8" ht="20" customHeight="1">
      <c r="A38" s="495" t="s">
        <v>1200</v>
      </c>
      <c r="B38" s="166"/>
      <c r="C38" s="166"/>
      <c r="D38" s="166"/>
      <c r="E38" s="166"/>
      <c r="F38" s="167"/>
    </row>
    <row r="39" spans="1:8" ht="9.75" customHeight="1">
      <c r="A39" s="141"/>
      <c r="B39" s="166"/>
      <c r="C39" s="166"/>
      <c r="D39" s="166"/>
      <c r="E39" s="166"/>
      <c r="F39" s="167"/>
    </row>
    <row r="40" spans="1:8" ht="15.75" customHeight="1">
      <c r="A40" s="141" t="s">
        <v>280</v>
      </c>
    </row>
    <row r="41" spans="1:8" ht="15.75" customHeight="1">
      <c r="A41" s="141" t="s">
        <v>2154</v>
      </c>
    </row>
    <row r="42" spans="1:8" ht="12" customHeight="1">
      <c r="A42" s="141"/>
    </row>
    <row r="43" spans="1:8" ht="12" customHeight="1"/>
    <row r="44" spans="1:8">
      <c r="A44" s="141" t="s">
        <v>710</v>
      </c>
    </row>
  </sheetData>
  <mergeCells count="1">
    <mergeCell ref="A2:E2"/>
  </mergeCells>
  <phoneticPr fontId="0" type="noConversion"/>
  <pageMargins left="0.55000000000000004" right="0.78740157480314965" top="1.1000000000000001" bottom="0.49" header="0.92" footer="0.4921259845"/>
  <pageSetup paperSize="9" scale="84" orientation="portrait" horizontalDpi="4294967292" verticalDpi="4294967292"/>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4F45-C174-174F-A260-B91E38ECE0BD}">
  <sheetPr>
    <pageSetUpPr fitToPage="1"/>
  </sheetPr>
  <dimension ref="A1:G44"/>
  <sheetViews>
    <sheetView topLeftCell="A26" zoomScale="75" workbookViewId="0">
      <selection activeCell="G5" sqref="G5"/>
    </sheetView>
  </sheetViews>
  <sheetFormatPr baseColWidth="10" defaultColWidth="11.3984375" defaultRowHeight="13"/>
  <cols>
    <col min="1" max="1" width="21.3984375" style="2" customWidth="1"/>
    <col min="2" max="5" width="20.3984375" style="2" customWidth="1"/>
    <col min="6" max="6" width="11.3984375" style="2"/>
    <col min="7" max="7" width="14.59765625" style="2" customWidth="1"/>
    <col min="8" max="16384" width="11.3984375" style="2"/>
  </cols>
  <sheetData>
    <row r="1" spans="1:7" s="1" customFormat="1" ht="14" customHeight="1"/>
    <row r="2" spans="1:7" s="1" customFormat="1" ht="28" customHeight="1">
      <c r="A2" s="118" t="s">
        <v>1201</v>
      </c>
      <c r="E2" s="118">
        <v>2009</v>
      </c>
    </row>
    <row r="3" spans="1:7" ht="27" customHeight="1">
      <c r="A3" s="119" t="s">
        <v>1797</v>
      </c>
      <c r="B3" s="120" t="s">
        <v>1798</v>
      </c>
      <c r="C3" s="121" t="s">
        <v>1799</v>
      </c>
      <c r="D3" s="120" t="s">
        <v>1800</v>
      </c>
      <c r="E3" s="121" t="s">
        <v>1567</v>
      </c>
    </row>
    <row r="4" spans="1:7" ht="21.75" customHeight="1">
      <c r="A4" s="122"/>
      <c r="B4" s="123"/>
      <c r="C4" s="124" t="s">
        <v>1800</v>
      </c>
      <c r="D4" s="125"/>
      <c r="E4" s="124"/>
    </row>
    <row r="5" spans="1:7" ht="21.75" customHeight="1">
      <c r="A5" s="122"/>
      <c r="B5" s="123" t="s">
        <v>1803</v>
      </c>
      <c r="C5" s="124" t="s">
        <v>1804</v>
      </c>
      <c r="D5" s="123" t="s">
        <v>1805</v>
      </c>
      <c r="E5" s="124"/>
    </row>
    <row r="6" spans="1:7" ht="24" customHeight="1">
      <c r="A6" s="126"/>
      <c r="B6" s="127"/>
      <c r="C6" s="126"/>
      <c r="D6" s="127"/>
      <c r="E6" s="128"/>
    </row>
    <row r="7" spans="1:7" ht="30" customHeight="1" thickBot="1">
      <c r="A7" s="131" t="s">
        <v>1807</v>
      </c>
      <c r="B7" s="132">
        <v>199252554.61000001</v>
      </c>
      <c r="C7" s="133">
        <v>251810971.88999999</v>
      </c>
      <c r="D7" s="132">
        <v>2971521345.4099998</v>
      </c>
      <c r="E7" s="133">
        <v>3422584871.9099998</v>
      </c>
      <c r="G7" s="134"/>
    </row>
    <row r="8" spans="1:7" ht="20" customHeight="1" thickBot="1">
      <c r="A8" s="135" t="s">
        <v>1808</v>
      </c>
      <c r="B8" s="132">
        <v>147100590.58000001</v>
      </c>
      <c r="C8" s="133">
        <v>196779746.37</v>
      </c>
      <c r="D8" s="132">
        <v>2337528765.8800001</v>
      </c>
      <c r="E8" s="133">
        <v>2681409102.8299999</v>
      </c>
      <c r="G8" s="134"/>
    </row>
    <row r="9" spans="1:7" ht="20" customHeight="1" thickBot="1">
      <c r="A9" s="135" t="s">
        <v>1809</v>
      </c>
      <c r="B9" s="132">
        <v>50954688.960000001</v>
      </c>
      <c r="C9" s="133">
        <v>69485398.780000001</v>
      </c>
      <c r="D9" s="132">
        <v>689544297.19000006</v>
      </c>
      <c r="E9" s="133">
        <v>809984384.93000007</v>
      </c>
      <c r="G9" s="134"/>
    </row>
    <row r="10" spans="1:7" ht="20" customHeight="1" thickBot="1">
      <c r="A10" s="135" t="s">
        <v>1810</v>
      </c>
      <c r="B10" s="132">
        <v>4333629.05</v>
      </c>
      <c r="C10" s="133">
        <v>5848853.9299999997</v>
      </c>
      <c r="D10" s="132">
        <v>59157637.710000001</v>
      </c>
      <c r="E10" s="133">
        <v>69340120.689999998</v>
      </c>
      <c r="G10" s="134"/>
    </row>
    <row r="11" spans="1:7" ht="20" customHeight="1" thickBot="1">
      <c r="A11" s="135" t="s">
        <v>1811</v>
      </c>
      <c r="B11" s="132">
        <v>19845663.100000001</v>
      </c>
      <c r="C11" s="133">
        <v>25327184.829999998</v>
      </c>
      <c r="D11" s="132">
        <v>264312142.11000001</v>
      </c>
      <c r="E11" s="133">
        <v>309484990.04000002</v>
      </c>
      <c r="G11" s="134"/>
    </row>
    <row r="12" spans="1:7" ht="20" customHeight="1" thickBot="1">
      <c r="A12" s="135" t="s">
        <v>1812</v>
      </c>
      <c r="B12" s="132">
        <v>4552832.55</v>
      </c>
      <c r="C12" s="133">
        <v>6167743.1600000001</v>
      </c>
      <c r="D12" s="132">
        <v>57993277.140000001</v>
      </c>
      <c r="E12" s="133">
        <v>68713852.849999994</v>
      </c>
      <c r="G12" s="134"/>
    </row>
    <row r="13" spans="1:7" ht="20" customHeight="1" thickBot="1">
      <c r="A13" s="135" t="s">
        <v>1813</v>
      </c>
      <c r="B13" s="132">
        <v>4444549.3499999996</v>
      </c>
      <c r="C13" s="133">
        <v>6095408.2599999998</v>
      </c>
      <c r="D13" s="132">
        <v>65069020.07</v>
      </c>
      <c r="E13" s="133">
        <v>75608977.680000007</v>
      </c>
      <c r="G13" s="134"/>
    </row>
    <row r="14" spans="1:7" ht="20" customHeight="1" thickBot="1">
      <c r="A14" s="135" t="s">
        <v>1814</v>
      </c>
      <c r="B14" s="132">
        <v>4997557.34</v>
      </c>
      <c r="C14" s="133">
        <v>7381647.4100000001</v>
      </c>
      <c r="D14" s="132">
        <v>72797164.980000004</v>
      </c>
      <c r="E14" s="133">
        <v>85176369.730000004</v>
      </c>
      <c r="G14" s="134"/>
    </row>
    <row r="15" spans="1:7" ht="20" customHeight="1" thickBot="1">
      <c r="A15" s="135" t="s">
        <v>1815</v>
      </c>
      <c r="B15" s="132">
        <v>14557217.789999999</v>
      </c>
      <c r="C15" s="133">
        <v>17620015.370000001</v>
      </c>
      <c r="D15" s="132">
        <v>203259330.72</v>
      </c>
      <c r="E15" s="133">
        <v>235436563.88</v>
      </c>
      <c r="G15" s="134"/>
    </row>
    <row r="16" spans="1:7" ht="20" customHeight="1" thickBot="1">
      <c r="A16" s="135" t="s">
        <v>1816</v>
      </c>
      <c r="B16" s="132">
        <v>47326924.890000001</v>
      </c>
      <c r="C16" s="133">
        <v>55173928.609999999</v>
      </c>
      <c r="D16" s="132">
        <v>544735102.85000002</v>
      </c>
      <c r="E16" s="133">
        <v>647235956.35000002</v>
      </c>
      <c r="G16" s="134"/>
    </row>
    <row r="17" spans="1:7" ht="20" customHeight="1" thickBot="1">
      <c r="A17" s="135" t="s">
        <v>1817</v>
      </c>
      <c r="B17" s="132">
        <v>36437675.579999998</v>
      </c>
      <c r="C17" s="133">
        <v>50709655.689999998</v>
      </c>
      <c r="D17" s="132">
        <v>532664220.77999997</v>
      </c>
      <c r="E17" s="133">
        <v>619811552.04999995</v>
      </c>
      <c r="G17" s="134"/>
    </row>
    <row r="18" spans="1:7" ht="20" customHeight="1" thickBot="1">
      <c r="A18" s="135" t="s">
        <v>1818</v>
      </c>
      <c r="B18" s="132">
        <v>29589457.789999999</v>
      </c>
      <c r="C18" s="133">
        <v>42560820.07</v>
      </c>
      <c r="D18" s="132">
        <v>570788049.96000004</v>
      </c>
      <c r="E18" s="133">
        <v>642938327.82000005</v>
      </c>
      <c r="G18" s="134"/>
    </row>
    <row r="19" spans="1:7" ht="20" customHeight="1" thickBot="1">
      <c r="A19" s="135" t="s">
        <v>1819</v>
      </c>
      <c r="B19" s="132">
        <v>41599983.490000002</v>
      </c>
      <c r="C19" s="133">
        <v>53545032.869999997</v>
      </c>
      <c r="D19" s="132">
        <v>643104742.01999998</v>
      </c>
      <c r="E19" s="133">
        <v>738249758.38</v>
      </c>
      <c r="G19" s="134"/>
    </row>
    <row r="20" spans="1:7" ht="20" customHeight="1" thickBot="1">
      <c r="A20" s="135" t="s">
        <v>1820</v>
      </c>
      <c r="B20" s="132">
        <v>10524058.619999999</v>
      </c>
      <c r="C20" s="133">
        <v>15287806.939999999</v>
      </c>
      <c r="D20" s="132">
        <v>162060114.97999999</v>
      </c>
      <c r="E20" s="133">
        <v>187871980.53999999</v>
      </c>
      <c r="G20" s="134"/>
    </row>
    <row r="21" spans="1:7" ht="20" customHeight="1" thickBot="1">
      <c r="A21" s="135" t="s">
        <v>1821</v>
      </c>
      <c r="B21" s="132">
        <v>6635405.1299999999</v>
      </c>
      <c r="C21" s="133">
        <v>8981121.1699999999</v>
      </c>
      <c r="D21" s="132">
        <v>90819007.290000007</v>
      </c>
      <c r="E21" s="133">
        <v>106435533.59</v>
      </c>
      <c r="G21" s="134"/>
    </row>
    <row r="22" spans="1:7" ht="20" customHeight="1" thickBot="1">
      <c r="A22" s="135" t="s">
        <v>1822</v>
      </c>
      <c r="B22" s="132">
        <v>2022827.17</v>
      </c>
      <c r="C22" s="133">
        <v>2763841.6</v>
      </c>
      <c r="D22" s="132">
        <v>23535413.260000002</v>
      </c>
      <c r="E22" s="133">
        <v>28322082.030000001</v>
      </c>
      <c r="G22" s="134"/>
    </row>
    <row r="23" spans="1:7" ht="20" customHeight="1" thickBot="1">
      <c r="A23" s="135" t="s">
        <v>1823</v>
      </c>
      <c r="B23" s="132">
        <v>65061125.520000003</v>
      </c>
      <c r="C23" s="133">
        <v>91951843.269999996</v>
      </c>
      <c r="D23" s="132">
        <v>871175636.01999998</v>
      </c>
      <c r="E23" s="133">
        <v>1028188604.8099999</v>
      </c>
      <c r="G23" s="134"/>
    </row>
    <row r="24" spans="1:7" ht="20" customHeight="1" thickBot="1">
      <c r="A24" s="135" t="s">
        <v>1824</v>
      </c>
      <c r="B24" s="132">
        <v>24405226.989999998</v>
      </c>
      <c r="C24" s="133">
        <v>39063499.509999998</v>
      </c>
      <c r="D24" s="132">
        <v>380173468.74000001</v>
      </c>
      <c r="E24" s="133">
        <v>443642195.24000001</v>
      </c>
      <c r="G24" s="134"/>
    </row>
    <row r="25" spans="1:7" ht="20" customHeight="1" thickBot="1">
      <c r="A25" s="135" t="s">
        <v>1825</v>
      </c>
      <c r="B25" s="132">
        <v>88643719.629999995</v>
      </c>
      <c r="C25" s="133">
        <v>119008842.70999999</v>
      </c>
      <c r="D25" s="132">
        <v>1221784498.74</v>
      </c>
      <c r="E25" s="133">
        <v>1429437061.0799999</v>
      </c>
      <c r="G25" s="134"/>
    </row>
    <row r="26" spans="1:7" ht="20" customHeight="1" thickBot="1">
      <c r="A26" s="135" t="s">
        <v>1826</v>
      </c>
      <c r="B26" s="132">
        <v>37008308.539999999</v>
      </c>
      <c r="C26" s="133">
        <v>49719717.82</v>
      </c>
      <c r="D26" s="132">
        <v>476965870.73000002</v>
      </c>
      <c r="E26" s="133">
        <v>563693897.09000003</v>
      </c>
      <c r="G26" s="134"/>
    </row>
    <row r="27" spans="1:7" ht="20" customHeight="1" thickBot="1">
      <c r="A27" s="135" t="s">
        <v>1827</v>
      </c>
      <c r="B27" s="132">
        <v>55409729.759999998</v>
      </c>
      <c r="C27" s="133">
        <v>66320284.25</v>
      </c>
      <c r="D27" s="132">
        <v>899909604.48000002</v>
      </c>
      <c r="E27" s="133">
        <v>1021639618.49</v>
      </c>
      <c r="G27" s="134"/>
    </row>
    <row r="28" spans="1:7" ht="20" customHeight="1" thickBot="1">
      <c r="A28" s="135" t="s">
        <v>1828</v>
      </c>
      <c r="B28" s="132">
        <v>136803243.72999999</v>
      </c>
      <c r="C28" s="133">
        <v>163070990.13</v>
      </c>
      <c r="D28" s="132">
        <v>1739514307.5</v>
      </c>
      <c r="E28" s="133">
        <v>2039388541.3600001</v>
      </c>
      <c r="G28" s="134"/>
    </row>
    <row r="29" spans="1:7" ht="20" customHeight="1" thickBot="1">
      <c r="A29" s="135" t="s">
        <v>1829</v>
      </c>
      <c r="B29" s="132">
        <v>44883117.43</v>
      </c>
      <c r="C29" s="133">
        <v>64438906.299999997</v>
      </c>
      <c r="D29" s="132">
        <v>618180850.11000001</v>
      </c>
      <c r="E29" s="133">
        <v>727502873.84000003</v>
      </c>
      <c r="G29" s="134"/>
    </row>
    <row r="30" spans="1:7" ht="20" customHeight="1" thickBot="1">
      <c r="A30" s="135" t="s">
        <v>1830</v>
      </c>
      <c r="B30" s="132">
        <v>30845376.010000002</v>
      </c>
      <c r="C30" s="133">
        <v>40112980.630000003</v>
      </c>
      <c r="D30" s="132">
        <v>432802824.12</v>
      </c>
      <c r="E30" s="133">
        <v>503761180.75999999</v>
      </c>
      <c r="G30" s="134"/>
    </row>
    <row r="31" spans="1:7" ht="20" customHeight="1" thickBot="1">
      <c r="A31" s="135" t="s">
        <v>1831</v>
      </c>
      <c r="B31" s="132">
        <v>90617538.170000002</v>
      </c>
      <c r="C31" s="133">
        <v>110036947.56999999</v>
      </c>
      <c r="D31" s="132">
        <v>1238492980.22</v>
      </c>
      <c r="E31" s="133">
        <v>1439147465.96</v>
      </c>
      <c r="G31" s="134"/>
    </row>
    <row r="32" spans="1:7" ht="20" customHeight="1" thickBot="1">
      <c r="A32" s="136" t="s">
        <v>1832</v>
      </c>
      <c r="B32" s="132">
        <v>12120189.77</v>
      </c>
      <c r="C32" s="133">
        <v>15368819.560000001</v>
      </c>
      <c r="D32" s="132">
        <v>160263851.30000001</v>
      </c>
      <c r="E32" s="133">
        <v>187752860.63</v>
      </c>
      <c r="G32" s="134"/>
    </row>
    <row r="33" spans="1:7" ht="20" customHeight="1" thickBot="1">
      <c r="A33" s="318" t="s">
        <v>2156</v>
      </c>
      <c r="B33" s="132">
        <v>497461.09</v>
      </c>
      <c r="C33" s="133">
        <v>1929716.58</v>
      </c>
      <c r="D33" s="132">
        <v>9423668.1699999999</v>
      </c>
      <c r="E33" s="133">
        <v>11850845.84</v>
      </c>
      <c r="G33" s="134"/>
    </row>
    <row r="34" spans="1:7" ht="20" customHeight="1" thickBot="1">
      <c r="A34" s="136" t="s">
        <v>657</v>
      </c>
      <c r="B34" s="132">
        <v>79270.600000000006</v>
      </c>
      <c r="C34" s="133">
        <v>1125</v>
      </c>
      <c r="D34" s="132">
        <v>77153.25</v>
      </c>
      <c r="E34" s="133">
        <v>157548.85</v>
      </c>
      <c r="G34" s="134"/>
    </row>
    <row r="35" spans="1:7" ht="30" customHeight="1" thickBot="1">
      <c r="A35" s="137" t="s">
        <v>1222</v>
      </c>
      <c r="B35" s="138">
        <v>1210549923.3199999</v>
      </c>
      <c r="C35" s="139">
        <v>1576562850.26</v>
      </c>
      <c r="D35" s="138">
        <v>17337654345.740002</v>
      </c>
      <c r="E35" s="139">
        <v>20124767119.32</v>
      </c>
      <c r="G35" s="134"/>
    </row>
    <row r="36" spans="1:7" ht="20" customHeight="1">
      <c r="A36" s="140" t="s">
        <v>1837</v>
      </c>
      <c r="B36" s="140"/>
      <c r="C36" s="140"/>
      <c r="D36" s="140"/>
      <c r="E36" s="140"/>
    </row>
    <row r="37" spans="1:7" ht="13.5" customHeight="1">
      <c r="A37" s="141"/>
      <c r="B37" s="141"/>
      <c r="C37" s="141"/>
      <c r="D37" s="141"/>
      <c r="E37" s="141"/>
    </row>
    <row r="38" spans="1:7" ht="13.5" customHeight="1">
      <c r="A38" s="141" t="s">
        <v>279</v>
      </c>
      <c r="B38" s="141"/>
      <c r="C38" s="141"/>
      <c r="D38" s="141"/>
      <c r="E38" s="141"/>
    </row>
    <row r="39" spans="1:7" ht="12.75" customHeight="1">
      <c r="A39" s="141"/>
      <c r="B39" s="141"/>
      <c r="C39" s="141"/>
      <c r="D39" s="141"/>
      <c r="E39" s="141"/>
    </row>
    <row r="40" spans="1:7" ht="12" customHeight="1">
      <c r="A40" s="141" t="s">
        <v>280</v>
      </c>
    </row>
    <row r="41" spans="1:7" ht="14.25" customHeight="1">
      <c r="A41" s="141" t="s">
        <v>2154</v>
      </c>
    </row>
    <row r="42" spans="1:7" ht="14.25" customHeight="1">
      <c r="A42" s="141"/>
    </row>
    <row r="43" spans="1:7" ht="12" customHeight="1"/>
    <row r="44" spans="1:7">
      <c r="A44" s="141" t="s">
        <v>710</v>
      </c>
    </row>
  </sheetData>
  <phoneticPr fontId="0" type="noConversion"/>
  <pageMargins left="0.56000000000000005" right="1.03" top="0.81" bottom="0.49" header="0.44" footer="0.4921259845"/>
  <pageSetup paperSize="9" scale="83" orientation="portrait" horizontalDpi="1200" verticalDpi="1200"/>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640E-A797-774A-8326-63595170E4E7}">
  <sheetPr>
    <pageSetUpPr fitToPage="1"/>
  </sheetPr>
  <dimension ref="A1:J48"/>
  <sheetViews>
    <sheetView zoomScale="75" workbookViewId="0">
      <selection activeCell="A3" sqref="A3"/>
    </sheetView>
  </sheetViews>
  <sheetFormatPr baseColWidth="10" defaultColWidth="11.3984375" defaultRowHeight="13"/>
  <cols>
    <col min="1" max="1" width="22.59765625" style="2" customWidth="1"/>
    <col min="2" max="2" width="14.796875" style="176" customWidth="1"/>
    <col min="3" max="3" width="14.796875" style="87" customWidth="1"/>
    <col min="4" max="4" width="16" style="176" customWidth="1"/>
    <col min="5" max="5" width="15.796875" style="87" customWidth="1"/>
    <col min="6" max="6" width="16" style="176" customWidth="1"/>
    <col min="7" max="7" width="13.59765625" style="2" customWidth="1"/>
    <col min="8" max="8" width="8" style="2" customWidth="1"/>
    <col min="9" max="9" width="7.796875" style="2" customWidth="1"/>
    <col min="10" max="10" width="9" style="2" customWidth="1"/>
    <col min="11" max="16384" width="11.3984375" style="2"/>
  </cols>
  <sheetData>
    <row r="1" spans="1:10" s="1" customFormat="1" ht="18.75" customHeight="1">
      <c r="A1" s="489"/>
      <c r="B1" s="490"/>
      <c r="C1" s="289"/>
      <c r="D1" s="169"/>
      <c r="E1" s="289"/>
      <c r="F1" s="169"/>
    </row>
    <row r="2" spans="1:10" s="1" customFormat="1" ht="26.25" customHeight="1">
      <c r="A2" s="1072" t="s">
        <v>1202</v>
      </c>
      <c r="B2" s="478"/>
      <c r="C2" s="478"/>
      <c r="D2" s="478"/>
      <c r="E2" s="478"/>
      <c r="F2" s="491">
        <v>2009</v>
      </c>
    </row>
    <row r="3" spans="1:10" ht="27" customHeight="1">
      <c r="A3" s="119" t="s">
        <v>661</v>
      </c>
      <c r="B3" s="147" t="s">
        <v>2304</v>
      </c>
      <c r="C3" s="306" t="s">
        <v>2030</v>
      </c>
      <c r="D3" s="147" t="s">
        <v>2305</v>
      </c>
      <c r="E3" s="306" t="s">
        <v>2030</v>
      </c>
      <c r="F3" s="147" t="s">
        <v>1567</v>
      </c>
    </row>
    <row r="4" spans="1:10" ht="15" customHeight="1">
      <c r="A4" s="122"/>
      <c r="B4" s="149"/>
      <c r="C4" s="122" t="s">
        <v>662</v>
      </c>
      <c r="D4" s="149"/>
      <c r="E4" s="122" t="s">
        <v>662</v>
      </c>
      <c r="F4" s="149"/>
    </row>
    <row r="5" spans="1:10" ht="15" customHeight="1">
      <c r="A5" s="122"/>
      <c r="B5" s="149"/>
      <c r="C5" s="122" t="s">
        <v>2304</v>
      </c>
      <c r="D5" s="149"/>
      <c r="E5" s="122" t="s">
        <v>2305</v>
      </c>
      <c r="F5" s="149"/>
    </row>
    <row r="6" spans="1:10" ht="19.5" customHeight="1">
      <c r="A6" s="126"/>
      <c r="B6" s="154"/>
      <c r="C6" s="126"/>
      <c r="D6" s="154"/>
      <c r="E6" s="126"/>
      <c r="F6" s="154"/>
    </row>
    <row r="7" spans="1:10" ht="30" customHeight="1" thickBot="1">
      <c r="A7" s="131" t="s">
        <v>664</v>
      </c>
      <c r="B7" s="439">
        <v>176.76136750999996</v>
      </c>
      <c r="C7" s="375">
        <v>1.865151737313156E-2</v>
      </c>
      <c r="D7" s="439">
        <v>167.43099525000002</v>
      </c>
      <c r="E7" s="375">
        <v>1.5724591234607843E-2</v>
      </c>
      <c r="F7" s="439">
        <v>344.19236274999997</v>
      </c>
      <c r="H7" s="90"/>
      <c r="I7" s="90"/>
      <c r="J7" s="90"/>
    </row>
    <row r="8" spans="1:10" ht="20" customHeight="1" thickBot="1">
      <c r="A8" s="135" t="s">
        <v>665</v>
      </c>
      <c r="B8" s="439">
        <v>159.83780034</v>
      </c>
      <c r="C8" s="375">
        <v>1.6865775321386257E-2</v>
      </c>
      <c r="D8" s="439">
        <v>151.15448324000002</v>
      </c>
      <c r="E8" s="375">
        <v>1.4195952539602322E-2</v>
      </c>
      <c r="F8" s="439">
        <v>310.99228357999993</v>
      </c>
      <c r="H8" s="90"/>
      <c r="I8" s="90"/>
      <c r="J8" s="90"/>
    </row>
    <row r="9" spans="1:10" ht="20" customHeight="1" thickBot="1">
      <c r="A9" s="135" t="s">
        <v>666</v>
      </c>
      <c r="B9" s="439">
        <v>173.90540971000001</v>
      </c>
      <c r="C9" s="375">
        <v>1.8350162233861007E-2</v>
      </c>
      <c r="D9" s="439">
        <v>164.74997797999998</v>
      </c>
      <c r="E9" s="375">
        <v>1.5472798544725502E-2</v>
      </c>
      <c r="F9" s="439">
        <v>338.65538769000005</v>
      </c>
      <c r="H9" s="90"/>
      <c r="I9" s="90"/>
      <c r="J9" s="90"/>
    </row>
    <row r="10" spans="1:10" ht="20" customHeight="1" thickBot="1">
      <c r="A10" s="135" t="s">
        <v>667</v>
      </c>
      <c r="B10" s="439">
        <v>110.99956017999999</v>
      </c>
      <c r="C10" s="375">
        <v>1.171245874746985E-2</v>
      </c>
      <c r="D10" s="439">
        <v>105.71032906999997</v>
      </c>
      <c r="E10" s="375">
        <v>9.9279808461965879E-3</v>
      </c>
      <c r="F10" s="439">
        <v>216.70988924000005</v>
      </c>
      <c r="H10" s="90"/>
      <c r="I10" s="90"/>
      <c r="J10" s="90"/>
    </row>
    <row r="11" spans="1:10" ht="20" customHeight="1" thickBot="1">
      <c r="A11" s="408" t="s">
        <v>668</v>
      </c>
      <c r="B11" s="1073">
        <v>621.5041377099999</v>
      </c>
      <c r="C11" s="1069">
        <v>6.5579913672683135E-2</v>
      </c>
      <c r="D11" s="1073">
        <v>589.04578555000001</v>
      </c>
      <c r="E11" s="1069">
        <v>5.5321323166071426E-2</v>
      </c>
      <c r="F11" s="1073">
        <v>1210.5499232699997</v>
      </c>
      <c r="H11" s="90"/>
      <c r="I11" s="90"/>
      <c r="J11" s="90"/>
    </row>
    <row r="12" spans="1:10" ht="20" customHeight="1" thickBot="1">
      <c r="A12" s="135" t="s">
        <v>669</v>
      </c>
      <c r="B12" s="439">
        <v>227.99403267000005</v>
      </c>
      <c r="C12" s="375">
        <v>2.4057489038572057E-2</v>
      </c>
      <c r="D12" s="439">
        <v>228.19880607000002</v>
      </c>
      <c r="E12" s="375">
        <v>2.1431712451558737E-2</v>
      </c>
      <c r="F12" s="439">
        <v>456.19283873000001</v>
      </c>
      <c r="H12" s="90"/>
      <c r="I12" s="90"/>
      <c r="J12" s="90"/>
    </row>
    <row r="13" spans="1:10" ht="20" customHeight="1" thickBot="1">
      <c r="A13" s="135" t="s">
        <v>670</v>
      </c>
      <c r="B13" s="439">
        <v>553.51427533000003</v>
      </c>
      <c r="C13" s="375">
        <v>5.8405754990607704E-2</v>
      </c>
      <c r="D13" s="439">
        <v>566.8529268100001</v>
      </c>
      <c r="E13" s="375">
        <v>5.3237039837928858E-2</v>
      </c>
      <c r="F13" s="439">
        <v>1120.3672020999998</v>
      </c>
      <c r="H13" s="90"/>
      <c r="I13" s="90"/>
      <c r="J13" s="90"/>
    </row>
    <row r="14" spans="1:10" ht="20" customHeight="1" thickBot="1">
      <c r="A14" s="408" t="s">
        <v>671</v>
      </c>
      <c r="B14" s="1073">
        <v>781.50830797999993</v>
      </c>
      <c r="C14" s="1069">
        <v>8.246324402706938E-2</v>
      </c>
      <c r="D14" s="1073">
        <v>795.05173286999991</v>
      </c>
      <c r="E14" s="1069">
        <v>7.4668752288548398E-2</v>
      </c>
      <c r="F14" s="1073">
        <v>1576.5600408599996</v>
      </c>
      <c r="H14" s="90"/>
      <c r="I14" s="90"/>
      <c r="J14" s="90"/>
    </row>
    <row r="15" spans="1:10" ht="20" customHeight="1" thickBot="1">
      <c r="A15" s="135" t="s">
        <v>672</v>
      </c>
      <c r="B15" s="439">
        <v>693.4973738000001</v>
      </c>
      <c r="C15" s="375">
        <v>7.3176500599997071E-2</v>
      </c>
      <c r="D15" s="439">
        <v>723.51185041999986</v>
      </c>
      <c r="E15" s="375">
        <v>6.7949952063903946E-2</v>
      </c>
      <c r="F15" s="439">
        <v>1417.0092242199999</v>
      </c>
      <c r="H15" s="90"/>
      <c r="I15" s="90"/>
      <c r="J15" s="90"/>
    </row>
    <row r="16" spans="1:10" ht="20" customHeight="1" thickBot="1">
      <c r="A16" s="135" t="s">
        <v>673</v>
      </c>
      <c r="B16" s="439">
        <v>686.56071131999988</v>
      </c>
      <c r="C16" s="375">
        <v>7.244455740120985E-2</v>
      </c>
      <c r="D16" s="439">
        <v>746.69781657999999</v>
      </c>
      <c r="E16" s="375">
        <v>7.0127504910084321E-2</v>
      </c>
      <c r="F16" s="439">
        <v>1433.2585279000004</v>
      </c>
      <c r="H16" s="90"/>
      <c r="I16" s="90"/>
      <c r="J16" s="90"/>
    </row>
    <row r="17" spans="1:10" ht="20" customHeight="1" thickBot="1">
      <c r="A17" s="135" t="s">
        <v>674</v>
      </c>
      <c r="B17" s="439">
        <v>771.20468872000015</v>
      </c>
      <c r="C17" s="375">
        <v>8.1376026065694718E-2</v>
      </c>
      <c r="D17" s="439">
        <v>848.45794496999986</v>
      </c>
      <c r="E17" s="375">
        <v>7.968449536173107E-2</v>
      </c>
      <c r="F17" s="439">
        <v>1619.6626336699997</v>
      </c>
      <c r="H17" s="90"/>
      <c r="I17" s="90"/>
      <c r="J17" s="90"/>
    </row>
    <row r="18" spans="1:10" ht="20" customHeight="1" thickBot="1">
      <c r="A18" s="135" t="s">
        <v>675</v>
      </c>
      <c r="B18" s="439">
        <v>904.69146770999976</v>
      </c>
      <c r="C18" s="375">
        <v>9.5461292617360763E-2</v>
      </c>
      <c r="D18" s="439">
        <v>969.22085100999982</v>
      </c>
      <c r="E18" s="375">
        <v>9.1026166782527049E-2</v>
      </c>
      <c r="F18" s="439">
        <v>1873.9123187299999</v>
      </c>
      <c r="H18" s="90"/>
      <c r="I18" s="90"/>
      <c r="J18" s="90"/>
    </row>
    <row r="19" spans="1:10" ht="20" customHeight="1" thickBot="1">
      <c r="A19" s="135" t="s">
        <v>676</v>
      </c>
      <c r="B19" s="439">
        <v>889.79849198999989</v>
      </c>
      <c r="C19" s="375">
        <v>9.388981464515346E-2</v>
      </c>
      <c r="D19" s="439">
        <v>933.67226049999999</v>
      </c>
      <c r="E19" s="375">
        <v>8.7687555231532238E-2</v>
      </c>
      <c r="F19" s="439">
        <v>1823.47075249</v>
      </c>
      <c r="H19" s="90"/>
      <c r="I19" s="90"/>
      <c r="J19" s="90"/>
    </row>
    <row r="20" spans="1:10" ht="20" customHeight="1" thickBot="1">
      <c r="A20" s="135" t="s">
        <v>677</v>
      </c>
      <c r="B20" s="439">
        <v>803.31955787000004</v>
      </c>
      <c r="C20" s="375">
        <v>8.4764724899183796E-2</v>
      </c>
      <c r="D20" s="439">
        <v>830.79475915</v>
      </c>
      <c r="E20" s="375">
        <v>7.8025624634087701E-2</v>
      </c>
      <c r="F20" s="439">
        <v>1634.1143170400003</v>
      </c>
      <c r="H20" s="90"/>
      <c r="I20" s="90"/>
      <c r="J20" s="90"/>
    </row>
    <row r="21" spans="1:10" ht="20" customHeight="1" thickBot="1">
      <c r="A21" s="135" t="s">
        <v>678</v>
      </c>
      <c r="B21" s="439">
        <v>733.78921523000008</v>
      </c>
      <c r="C21" s="375">
        <v>7.742801772171537E-2</v>
      </c>
      <c r="D21" s="439">
        <v>777.18155721999995</v>
      </c>
      <c r="E21" s="375">
        <v>7.2990441728623012E-2</v>
      </c>
      <c r="F21" s="439">
        <v>1510.9707724599998</v>
      </c>
      <c r="H21" s="90"/>
      <c r="I21" s="90"/>
      <c r="J21" s="90"/>
    </row>
    <row r="22" spans="1:10" ht="20" customHeight="1" thickBot="1">
      <c r="A22" s="135" t="s">
        <v>679</v>
      </c>
      <c r="B22" s="439">
        <v>724.8804947000001</v>
      </c>
      <c r="C22" s="375">
        <v>7.6487986774465166E-2</v>
      </c>
      <c r="D22" s="439">
        <v>779.31695847999993</v>
      </c>
      <c r="E22" s="375">
        <v>7.3190991882943188E-2</v>
      </c>
      <c r="F22" s="439">
        <v>1504.1974532100003</v>
      </c>
      <c r="H22" s="90"/>
      <c r="I22" s="90"/>
      <c r="J22" s="90"/>
    </row>
    <row r="23" spans="1:10" ht="20" customHeight="1" thickBot="1">
      <c r="A23" s="135" t="s">
        <v>680</v>
      </c>
      <c r="B23" s="439">
        <v>590.02870041999995</v>
      </c>
      <c r="C23" s="375">
        <v>6.225868645142317E-2</v>
      </c>
      <c r="D23" s="439">
        <v>673.69783634999999</v>
      </c>
      <c r="E23" s="375">
        <v>6.3271576905014407E-2</v>
      </c>
      <c r="F23" s="439">
        <v>1263.7265368100004</v>
      </c>
      <c r="H23" s="90"/>
      <c r="I23" s="90"/>
      <c r="J23" s="90"/>
    </row>
    <row r="24" spans="1:10" ht="20" customHeight="1" thickBot="1">
      <c r="A24" s="135" t="s">
        <v>681</v>
      </c>
      <c r="B24" s="439">
        <v>470.71706260999991</v>
      </c>
      <c r="C24" s="375">
        <v>4.9669153360692241E-2</v>
      </c>
      <c r="D24" s="439">
        <v>585.28720310000006</v>
      </c>
      <c r="E24" s="375">
        <v>5.4968328951591774E-2</v>
      </c>
      <c r="F24" s="439">
        <v>1056.0042657100003</v>
      </c>
      <c r="H24" s="90"/>
      <c r="I24" s="90"/>
      <c r="J24" s="90"/>
    </row>
    <row r="25" spans="1:10" ht="20" customHeight="1" thickBot="1">
      <c r="A25" s="135" t="s">
        <v>682</v>
      </c>
      <c r="B25" s="439">
        <v>374.85954405999991</v>
      </c>
      <c r="C25" s="375">
        <v>3.9554453538178928E-2</v>
      </c>
      <c r="D25" s="439">
        <v>535.36088736999989</v>
      </c>
      <c r="E25" s="375">
        <v>5.0279406774834751E-2</v>
      </c>
      <c r="F25" s="439">
        <v>910.22043144000008</v>
      </c>
      <c r="H25" s="90"/>
      <c r="I25" s="90"/>
      <c r="J25" s="90"/>
    </row>
    <row r="26" spans="1:10" ht="20" customHeight="1" thickBot="1">
      <c r="A26" s="135" t="s">
        <v>683</v>
      </c>
      <c r="B26" s="439">
        <v>251.33432833000001</v>
      </c>
      <c r="C26" s="375">
        <v>2.6520311860826404E-2</v>
      </c>
      <c r="D26" s="439">
        <v>437.23484911000003</v>
      </c>
      <c r="E26" s="375">
        <v>4.1063718611445019E-2</v>
      </c>
      <c r="F26" s="439">
        <v>688.56917738999994</v>
      </c>
      <c r="H26" s="90"/>
      <c r="I26" s="90"/>
      <c r="J26" s="90"/>
    </row>
    <row r="27" spans="1:10" ht="20" customHeight="1" thickBot="1">
      <c r="A27" s="135" t="s">
        <v>684</v>
      </c>
      <c r="B27" s="439">
        <v>131.91331098999999</v>
      </c>
      <c r="C27" s="375">
        <v>1.3919237253796984E-2</v>
      </c>
      <c r="D27" s="439">
        <v>281.8561668399999</v>
      </c>
      <c r="E27" s="375">
        <v>2.6471042616062018E-2</v>
      </c>
      <c r="F27" s="439">
        <v>413.76947783000008</v>
      </c>
      <c r="H27" s="90"/>
      <c r="I27" s="90"/>
      <c r="J27" s="90"/>
    </row>
    <row r="28" spans="1:10" ht="20" customHeight="1" thickBot="1">
      <c r="A28" s="135" t="s">
        <v>685</v>
      </c>
      <c r="B28" s="439">
        <v>38.701989650000002</v>
      </c>
      <c r="C28" s="375">
        <v>4.0837590390948716E-3</v>
      </c>
      <c r="D28" s="439">
        <v>107.88950437999999</v>
      </c>
      <c r="E28" s="375">
        <v>1.0132642121291649E-2</v>
      </c>
      <c r="F28" s="439">
        <v>146.59149403000001</v>
      </c>
      <c r="H28" s="90"/>
      <c r="I28" s="90"/>
      <c r="J28" s="90"/>
    </row>
    <row r="29" spans="1:10" ht="20" customHeight="1" thickBot="1">
      <c r="A29" s="135" t="s">
        <v>2081</v>
      </c>
      <c r="B29" s="439">
        <v>7.6950271200000016</v>
      </c>
      <c r="C29" s="375">
        <v>8.1196436776423419E-4</v>
      </c>
      <c r="D29" s="439">
        <v>29.392716420000003</v>
      </c>
      <c r="E29" s="375">
        <v>2.7604712633352512E-3</v>
      </c>
      <c r="F29" s="439">
        <v>37.08774356</v>
      </c>
      <c r="H29" s="90"/>
      <c r="I29" s="90"/>
      <c r="J29" s="90"/>
    </row>
    <row r="30" spans="1:10" ht="20" customHeight="1" thickBot="1">
      <c r="A30" s="135" t="s">
        <v>2082</v>
      </c>
      <c r="B30" s="439">
        <v>1.02693766</v>
      </c>
      <c r="C30" s="375">
        <v>1.0836047421690983E-4</v>
      </c>
      <c r="D30" s="439">
        <v>3.9943182799999999</v>
      </c>
      <c r="E30" s="375">
        <v>3.7513378045766506E-4</v>
      </c>
      <c r="F30" s="439">
        <v>5.0212559299999997</v>
      </c>
      <c r="H30" s="90"/>
      <c r="I30" s="90"/>
      <c r="J30" s="90"/>
    </row>
    <row r="31" spans="1:10" ht="20" customHeight="1" thickBot="1">
      <c r="A31" s="408" t="s">
        <v>2083</v>
      </c>
      <c r="B31" s="1073">
        <v>8074.0189021999986</v>
      </c>
      <c r="C31" s="1069">
        <v>0.85195484707288416</v>
      </c>
      <c r="D31" s="1073">
        <v>9263.56748023</v>
      </c>
      <c r="E31" s="1069">
        <v>0.87000505362416103</v>
      </c>
      <c r="F31" s="1073">
        <v>17337.586382449997</v>
      </c>
      <c r="H31" s="90"/>
      <c r="I31" s="90"/>
      <c r="J31" s="90"/>
    </row>
    <row r="32" spans="1:10" ht="20" customHeight="1" thickBot="1">
      <c r="A32" s="135" t="s">
        <v>2084</v>
      </c>
      <c r="B32" s="439">
        <v>1.8908849999999998E-2</v>
      </c>
      <c r="C32" s="375">
        <v>1.9952252533969929E-6</v>
      </c>
      <c r="D32" s="439">
        <v>5.1864199999999999E-2</v>
      </c>
      <c r="E32" s="375">
        <v>4.8709221580640869E-6</v>
      </c>
      <c r="F32" s="439">
        <v>7.0773050000000004E-2</v>
      </c>
      <c r="H32" s="90"/>
      <c r="I32" s="90"/>
      <c r="J32" s="90"/>
    </row>
    <row r="33" spans="1:10" s="277" customFormat="1" ht="24.75" customHeight="1" thickBot="1">
      <c r="A33" s="137" t="s">
        <v>1567</v>
      </c>
      <c r="B33" s="443">
        <v>9477.0502567599942</v>
      </c>
      <c r="C33" s="377">
        <v>1</v>
      </c>
      <c r="D33" s="443">
        <v>10647.716862840003</v>
      </c>
      <c r="E33" s="377">
        <v>1</v>
      </c>
      <c r="F33" s="443">
        <v>20124.767119610002</v>
      </c>
      <c r="H33" s="492"/>
      <c r="I33" s="492"/>
      <c r="J33" s="492"/>
    </row>
    <row r="34" spans="1:10" ht="20" customHeight="1">
      <c r="A34" s="140" t="s">
        <v>1837</v>
      </c>
      <c r="B34" s="174"/>
      <c r="C34" s="321"/>
      <c r="D34" s="174"/>
      <c r="E34" s="321"/>
      <c r="F34" s="174"/>
    </row>
    <row r="35" spans="1:10" ht="12.75" customHeight="1">
      <c r="A35" s="141"/>
      <c r="B35" s="175"/>
      <c r="C35" s="353"/>
      <c r="D35" s="175"/>
      <c r="E35" s="353"/>
      <c r="F35" s="175"/>
    </row>
    <row r="36" spans="1:10" ht="16.5" customHeight="1">
      <c r="A36" s="141" t="s">
        <v>1203</v>
      </c>
      <c r="B36" s="175"/>
      <c r="C36" s="353"/>
      <c r="D36" s="175"/>
      <c r="E36" s="353"/>
      <c r="F36" s="175"/>
    </row>
    <row r="37" spans="1:10" ht="12" customHeight="1">
      <c r="A37" s="141"/>
      <c r="B37" s="175"/>
      <c r="C37" s="353"/>
      <c r="D37" s="175"/>
      <c r="E37" s="353"/>
      <c r="F37" s="175"/>
    </row>
    <row r="38" spans="1:10" ht="14.25" customHeight="1">
      <c r="A38" s="141"/>
      <c r="B38" s="175"/>
      <c r="C38" s="353"/>
      <c r="D38" s="175"/>
      <c r="E38" s="353"/>
      <c r="F38" s="175"/>
    </row>
    <row r="39" spans="1:10" ht="15.75" customHeight="1">
      <c r="A39" s="141" t="s">
        <v>710</v>
      </c>
      <c r="B39" s="175"/>
      <c r="C39" s="353"/>
      <c r="D39" s="175"/>
      <c r="E39" s="353"/>
      <c r="F39" s="175"/>
    </row>
    <row r="40" spans="1:10" ht="18" customHeight="1">
      <c r="A40"/>
    </row>
    <row r="41" spans="1:10" ht="30" customHeight="1"/>
    <row r="42" spans="1:10" ht="30" customHeight="1">
      <c r="H42" s="493"/>
    </row>
    <row r="43" spans="1:10" ht="30" customHeight="1"/>
    <row r="44" spans="1:10" ht="30" customHeight="1"/>
    <row r="45" spans="1:10" ht="30" customHeight="1"/>
    <row r="46" spans="1:10" ht="30" customHeight="1"/>
    <row r="47" spans="1:10" ht="30" customHeight="1"/>
    <row r="48" spans="1:10" ht="30" customHeight="1"/>
  </sheetData>
  <phoneticPr fontId="0" type="noConversion"/>
  <pageMargins left="0.65" right="0.54" top="0.85" bottom="0.49" header="0.44" footer="0.4921259845"/>
  <pageSetup paperSize="9" scale="79" orientation="portrait"/>
  <headerFooter alignWithMargins="0"/>
  <rowBreaks count="1" manualBreakCount="1">
    <brk id="39" max="16383"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5E8D-3B30-D044-90E6-1E08C1A64A5F}">
  <sheetPr>
    <pageSetUpPr fitToPage="1"/>
  </sheetPr>
  <dimension ref="A1:B14"/>
  <sheetViews>
    <sheetView workbookViewId="0">
      <selection activeCell="B11" sqref="B11"/>
    </sheetView>
  </sheetViews>
  <sheetFormatPr baseColWidth="10" defaultColWidth="11.3984375" defaultRowHeight="13"/>
  <cols>
    <col min="1" max="1" width="5.59765625" style="683" customWidth="1"/>
    <col min="2" max="16384" width="11.3984375" style="683"/>
  </cols>
  <sheetData>
    <row r="1" spans="1:2" ht="16">
      <c r="A1" s="682" t="s">
        <v>2376</v>
      </c>
    </row>
    <row r="2" spans="1:2" ht="16">
      <c r="A2" s="682"/>
    </row>
    <row r="3" spans="1:2">
      <c r="A3" s="684">
        <v>4.01</v>
      </c>
      <c r="B3" s="685" t="s">
        <v>2377</v>
      </c>
    </row>
    <row r="4" spans="1:2">
      <c r="A4" s="684">
        <v>4.0199999999999996</v>
      </c>
      <c r="B4" s="685" t="s">
        <v>2378</v>
      </c>
    </row>
    <row r="5" spans="1:2">
      <c r="A5" s="684">
        <v>4.03</v>
      </c>
      <c r="B5" s="685" t="s">
        <v>2379</v>
      </c>
    </row>
    <row r="6" spans="1:2">
      <c r="A6" s="684">
        <v>4.04</v>
      </c>
      <c r="B6" s="685" t="s">
        <v>2380</v>
      </c>
    </row>
    <row r="7" spans="1:2">
      <c r="A7" s="684">
        <v>4.05</v>
      </c>
      <c r="B7" s="685" t="s">
        <v>2381</v>
      </c>
    </row>
    <row r="8" spans="1:2">
      <c r="A8" s="684">
        <v>4.0599999999999996</v>
      </c>
      <c r="B8" s="684" t="s">
        <v>2382</v>
      </c>
    </row>
    <row r="9" spans="1:2">
      <c r="A9" s="684">
        <v>4.07</v>
      </c>
      <c r="B9" s="684" t="s">
        <v>2383</v>
      </c>
    </row>
    <row r="10" spans="1:2">
      <c r="A10" s="684">
        <v>4.08</v>
      </c>
      <c r="B10" s="685" t="s">
        <v>2384</v>
      </c>
    </row>
    <row r="11" spans="1:2">
      <c r="A11" s="684">
        <v>4.09</v>
      </c>
      <c r="B11" s="685" t="s">
        <v>2385</v>
      </c>
    </row>
    <row r="14" spans="1:2">
      <c r="A14" s="686" t="s">
        <v>710</v>
      </c>
    </row>
  </sheetData>
  <phoneticPr fontId="30" type="noConversion"/>
  <pageMargins left="0.46" right="0.35" top="0.78" bottom="0.984251969" header="0.38" footer="0.4921259845"/>
  <pageSetup paperSize="9" orientation="portrait"/>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7D440-73FD-844B-87ED-7650C708ABA4}">
  <sheetPr>
    <pageSetUpPr fitToPage="1"/>
  </sheetPr>
  <dimension ref="A1:H42"/>
  <sheetViews>
    <sheetView topLeftCell="A10" zoomScale="75" workbookViewId="0">
      <selection activeCell="H24" sqref="H24"/>
    </sheetView>
  </sheetViews>
  <sheetFormatPr baseColWidth="10" defaultColWidth="11.3984375" defaultRowHeight="13"/>
  <cols>
    <col min="1" max="1" width="16.796875" style="2" customWidth="1"/>
    <col min="2" max="2" width="15" style="2" customWidth="1"/>
    <col min="3" max="3" width="13.796875" style="2" customWidth="1"/>
    <col min="4" max="4" width="11.796875" style="2" customWidth="1"/>
    <col min="5" max="5" width="12.796875" style="2" customWidth="1"/>
    <col min="6" max="6" width="13.3984375" style="2" customWidth="1"/>
    <col min="7" max="7" width="14.3984375" style="2" customWidth="1"/>
    <col min="8" max="8" width="13.3984375" style="2" customWidth="1"/>
    <col min="9" max="16384" width="11.3984375" style="2"/>
  </cols>
  <sheetData>
    <row r="1" spans="1:8" s="1" customFormat="1" ht="14" customHeight="1"/>
    <row r="2" spans="1:8" s="1" customFormat="1" ht="37.5" customHeight="1">
      <c r="A2" s="2014" t="s">
        <v>2404</v>
      </c>
      <c r="B2" s="2020"/>
      <c r="C2" s="2020"/>
      <c r="D2" s="2020"/>
      <c r="E2" s="2020"/>
      <c r="F2" s="2020"/>
      <c r="G2" s="2020"/>
      <c r="H2" s="478"/>
    </row>
    <row r="3" spans="1:8" ht="24" customHeight="1">
      <c r="A3" s="119" t="s">
        <v>2386</v>
      </c>
      <c r="B3" s="120" t="s">
        <v>2387</v>
      </c>
      <c r="C3" s="121"/>
      <c r="D3" s="120" t="s">
        <v>2388</v>
      </c>
      <c r="E3" s="306" t="s">
        <v>2389</v>
      </c>
      <c r="F3" s="120" t="s">
        <v>2390</v>
      </c>
      <c r="G3" s="121" t="s">
        <v>2391</v>
      </c>
      <c r="H3" s="120" t="s">
        <v>2390</v>
      </c>
    </row>
    <row r="4" spans="1:8" ht="15" customHeight="1">
      <c r="A4" s="325"/>
      <c r="B4" s="123" t="s">
        <v>2392</v>
      </c>
      <c r="C4" s="687" t="s">
        <v>2393</v>
      </c>
      <c r="D4" s="123" t="s">
        <v>2394</v>
      </c>
      <c r="E4" s="122" t="s">
        <v>2405</v>
      </c>
      <c r="F4" s="123" t="s">
        <v>2395</v>
      </c>
      <c r="G4" s="124" t="s">
        <v>2396</v>
      </c>
      <c r="H4" s="123" t="s">
        <v>2397</v>
      </c>
    </row>
    <row r="5" spans="1:8" ht="15" customHeight="1">
      <c r="A5" s="325"/>
      <c r="B5" s="123" t="s">
        <v>2406</v>
      </c>
      <c r="C5" s="687" t="s">
        <v>2398</v>
      </c>
      <c r="D5" s="123"/>
      <c r="E5" s="122"/>
      <c r="F5" s="392" t="s">
        <v>2528</v>
      </c>
      <c r="G5" s="124" t="s">
        <v>2399</v>
      </c>
      <c r="H5" s="392" t="s">
        <v>2528</v>
      </c>
    </row>
    <row r="6" spans="1:8" ht="27" customHeight="1">
      <c r="A6" s="326"/>
      <c r="B6" s="129" t="s">
        <v>2334</v>
      </c>
      <c r="C6" s="688" t="s">
        <v>2030</v>
      </c>
      <c r="D6" s="129"/>
      <c r="E6" s="126"/>
      <c r="F6" s="129"/>
      <c r="G6" s="128"/>
      <c r="H6" s="129"/>
    </row>
    <row r="7" spans="1:8" ht="2.25" customHeight="1" thickBot="1">
      <c r="A7" s="453">
        <v>1996</v>
      </c>
      <c r="B7" s="689">
        <v>1467.1668685500001</v>
      </c>
      <c r="C7" s="422">
        <v>0.19641864881833015</v>
      </c>
      <c r="D7" s="185">
        <v>1656431</v>
      </c>
      <c r="E7" s="422">
        <v>0.22902077477091093</v>
      </c>
      <c r="F7" s="185">
        <v>901.63486133741753</v>
      </c>
      <c r="G7" s="184">
        <v>821972</v>
      </c>
      <c r="H7" s="185">
        <v>1508.6632014229194</v>
      </c>
    </row>
    <row r="8" spans="1:8" ht="27" hidden="1" customHeight="1" thickBot="1">
      <c r="A8" s="328">
        <v>1997</v>
      </c>
      <c r="B8" s="441">
        <v>1994.2314670000001</v>
      </c>
      <c r="C8" s="364">
        <v>0.32454456351229566</v>
      </c>
      <c r="D8" s="188">
        <v>1955994</v>
      </c>
      <c r="E8" s="364">
        <v>0.27029666808586672</v>
      </c>
      <c r="F8" s="185">
        <v>1019.5488672255641</v>
      </c>
      <c r="G8" s="187">
        <v>988940</v>
      </c>
      <c r="H8" s="188">
        <v>2016.5343367646167</v>
      </c>
    </row>
    <row r="9" spans="1:8" ht="27" hidden="1" customHeight="1" thickBot="1">
      <c r="A9" s="328">
        <v>1998</v>
      </c>
      <c r="B9" s="441">
        <v>2446.4709480000001</v>
      </c>
      <c r="C9" s="364">
        <v>0.3175521493515443</v>
      </c>
      <c r="D9" s="188">
        <v>2240522</v>
      </c>
      <c r="E9" s="364">
        <v>0.30918183052613801</v>
      </c>
      <c r="F9" s="185">
        <v>1091.9200739827595</v>
      </c>
      <c r="G9" s="187">
        <v>1178551</v>
      </c>
      <c r="H9" s="188">
        <v>2075.8295126812504</v>
      </c>
    </row>
    <row r="10" spans="1:8" ht="24" customHeight="1" thickBot="1">
      <c r="A10" s="328">
        <v>1999</v>
      </c>
      <c r="B10" s="441">
        <v>2689.6721769999999</v>
      </c>
      <c r="C10" s="364">
        <v>0.33145279359936858</v>
      </c>
      <c r="D10" s="188">
        <v>2334267</v>
      </c>
      <c r="E10" s="364">
        <v>0.32105906563517722</v>
      </c>
      <c r="F10" s="185">
        <v>1152.2555804455958</v>
      </c>
      <c r="G10" s="187">
        <v>1230090</v>
      </c>
      <c r="H10" s="188">
        <v>2186.5653545675523</v>
      </c>
    </row>
    <row r="11" spans="1:8" ht="22.5" customHeight="1" thickBot="1">
      <c r="A11" s="328">
        <v>2000</v>
      </c>
      <c r="B11" s="441">
        <v>2545.3263492000001</v>
      </c>
      <c r="C11" s="364">
        <v>0.3246756501223273</v>
      </c>
      <c r="D11" s="188">
        <v>2337717</v>
      </c>
      <c r="E11" s="364">
        <v>0.32177297173492003</v>
      </c>
      <c r="F11" s="185">
        <v>1088.8085894058177</v>
      </c>
      <c r="G11" s="187">
        <v>1242695</v>
      </c>
      <c r="H11" s="188">
        <v>2048</v>
      </c>
    </row>
    <row r="12" spans="1:8" s="265" customFormat="1" ht="22.5" customHeight="1" thickBot="1">
      <c r="A12" s="677">
        <v>2001</v>
      </c>
      <c r="B12" s="678">
        <v>2657.2</v>
      </c>
      <c r="C12" s="369">
        <v>0.32313659872418687</v>
      </c>
      <c r="D12" s="296">
        <v>2376421</v>
      </c>
      <c r="E12" s="369">
        <v>0.32549030618883584</v>
      </c>
      <c r="F12" s="679">
        <v>1118.1520446082575</v>
      </c>
      <c r="G12" s="297">
        <v>1268943</v>
      </c>
      <c r="H12" s="296">
        <v>2094.0647990098846</v>
      </c>
    </row>
    <row r="13" spans="1:8" s="265" customFormat="1" ht="22.5" customHeight="1" thickBot="1">
      <c r="A13" s="677">
        <v>2002</v>
      </c>
      <c r="B13" s="678">
        <v>2892</v>
      </c>
      <c r="C13" s="369">
        <v>0.33503586516078104</v>
      </c>
      <c r="D13" s="296">
        <v>2433822</v>
      </c>
      <c r="E13" s="369">
        <v>0.33137426082069188</v>
      </c>
      <c r="F13" s="679">
        <v>1188.2690726766377</v>
      </c>
      <c r="G13" s="297">
        <v>1289405</v>
      </c>
      <c r="H13" s="296">
        <v>2242.922441746387</v>
      </c>
    </row>
    <row r="14" spans="1:8" s="265" customFormat="1" ht="22.5" customHeight="1" thickBot="1">
      <c r="A14" s="677">
        <v>2003</v>
      </c>
      <c r="B14" s="678">
        <v>3065.5</v>
      </c>
      <c r="C14" s="369">
        <v>0.34986041988328265</v>
      </c>
      <c r="D14" s="296">
        <v>2427518.2400000002</v>
      </c>
      <c r="E14" s="369">
        <v>0.32926640809331431</v>
      </c>
      <c r="F14" s="679">
        <v>1262.8124985787954</v>
      </c>
      <c r="G14" s="297">
        <v>1287365.05</v>
      </c>
      <c r="H14" s="296">
        <v>2381.2207531966164</v>
      </c>
    </row>
    <row r="15" spans="1:8" s="265" customFormat="1" ht="22.5" customHeight="1" thickBot="1">
      <c r="A15" s="677">
        <v>2004</v>
      </c>
      <c r="B15" s="678">
        <v>3169.8</v>
      </c>
      <c r="C15" s="369">
        <v>0.35221732419197194</v>
      </c>
      <c r="D15" s="296">
        <v>2361377</v>
      </c>
      <c r="E15" s="369">
        <v>0.31981490264741708</v>
      </c>
      <c r="F15" s="679">
        <v>1342.3653663095729</v>
      </c>
      <c r="G15" s="297">
        <v>1245875</v>
      </c>
      <c r="H15" s="296">
        <v>2544.2606213303907</v>
      </c>
    </row>
    <row r="16" spans="1:8" s="265" customFormat="1" ht="22.5" customHeight="1" thickBot="1">
      <c r="A16" s="677">
        <v>2005</v>
      </c>
      <c r="B16" s="678">
        <v>3201.7620889999998</v>
      </c>
      <c r="C16" s="369">
        <v>0.35637005695084922</v>
      </c>
      <c r="D16" s="296">
        <v>2262160</v>
      </c>
      <c r="E16" s="369">
        <v>0.30422284428240698</v>
      </c>
      <c r="F16" s="679">
        <v>1415.3561591576192</v>
      </c>
      <c r="G16" s="297">
        <v>1215989</v>
      </c>
      <c r="H16" s="296">
        <v>2633.0518524427443</v>
      </c>
    </row>
    <row r="17" spans="1:8" s="265" customFormat="1" ht="22.5" customHeight="1" thickBot="1">
      <c r="A17" s="677">
        <v>2006</v>
      </c>
      <c r="B17" s="678">
        <v>3308.7390919999998</v>
      </c>
      <c r="C17" s="369">
        <v>0.35384170478437954</v>
      </c>
      <c r="D17" s="296">
        <v>2178397</v>
      </c>
      <c r="E17" s="369">
        <v>0.2912908088184103</v>
      </c>
      <c r="F17" s="679">
        <v>1518.8870954192464</v>
      </c>
      <c r="G17" s="297">
        <v>1182675</v>
      </c>
      <c r="H17" s="296">
        <v>2797.6739949690323</v>
      </c>
    </row>
    <row r="18" spans="1:8" s="265" customFormat="1" ht="22.5" customHeight="1" thickBot="1">
      <c r="A18" s="677">
        <v>2007</v>
      </c>
      <c r="B18" s="678">
        <v>3420.5200599999998</v>
      </c>
      <c r="C18" s="369">
        <v>0.35134625317765278</v>
      </c>
      <c r="D18" s="296">
        <v>2271950</v>
      </c>
      <c r="E18" s="369">
        <v>0.30141607339582416</v>
      </c>
      <c r="F18" s="679">
        <v>1505.5437223530448</v>
      </c>
      <c r="G18" s="297">
        <v>1225436</v>
      </c>
      <c r="H18" s="296">
        <v>2791.2678099876289</v>
      </c>
    </row>
    <row r="19" spans="1:8" s="265" customFormat="1" ht="22.5" customHeight="1" thickBot="1">
      <c r="A19" s="677">
        <v>2008</v>
      </c>
      <c r="B19" s="678">
        <v>3398.253929</v>
      </c>
      <c r="C19" s="369">
        <v>0.47648657864613625</v>
      </c>
      <c r="D19" s="296">
        <v>2249481</v>
      </c>
      <c r="E19" s="369">
        <v>0.29537946093590112</v>
      </c>
      <c r="F19" s="679">
        <v>1510.6835438930136</v>
      </c>
      <c r="G19" s="297">
        <v>1211669.9745008873</v>
      </c>
      <c r="H19" s="296">
        <v>2804.603564101531</v>
      </c>
    </row>
    <row r="20" spans="1:8" ht="27.75" customHeight="1" thickBot="1">
      <c r="A20" s="329">
        <v>2009</v>
      </c>
      <c r="B20" s="690">
        <v>3542.4140867700003</v>
      </c>
      <c r="C20" s="691">
        <v>0.48763624888153639</v>
      </c>
      <c r="D20" s="1970">
        <v>2254890</v>
      </c>
      <c r="E20" s="1971">
        <v>0.29250672209346623</v>
      </c>
      <c r="F20" s="1972">
        <v>1570.991971568458</v>
      </c>
      <c r="G20" s="190">
        <v>1229418</v>
      </c>
      <c r="H20" s="191">
        <v>2881.3748348974887</v>
      </c>
    </row>
    <row r="21" spans="1:8" ht="16.5" customHeight="1">
      <c r="A21" s="692" t="s">
        <v>225</v>
      </c>
      <c r="B21" s="140"/>
      <c r="C21" s="140"/>
      <c r="D21" s="140"/>
      <c r="E21" s="140"/>
      <c r="F21" s="140"/>
      <c r="G21" s="140"/>
      <c r="H21" s="140"/>
    </row>
    <row r="22" spans="1:8" ht="10.5" customHeight="1">
      <c r="A22" s="693"/>
      <c r="B22" s="141"/>
      <c r="C22" s="141"/>
      <c r="D22" s="141"/>
      <c r="E22" s="141"/>
      <c r="F22" s="141"/>
      <c r="G22" s="141"/>
      <c r="H22" s="141"/>
    </row>
    <row r="23" spans="1:8" ht="16.5" customHeight="1">
      <c r="A23" s="693" t="s">
        <v>2400</v>
      </c>
      <c r="B23" s="141"/>
      <c r="C23" s="141"/>
      <c r="D23" s="141"/>
      <c r="E23" s="141"/>
      <c r="F23" s="141"/>
      <c r="G23" s="141"/>
      <c r="H23" s="141"/>
    </row>
    <row r="24" spans="1:8" ht="12.75" customHeight="1">
      <c r="A24" s="693"/>
      <c r="B24" s="141"/>
      <c r="C24" s="141"/>
      <c r="D24" s="141"/>
      <c r="E24" s="141"/>
      <c r="F24" s="141"/>
      <c r="G24" s="141"/>
      <c r="H24" s="141"/>
    </row>
    <row r="25" spans="1:8" ht="12.75" customHeight="1">
      <c r="A25" s="694" t="s">
        <v>2401</v>
      </c>
      <c r="B25" s="141"/>
      <c r="C25" s="141"/>
      <c r="D25" s="141"/>
      <c r="E25" s="141"/>
      <c r="F25" s="141"/>
      <c r="G25" s="141"/>
      <c r="H25" s="141"/>
    </row>
    <row r="26" spans="1:8" ht="12.75" customHeight="1">
      <c r="A26" s="694" t="s">
        <v>2402</v>
      </c>
      <c r="B26" s="141"/>
      <c r="C26" s="141"/>
      <c r="D26" s="141"/>
      <c r="E26" s="141"/>
      <c r="F26" s="141"/>
      <c r="G26" s="141"/>
      <c r="H26" s="141"/>
    </row>
    <row r="27" spans="1:8" ht="15" customHeight="1">
      <c r="A27" s="694" t="s">
        <v>2403</v>
      </c>
    </row>
    <row r="28" spans="1:8" ht="15" customHeight="1"/>
    <row r="29" spans="1:8" ht="15" customHeight="1">
      <c r="A29" s="695"/>
    </row>
    <row r="30" spans="1:8" ht="15" customHeight="1">
      <c r="A30" s="696" t="s">
        <v>710</v>
      </c>
    </row>
    <row r="31" spans="1:8" ht="30" customHeight="1"/>
    <row r="32" spans="1:8"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sheetData>
  <mergeCells count="1">
    <mergeCell ref="A2:G2"/>
  </mergeCells>
  <phoneticPr fontId="0" type="noConversion"/>
  <pageMargins left="0.57999999999999996" right="0.66" top="0.83" bottom="0.76" header="0.47" footer="0.47"/>
  <pageSetup paperSize="9" scale="80" orientation="portrait" horizontalDpi="4294967292" verticalDpi="4294967292"/>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1DF11-4214-B943-8C63-F1B90AE5F6C2}">
  <sheetPr>
    <pageSetUpPr fitToPage="1"/>
  </sheetPr>
  <dimension ref="A1:J44"/>
  <sheetViews>
    <sheetView zoomScale="75" workbookViewId="0">
      <selection activeCell="B34" sqref="B34:E34"/>
    </sheetView>
  </sheetViews>
  <sheetFormatPr baseColWidth="10" defaultColWidth="11.3984375" defaultRowHeight="13"/>
  <cols>
    <col min="1" max="3" width="13.3984375" style="2" customWidth="1"/>
    <col min="4" max="4" width="13.796875" style="2" customWidth="1"/>
    <col min="5" max="5" width="13.3984375" style="87" customWidth="1"/>
    <col min="6" max="7" width="14" style="168" customWidth="1"/>
    <col min="8" max="8" width="16.796875" style="2" customWidth="1"/>
    <col min="9" max="9" width="15.59765625" style="418" customWidth="1"/>
    <col min="10" max="10" width="17" style="2" customWidth="1"/>
    <col min="11" max="16384" width="11.3984375" style="2"/>
  </cols>
  <sheetData>
    <row r="1" spans="1:10" s="1" customFormat="1" ht="14" customHeight="1">
      <c r="E1" s="289"/>
      <c r="F1" s="145"/>
      <c r="G1" s="145"/>
      <c r="I1" s="697"/>
      <c r="J1" s="697"/>
    </row>
    <row r="2" spans="1:10" s="1" customFormat="1" ht="28" customHeight="1">
      <c r="A2" s="118" t="s">
        <v>2407</v>
      </c>
      <c r="E2" s="289"/>
      <c r="F2" s="145"/>
      <c r="G2" s="398"/>
      <c r="H2" s="398">
        <v>2009</v>
      </c>
      <c r="I2" s="698"/>
      <c r="J2" s="698"/>
    </row>
    <row r="3" spans="1:10" ht="24" customHeight="1">
      <c r="A3" s="119" t="s">
        <v>1797</v>
      </c>
      <c r="B3" s="2021" t="s">
        <v>2426</v>
      </c>
      <c r="C3" s="2022"/>
      <c r="D3" s="2022"/>
      <c r="E3" s="306"/>
      <c r="F3" s="120"/>
      <c r="G3" s="699"/>
      <c r="H3" s="120" t="s">
        <v>2409</v>
      </c>
      <c r="I3" s="700"/>
      <c r="J3" s="711"/>
    </row>
    <row r="4" spans="1:10" ht="15" customHeight="1">
      <c r="A4" s="325"/>
      <c r="B4" s="123" t="s">
        <v>2410</v>
      </c>
      <c r="C4" s="150" t="s">
        <v>2411</v>
      </c>
      <c r="D4" s="149" t="s">
        <v>1567</v>
      </c>
      <c r="E4" s="701" t="s">
        <v>2389</v>
      </c>
      <c r="F4" s="149" t="s">
        <v>2409</v>
      </c>
      <c r="G4" s="150" t="s">
        <v>2409</v>
      </c>
      <c r="H4" s="149" t="s">
        <v>2412</v>
      </c>
      <c r="I4" s="702"/>
      <c r="J4" s="700"/>
    </row>
    <row r="5" spans="1:10" ht="15" customHeight="1">
      <c r="A5" s="325"/>
      <c r="B5" s="123" t="s">
        <v>2414</v>
      </c>
      <c r="C5" s="124" t="s">
        <v>2414</v>
      </c>
      <c r="D5" s="123" t="s">
        <v>2414</v>
      </c>
      <c r="E5" s="122" t="s">
        <v>244</v>
      </c>
      <c r="F5" s="149" t="s">
        <v>2415</v>
      </c>
      <c r="G5" s="150" t="s">
        <v>2416</v>
      </c>
      <c r="H5" s="149" t="s">
        <v>2417</v>
      </c>
      <c r="I5" s="702"/>
      <c r="J5" s="700"/>
    </row>
    <row r="6" spans="1:10" ht="15" customHeight="1">
      <c r="A6" s="325"/>
      <c r="B6" s="123"/>
      <c r="C6" s="124"/>
      <c r="D6" s="123"/>
      <c r="E6" s="122"/>
      <c r="F6" s="149" t="s">
        <v>2419</v>
      </c>
      <c r="G6" s="150" t="s">
        <v>2420</v>
      </c>
      <c r="H6" s="149" t="s">
        <v>2421</v>
      </c>
      <c r="I6" s="702"/>
      <c r="J6" s="700"/>
    </row>
    <row r="7" spans="1:10" ht="19.5" customHeight="1">
      <c r="A7" s="326"/>
      <c r="B7" s="129"/>
      <c r="C7" s="128"/>
      <c r="D7" s="129"/>
      <c r="E7" s="126"/>
      <c r="F7" s="370" t="s">
        <v>885</v>
      </c>
      <c r="G7" s="703"/>
      <c r="H7" s="370" t="s">
        <v>2423</v>
      </c>
      <c r="I7" s="702"/>
      <c r="J7" s="712"/>
    </row>
    <row r="8" spans="1:10" ht="30" customHeight="1" thickBot="1">
      <c r="A8" s="704" t="s">
        <v>1807</v>
      </c>
      <c r="B8" s="132">
        <v>201501</v>
      </c>
      <c r="C8" s="133">
        <v>234719</v>
      </c>
      <c r="D8" s="132">
        <v>436220</v>
      </c>
      <c r="E8" s="422">
        <v>0.3253937880608706</v>
      </c>
      <c r="F8" s="185">
        <v>48534</v>
      </c>
      <c r="G8" s="184">
        <v>41038</v>
      </c>
      <c r="H8" s="185">
        <v>89572</v>
      </c>
      <c r="I8" s="702"/>
      <c r="J8" s="713"/>
    </row>
    <row r="9" spans="1:10" ht="20" customHeight="1" thickBot="1">
      <c r="A9" s="705" t="s">
        <v>1808</v>
      </c>
      <c r="B9" s="1973">
        <v>129667</v>
      </c>
      <c r="C9" s="1974">
        <v>146917</v>
      </c>
      <c r="D9" s="1973">
        <v>276584</v>
      </c>
      <c r="E9" s="1975">
        <v>0.2846515281407126</v>
      </c>
      <c r="F9" s="185">
        <v>44224</v>
      </c>
      <c r="G9" s="184">
        <v>36255</v>
      </c>
      <c r="H9" s="185">
        <v>36255</v>
      </c>
      <c r="I9" s="702"/>
      <c r="J9" s="713"/>
    </row>
    <row r="10" spans="1:10" ht="20" customHeight="1" thickBot="1">
      <c r="A10" s="705" t="s">
        <v>1809</v>
      </c>
      <c r="B10" s="132">
        <v>60062</v>
      </c>
      <c r="C10" s="133">
        <v>65990</v>
      </c>
      <c r="D10" s="132">
        <v>126052</v>
      </c>
      <c r="E10" s="422">
        <v>0.33791185688291403</v>
      </c>
      <c r="F10" s="185">
        <v>17109</v>
      </c>
      <c r="G10" s="184">
        <v>8230</v>
      </c>
      <c r="H10" s="185">
        <v>25339</v>
      </c>
      <c r="I10" s="702"/>
      <c r="J10" s="713"/>
    </row>
    <row r="11" spans="1:10" ht="20" customHeight="1" thickBot="1">
      <c r="A11" s="705" t="s">
        <v>1810</v>
      </c>
      <c r="B11" s="132">
        <v>6934</v>
      </c>
      <c r="C11" s="133">
        <v>7273</v>
      </c>
      <c r="D11" s="132">
        <v>14207</v>
      </c>
      <c r="E11" s="422">
        <v>0.40055858849547915</v>
      </c>
      <c r="F11" s="185">
        <v>1243</v>
      </c>
      <c r="G11" s="184">
        <v>300</v>
      </c>
      <c r="H11" s="185">
        <v>2271</v>
      </c>
      <c r="I11" s="702"/>
      <c r="J11" s="713"/>
    </row>
    <row r="12" spans="1:10" ht="20" customHeight="1" thickBot="1">
      <c r="A12" s="705" t="s">
        <v>1811</v>
      </c>
      <c r="B12" s="132">
        <v>17347</v>
      </c>
      <c r="C12" s="133">
        <v>18958</v>
      </c>
      <c r="D12" s="132">
        <v>36305</v>
      </c>
      <c r="E12" s="422">
        <v>0.25087074017268035</v>
      </c>
      <c r="F12" s="185">
        <v>3685</v>
      </c>
      <c r="G12" s="184">
        <v>1623</v>
      </c>
      <c r="H12" s="185">
        <v>980</v>
      </c>
      <c r="I12" s="702"/>
      <c r="J12" s="713"/>
    </row>
    <row r="13" spans="1:10" ht="20" customHeight="1" thickBot="1">
      <c r="A13" s="705" t="s">
        <v>1812</v>
      </c>
      <c r="B13" s="132">
        <v>6097</v>
      </c>
      <c r="C13" s="133">
        <v>6523</v>
      </c>
      <c r="D13" s="132">
        <v>12620</v>
      </c>
      <c r="E13" s="422">
        <v>0.35709354153037504</v>
      </c>
      <c r="F13" s="185">
        <v>1005</v>
      </c>
      <c r="G13" s="184">
        <v>331</v>
      </c>
      <c r="H13" s="185">
        <v>1627</v>
      </c>
      <c r="I13" s="702"/>
      <c r="J13" s="713"/>
    </row>
    <row r="14" spans="1:10" ht="20" customHeight="1" thickBot="1">
      <c r="A14" s="705" t="s">
        <v>1813</v>
      </c>
      <c r="B14" s="132">
        <v>8985</v>
      </c>
      <c r="C14" s="133">
        <v>9476</v>
      </c>
      <c r="D14" s="132">
        <v>18461</v>
      </c>
      <c r="E14" s="422">
        <v>0.45598343333468355</v>
      </c>
      <c r="F14" s="185">
        <v>734</v>
      </c>
      <c r="G14" s="184">
        <v>500</v>
      </c>
      <c r="H14" s="185" t="s">
        <v>744</v>
      </c>
      <c r="I14" s="702"/>
      <c r="J14" s="713"/>
    </row>
    <row r="15" spans="1:10" ht="20" customHeight="1" thickBot="1">
      <c r="A15" s="705" t="s">
        <v>1814</v>
      </c>
      <c r="B15" s="132">
        <v>4967</v>
      </c>
      <c r="C15" s="133">
        <v>5729</v>
      </c>
      <c r="D15" s="132">
        <v>10696</v>
      </c>
      <c r="E15" s="422">
        <v>0.27684419360975482</v>
      </c>
      <c r="F15" s="185">
        <v>1218</v>
      </c>
      <c r="G15" s="184">
        <v>552</v>
      </c>
      <c r="H15" s="185">
        <v>1770</v>
      </c>
      <c r="I15" s="702"/>
      <c r="J15" s="713"/>
    </row>
    <row r="16" spans="1:10" ht="20" customHeight="1" thickBot="1">
      <c r="A16" s="705" t="s">
        <v>1815</v>
      </c>
      <c r="B16" s="132">
        <v>13855</v>
      </c>
      <c r="C16" s="133">
        <v>15892</v>
      </c>
      <c r="D16" s="132">
        <v>29747</v>
      </c>
      <c r="E16" s="422">
        <v>0.26839607562657403</v>
      </c>
      <c r="F16" s="185">
        <v>2153</v>
      </c>
      <c r="G16" s="184">
        <v>1687</v>
      </c>
      <c r="H16" s="185" t="s">
        <v>744</v>
      </c>
      <c r="I16" s="702"/>
      <c r="J16" s="713"/>
    </row>
    <row r="17" spans="1:10" ht="20" customHeight="1" thickBot="1">
      <c r="A17" s="705" t="s">
        <v>1816</v>
      </c>
      <c r="B17" s="132">
        <v>31353</v>
      </c>
      <c r="C17" s="133">
        <v>36617</v>
      </c>
      <c r="D17" s="132">
        <v>67970</v>
      </c>
      <c r="E17" s="422">
        <v>0.2503957630841272</v>
      </c>
      <c r="F17" s="185">
        <v>11165</v>
      </c>
      <c r="G17" s="184">
        <v>8043</v>
      </c>
      <c r="H17" s="185">
        <v>19208</v>
      </c>
      <c r="I17" s="702"/>
      <c r="J17" s="713"/>
    </row>
    <row r="18" spans="1:10" ht="20" customHeight="1" thickBot="1">
      <c r="A18" s="705" t="s">
        <v>1817</v>
      </c>
      <c r="B18" s="132">
        <v>32854</v>
      </c>
      <c r="C18" s="133">
        <v>37198</v>
      </c>
      <c r="D18" s="132">
        <v>70052</v>
      </c>
      <c r="E18" s="422">
        <v>0.274721762448423</v>
      </c>
      <c r="F18" s="185">
        <v>8584</v>
      </c>
      <c r="G18" s="184">
        <v>6778</v>
      </c>
      <c r="H18" s="185" t="s">
        <v>744</v>
      </c>
      <c r="I18" s="702"/>
      <c r="J18" s="713"/>
    </row>
    <row r="19" spans="1:10" ht="20" customHeight="1" thickBot="1">
      <c r="A19" s="705" t="s">
        <v>1818</v>
      </c>
      <c r="B19" s="132">
        <v>23131</v>
      </c>
      <c r="C19" s="133">
        <v>26726</v>
      </c>
      <c r="D19" s="132">
        <v>49857</v>
      </c>
      <c r="E19" s="422">
        <v>0.28202772828607953</v>
      </c>
      <c r="F19" s="185">
        <v>12005</v>
      </c>
      <c r="G19" s="184">
        <v>11057</v>
      </c>
      <c r="H19" s="185" t="s">
        <v>744</v>
      </c>
      <c r="I19" s="702"/>
      <c r="J19" s="713"/>
    </row>
    <row r="20" spans="1:10" ht="20" customHeight="1" thickBot="1">
      <c r="A20" s="705" t="s">
        <v>1819</v>
      </c>
      <c r="B20" s="132">
        <v>28869</v>
      </c>
      <c r="C20" s="133">
        <v>30573</v>
      </c>
      <c r="D20" s="132">
        <v>59442</v>
      </c>
      <c r="E20" s="422">
        <v>0.219048726678397</v>
      </c>
      <c r="F20" s="185">
        <v>8327</v>
      </c>
      <c r="G20" s="184">
        <v>1708</v>
      </c>
      <c r="H20" s="185" t="s">
        <v>744</v>
      </c>
      <c r="I20" s="702"/>
      <c r="J20" s="713"/>
    </row>
    <row r="21" spans="1:10" ht="20" customHeight="1" thickBot="1">
      <c r="A21" s="705" t="s">
        <v>1820</v>
      </c>
      <c r="B21" s="132">
        <v>11498</v>
      </c>
      <c r="C21" s="133">
        <v>12206</v>
      </c>
      <c r="D21" s="132">
        <v>23704</v>
      </c>
      <c r="E21" s="422">
        <v>0.31447358575773227</v>
      </c>
      <c r="F21" s="185" t="s">
        <v>744</v>
      </c>
      <c r="G21" s="184">
        <v>1560</v>
      </c>
      <c r="H21" s="185">
        <v>1560</v>
      </c>
      <c r="I21" s="702"/>
      <c r="J21" s="713"/>
    </row>
    <row r="22" spans="1:10" ht="20" customHeight="1" thickBot="1">
      <c r="A22" s="705" t="s">
        <v>1821</v>
      </c>
      <c r="B22" s="132">
        <v>7906</v>
      </c>
      <c r="C22" s="133">
        <v>8388</v>
      </c>
      <c r="D22" s="132">
        <v>16294</v>
      </c>
      <c r="E22" s="422">
        <v>0.30317419324107986</v>
      </c>
      <c r="F22" s="185">
        <v>1602</v>
      </c>
      <c r="G22" s="184">
        <v>636</v>
      </c>
      <c r="H22" s="185">
        <v>8950</v>
      </c>
      <c r="I22" s="702"/>
      <c r="J22" s="713"/>
    </row>
    <row r="23" spans="1:10" ht="20" customHeight="1" thickBot="1">
      <c r="A23" s="705" t="s">
        <v>1822</v>
      </c>
      <c r="B23" s="132">
        <v>3521</v>
      </c>
      <c r="C23" s="133">
        <v>3335</v>
      </c>
      <c r="D23" s="132">
        <v>6856</v>
      </c>
      <c r="E23" s="422">
        <v>0.43772952707844914</v>
      </c>
      <c r="F23" s="185">
        <v>338</v>
      </c>
      <c r="G23" s="184">
        <v>172</v>
      </c>
      <c r="H23" s="185">
        <v>74</v>
      </c>
      <c r="I23" s="702"/>
      <c r="J23" s="713"/>
    </row>
    <row r="24" spans="1:10" ht="20" customHeight="1" thickBot="1">
      <c r="A24" s="705" t="s">
        <v>1823</v>
      </c>
      <c r="B24" s="132">
        <v>72698</v>
      </c>
      <c r="C24" s="133">
        <v>77724</v>
      </c>
      <c r="D24" s="132">
        <v>150422</v>
      </c>
      <c r="E24" s="422">
        <v>0.31643568487093604</v>
      </c>
      <c r="F24" s="185">
        <v>18081</v>
      </c>
      <c r="G24" s="184">
        <v>19083</v>
      </c>
      <c r="H24" s="185">
        <v>19083</v>
      </c>
      <c r="I24" s="702"/>
      <c r="J24" s="713"/>
    </row>
    <row r="25" spans="1:10" ht="20" customHeight="1" thickBot="1">
      <c r="A25" s="705" t="s">
        <v>1824</v>
      </c>
      <c r="B25" s="132">
        <v>27377</v>
      </c>
      <c r="C25" s="133">
        <v>31043</v>
      </c>
      <c r="D25" s="132">
        <v>58420</v>
      </c>
      <c r="E25" s="422">
        <v>0.29768342473518938</v>
      </c>
      <c r="F25" s="185">
        <v>5208</v>
      </c>
      <c r="G25" s="184">
        <v>2276</v>
      </c>
      <c r="H25" s="185">
        <v>175</v>
      </c>
      <c r="I25" s="702"/>
      <c r="J25" s="713"/>
    </row>
    <row r="26" spans="1:10" ht="20" customHeight="1" thickBot="1">
      <c r="A26" s="705" t="s">
        <v>1825</v>
      </c>
      <c r="B26" s="132">
        <v>72063</v>
      </c>
      <c r="C26" s="133">
        <v>80961</v>
      </c>
      <c r="D26" s="132">
        <v>153024</v>
      </c>
      <c r="E26" s="422">
        <v>0.25479610492176713</v>
      </c>
      <c r="F26" s="185">
        <v>18503</v>
      </c>
      <c r="G26" s="184">
        <v>8750</v>
      </c>
      <c r="H26" s="185">
        <v>4628</v>
      </c>
      <c r="I26" s="702"/>
      <c r="J26" s="713"/>
    </row>
    <row r="27" spans="1:10" ht="20" customHeight="1" thickBot="1">
      <c r="A27" s="705" t="s">
        <v>1826</v>
      </c>
      <c r="B27" s="132">
        <v>39941</v>
      </c>
      <c r="C27" s="133">
        <v>50583</v>
      </c>
      <c r="D27" s="132">
        <v>90524</v>
      </c>
      <c r="E27" s="422">
        <v>0.37101012675182038</v>
      </c>
      <c r="F27" s="185">
        <v>7229</v>
      </c>
      <c r="G27" s="184">
        <v>2972</v>
      </c>
      <c r="H27" s="185" t="s">
        <v>744</v>
      </c>
      <c r="I27" s="702"/>
      <c r="J27" s="713"/>
    </row>
    <row r="28" spans="1:10" ht="20" customHeight="1" thickBot="1">
      <c r="A28" s="705" t="s">
        <v>1827</v>
      </c>
      <c r="B28" s="132">
        <v>44855</v>
      </c>
      <c r="C28" s="133">
        <v>55781</v>
      </c>
      <c r="D28" s="132">
        <v>100636</v>
      </c>
      <c r="E28" s="422">
        <v>0.30674236083168643</v>
      </c>
      <c r="F28" s="185">
        <v>23784</v>
      </c>
      <c r="G28" s="184" t="s">
        <v>744</v>
      </c>
      <c r="H28" s="185" t="s">
        <v>744</v>
      </c>
      <c r="I28" s="702"/>
      <c r="J28" s="713"/>
    </row>
    <row r="29" spans="1:10" ht="20" customHeight="1" thickBot="1">
      <c r="A29" s="705" t="s">
        <v>1828</v>
      </c>
      <c r="B29" s="132">
        <v>67222</v>
      </c>
      <c r="C29" s="133">
        <v>82814</v>
      </c>
      <c r="D29" s="132">
        <v>150036</v>
      </c>
      <c r="E29" s="422">
        <v>0.21943351123366017</v>
      </c>
      <c r="F29" s="185">
        <v>31108</v>
      </c>
      <c r="G29" s="184">
        <v>22801</v>
      </c>
      <c r="H29" s="185">
        <v>53909</v>
      </c>
      <c r="I29" s="702"/>
      <c r="J29" s="713"/>
    </row>
    <row r="30" spans="1:10" ht="20" customHeight="1" thickBot="1">
      <c r="A30" s="705" t="s">
        <v>1829</v>
      </c>
      <c r="B30" s="132">
        <v>42438.762342035327</v>
      </c>
      <c r="C30" s="133">
        <v>50872.237657964673</v>
      </c>
      <c r="D30" s="132">
        <v>93311</v>
      </c>
      <c r="E30" s="422">
        <v>0.30026845920070816</v>
      </c>
      <c r="F30" s="185">
        <v>8565</v>
      </c>
      <c r="G30" s="184">
        <v>3757</v>
      </c>
      <c r="H30" s="185" t="s">
        <v>744</v>
      </c>
      <c r="I30" s="702"/>
      <c r="J30" s="713"/>
    </row>
    <row r="31" spans="1:10" ht="20" customHeight="1" thickBot="1">
      <c r="A31" s="705" t="s">
        <v>1830</v>
      </c>
      <c r="B31" s="132">
        <v>21492</v>
      </c>
      <c r="C31" s="133">
        <v>26617</v>
      </c>
      <c r="D31" s="132">
        <v>48109</v>
      </c>
      <c r="E31" s="422">
        <v>0.27952923764616033</v>
      </c>
      <c r="F31" s="185">
        <v>10212</v>
      </c>
      <c r="G31" s="184">
        <v>8795</v>
      </c>
      <c r="H31" s="185">
        <v>16</v>
      </c>
      <c r="I31" s="702"/>
      <c r="J31" s="713"/>
    </row>
    <row r="32" spans="1:10" ht="20" customHeight="1" thickBot="1">
      <c r="A32" s="705" t="s">
        <v>1831</v>
      </c>
      <c r="B32" s="132">
        <v>62140</v>
      </c>
      <c r="C32" s="133">
        <v>69929</v>
      </c>
      <c r="D32" s="132">
        <v>132069</v>
      </c>
      <c r="E32" s="422">
        <v>0.31903437971137594</v>
      </c>
      <c r="F32" s="185">
        <v>27274</v>
      </c>
      <c r="G32" s="184">
        <v>19384</v>
      </c>
      <c r="H32" s="185" t="s">
        <v>744</v>
      </c>
      <c r="I32" s="702"/>
      <c r="J32" s="713"/>
    </row>
    <row r="33" spans="1:10" ht="20" customHeight="1" thickBot="1">
      <c r="A33" s="705" t="s">
        <v>1832</v>
      </c>
      <c r="B33" s="132">
        <v>10040</v>
      </c>
      <c r="C33" s="133">
        <v>13232</v>
      </c>
      <c r="D33" s="132">
        <v>23272</v>
      </c>
      <c r="E33" s="422">
        <v>0.33108272387527266</v>
      </c>
      <c r="F33" s="185">
        <v>4315</v>
      </c>
      <c r="G33" s="184">
        <v>1254</v>
      </c>
      <c r="H33" s="185" t="s">
        <v>744</v>
      </c>
      <c r="I33" s="702"/>
      <c r="J33" s="713"/>
    </row>
    <row r="34" spans="1:10" ht="30" customHeight="1" thickBot="1">
      <c r="A34" s="707" t="s">
        <v>2428</v>
      </c>
      <c r="B34" s="1976">
        <v>1048813.7623420353</v>
      </c>
      <c r="C34" s="1977">
        <v>1206076.2376579647</v>
      </c>
      <c r="D34" s="1976">
        <v>2254890</v>
      </c>
      <c r="E34" s="1978">
        <v>0.29250672209346623</v>
      </c>
      <c r="F34" s="465">
        <v>316205</v>
      </c>
      <c r="G34" s="466">
        <v>209542</v>
      </c>
      <c r="H34" s="708">
        <v>265417</v>
      </c>
      <c r="I34" s="315"/>
      <c r="J34" s="714"/>
    </row>
    <row r="35" spans="1:10" ht="20" customHeight="1">
      <c r="A35" s="692" t="s">
        <v>226</v>
      </c>
      <c r="B35" s="194"/>
      <c r="C35" s="194"/>
      <c r="D35" s="194"/>
      <c r="E35" s="709"/>
      <c r="F35" s="194"/>
      <c r="G35" s="194"/>
    </row>
    <row r="36" spans="1:10" ht="14.25" customHeight="1">
      <c r="A36" s="693"/>
      <c r="B36" s="196"/>
      <c r="C36" s="196"/>
      <c r="D36" s="196"/>
      <c r="E36" s="710"/>
      <c r="F36" s="196"/>
      <c r="G36" s="196"/>
    </row>
    <row r="37" spans="1:10" ht="20" customHeight="1">
      <c r="A37" s="693" t="s">
        <v>2424</v>
      </c>
      <c r="B37" s="196"/>
      <c r="C37" s="196"/>
      <c r="D37" s="196"/>
      <c r="E37" s="710"/>
      <c r="F37" s="196"/>
      <c r="G37" s="196"/>
    </row>
    <row r="38" spans="1:10" ht="15.75" customHeight="1">
      <c r="A38" s="693"/>
      <c r="B38" s="196"/>
      <c r="C38" s="196"/>
      <c r="D38" s="196"/>
      <c r="E38" s="710"/>
      <c r="F38" s="196"/>
      <c r="G38" s="196"/>
    </row>
    <row r="39" spans="1:10" ht="12.75" customHeight="1">
      <c r="A39" s="141" t="s">
        <v>2425</v>
      </c>
      <c r="B39" s="196"/>
      <c r="C39" s="196"/>
      <c r="D39" s="196"/>
      <c r="E39" s="710"/>
      <c r="F39" s="196"/>
      <c r="G39" s="196"/>
    </row>
    <row r="40" spans="1:10" ht="12.75" customHeight="1">
      <c r="A40" s="141" t="s">
        <v>2429</v>
      </c>
      <c r="B40" s="196"/>
      <c r="C40" s="196"/>
      <c r="D40" s="196"/>
      <c r="E40" s="710"/>
      <c r="F40" s="196"/>
      <c r="G40" s="196"/>
    </row>
    <row r="41" spans="1:10" ht="12.75" customHeight="1">
      <c r="A41" s="495" t="s">
        <v>243</v>
      </c>
      <c r="B41" s="196"/>
      <c r="C41" s="196"/>
      <c r="D41" s="196"/>
      <c r="E41" s="710"/>
      <c r="F41" s="196"/>
      <c r="G41" s="196"/>
    </row>
    <row r="43" spans="1:10">
      <c r="E43" s="437"/>
    </row>
    <row r="44" spans="1:10">
      <c r="A44" s="2" t="s">
        <v>710</v>
      </c>
    </row>
  </sheetData>
  <mergeCells count="1">
    <mergeCell ref="B3:D3"/>
  </mergeCells>
  <phoneticPr fontId="0" type="noConversion"/>
  <pageMargins left="0.56000000000000005" right="0.5" top="0.76" bottom="0.49" header="0.42" footer="0.4921259845"/>
  <pageSetup paperSize="9" scale="82" orientation="portrait" horizontalDpi="1200" verticalDpi="1200"/>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7E843-386D-9840-B399-B3FA4C53845F}">
  <sheetPr>
    <pageSetUpPr fitToPage="1"/>
  </sheetPr>
  <dimension ref="A1:I33"/>
  <sheetViews>
    <sheetView topLeftCell="A15" zoomScale="75" workbookViewId="0">
      <selection activeCell="F29" sqref="F29"/>
    </sheetView>
  </sheetViews>
  <sheetFormatPr baseColWidth="10" defaultColWidth="11.3984375" defaultRowHeight="13"/>
  <cols>
    <col min="1" max="4" width="17.59765625" style="2" customWidth="1"/>
    <col min="5" max="5" width="23.3984375" style="87" customWidth="1"/>
    <col min="6" max="6" width="19.59765625" style="2" customWidth="1"/>
    <col min="7" max="16384" width="11.3984375" style="2"/>
  </cols>
  <sheetData>
    <row r="1" spans="1:9" s="1" customFormat="1" ht="14" customHeight="1">
      <c r="E1" s="289"/>
    </row>
    <row r="2" spans="1:9" s="1" customFormat="1" ht="28" customHeight="1">
      <c r="A2" s="118" t="s">
        <v>2440</v>
      </c>
      <c r="E2" s="398"/>
      <c r="F2" s="715">
        <v>2009</v>
      </c>
    </row>
    <row r="3" spans="1:9" ht="27" customHeight="1">
      <c r="A3" s="119" t="s">
        <v>2430</v>
      </c>
      <c r="B3" s="120" t="s">
        <v>607</v>
      </c>
      <c r="C3" s="121" t="s">
        <v>608</v>
      </c>
      <c r="D3" s="120" t="s">
        <v>1567</v>
      </c>
      <c r="E3" s="306" t="s">
        <v>2431</v>
      </c>
      <c r="F3" s="149" t="s">
        <v>2413</v>
      </c>
    </row>
    <row r="4" spans="1:9" ht="15" customHeight="1">
      <c r="A4" s="122"/>
      <c r="B4" s="123"/>
      <c r="C4" s="124"/>
      <c r="D4" s="123"/>
      <c r="E4" s="122" t="s">
        <v>2432</v>
      </c>
      <c r="F4" s="149" t="s">
        <v>2418</v>
      </c>
    </row>
    <row r="5" spans="1:9" ht="15" customHeight="1">
      <c r="A5" s="122"/>
      <c r="B5" s="123"/>
      <c r="C5" s="124"/>
      <c r="D5" s="123"/>
      <c r="E5" s="122" t="s">
        <v>2441</v>
      </c>
      <c r="F5" s="149" t="s">
        <v>2010</v>
      </c>
    </row>
    <row r="6" spans="1:9" ht="24" customHeight="1">
      <c r="A6" s="126"/>
      <c r="B6" s="129"/>
      <c r="C6" s="128"/>
      <c r="D6" s="129"/>
      <c r="E6" s="126"/>
      <c r="F6" s="716" t="s">
        <v>2442</v>
      </c>
    </row>
    <row r="7" spans="1:9" ht="25.5" customHeight="1" thickBot="1">
      <c r="A7" s="308" t="s">
        <v>2433</v>
      </c>
      <c r="B7" s="155">
        <v>345276.79958088364</v>
      </c>
      <c r="C7" s="156">
        <v>326525.20041911636</v>
      </c>
      <c r="D7" s="155">
        <v>671802</v>
      </c>
      <c r="E7" s="717">
        <v>0.44579541094739278</v>
      </c>
      <c r="F7" s="718">
        <v>336.99673833542943</v>
      </c>
      <c r="G7" s="134"/>
      <c r="H7" s="134"/>
      <c r="I7" s="134"/>
    </row>
    <row r="8" spans="1:9" ht="20" customHeight="1" thickBot="1">
      <c r="A8" s="135" t="s">
        <v>2434</v>
      </c>
      <c r="B8" s="455">
        <v>135774.65249734325</v>
      </c>
      <c r="C8" s="578">
        <v>143322.34750265675</v>
      </c>
      <c r="D8" s="455">
        <v>279097</v>
      </c>
      <c r="E8" s="717">
        <v>0.42792935241296259</v>
      </c>
      <c r="F8" s="718">
        <v>348.17766745154302</v>
      </c>
      <c r="G8" s="134"/>
      <c r="H8" s="134"/>
      <c r="I8" s="134"/>
    </row>
    <row r="9" spans="1:9" ht="20" customHeight="1" thickBot="1">
      <c r="A9" s="135" t="s">
        <v>672</v>
      </c>
      <c r="B9" s="455">
        <v>69603.743396226419</v>
      </c>
      <c r="C9" s="578">
        <v>84296.256603773581</v>
      </c>
      <c r="D9" s="455">
        <v>153900</v>
      </c>
      <c r="E9" s="717">
        <v>0.30062103735471302</v>
      </c>
      <c r="F9" s="718">
        <v>151.01390106082749</v>
      </c>
      <c r="G9" s="134"/>
      <c r="H9" s="134"/>
      <c r="I9" s="134"/>
    </row>
    <row r="10" spans="1:9" ht="20" customHeight="1" thickBot="1">
      <c r="A10" s="135" t="s">
        <v>673</v>
      </c>
      <c r="B10" s="455">
        <v>59240.829444444447</v>
      </c>
      <c r="C10" s="578">
        <v>77279.170555555553</v>
      </c>
      <c r="D10" s="455">
        <v>136520</v>
      </c>
      <c r="E10" s="717">
        <v>0.26232540790476844</v>
      </c>
      <c r="F10" s="718">
        <v>136.13290763134393</v>
      </c>
      <c r="G10" s="134"/>
      <c r="H10" s="134"/>
      <c r="I10" s="134"/>
    </row>
    <row r="11" spans="1:9" ht="20" customHeight="1" thickBot="1">
      <c r="A11" s="135" t="s">
        <v>674</v>
      </c>
      <c r="B11" s="455">
        <v>67673.951515151508</v>
      </c>
      <c r="C11" s="578">
        <v>87881.048484848492</v>
      </c>
      <c r="D11" s="455">
        <v>155555</v>
      </c>
      <c r="E11" s="717">
        <v>0.26948968903743215</v>
      </c>
      <c r="F11" s="718">
        <v>159.30158706417919</v>
      </c>
      <c r="G11" s="134"/>
      <c r="H11" s="134"/>
      <c r="I11" s="134"/>
    </row>
    <row r="12" spans="1:9" ht="20" customHeight="1" thickBot="1">
      <c r="A12" s="135" t="s">
        <v>675</v>
      </c>
      <c r="B12" s="455">
        <v>76553.747286295795</v>
      </c>
      <c r="C12" s="578">
        <v>91805.252713704205</v>
      </c>
      <c r="D12" s="455">
        <v>168359</v>
      </c>
      <c r="E12" s="717">
        <v>0.25953600864607201</v>
      </c>
      <c r="F12" s="718">
        <v>174.94286017020357</v>
      </c>
      <c r="G12" s="134"/>
      <c r="H12" s="134"/>
      <c r="I12" s="134"/>
    </row>
    <row r="13" spans="1:9" ht="20" customHeight="1" thickBot="1">
      <c r="A13" s="135" t="s">
        <v>676</v>
      </c>
      <c r="B13" s="455">
        <v>65286.020214030912</v>
      </c>
      <c r="C13" s="578">
        <v>70758.979785969088</v>
      </c>
      <c r="D13" s="455">
        <v>136045</v>
      </c>
      <c r="E13" s="717">
        <v>0.22195619854430212</v>
      </c>
      <c r="F13" s="718">
        <v>148.48001199135419</v>
      </c>
      <c r="G13" s="134"/>
      <c r="H13" s="134"/>
      <c r="I13" s="134"/>
    </row>
    <row r="14" spans="1:9" ht="20" customHeight="1" thickBot="1">
      <c r="A14" s="135" t="s">
        <v>677</v>
      </c>
      <c r="B14" s="455">
        <v>46724.618320610687</v>
      </c>
      <c r="C14" s="578">
        <v>47671.381679389313</v>
      </c>
      <c r="D14" s="455">
        <v>94396</v>
      </c>
      <c r="E14" s="717">
        <v>0.17818264872935666</v>
      </c>
      <c r="F14" s="718">
        <v>111.69048332239959</v>
      </c>
      <c r="G14" s="134"/>
      <c r="H14" s="134"/>
      <c r="I14" s="134"/>
    </row>
    <row r="15" spans="1:9" ht="20" customHeight="1" thickBot="1">
      <c r="A15" s="135" t="s">
        <v>678</v>
      </c>
      <c r="B15" s="455">
        <v>34666.053536345775</v>
      </c>
      <c r="C15" s="578">
        <v>36660.946463654225</v>
      </c>
      <c r="D15" s="455">
        <v>71327</v>
      </c>
      <c r="E15" s="717">
        <v>0.15137747517516159</v>
      </c>
      <c r="F15" s="718">
        <v>90.702188620235333</v>
      </c>
      <c r="G15" s="134"/>
      <c r="H15" s="134"/>
      <c r="I15" s="134"/>
    </row>
    <row r="16" spans="1:9" ht="20" customHeight="1" thickBot="1">
      <c r="A16" s="135" t="s">
        <v>679</v>
      </c>
      <c r="B16" s="455">
        <v>29737.2861328125</v>
      </c>
      <c r="C16" s="578">
        <v>35599.7138671875</v>
      </c>
      <c r="D16" s="455">
        <v>65337</v>
      </c>
      <c r="E16" s="717">
        <v>0.14625610494498389</v>
      </c>
      <c r="F16" s="718">
        <v>88.702437907665313</v>
      </c>
      <c r="G16" s="134"/>
      <c r="H16" s="134"/>
      <c r="I16" s="134"/>
    </row>
    <row r="17" spans="1:9" ht="20" customHeight="1" thickBot="1">
      <c r="A17" s="135" t="s">
        <v>680</v>
      </c>
      <c r="B17" s="455">
        <v>24905.815038419318</v>
      </c>
      <c r="C17" s="578">
        <v>32932.184961580686</v>
      </c>
      <c r="D17" s="455">
        <v>57838</v>
      </c>
      <c r="E17" s="717">
        <v>0.16074144611384666</v>
      </c>
      <c r="F17" s="718">
        <v>84.534249073390214</v>
      </c>
      <c r="G17" s="134"/>
      <c r="H17" s="134"/>
      <c r="I17" s="134"/>
    </row>
    <row r="18" spans="1:9" ht="20" customHeight="1" thickBot="1">
      <c r="A18" s="135" t="s">
        <v>681</v>
      </c>
      <c r="B18" s="455">
        <v>23331.570940170939</v>
      </c>
      <c r="C18" s="578">
        <v>34904.429059829061</v>
      </c>
      <c r="D18" s="455">
        <v>58236</v>
      </c>
      <c r="E18" s="717">
        <v>0.20004864154070018</v>
      </c>
      <c r="F18" s="718">
        <v>86.826291020835512</v>
      </c>
      <c r="G18" s="134"/>
      <c r="H18" s="134"/>
      <c r="I18" s="134"/>
    </row>
    <row r="19" spans="1:9" ht="20" customHeight="1" thickBot="1">
      <c r="A19" s="135" t="s">
        <v>682</v>
      </c>
      <c r="B19" s="455">
        <v>20469.169560185186</v>
      </c>
      <c r="C19" s="578">
        <v>34826.830439814818</v>
      </c>
      <c r="D19" s="455">
        <v>55296</v>
      </c>
      <c r="E19" s="717">
        <v>0.22620317705503887</v>
      </c>
      <c r="F19" s="718">
        <v>84.982342870058417</v>
      </c>
      <c r="G19" s="134"/>
      <c r="H19" s="134"/>
      <c r="I19" s="134"/>
    </row>
    <row r="20" spans="1:9" ht="20" customHeight="1" thickBot="1">
      <c r="A20" s="135" t="s">
        <v>683</v>
      </c>
      <c r="B20" s="455">
        <v>14467.90586531499</v>
      </c>
      <c r="C20" s="578">
        <v>31607.094134685012</v>
      </c>
      <c r="D20" s="455">
        <v>46075</v>
      </c>
      <c r="E20" s="717">
        <v>0.25445937640967459</v>
      </c>
      <c r="F20" s="718">
        <v>74.479161518365871</v>
      </c>
      <c r="G20" s="134"/>
      <c r="H20" s="134"/>
      <c r="I20" s="134"/>
    </row>
    <row r="21" spans="1:9" ht="20" customHeight="1" thickBot="1">
      <c r="A21" s="135" t="s">
        <v>684</v>
      </c>
      <c r="B21" s="455">
        <v>8309.874875868918</v>
      </c>
      <c r="C21" s="578">
        <v>23585.125124131082</v>
      </c>
      <c r="D21" s="455">
        <v>31895</v>
      </c>
      <c r="E21" s="717">
        <v>0.29878435657100288</v>
      </c>
      <c r="F21" s="718">
        <v>55.809310144256244</v>
      </c>
      <c r="G21" s="134"/>
      <c r="H21" s="134"/>
      <c r="I21" s="134"/>
    </row>
    <row r="22" spans="1:9" ht="20" customHeight="1" thickBot="1">
      <c r="A22" s="135" t="s">
        <v>2435</v>
      </c>
      <c r="B22" s="455">
        <v>3473.7241379310344</v>
      </c>
      <c r="C22" s="578">
        <v>14871.275862068966</v>
      </c>
      <c r="D22" s="455">
        <v>18345</v>
      </c>
      <c r="E22" s="717">
        <v>0.38563572611770247</v>
      </c>
      <c r="F22" s="718">
        <v>34.462272263510854</v>
      </c>
      <c r="G22" s="134"/>
      <c r="H22" s="134"/>
      <c r="I22" s="134"/>
    </row>
    <row r="23" spans="1:9" ht="20" customHeight="1" thickBot="1">
      <c r="A23" s="135" t="s">
        <v>2436</v>
      </c>
      <c r="B23" s="1979">
        <v>23318</v>
      </c>
      <c r="C23" s="1980">
        <v>31549</v>
      </c>
      <c r="D23" s="1979">
        <v>54867</v>
      </c>
      <c r="E23" s="1981" t="s">
        <v>744</v>
      </c>
      <c r="F23" s="718">
        <v>1284.5766136744019</v>
      </c>
      <c r="G23" s="134"/>
      <c r="H23" s="134"/>
      <c r="I23" s="134"/>
    </row>
    <row r="24" spans="1:9" ht="30" customHeight="1" thickBot="1">
      <c r="A24" s="137" t="s">
        <v>1567</v>
      </c>
      <c r="B24" s="1970">
        <v>1048813.7623420353</v>
      </c>
      <c r="C24" s="1982">
        <v>1206076.2376579647</v>
      </c>
      <c r="D24" s="1970">
        <v>2254890</v>
      </c>
      <c r="E24" s="1978">
        <v>0.29250671298683883</v>
      </c>
      <c r="F24" s="719">
        <v>3451.8110237699998</v>
      </c>
      <c r="G24" s="134"/>
      <c r="H24" s="134"/>
      <c r="I24" s="134"/>
    </row>
    <row r="25" spans="1:9" ht="20" customHeight="1">
      <c r="A25" s="692" t="s">
        <v>226</v>
      </c>
      <c r="B25" s="140"/>
      <c r="C25" s="140"/>
      <c r="D25" s="140"/>
      <c r="E25" s="321"/>
    </row>
    <row r="27" spans="1:9">
      <c r="A27" s="693" t="s">
        <v>2437</v>
      </c>
    </row>
    <row r="28" spans="1:9">
      <c r="A28" s="693"/>
    </row>
    <row r="29" spans="1:9">
      <c r="A29" s="2" t="s">
        <v>2438</v>
      </c>
      <c r="B29" s="3"/>
      <c r="C29" s="3"/>
      <c r="D29" s="3"/>
    </row>
    <row r="30" spans="1:9">
      <c r="A30" s="2" t="s">
        <v>2439</v>
      </c>
      <c r="B30" s="3"/>
      <c r="C30" s="3"/>
      <c r="D30" s="3"/>
    </row>
    <row r="31" spans="1:9">
      <c r="A31" s="693"/>
    </row>
    <row r="33" spans="1:1">
      <c r="A33" s="2" t="s">
        <v>710</v>
      </c>
    </row>
  </sheetData>
  <phoneticPr fontId="0" type="noConversion"/>
  <pageMargins left="0.74" right="0.88" top="0.85" bottom="0.49" header="0.49" footer="0.4921259845"/>
  <pageSetup paperSize="9" scale="74" orientation="portrait" horizontalDpi="1200" verticalDpi="1200"/>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5F868-C1E4-A147-B429-321E8A233772}">
  <sheetPr>
    <pageSetUpPr fitToPage="1"/>
  </sheetPr>
  <dimension ref="A1:O50"/>
  <sheetViews>
    <sheetView topLeftCell="A34" zoomScale="75" workbookViewId="0">
      <selection activeCell="J43" sqref="J43"/>
    </sheetView>
  </sheetViews>
  <sheetFormatPr baseColWidth="10" defaultColWidth="11.3984375" defaultRowHeight="13"/>
  <cols>
    <col min="1" max="1" width="17.19921875" style="2" customWidth="1"/>
    <col min="2" max="10" width="10.59765625" style="2" customWidth="1"/>
    <col min="11" max="11" width="11.3984375" style="277"/>
    <col min="12" max="12" width="13.3984375" style="2" customWidth="1"/>
    <col min="13" max="16384" width="11.3984375" style="2"/>
  </cols>
  <sheetData>
    <row r="1" spans="1:15" s="1" customFormat="1" ht="14" customHeight="1">
      <c r="K1" s="16"/>
    </row>
    <row r="2" spans="1:15" s="1" customFormat="1" ht="28" customHeight="1">
      <c r="A2" s="118" t="s">
        <v>2458</v>
      </c>
      <c r="I2" s="398"/>
      <c r="K2" s="715"/>
      <c r="L2" s="715">
        <v>2009</v>
      </c>
    </row>
    <row r="3" spans="1:15" ht="24" customHeight="1">
      <c r="A3" s="720"/>
      <c r="B3" s="721"/>
      <c r="C3" s="722"/>
      <c r="D3" s="723"/>
      <c r="E3" s="722"/>
      <c r="F3" s="723"/>
      <c r="G3" s="724"/>
      <c r="H3" s="721"/>
      <c r="I3" s="725"/>
      <c r="J3" s="726"/>
      <c r="K3" s="727"/>
      <c r="L3" s="728"/>
    </row>
    <row r="4" spans="1:15" ht="18" customHeight="1">
      <c r="A4" s="729"/>
      <c r="B4" s="730" t="s">
        <v>2459</v>
      </c>
      <c r="C4" s="731"/>
      <c r="D4" s="730"/>
      <c r="E4" s="731"/>
      <c r="F4" s="732"/>
      <c r="G4" s="733"/>
      <c r="H4" s="730"/>
      <c r="I4" s="734"/>
      <c r="J4" s="735"/>
      <c r="K4" s="733" t="s">
        <v>1567</v>
      </c>
      <c r="L4" s="736"/>
    </row>
    <row r="5" spans="1:15" ht="19.5" customHeight="1">
      <c r="A5" s="729"/>
      <c r="B5" s="730" t="s">
        <v>2443</v>
      </c>
      <c r="C5" s="731"/>
      <c r="D5" s="730"/>
      <c r="E5" s="731"/>
      <c r="F5" s="732"/>
      <c r="G5" s="733"/>
      <c r="H5" s="730"/>
      <c r="I5" s="734"/>
      <c r="J5" s="735"/>
      <c r="K5" s="733" t="s">
        <v>2399</v>
      </c>
      <c r="L5" s="736" t="s">
        <v>1801</v>
      </c>
    </row>
    <row r="6" spans="1:15" ht="14.25" customHeight="1">
      <c r="A6" s="729"/>
      <c r="B6" s="730"/>
      <c r="C6" s="737"/>
      <c r="D6" s="738"/>
      <c r="E6" s="737"/>
      <c r="F6" s="738"/>
      <c r="G6" s="731"/>
      <c r="H6" s="730"/>
      <c r="I6" s="731"/>
      <c r="J6" s="739"/>
      <c r="K6" s="727"/>
      <c r="L6" s="125" t="s">
        <v>663</v>
      </c>
    </row>
    <row r="7" spans="1:15" ht="15" customHeight="1">
      <c r="A7" s="325"/>
      <c r="B7" s="740" t="s">
        <v>2444</v>
      </c>
      <c r="C7" s="741" t="s">
        <v>2445</v>
      </c>
      <c r="D7" s="742" t="s">
        <v>2446</v>
      </c>
      <c r="E7" s="741" t="s">
        <v>2447</v>
      </c>
      <c r="F7" s="742" t="s">
        <v>2448</v>
      </c>
      <c r="G7" s="743" t="s">
        <v>2449</v>
      </c>
      <c r="H7" s="744" t="s">
        <v>2450</v>
      </c>
      <c r="I7" s="745" t="s">
        <v>2451</v>
      </c>
      <c r="J7" s="744" t="s">
        <v>2388</v>
      </c>
      <c r="K7" s="727"/>
      <c r="L7" s="125" t="s">
        <v>1806</v>
      </c>
    </row>
    <row r="8" spans="1:15" ht="15" customHeight="1">
      <c r="A8" s="325"/>
      <c r="B8" s="746"/>
      <c r="C8" s="747"/>
      <c r="D8" s="748"/>
      <c r="E8" s="747"/>
      <c r="F8" s="748"/>
      <c r="G8" s="749"/>
      <c r="H8" s="750"/>
      <c r="I8" s="751"/>
      <c r="J8" s="750" t="s">
        <v>2414</v>
      </c>
      <c r="K8" s="733"/>
      <c r="L8" s="125"/>
    </row>
    <row r="9" spans="1:15" ht="23.25" customHeight="1">
      <c r="A9" s="325" t="s">
        <v>2452</v>
      </c>
      <c r="B9" s="750"/>
      <c r="C9" s="752"/>
      <c r="D9" s="735"/>
      <c r="E9" s="752"/>
      <c r="F9" s="748"/>
      <c r="G9" s="749"/>
      <c r="H9" s="750"/>
      <c r="I9" s="751"/>
      <c r="J9" s="750" t="s">
        <v>657</v>
      </c>
      <c r="K9" s="733"/>
      <c r="L9" s="125"/>
    </row>
    <row r="10" spans="1:15" ht="16" customHeight="1">
      <c r="A10" s="325"/>
      <c r="B10" s="753"/>
      <c r="C10" s="754"/>
      <c r="D10" s="755"/>
      <c r="E10" s="754"/>
      <c r="F10" s="756"/>
      <c r="G10" s="757"/>
      <c r="H10" s="758"/>
      <c r="I10" s="759"/>
      <c r="J10" s="758"/>
      <c r="K10" s="760"/>
      <c r="L10" s="129"/>
    </row>
    <row r="11" spans="1:15" ht="27" customHeight="1" thickBot="1">
      <c r="A11" s="704" t="s">
        <v>1807</v>
      </c>
      <c r="B11" s="170">
        <v>205764</v>
      </c>
      <c r="C11" s="171">
        <v>13912</v>
      </c>
      <c r="D11" s="170">
        <v>6804</v>
      </c>
      <c r="E11" s="171">
        <v>1462</v>
      </c>
      <c r="F11" s="170">
        <v>23530</v>
      </c>
      <c r="G11" s="171">
        <v>13786</v>
      </c>
      <c r="H11" s="170">
        <v>18672</v>
      </c>
      <c r="I11" s="171">
        <v>7764</v>
      </c>
      <c r="J11" s="170" t="s">
        <v>2317</v>
      </c>
      <c r="K11" s="761">
        <v>291694</v>
      </c>
      <c r="L11" s="581">
        <v>0.10072376812250483</v>
      </c>
      <c r="O11" s="7"/>
    </row>
    <row r="12" spans="1:15" ht="20" customHeight="1" thickBot="1">
      <c r="A12" s="705" t="s">
        <v>1808</v>
      </c>
      <c r="B12" s="170">
        <v>82807</v>
      </c>
      <c r="C12" s="171">
        <v>7640</v>
      </c>
      <c r="D12" s="170">
        <v>5185</v>
      </c>
      <c r="E12" s="171">
        <v>1506</v>
      </c>
      <c r="F12" s="170">
        <v>12431</v>
      </c>
      <c r="G12" s="171">
        <v>4807</v>
      </c>
      <c r="H12" s="170">
        <v>10536</v>
      </c>
      <c r="I12" s="171">
        <v>6951</v>
      </c>
      <c r="J12" s="170" t="s">
        <v>2317</v>
      </c>
      <c r="K12" s="761">
        <v>131863</v>
      </c>
      <c r="L12" s="581">
        <v>-4.3361868833430073E-2</v>
      </c>
    </row>
    <row r="13" spans="1:15" ht="20" customHeight="1" thickBot="1">
      <c r="A13" s="705" t="s">
        <v>1809</v>
      </c>
      <c r="B13" s="170">
        <v>23144</v>
      </c>
      <c r="C13" s="171">
        <v>3979</v>
      </c>
      <c r="D13" s="170">
        <v>2682</v>
      </c>
      <c r="E13" s="171">
        <v>824</v>
      </c>
      <c r="F13" s="170">
        <v>5460</v>
      </c>
      <c r="G13" s="171">
        <v>7617</v>
      </c>
      <c r="H13" s="170">
        <v>11656</v>
      </c>
      <c r="I13" s="171">
        <v>6831</v>
      </c>
      <c r="J13" s="170" t="s">
        <v>2317</v>
      </c>
      <c r="K13" s="761">
        <v>62193</v>
      </c>
      <c r="L13" s="581">
        <v>-0.11947842337750592</v>
      </c>
    </row>
    <row r="14" spans="1:15" ht="20" customHeight="1" thickBot="1">
      <c r="A14" s="705" t="s">
        <v>1810</v>
      </c>
      <c r="B14" s="170">
        <v>2625</v>
      </c>
      <c r="C14" s="171">
        <v>150</v>
      </c>
      <c r="D14" s="170">
        <v>104</v>
      </c>
      <c r="E14" s="171">
        <v>62</v>
      </c>
      <c r="F14" s="170">
        <v>1262</v>
      </c>
      <c r="G14" s="171">
        <v>528</v>
      </c>
      <c r="H14" s="170">
        <v>1062</v>
      </c>
      <c r="I14" s="171">
        <v>513</v>
      </c>
      <c r="J14" s="170">
        <v>148</v>
      </c>
      <c r="K14" s="761">
        <v>6454</v>
      </c>
      <c r="L14" s="581">
        <v>-2.1824795392543228E-2</v>
      </c>
    </row>
    <row r="15" spans="1:15" ht="20" customHeight="1" thickBot="1">
      <c r="A15" s="705" t="s">
        <v>1811</v>
      </c>
      <c r="B15" s="170">
        <v>5810</v>
      </c>
      <c r="C15" s="171">
        <v>822</v>
      </c>
      <c r="D15" s="170">
        <v>536</v>
      </c>
      <c r="E15" s="171">
        <v>191</v>
      </c>
      <c r="F15" s="170">
        <v>1197</v>
      </c>
      <c r="G15" s="171">
        <v>985</v>
      </c>
      <c r="H15" s="170">
        <v>2157</v>
      </c>
      <c r="I15" s="171">
        <v>1437</v>
      </c>
      <c r="J15" s="170">
        <v>4757</v>
      </c>
      <c r="K15" s="761">
        <v>17892</v>
      </c>
      <c r="L15" s="581">
        <v>-1.5841584158415856E-2</v>
      </c>
    </row>
    <row r="16" spans="1:15" ht="20" customHeight="1" thickBot="1">
      <c r="A16" s="705" t="s">
        <v>1812</v>
      </c>
      <c r="B16" s="170">
        <v>4712</v>
      </c>
      <c r="C16" s="171" t="s">
        <v>744</v>
      </c>
      <c r="D16" s="170" t="s">
        <v>744</v>
      </c>
      <c r="E16" s="171" t="s">
        <v>744</v>
      </c>
      <c r="F16" s="170" t="s">
        <v>744</v>
      </c>
      <c r="G16" s="171" t="s">
        <v>744</v>
      </c>
      <c r="H16" s="170" t="s">
        <v>744</v>
      </c>
      <c r="I16" s="171" t="s">
        <v>744</v>
      </c>
      <c r="J16" s="170">
        <v>2517</v>
      </c>
      <c r="K16" s="761">
        <v>7229</v>
      </c>
      <c r="L16" s="581">
        <v>-0.11387594998774209</v>
      </c>
    </row>
    <row r="17" spans="1:12" ht="20" customHeight="1" thickBot="1">
      <c r="A17" s="705" t="s">
        <v>1813</v>
      </c>
      <c r="B17" s="170">
        <v>4585</v>
      </c>
      <c r="C17" s="171">
        <v>357</v>
      </c>
      <c r="D17" s="170">
        <v>180</v>
      </c>
      <c r="E17" s="171">
        <v>42</v>
      </c>
      <c r="F17" s="170">
        <v>1135</v>
      </c>
      <c r="G17" s="171">
        <v>787</v>
      </c>
      <c r="H17" s="170">
        <v>1184</v>
      </c>
      <c r="I17" s="171">
        <v>446</v>
      </c>
      <c r="J17" s="170" t="s">
        <v>2317</v>
      </c>
      <c r="K17" s="761">
        <v>8716</v>
      </c>
      <c r="L17" s="581">
        <v>3.5400332620574959E-2</v>
      </c>
    </row>
    <row r="18" spans="1:12" ht="20" customHeight="1" thickBot="1">
      <c r="A18" s="705" t="s">
        <v>1814</v>
      </c>
      <c r="B18" s="170" t="s">
        <v>744</v>
      </c>
      <c r="C18" s="171" t="s">
        <v>744</v>
      </c>
      <c r="D18" s="170" t="s">
        <v>744</v>
      </c>
      <c r="E18" s="171" t="s">
        <v>744</v>
      </c>
      <c r="F18" s="170" t="s">
        <v>744</v>
      </c>
      <c r="G18" s="171" t="s">
        <v>744</v>
      </c>
      <c r="H18" s="170" t="s">
        <v>744</v>
      </c>
      <c r="I18" s="171" t="s">
        <v>744</v>
      </c>
      <c r="J18" s="170">
        <v>4598</v>
      </c>
      <c r="K18" s="761">
        <v>4598</v>
      </c>
      <c r="L18" s="581">
        <v>1.8834478174163616E-2</v>
      </c>
    </row>
    <row r="19" spans="1:12" ht="20" customHeight="1" thickBot="1">
      <c r="A19" s="705" t="s">
        <v>1815</v>
      </c>
      <c r="B19" s="170">
        <v>6845</v>
      </c>
      <c r="C19" s="171" t="s">
        <v>744</v>
      </c>
      <c r="D19" s="170" t="s">
        <v>744</v>
      </c>
      <c r="E19" s="171" t="s">
        <v>744</v>
      </c>
      <c r="F19" s="170" t="s">
        <v>744</v>
      </c>
      <c r="G19" s="171" t="s">
        <v>744</v>
      </c>
      <c r="H19" s="170" t="s">
        <v>744</v>
      </c>
      <c r="I19" s="171" t="s">
        <v>744</v>
      </c>
      <c r="J19" s="170">
        <v>6645</v>
      </c>
      <c r="K19" s="761">
        <v>13490</v>
      </c>
      <c r="L19" s="581">
        <v>5.0663090448517245E-3</v>
      </c>
    </row>
    <row r="20" spans="1:12" ht="20" customHeight="1" thickBot="1">
      <c r="A20" s="705" t="s">
        <v>1816</v>
      </c>
      <c r="B20" s="170">
        <v>17198</v>
      </c>
      <c r="C20" s="171">
        <v>2326</v>
      </c>
      <c r="D20" s="170">
        <v>1643</v>
      </c>
      <c r="E20" s="171">
        <v>519</v>
      </c>
      <c r="F20" s="170">
        <v>3447</v>
      </c>
      <c r="G20" s="171">
        <v>1818</v>
      </c>
      <c r="H20" s="170">
        <v>3548</v>
      </c>
      <c r="I20" s="171">
        <v>2338</v>
      </c>
      <c r="J20" s="170" t="s">
        <v>2317</v>
      </c>
      <c r="K20" s="761">
        <v>32837</v>
      </c>
      <c r="L20" s="581">
        <v>-0.17812984932672571</v>
      </c>
    </row>
    <row r="21" spans="1:12" ht="20" customHeight="1" thickBot="1">
      <c r="A21" s="705" t="s">
        <v>1817</v>
      </c>
      <c r="B21" s="170">
        <v>14121</v>
      </c>
      <c r="C21" s="171">
        <v>2539</v>
      </c>
      <c r="D21" s="170">
        <v>1493</v>
      </c>
      <c r="E21" s="171">
        <v>398</v>
      </c>
      <c r="F21" s="170">
        <v>3936</v>
      </c>
      <c r="G21" s="171">
        <v>2559</v>
      </c>
      <c r="H21" s="170">
        <v>4360</v>
      </c>
      <c r="I21" s="171">
        <v>2215</v>
      </c>
      <c r="J21" s="170" t="s">
        <v>2317</v>
      </c>
      <c r="K21" s="761">
        <v>31621</v>
      </c>
      <c r="L21" s="581">
        <v>2.4859013418033316E-2</v>
      </c>
    </row>
    <row r="22" spans="1:12" ht="20" customHeight="1" thickBot="1">
      <c r="A22" s="705" t="s">
        <v>1818</v>
      </c>
      <c r="B22" s="170">
        <v>19843</v>
      </c>
      <c r="C22" s="171">
        <v>1541</v>
      </c>
      <c r="D22" s="170">
        <v>855</v>
      </c>
      <c r="E22" s="171">
        <v>254</v>
      </c>
      <c r="F22" s="170">
        <v>3089</v>
      </c>
      <c r="G22" s="171">
        <v>1621</v>
      </c>
      <c r="H22" s="170">
        <v>1968</v>
      </c>
      <c r="I22" s="171">
        <v>923</v>
      </c>
      <c r="J22" s="170" t="s">
        <v>2317</v>
      </c>
      <c r="K22" s="761">
        <v>30094</v>
      </c>
      <c r="L22" s="581">
        <v>0.37786731376768468</v>
      </c>
    </row>
    <row r="23" spans="1:12" ht="20" customHeight="1" thickBot="1">
      <c r="A23" s="705" t="s">
        <v>1819</v>
      </c>
      <c r="B23" s="170">
        <v>19891</v>
      </c>
      <c r="C23" s="171" t="s">
        <v>744</v>
      </c>
      <c r="D23" s="170" t="s">
        <v>744</v>
      </c>
      <c r="E23" s="171" t="s">
        <v>744</v>
      </c>
      <c r="F23" s="170" t="s">
        <v>744</v>
      </c>
      <c r="G23" s="171" t="s">
        <v>744</v>
      </c>
      <c r="H23" s="170" t="s">
        <v>744</v>
      </c>
      <c r="I23" s="171" t="s">
        <v>744</v>
      </c>
      <c r="J23" s="170">
        <v>12347</v>
      </c>
      <c r="K23" s="761">
        <v>32238</v>
      </c>
      <c r="L23" s="581">
        <v>-1.1013283430990617E-2</v>
      </c>
    </row>
    <row r="24" spans="1:12" ht="20" customHeight="1" thickBot="1">
      <c r="A24" s="705" t="s">
        <v>1820</v>
      </c>
      <c r="B24" s="170">
        <v>5932</v>
      </c>
      <c r="C24" s="171" t="s">
        <v>744</v>
      </c>
      <c r="D24" s="170" t="s">
        <v>744</v>
      </c>
      <c r="E24" s="171" t="s">
        <v>744</v>
      </c>
      <c r="F24" s="170" t="s">
        <v>744</v>
      </c>
      <c r="G24" s="171" t="s">
        <v>744</v>
      </c>
      <c r="H24" s="170" t="s">
        <v>744</v>
      </c>
      <c r="I24" s="171" t="s">
        <v>744</v>
      </c>
      <c r="J24" s="170">
        <v>5503</v>
      </c>
      <c r="K24" s="761">
        <v>11435</v>
      </c>
      <c r="L24" s="581">
        <v>3.3065317553527818E-2</v>
      </c>
    </row>
    <row r="25" spans="1:12" ht="20" customHeight="1" thickBot="1">
      <c r="A25" s="705" t="s">
        <v>1821</v>
      </c>
      <c r="B25" s="170">
        <v>2838</v>
      </c>
      <c r="C25" s="171">
        <v>322</v>
      </c>
      <c r="D25" s="170">
        <v>280</v>
      </c>
      <c r="E25" s="171">
        <v>101</v>
      </c>
      <c r="F25" s="170">
        <v>564</v>
      </c>
      <c r="G25" s="171">
        <v>380</v>
      </c>
      <c r="H25" s="170">
        <v>906</v>
      </c>
      <c r="I25" s="171">
        <v>748</v>
      </c>
      <c r="J25" s="170" t="s">
        <v>2317</v>
      </c>
      <c r="K25" s="761">
        <v>6139</v>
      </c>
      <c r="L25" s="581">
        <v>4.9940140242859643E-2</v>
      </c>
    </row>
    <row r="26" spans="1:12" ht="20" customHeight="1" thickBot="1">
      <c r="A26" s="705" t="s">
        <v>1822</v>
      </c>
      <c r="B26" s="170">
        <v>1207</v>
      </c>
      <c r="C26" s="171">
        <v>78</v>
      </c>
      <c r="D26" s="170">
        <v>28</v>
      </c>
      <c r="E26" s="171">
        <v>17</v>
      </c>
      <c r="F26" s="170">
        <v>384</v>
      </c>
      <c r="G26" s="171">
        <v>214</v>
      </c>
      <c r="H26" s="170">
        <v>446</v>
      </c>
      <c r="I26" s="171">
        <v>414</v>
      </c>
      <c r="J26" s="170" t="s">
        <v>2317</v>
      </c>
      <c r="K26" s="761">
        <v>2788</v>
      </c>
      <c r="L26" s="581">
        <v>0.33717026378896886</v>
      </c>
    </row>
    <row r="27" spans="1:12" ht="20" customHeight="1" thickBot="1">
      <c r="A27" s="705" t="s">
        <v>1823</v>
      </c>
      <c r="B27" s="170">
        <v>18132</v>
      </c>
      <c r="C27" s="171">
        <v>2697</v>
      </c>
      <c r="D27" s="170">
        <v>2114</v>
      </c>
      <c r="E27" s="171">
        <v>750</v>
      </c>
      <c r="F27" s="170">
        <v>6623</v>
      </c>
      <c r="G27" s="171">
        <v>4829</v>
      </c>
      <c r="H27" s="170">
        <v>8708</v>
      </c>
      <c r="I27" s="171">
        <v>5817</v>
      </c>
      <c r="J27" s="170">
        <v>18629</v>
      </c>
      <c r="K27" s="761">
        <v>68299</v>
      </c>
      <c r="L27" s="581">
        <v>6.0049666304516469E-2</v>
      </c>
    </row>
    <row r="28" spans="1:12" ht="20" customHeight="1" thickBot="1">
      <c r="A28" s="705" t="s">
        <v>1824</v>
      </c>
      <c r="B28" s="170">
        <v>14336</v>
      </c>
      <c r="C28" s="171">
        <v>1542</v>
      </c>
      <c r="D28" s="170">
        <v>953</v>
      </c>
      <c r="E28" s="171">
        <v>225</v>
      </c>
      <c r="F28" s="170">
        <v>3147</v>
      </c>
      <c r="G28" s="171">
        <v>2268</v>
      </c>
      <c r="H28" s="170">
        <v>3784</v>
      </c>
      <c r="I28" s="171">
        <v>1720</v>
      </c>
      <c r="J28" s="170" t="s">
        <v>2317</v>
      </c>
      <c r="K28" s="761">
        <v>27975</v>
      </c>
      <c r="L28" s="581">
        <v>6.7657537697485282E-3</v>
      </c>
    </row>
    <row r="29" spans="1:12" ht="20" customHeight="1" thickBot="1">
      <c r="A29" s="705" t="s">
        <v>1825</v>
      </c>
      <c r="B29" s="170">
        <v>27137</v>
      </c>
      <c r="C29" s="171">
        <v>2483</v>
      </c>
      <c r="D29" s="170">
        <v>2193</v>
      </c>
      <c r="E29" s="171">
        <v>795</v>
      </c>
      <c r="F29" s="170">
        <v>8189</v>
      </c>
      <c r="G29" s="171">
        <v>4845</v>
      </c>
      <c r="H29" s="170">
        <v>10720</v>
      </c>
      <c r="I29" s="171">
        <v>6304</v>
      </c>
      <c r="J29" s="170" t="s">
        <v>2317</v>
      </c>
      <c r="K29" s="761">
        <v>62666</v>
      </c>
      <c r="L29" s="581">
        <v>-7.8630870114976381E-2</v>
      </c>
    </row>
    <row r="30" spans="1:12" ht="20" customHeight="1" thickBot="1">
      <c r="A30" s="705" t="s">
        <v>1826</v>
      </c>
      <c r="B30" s="170">
        <v>31274</v>
      </c>
      <c r="C30" s="171">
        <v>1796</v>
      </c>
      <c r="D30" s="170">
        <v>1127</v>
      </c>
      <c r="E30" s="171">
        <v>330</v>
      </c>
      <c r="F30" s="170">
        <v>12688</v>
      </c>
      <c r="G30" s="171">
        <v>1005</v>
      </c>
      <c r="H30" s="170">
        <v>1553</v>
      </c>
      <c r="I30" s="171">
        <v>1149</v>
      </c>
      <c r="J30" s="170" t="s">
        <v>2317</v>
      </c>
      <c r="K30" s="761">
        <v>50922</v>
      </c>
      <c r="L30" s="581">
        <v>-6.5356926858770592E-3</v>
      </c>
    </row>
    <row r="31" spans="1:12" ht="20" customHeight="1" thickBot="1">
      <c r="A31" s="705" t="s">
        <v>1827</v>
      </c>
      <c r="B31" s="170">
        <v>35811</v>
      </c>
      <c r="C31" s="171">
        <v>3396</v>
      </c>
      <c r="D31" s="170">
        <v>1590</v>
      </c>
      <c r="E31" s="171">
        <v>345</v>
      </c>
      <c r="F31" s="170">
        <v>7021</v>
      </c>
      <c r="G31" s="171">
        <v>3520</v>
      </c>
      <c r="H31" s="170">
        <v>4820</v>
      </c>
      <c r="I31" s="171">
        <v>1584</v>
      </c>
      <c r="J31" s="170" t="s">
        <v>2317</v>
      </c>
      <c r="K31" s="761">
        <v>58087</v>
      </c>
      <c r="L31" s="581">
        <v>9.8749978268051208E-3</v>
      </c>
    </row>
    <row r="32" spans="1:12" ht="20" customHeight="1" thickBot="1">
      <c r="A32" s="705" t="s">
        <v>1828</v>
      </c>
      <c r="B32" s="170">
        <v>46749</v>
      </c>
      <c r="C32" s="171">
        <v>5382</v>
      </c>
      <c r="D32" s="170">
        <v>2981</v>
      </c>
      <c r="E32" s="171">
        <v>836</v>
      </c>
      <c r="F32" s="170">
        <v>8179</v>
      </c>
      <c r="G32" s="171">
        <v>4282</v>
      </c>
      <c r="H32" s="170">
        <v>5916</v>
      </c>
      <c r="I32" s="171">
        <v>3300</v>
      </c>
      <c r="J32" s="170">
        <v>5318</v>
      </c>
      <c r="K32" s="761">
        <v>82943</v>
      </c>
      <c r="L32" s="581">
        <v>4.9951263972049631E-2</v>
      </c>
    </row>
    <row r="33" spans="1:15" ht="20" customHeight="1" thickBot="1">
      <c r="A33" s="705" t="s">
        <v>1829</v>
      </c>
      <c r="B33" s="170">
        <v>34599</v>
      </c>
      <c r="C33" s="171">
        <v>2822</v>
      </c>
      <c r="D33" s="170">
        <v>1719</v>
      </c>
      <c r="E33" s="171">
        <v>451</v>
      </c>
      <c r="F33" s="170">
        <v>4458</v>
      </c>
      <c r="G33" s="171">
        <v>2098</v>
      </c>
      <c r="H33" s="170">
        <v>4700</v>
      </c>
      <c r="I33" s="171">
        <v>2590</v>
      </c>
      <c r="J33" s="170" t="s">
        <v>2317</v>
      </c>
      <c r="K33" s="761">
        <v>53437</v>
      </c>
      <c r="L33" s="581">
        <v>-1.7555163484996861E-3</v>
      </c>
    </row>
    <row r="34" spans="1:15" ht="20" customHeight="1" thickBot="1">
      <c r="A34" s="705" t="s">
        <v>1830</v>
      </c>
      <c r="B34" s="170">
        <v>17787</v>
      </c>
      <c r="C34" s="171">
        <v>1864</v>
      </c>
      <c r="D34" s="170">
        <v>996</v>
      </c>
      <c r="E34" s="171">
        <v>248</v>
      </c>
      <c r="F34" s="170">
        <v>2915</v>
      </c>
      <c r="G34" s="171">
        <v>1555</v>
      </c>
      <c r="H34" s="170">
        <v>2044</v>
      </c>
      <c r="I34" s="171">
        <v>978</v>
      </c>
      <c r="J34" s="170">
        <v>118</v>
      </c>
      <c r="K34" s="761">
        <v>28505</v>
      </c>
      <c r="L34" s="581">
        <v>0.10570209464701308</v>
      </c>
    </row>
    <row r="35" spans="1:15" ht="20" customHeight="1" thickBot="1">
      <c r="A35" s="705" t="s">
        <v>1831</v>
      </c>
      <c r="B35" s="170">
        <v>52987</v>
      </c>
      <c r="C35" s="171">
        <v>8367</v>
      </c>
      <c r="D35" s="170">
        <v>4339</v>
      </c>
      <c r="E35" s="171">
        <v>1498</v>
      </c>
      <c r="F35" s="170">
        <v>9829</v>
      </c>
      <c r="G35" s="171">
        <v>6147</v>
      </c>
      <c r="H35" s="170">
        <v>5661</v>
      </c>
      <c r="I35" s="171">
        <v>2751</v>
      </c>
      <c r="J35" s="170" t="s">
        <v>2317</v>
      </c>
      <c r="K35" s="761">
        <v>91579</v>
      </c>
      <c r="L35" s="581">
        <v>-1.7192346079136334E-2</v>
      </c>
    </row>
    <row r="36" spans="1:15" ht="20" customHeight="1" thickBot="1">
      <c r="A36" s="705" t="s">
        <v>1832</v>
      </c>
      <c r="B36" s="170">
        <v>8522</v>
      </c>
      <c r="C36" s="171">
        <v>658</v>
      </c>
      <c r="D36" s="170">
        <v>446</v>
      </c>
      <c r="E36" s="171">
        <v>158</v>
      </c>
      <c r="F36" s="170">
        <v>1547</v>
      </c>
      <c r="G36" s="171">
        <v>435</v>
      </c>
      <c r="H36" s="170">
        <v>659</v>
      </c>
      <c r="I36" s="171">
        <v>689</v>
      </c>
      <c r="J36" s="170">
        <v>610</v>
      </c>
      <c r="K36" s="761">
        <v>13724</v>
      </c>
      <c r="L36" s="581">
        <v>-3.1064670996893584E-2</v>
      </c>
    </row>
    <row r="37" spans="1:15" ht="30" customHeight="1" thickBot="1">
      <c r="A37" s="762" t="s">
        <v>2460</v>
      </c>
      <c r="B37" s="763">
        <v>704656</v>
      </c>
      <c r="C37" s="764">
        <v>64673</v>
      </c>
      <c r="D37" s="763">
        <v>38248</v>
      </c>
      <c r="E37" s="764">
        <v>11012</v>
      </c>
      <c r="F37" s="763">
        <v>121031</v>
      </c>
      <c r="G37" s="764">
        <v>66086</v>
      </c>
      <c r="H37" s="763">
        <v>105060</v>
      </c>
      <c r="I37" s="764">
        <v>57462</v>
      </c>
      <c r="J37" s="459">
        <v>61190</v>
      </c>
      <c r="K37" s="193">
        <v>1229418</v>
      </c>
      <c r="L37" s="451">
        <v>1.46475739042915E-2</v>
      </c>
      <c r="O37" s="418"/>
    </row>
    <row r="38" spans="1:15" ht="19.5" customHeight="1">
      <c r="A38" s="692"/>
      <c r="B38" s="194"/>
      <c r="C38" s="194"/>
      <c r="D38" s="194"/>
      <c r="E38" s="194"/>
      <c r="F38" s="194"/>
      <c r="G38" s="194"/>
      <c r="H38" s="194"/>
      <c r="I38" s="194"/>
    </row>
    <row r="39" spans="1:15" ht="63.75" customHeight="1" thickBot="1">
      <c r="A39" s="765" t="s">
        <v>2461</v>
      </c>
      <c r="B39" s="766">
        <v>878.40509410000016</v>
      </c>
      <c r="C39" s="766">
        <v>102.13779065</v>
      </c>
      <c r="D39" s="766">
        <v>77.48276134999999</v>
      </c>
      <c r="E39" s="766">
        <v>30.887366200000002</v>
      </c>
      <c r="F39" s="766">
        <v>273.00153010000002</v>
      </c>
      <c r="G39" s="766">
        <v>128.57434345000001</v>
      </c>
      <c r="H39" s="766">
        <v>235.13920349999998</v>
      </c>
      <c r="I39" s="766">
        <v>185.56890140000002</v>
      </c>
      <c r="J39" s="766">
        <v>1540.2928593000001</v>
      </c>
      <c r="K39" s="767">
        <v>3451.4898500500003</v>
      </c>
      <c r="L39" s="768" t="s">
        <v>744</v>
      </c>
    </row>
    <row r="40" spans="1:15" ht="19.5" customHeight="1">
      <c r="A40" s="692" t="s">
        <v>226</v>
      </c>
      <c r="B40" s="196"/>
      <c r="C40" s="196"/>
      <c r="D40" s="196"/>
      <c r="E40" s="196"/>
      <c r="F40" s="196"/>
      <c r="G40" s="196"/>
      <c r="H40" s="196"/>
      <c r="I40" s="196"/>
    </row>
    <row r="41" spans="1:15" ht="14.25" customHeight="1">
      <c r="A41" s="693"/>
      <c r="B41" s="196"/>
      <c r="C41" s="196"/>
      <c r="D41" s="196"/>
      <c r="E41" s="196"/>
      <c r="F41" s="196"/>
      <c r="G41" s="196"/>
      <c r="H41" s="196"/>
      <c r="I41" s="196"/>
    </row>
    <row r="42" spans="1:15" ht="14.25" customHeight="1">
      <c r="A42" s="693" t="s">
        <v>2453</v>
      </c>
      <c r="B42" s="196"/>
      <c r="C42" s="196"/>
      <c r="D42" s="196"/>
      <c r="E42" s="196"/>
      <c r="F42" s="196"/>
      <c r="G42" s="196"/>
      <c r="H42" s="196"/>
      <c r="I42" s="196"/>
    </row>
    <row r="43" spans="1:15" ht="13.5" customHeight="1">
      <c r="A43" s="693"/>
      <c r="B43" s="196"/>
      <c r="C43" s="196"/>
      <c r="D43" s="196"/>
      <c r="E43" s="196"/>
      <c r="F43" s="196"/>
      <c r="G43" s="196"/>
      <c r="H43" s="196"/>
      <c r="I43" s="196"/>
    </row>
    <row r="44" spans="1:15" ht="11.25" customHeight="1">
      <c r="A44" s="141" t="s">
        <v>2454</v>
      </c>
      <c r="B44" s="196"/>
      <c r="C44" s="196"/>
      <c r="D44" s="196"/>
      <c r="E44" s="196"/>
      <c r="F44" s="196"/>
      <c r="G44" s="196"/>
      <c r="H44" s="196"/>
      <c r="I44" s="196"/>
    </row>
    <row r="45" spans="1:15">
      <c r="A45" s="201" t="s">
        <v>2455</v>
      </c>
    </row>
    <row r="46" spans="1:15">
      <c r="A46" s="201" t="s">
        <v>2456</v>
      </c>
    </row>
    <row r="47" spans="1:15">
      <c r="A47" s="141" t="s">
        <v>2457</v>
      </c>
    </row>
    <row r="50" spans="1:1">
      <c r="A50" s="2" t="s">
        <v>710</v>
      </c>
    </row>
  </sheetData>
  <phoneticPr fontId="0" type="noConversion"/>
  <pageMargins left="0.43" right="0.47" top="0.83" bottom="0.49" header="0.47" footer="0.4921259845"/>
  <pageSetup paperSize="9" scale="68" orientation="portrait" horizontalDpi="1200" verticalDpi="1200"/>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4EC3D-8980-8C43-9BAA-C5A03A2AD40E}">
  <sheetPr>
    <pageSetUpPr fitToPage="1"/>
  </sheetPr>
  <dimension ref="A1:K42"/>
  <sheetViews>
    <sheetView topLeftCell="A3" zoomScale="75" workbookViewId="0">
      <selection activeCell="K3" sqref="K3:K4"/>
    </sheetView>
  </sheetViews>
  <sheetFormatPr baseColWidth="10" defaultColWidth="11.3984375" defaultRowHeight="13"/>
  <cols>
    <col min="1" max="1" width="12.3984375" style="2" customWidth="1"/>
    <col min="2" max="9" width="11.59765625" style="2" customWidth="1"/>
    <col min="10" max="10" width="13.59765625" style="2" customWidth="1"/>
    <col min="11" max="11" width="13.19921875" style="2" customWidth="1"/>
    <col min="12" max="16384" width="11.3984375" style="2"/>
  </cols>
  <sheetData>
    <row r="1" spans="1:11" s="1" customFormat="1" ht="14" customHeight="1"/>
    <row r="2" spans="1:11" s="1" customFormat="1" ht="28" customHeight="1">
      <c r="A2" s="118" t="s">
        <v>2477</v>
      </c>
      <c r="J2" s="398"/>
      <c r="K2" s="715">
        <v>2009</v>
      </c>
    </row>
    <row r="3" spans="1:11" ht="24" customHeight="1">
      <c r="A3" s="119" t="s">
        <v>2452</v>
      </c>
      <c r="B3" s="178" t="s">
        <v>2462</v>
      </c>
      <c r="C3" s="121"/>
      <c r="D3" s="120"/>
      <c r="E3" s="119"/>
      <c r="F3" s="178"/>
      <c r="G3" s="121"/>
      <c r="H3" s="178"/>
      <c r="I3" s="121"/>
      <c r="J3" s="178"/>
      <c r="K3" s="479" t="s">
        <v>1567</v>
      </c>
    </row>
    <row r="4" spans="1:11" ht="15" customHeight="1">
      <c r="A4" s="325"/>
      <c r="B4" s="123" t="s">
        <v>2463</v>
      </c>
      <c r="C4" s="150" t="s">
        <v>2464</v>
      </c>
      <c r="D4" s="149" t="s">
        <v>2465</v>
      </c>
      <c r="E4" s="150" t="s">
        <v>2466</v>
      </c>
      <c r="F4" s="149" t="s">
        <v>2467</v>
      </c>
      <c r="G4" s="150" t="s">
        <v>2468</v>
      </c>
      <c r="H4" s="149" t="s">
        <v>2469</v>
      </c>
      <c r="I4" s="150" t="s">
        <v>601</v>
      </c>
      <c r="J4" s="149" t="s">
        <v>2470</v>
      </c>
      <c r="K4" s="479" t="s">
        <v>2399</v>
      </c>
    </row>
    <row r="5" spans="1:11" ht="15" customHeight="1">
      <c r="A5" s="325"/>
      <c r="B5" s="123"/>
      <c r="C5" s="124" t="s">
        <v>2471</v>
      </c>
      <c r="D5" s="123" t="s">
        <v>2472</v>
      </c>
      <c r="E5" s="124" t="s">
        <v>2473</v>
      </c>
      <c r="F5" s="149" t="s">
        <v>2474</v>
      </c>
      <c r="G5" s="124" t="s">
        <v>2475</v>
      </c>
      <c r="H5" s="149" t="s">
        <v>2476</v>
      </c>
      <c r="I5" s="150" t="s">
        <v>2476</v>
      </c>
      <c r="J5" s="149" t="s">
        <v>657</v>
      </c>
      <c r="K5" s="213"/>
    </row>
    <row r="6" spans="1:11" ht="15" customHeight="1">
      <c r="A6" s="325"/>
      <c r="B6" s="123"/>
      <c r="C6" s="124"/>
      <c r="D6" s="123"/>
      <c r="E6" s="124"/>
      <c r="F6" s="149"/>
      <c r="G6" s="150"/>
      <c r="H6" s="149"/>
      <c r="I6" s="150"/>
      <c r="J6" s="149"/>
      <c r="K6" s="213"/>
    </row>
    <row r="7" spans="1:11" ht="16" customHeight="1">
      <c r="A7" s="326"/>
      <c r="B7" s="129"/>
      <c r="C7" s="128"/>
      <c r="D7" s="129"/>
      <c r="E7" s="128"/>
      <c r="F7" s="154"/>
      <c r="G7" s="153"/>
      <c r="H7" s="154"/>
      <c r="I7" s="153"/>
      <c r="J7" s="154"/>
      <c r="K7" s="225"/>
    </row>
    <row r="8" spans="1:11" ht="30" customHeight="1" thickBot="1">
      <c r="A8" s="704" t="s">
        <v>1807</v>
      </c>
      <c r="B8" s="132">
        <v>24529</v>
      </c>
      <c r="C8" s="133">
        <v>96843</v>
      </c>
      <c r="D8" s="132">
        <v>97867</v>
      </c>
      <c r="E8" s="133">
        <v>33716</v>
      </c>
      <c r="F8" s="132">
        <v>26731</v>
      </c>
      <c r="G8" s="133">
        <v>5116</v>
      </c>
      <c r="H8" s="132">
        <v>5798</v>
      </c>
      <c r="I8" s="133">
        <v>176</v>
      </c>
      <c r="J8" s="132">
        <v>918</v>
      </c>
      <c r="K8" s="769">
        <f t="shared" ref="K8:K33" si="0">SUM(B8:J8)</f>
        <v>291694</v>
      </c>
    </row>
    <row r="9" spans="1:11" ht="20" customHeight="1" thickBot="1">
      <c r="A9" s="705" t="s">
        <v>1808</v>
      </c>
      <c r="B9" s="455">
        <v>45779</v>
      </c>
      <c r="C9" s="578">
        <v>36568</v>
      </c>
      <c r="D9" s="455">
        <v>31835</v>
      </c>
      <c r="E9" s="578">
        <v>10883</v>
      </c>
      <c r="F9" s="455">
        <v>4364</v>
      </c>
      <c r="G9" s="578">
        <v>1949</v>
      </c>
      <c r="H9" s="455">
        <v>485</v>
      </c>
      <c r="I9" s="578" t="s">
        <v>2317</v>
      </c>
      <c r="J9" s="455" t="s">
        <v>2317</v>
      </c>
      <c r="K9" s="769">
        <f t="shared" si="0"/>
        <v>131863</v>
      </c>
    </row>
    <row r="10" spans="1:11" ht="20" customHeight="1" thickBot="1">
      <c r="A10" s="705" t="s">
        <v>1809</v>
      </c>
      <c r="B10" s="455">
        <v>8634</v>
      </c>
      <c r="C10" s="578">
        <v>13881</v>
      </c>
      <c r="D10" s="455">
        <v>13192</v>
      </c>
      <c r="E10" s="578">
        <v>18443</v>
      </c>
      <c r="F10" s="455">
        <v>3041</v>
      </c>
      <c r="G10" s="578">
        <v>1501</v>
      </c>
      <c r="H10" s="455">
        <v>3434</v>
      </c>
      <c r="I10" s="578">
        <v>67</v>
      </c>
      <c r="J10" s="455" t="s">
        <v>2317</v>
      </c>
      <c r="K10" s="769">
        <f t="shared" si="0"/>
        <v>62193</v>
      </c>
    </row>
    <row r="11" spans="1:11" ht="20" customHeight="1" thickBot="1">
      <c r="A11" s="705" t="s">
        <v>1810</v>
      </c>
      <c r="B11" s="455">
        <v>915</v>
      </c>
      <c r="C11" s="578">
        <v>987</v>
      </c>
      <c r="D11" s="455">
        <v>1698</v>
      </c>
      <c r="E11" s="578">
        <v>1866</v>
      </c>
      <c r="F11" s="455">
        <v>476</v>
      </c>
      <c r="G11" s="578">
        <v>350</v>
      </c>
      <c r="H11" s="455">
        <v>162</v>
      </c>
      <c r="I11" s="578" t="s">
        <v>2317</v>
      </c>
      <c r="J11" s="455" t="s">
        <v>2317</v>
      </c>
      <c r="K11" s="769">
        <f t="shared" si="0"/>
        <v>6454</v>
      </c>
    </row>
    <row r="12" spans="1:11" ht="20" customHeight="1" thickBot="1">
      <c r="A12" s="705" t="s">
        <v>1811</v>
      </c>
      <c r="B12" s="455">
        <v>1646</v>
      </c>
      <c r="C12" s="578">
        <v>2361</v>
      </c>
      <c r="D12" s="455">
        <v>4453</v>
      </c>
      <c r="E12" s="578">
        <v>3266</v>
      </c>
      <c r="F12" s="455">
        <v>761</v>
      </c>
      <c r="G12" s="578">
        <v>341</v>
      </c>
      <c r="H12" s="455">
        <v>305</v>
      </c>
      <c r="I12" s="578">
        <v>2</v>
      </c>
      <c r="J12" s="455">
        <v>4757</v>
      </c>
      <c r="K12" s="769">
        <f t="shared" si="0"/>
        <v>17892</v>
      </c>
    </row>
    <row r="13" spans="1:11" ht="20" customHeight="1" thickBot="1">
      <c r="A13" s="705" t="s">
        <v>1812</v>
      </c>
      <c r="B13" s="455">
        <v>1049</v>
      </c>
      <c r="C13" s="578">
        <v>1556</v>
      </c>
      <c r="D13" s="455">
        <v>2848</v>
      </c>
      <c r="E13" s="578">
        <v>1022</v>
      </c>
      <c r="F13" s="455">
        <v>389</v>
      </c>
      <c r="G13" s="578">
        <v>248</v>
      </c>
      <c r="H13" s="455">
        <v>117</v>
      </c>
      <c r="I13" s="578" t="s">
        <v>2317</v>
      </c>
      <c r="J13" s="455" t="s">
        <v>2317</v>
      </c>
      <c r="K13" s="769">
        <f t="shared" si="0"/>
        <v>7229</v>
      </c>
    </row>
    <row r="14" spans="1:11" ht="20" customHeight="1" thickBot="1">
      <c r="A14" s="705" t="s">
        <v>1813</v>
      </c>
      <c r="B14" s="455">
        <v>1909</v>
      </c>
      <c r="C14" s="578">
        <v>2696</v>
      </c>
      <c r="D14" s="455">
        <v>3087</v>
      </c>
      <c r="E14" s="578">
        <v>818</v>
      </c>
      <c r="F14" s="455">
        <v>120</v>
      </c>
      <c r="G14" s="578">
        <v>43</v>
      </c>
      <c r="H14" s="455">
        <v>43</v>
      </c>
      <c r="I14" s="578" t="s">
        <v>2317</v>
      </c>
      <c r="J14" s="455" t="s">
        <v>2317</v>
      </c>
      <c r="K14" s="769">
        <f t="shared" si="0"/>
        <v>8716</v>
      </c>
    </row>
    <row r="15" spans="1:11" ht="20" customHeight="1" thickBot="1">
      <c r="A15" s="705" t="s">
        <v>1814</v>
      </c>
      <c r="B15" s="455">
        <v>1167</v>
      </c>
      <c r="C15" s="578">
        <v>848</v>
      </c>
      <c r="D15" s="455">
        <v>1265</v>
      </c>
      <c r="E15" s="578">
        <v>890</v>
      </c>
      <c r="F15" s="455">
        <v>238</v>
      </c>
      <c r="G15" s="578">
        <v>62</v>
      </c>
      <c r="H15" s="455">
        <v>128</v>
      </c>
      <c r="I15" s="578" t="s">
        <v>2317</v>
      </c>
      <c r="J15" s="455" t="s">
        <v>2317</v>
      </c>
      <c r="K15" s="769">
        <f t="shared" si="0"/>
        <v>4598</v>
      </c>
    </row>
    <row r="16" spans="1:11" ht="20" customHeight="1" thickBot="1">
      <c r="A16" s="705" t="s">
        <v>1815</v>
      </c>
      <c r="B16" s="455">
        <v>2062</v>
      </c>
      <c r="C16" s="578">
        <v>2112</v>
      </c>
      <c r="D16" s="455">
        <v>4015</v>
      </c>
      <c r="E16" s="578">
        <v>2945</v>
      </c>
      <c r="F16" s="455">
        <v>1160</v>
      </c>
      <c r="G16" s="578">
        <v>530</v>
      </c>
      <c r="H16" s="455">
        <v>648</v>
      </c>
      <c r="I16" s="578">
        <v>18</v>
      </c>
      <c r="J16" s="455" t="s">
        <v>2317</v>
      </c>
      <c r="K16" s="769">
        <f t="shared" si="0"/>
        <v>13490</v>
      </c>
    </row>
    <row r="17" spans="1:11" ht="20" customHeight="1" thickBot="1">
      <c r="A17" s="705" t="s">
        <v>1816</v>
      </c>
      <c r="B17" s="455">
        <v>658</v>
      </c>
      <c r="C17" s="578">
        <v>4705</v>
      </c>
      <c r="D17" s="455">
        <v>10604</v>
      </c>
      <c r="E17" s="578">
        <v>9986</v>
      </c>
      <c r="F17" s="455">
        <v>3506</v>
      </c>
      <c r="G17" s="578">
        <v>1849</v>
      </c>
      <c r="H17" s="455">
        <v>1503</v>
      </c>
      <c r="I17" s="578">
        <v>26</v>
      </c>
      <c r="J17" s="455" t="s">
        <v>2317</v>
      </c>
      <c r="K17" s="769">
        <f t="shared" si="0"/>
        <v>32837</v>
      </c>
    </row>
    <row r="18" spans="1:11" ht="20" customHeight="1" thickBot="1">
      <c r="A18" s="705" t="s">
        <v>1817</v>
      </c>
      <c r="B18" s="455">
        <v>3371</v>
      </c>
      <c r="C18" s="578">
        <v>5389</v>
      </c>
      <c r="D18" s="455">
        <v>10305</v>
      </c>
      <c r="E18" s="578">
        <v>7111</v>
      </c>
      <c r="F18" s="455">
        <v>2693</v>
      </c>
      <c r="G18" s="578">
        <v>1289</v>
      </c>
      <c r="H18" s="455">
        <v>1448</v>
      </c>
      <c r="I18" s="578">
        <v>15</v>
      </c>
      <c r="J18" s="455" t="s">
        <v>2317</v>
      </c>
      <c r="K18" s="769">
        <f t="shared" si="0"/>
        <v>31621</v>
      </c>
    </row>
    <row r="19" spans="1:11" ht="20" customHeight="1" thickBot="1">
      <c r="A19" s="705" t="s">
        <v>1818</v>
      </c>
      <c r="B19" s="455">
        <v>1701</v>
      </c>
      <c r="C19" s="578">
        <v>2210</v>
      </c>
      <c r="D19" s="455">
        <v>4460</v>
      </c>
      <c r="E19" s="578">
        <v>4609</v>
      </c>
      <c r="F19" s="455">
        <v>4911</v>
      </c>
      <c r="G19" s="578">
        <v>7968</v>
      </c>
      <c r="H19" s="455">
        <v>3837</v>
      </c>
      <c r="I19" s="578">
        <v>236</v>
      </c>
      <c r="J19" s="455">
        <v>162</v>
      </c>
      <c r="K19" s="769">
        <f t="shared" si="0"/>
        <v>30094</v>
      </c>
    </row>
    <row r="20" spans="1:11" ht="20" customHeight="1" thickBot="1">
      <c r="A20" s="705" t="s">
        <v>1819</v>
      </c>
      <c r="B20" s="188">
        <v>1406</v>
      </c>
      <c r="C20" s="187">
        <v>6786</v>
      </c>
      <c r="D20" s="455">
        <v>18569</v>
      </c>
      <c r="E20" s="578">
        <v>3167</v>
      </c>
      <c r="F20" s="188">
        <v>1326</v>
      </c>
      <c r="G20" s="187">
        <v>577</v>
      </c>
      <c r="H20" s="188">
        <v>346</v>
      </c>
      <c r="I20" s="187">
        <v>61</v>
      </c>
      <c r="J20" s="188" t="s">
        <v>2317</v>
      </c>
      <c r="K20" s="769">
        <f t="shared" si="0"/>
        <v>32238</v>
      </c>
    </row>
    <row r="21" spans="1:11" ht="20" customHeight="1" thickBot="1">
      <c r="A21" s="705" t="s">
        <v>1820</v>
      </c>
      <c r="B21" s="455">
        <v>1488</v>
      </c>
      <c r="C21" s="578">
        <v>1491</v>
      </c>
      <c r="D21" s="455">
        <v>5170</v>
      </c>
      <c r="E21" s="578">
        <v>1676</v>
      </c>
      <c r="F21" s="455">
        <v>875</v>
      </c>
      <c r="G21" s="578">
        <v>448</v>
      </c>
      <c r="H21" s="455">
        <v>286</v>
      </c>
      <c r="I21" s="578">
        <v>1</v>
      </c>
      <c r="J21" s="455" t="s">
        <v>2317</v>
      </c>
      <c r="K21" s="769">
        <f t="shared" si="0"/>
        <v>11435</v>
      </c>
    </row>
    <row r="22" spans="1:11" ht="20" customHeight="1" thickBot="1">
      <c r="A22" s="705" t="s">
        <v>1821</v>
      </c>
      <c r="B22" s="455">
        <v>378</v>
      </c>
      <c r="C22" s="578">
        <v>475</v>
      </c>
      <c r="D22" s="455">
        <v>1186</v>
      </c>
      <c r="E22" s="578">
        <v>2401</v>
      </c>
      <c r="F22" s="455">
        <v>615</v>
      </c>
      <c r="G22" s="578">
        <v>481</v>
      </c>
      <c r="H22" s="455">
        <v>600</v>
      </c>
      <c r="I22" s="578">
        <v>3</v>
      </c>
      <c r="J22" s="455" t="s">
        <v>2317</v>
      </c>
      <c r="K22" s="769">
        <f t="shared" si="0"/>
        <v>6139</v>
      </c>
    </row>
    <row r="23" spans="1:11" ht="20" customHeight="1" thickBot="1">
      <c r="A23" s="705" t="s">
        <v>1822</v>
      </c>
      <c r="B23" s="455">
        <v>735</v>
      </c>
      <c r="C23" s="578">
        <v>511</v>
      </c>
      <c r="D23" s="455">
        <v>707</v>
      </c>
      <c r="E23" s="578">
        <v>316</v>
      </c>
      <c r="F23" s="455">
        <v>113</v>
      </c>
      <c r="G23" s="578">
        <v>34</v>
      </c>
      <c r="H23" s="455">
        <v>16</v>
      </c>
      <c r="I23" s="578" t="s">
        <v>2317</v>
      </c>
      <c r="J23" s="455">
        <v>356</v>
      </c>
      <c r="K23" s="769">
        <f t="shared" si="0"/>
        <v>2788</v>
      </c>
    </row>
    <row r="24" spans="1:11" ht="20" customHeight="1" thickBot="1">
      <c r="A24" s="705" t="s">
        <v>1823</v>
      </c>
      <c r="B24" s="455">
        <v>10562</v>
      </c>
      <c r="C24" s="578">
        <v>8833</v>
      </c>
      <c r="D24" s="455">
        <v>15733</v>
      </c>
      <c r="E24" s="578">
        <v>8496</v>
      </c>
      <c r="F24" s="455">
        <v>3426</v>
      </c>
      <c r="G24" s="578">
        <v>1611</v>
      </c>
      <c r="H24" s="455">
        <v>1509</v>
      </c>
      <c r="I24" s="578">
        <v>48</v>
      </c>
      <c r="J24" s="455">
        <v>18081</v>
      </c>
      <c r="K24" s="769">
        <f t="shared" si="0"/>
        <v>68299</v>
      </c>
    </row>
    <row r="25" spans="1:11" ht="20" customHeight="1" thickBot="1">
      <c r="A25" s="705" t="s">
        <v>1824</v>
      </c>
      <c r="B25" s="455">
        <v>3501</v>
      </c>
      <c r="C25" s="578">
        <v>5337</v>
      </c>
      <c r="D25" s="455">
        <v>7611</v>
      </c>
      <c r="E25" s="578">
        <v>8375</v>
      </c>
      <c r="F25" s="455">
        <v>1550</v>
      </c>
      <c r="G25" s="578">
        <v>727</v>
      </c>
      <c r="H25" s="455">
        <v>867</v>
      </c>
      <c r="I25" s="578">
        <v>7</v>
      </c>
      <c r="J25" s="455" t="s">
        <v>2317</v>
      </c>
      <c r="K25" s="769">
        <f t="shared" si="0"/>
        <v>27975</v>
      </c>
    </row>
    <row r="26" spans="1:11" ht="20" customHeight="1" thickBot="1">
      <c r="A26" s="705" t="s">
        <v>1825</v>
      </c>
      <c r="B26" s="455">
        <v>4449</v>
      </c>
      <c r="C26" s="578">
        <v>7482</v>
      </c>
      <c r="D26" s="455">
        <v>17159</v>
      </c>
      <c r="E26" s="578">
        <v>21136</v>
      </c>
      <c r="F26" s="455">
        <v>5515</v>
      </c>
      <c r="G26" s="578">
        <v>2640</v>
      </c>
      <c r="H26" s="455">
        <v>4143</v>
      </c>
      <c r="I26" s="578">
        <v>142</v>
      </c>
      <c r="J26" s="455" t="s">
        <v>2317</v>
      </c>
      <c r="K26" s="769">
        <f t="shared" si="0"/>
        <v>62666</v>
      </c>
    </row>
    <row r="27" spans="1:11" ht="20" customHeight="1" thickBot="1">
      <c r="A27" s="705" t="s">
        <v>1826</v>
      </c>
      <c r="B27" s="455">
        <v>6167</v>
      </c>
      <c r="C27" s="578">
        <v>12846</v>
      </c>
      <c r="D27" s="455">
        <v>24724</v>
      </c>
      <c r="E27" s="578">
        <v>5168</v>
      </c>
      <c r="F27" s="455">
        <v>1559</v>
      </c>
      <c r="G27" s="578">
        <v>352</v>
      </c>
      <c r="H27" s="455">
        <v>106</v>
      </c>
      <c r="I27" s="578" t="s">
        <v>2317</v>
      </c>
      <c r="J27" s="455" t="s">
        <v>2317</v>
      </c>
      <c r="K27" s="769">
        <f t="shared" si="0"/>
        <v>50922</v>
      </c>
    </row>
    <row r="28" spans="1:11" ht="20" customHeight="1" thickBot="1">
      <c r="A28" s="705" t="s">
        <v>1827</v>
      </c>
      <c r="B28" s="455">
        <v>3376</v>
      </c>
      <c r="C28" s="578">
        <v>3910</v>
      </c>
      <c r="D28" s="455">
        <v>9052</v>
      </c>
      <c r="E28" s="578">
        <v>16552</v>
      </c>
      <c r="F28" s="455">
        <v>14879</v>
      </c>
      <c r="G28" s="578">
        <v>2278</v>
      </c>
      <c r="H28" s="455">
        <v>7797</v>
      </c>
      <c r="I28" s="578">
        <v>243</v>
      </c>
      <c r="J28" s="455" t="s">
        <v>2317</v>
      </c>
      <c r="K28" s="769">
        <f t="shared" si="0"/>
        <v>58087</v>
      </c>
    </row>
    <row r="29" spans="1:11" ht="20" customHeight="1" thickBot="1">
      <c r="A29" s="705" t="s">
        <v>1828</v>
      </c>
      <c r="B29" s="455">
        <v>4515</v>
      </c>
      <c r="C29" s="578">
        <v>5559</v>
      </c>
      <c r="D29" s="455">
        <v>8295</v>
      </c>
      <c r="E29" s="578">
        <v>15803</v>
      </c>
      <c r="F29" s="455">
        <v>29682</v>
      </c>
      <c r="G29" s="578">
        <v>4844</v>
      </c>
      <c r="H29" s="455">
        <v>13753</v>
      </c>
      <c r="I29" s="578">
        <v>492</v>
      </c>
      <c r="J29" s="455" t="s">
        <v>2317</v>
      </c>
      <c r="K29" s="769">
        <f t="shared" si="0"/>
        <v>82943</v>
      </c>
    </row>
    <row r="30" spans="1:11" ht="20" customHeight="1" thickBot="1">
      <c r="A30" s="705" t="s">
        <v>1829</v>
      </c>
      <c r="B30" s="455">
        <v>872</v>
      </c>
      <c r="C30" s="578">
        <v>5669</v>
      </c>
      <c r="D30" s="455">
        <v>17761</v>
      </c>
      <c r="E30" s="578">
        <v>19482</v>
      </c>
      <c r="F30" s="455">
        <v>3574</v>
      </c>
      <c r="G30" s="578">
        <v>2700</v>
      </c>
      <c r="H30" s="455">
        <v>3365</v>
      </c>
      <c r="I30" s="578">
        <v>14</v>
      </c>
      <c r="J30" s="455" t="s">
        <v>2317</v>
      </c>
      <c r="K30" s="769">
        <f t="shared" si="0"/>
        <v>53437</v>
      </c>
    </row>
    <row r="31" spans="1:11" ht="20" customHeight="1" thickBot="1">
      <c r="A31" s="705" t="s">
        <v>1830</v>
      </c>
      <c r="B31" s="455">
        <v>4007</v>
      </c>
      <c r="C31" s="578">
        <v>4223</v>
      </c>
      <c r="D31" s="455">
        <v>5376</v>
      </c>
      <c r="E31" s="578">
        <v>2928</v>
      </c>
      <c r="F31" s="455">
        <v>8702</v>
      </c>
      <c r="G31" s="578">
        <v>1132</v>
      </c>
      <c r="H31" s="455">
        <v>2081</v>
      </c>
      <c r="I31" s="578">
        <v>56</v>
      </c>
      <c r="J31" s="455" t="s">
        <v>2317</v>
      </c>
      <c r="K31" s="769">
        <f t="shared" si="0"/>
        <v>28505</v>
      </c>
    </row>
    <row r="32" spans="1:11" ht="20" customHeight="1" thickBot="1">
      <c r="A32" s="705" t="s">
        <v>1831</v>
      </c>
      <c r="B32" s="455">
        <v>15325</v>
      </c>
      <c r="C32" s="578">
        <v>21673</v>
      </c>
      <c r="D32" s="455">
        <v>15412</v>
      </c>
      <c r="E32" s="578">
        <v>8317</v>
      </c>
      <c r="F32" s="455">
        <v>9320</v>
      </c>
      <c r="G32" s="578">
        <v>15740</v>
      </c>
      <c r="H32" s="455">
        <v>5389</v>
      </c>
      <c r="I32" s="578">
        <v>403</v>
      </c>
      <c r="J32" s="455" t="s">
        <v>2317</v>
      </c>
      <c r="K32" s="769">
        <f t="shared" si="0"/>
        <v>91579</v>
      </c>
    </row>
    <row r="33" spans="1:11" ht="20" customHeight="1" thickBot="1">
      <c r="A33" s="705" t="s">
        <v>1832</v>
      </c>
      <c r="B33" s="455">
        <v>2540</v>
      </c>
      <c r="C33" s="578">
        <v>2164</v>
      </c>
      <c r="D33" s="455">
        <v>3409</v>
      </c>
      <c r="E33" s="578">
        <v>1393</v>
      </c>
      <c r="F33" s="455">
        <v>2923</v>
      </c>
      <c r="G33" s="578">
        <v>320</v>
      </c>
      <c r="H33" s="455">
        <v>916</v>
      </c>
      <c r="I33" s="578">
        <v>59</v>
      </c>
      <c r="J33" s="455" t="s">
        <v>2317</v>
      </c>
      <c r="K33" s="769">
        <f t="shared" si="0"/>
        <v>13724</v>
      </c>
    </row>
    <row r="34" spans="1:11" ht="30" customHeight="1" thickBot="1">
      <c r="A34" s="611" t="s">
        <v>1222</v>
      </c>
      <c r="B34" s="610">
        <v>152741</v>
      </c>
      <c r="C34" s="611">
        <v>257115</v>
      </c>
      <c r="D34" s="610">
        <v>335793</v>
      </c>
      <c r="E34" s="611">
        <v>210765</v>
      </c>
      <c r="F34" s="610">
        <v>132449</v>
      </c>
      <c r="G34" s="611">
        <v>55130</v>
      </c>
      <c r="H34" s="610">
        <v>59082</v>
      </c>
      <c r="I34" s="597">
        <v>2069</v>
      </c>
      <c r="J34" s="770">
        <v>24274</v>
      </c>
      <c r="K34" s="597">
        <f>SUM(K8:K33)</f>
        <v>1229418</v>
      </c>
    </row>
    <row r="35" spans="1:11" ht="20" customHeight="1">
      <c r="A35" s="692" t="s">
        <v>226</v>
      </c>
      <c r="B35" s="194"/>
      <c r="C35" s="194"/>
      <c r="D35" s="194"/>
      <c r="E35" s="194"/>
      <c r="F35" s="194"/>
      <c r="G35" s="194"/>
      <c r="H35" s="194"/>
    </row>
    <row r="36" spans="1:11" ht="14.25" customHeight="1">
      <c r="A36" s="693"/>
      <c r="B36" s="196"/>
      <c r="C36" s="196"/>
      <c r="D36" s="196"/>
      <c r="E36" s="196"/>
      <c r="F36" s="196"/>
      <c r="G36" s="196"/>
      <c r="H36" s="196"/>
    </row>
    <row r="37" spans="1:11" ht="20" customHeight="1">
      <c r="A37" s="693" t="s">
        <v>2453</v>
      </c>
      <c r="B37" s="196"/>
      <c r="C37" s="196"/>
      <c r="D37" s="196"/>
      <c r="E37" s="196"/>
      <c r="F37" s="196"/>
      <c r="G37" s="196"/>
      <c r="H37" s="196"/>
    </row>
    <row r="38" spans="1:11" ht="13.5" customHeight="1">
      <c r="A38" s="693"/>
      <c r="B38" s="196"/>
      <c r="C38" s="196"/>
      <c r="D38" s="196"/>
      <c r="E38" s="196"/>
      <c r="F38" s="196"/>
      <c r="G38" s="196"/>
      <c r="H38" s="196"/>
    </row>
    <row r="39" spans="1:11" ht="14.25" customHeight="1">
      <c r="A39" s="141" t="s">
        <v>2454</v>
      </c>
      <c r="B39" s="196"/>
      <c r="C39" s="196"/>
      <c r="D39" s="196"/>
      <c r="E39" s="196"/>
      <c r="F39" s="196"/>
      <c r="G39" s="196"/>
      <c r="H39" s="196"/>
    </row>
    <row r="40" spans="1:11" ht="11.25" customHeight="1">
      <c r="A40" s="141"/>
      <c r="B40" s="196"/>
      <c r="C40" s="196"/>
      <c r="D40" s="196"/>
      <c r="E40" s="196"/>
      <c r="F40" s="196"/>
      <c r="G40" s="196"/>
      <c r="H40" s="196"/>
    </row>
    <row r="41" spans="1:11" ht="11.25" customHeight="1">
      <c r="A41" s="141"/>
      <c r="B41" s="196"/>
      <c r="C41" s="196"/>
      <c r="D41" s="196"/>
      <c r="E41" s="196"/>
      <c r="F41" s="196"/>
      <c r="G41" s="196"/>
      <c r="H41" s="196"/>
    </row>
    <row r="42" spans="1:11">
      <c r="A42" s="694" t="s">
        <v>710</v>
      </c>
    </row>
  </sheetData>
  <phoneticPr fontId="0" type="noConversion"/>
  <pageMargins left="0.46" right="0.4" top="0.83" bottom="0.49" header="0.51" footer="0.4921259845"/>
  <pageSetup paperSize="9" scale="72" orientation="portrait"/>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24527-0AA8-4E4F-9FA4-31A8AD9B57F4}">
  <sheetPr>
    <pageSetUpPr fitToPage="1"/>
  </sheetPr>
  <dimension ref="A1:K42"/>
  <sheetViews>
    <sheetView zoomScale="75" workbookViewId="0">
      <selection activeCell="G4" sqref="G4:I7"/>
    </sheetView>
  </sheetViews>
  <sheetFormatPr baseColWidth="10" defaultColWidth="11.3984375" defaultRowHeight="13"/>
  <cols>
    <col min="1" max="3" width="13.3984375" style="2" customWidth="1"/>
    <col min="4" max="4" width="15.59765625" style="2" customWidth="1"/>
    <col min="5" max="5" width="13.3984375" style="168" customWidth="1"/>
    <col min="6" max="6" width="13.796875" style="168" customWidth="1"/>
    <col min="7" max="8" width="14" style="168" customWidth="1"/>
    <col min="9" max="9" width="16.796875" style="2" customWidth="1"/>
    <col min="10" max="10" width="15.59765625" style="418" customWidth="1"/>
    <col min="11" max="11" width="17" style="2" customWidth="1"/>
    <col min="12" max="16384" width="11.3984375" style="2"/>
  </cols>
  <sheetData>
    <row r="1" spans="1:11" s="1" customFormat="1" ht="14" customHeight="1">
      <c r="A1" s="44"/>
      <c r="B1" s="44"/>
      <c r="C1" s="44"/>
      <c r="D1" s="44"/>
      <c r="E1" s="771"/>
      <c r="F1" s="771"/>
      <c r="G1" s="771"/>
      <c r="H1" s="771"/>
      <c r="I1" s="44"/>
      <c r="J1" s="697"/>
      <c r="K1" s="697"/>
    </row>
    <row r="2" spans="1:11" s="1" customFormat="1" ht="28" customHeight="1">
      <c r="A2" s="772" t="s">
        <v>2478</v>
      </c>
      <c r="B2" s="773"/>
      <c r="C2" s="44"/>
      <c r="D2" s="44"/>
      <c r="E2" s="771"/>
      <c r="F2" s="771"/>
      <c r="G2" s="771"/>
      <c r="H2" s="398"/>
      <c r="I2" s="398">
        <v>2009</v>
      </c>
      <c r="J2" s="698"/>
      <c r="K2" s="398" t="s">
        <v>2408</v>
      </c>
    </row>
    <row r="3" spans="1:11" ht="24" customHeight="1">
      <c r="A3" s="119" t="s">
        <v>1797</v>
      </c>
      <c r="B3" s="390"/>
      <c r="C3" s="774"/>
      <c r="D3" s="775"/>
      <c r="E3" s="121"/>
      <c r="F3" s="776"/>
      <c r="G3" s="121"/>
      <c r="H3" s="777"/>
      <c r="I3" s="121" t="s">
        <v>2409</v>
      </c>
      <c r="J3" s="700"/>
      <c r="K3" s="699"/>
    </row>
    <row r="4" spans="1:11" ht="15" customHeight="1">
      <c r="A4" s="325"/>
      <c r="B4" s="123" t="s">
        <v>1798</v>
      </c>
      <c r="C4" s="150" t="s">
        <v>1799</v>
      </c>
      <c r="D4" s="149" t="s">
        <v>1800</v>
      </c>
      <c r="E4" s="150" t="s">
        <v>2394</v>
      </c>
      <c r="F4" s="123" t="s">
        <v>1567</v>
      </c>
      <c r="G4" s="150" t="s">
        <v>2409</v>
      </c>
      <c r="H4" s="149" t="s">
        <v>2409</v>
      </c>
      <c r="I4" s="150" t="s">
        <v>2412</v>
      </c>
      <c r="J4" s="702"/>
      <c r="K4" s="124" t="s">
        <v>2413</v>
      </c>
    </row>
    <row r="5" spans="1:11" ht="15" customHeight="1">
      <c r="A5" s="325"/>
      <c r="B5" s="149" t="s">
        <v>1803</v>
      </c>
      <c r="C5" s="124" t="s">
        <v>1800</v>
      </c>
      <c r="D5" s="149" t="s">
        <v>1805</v>
      </c>
      <c r="E5" s="150" t="s">
        <v>2479</v>
      </c>
      <c r="F5" s="123"/>
      <c r="G5" s="150" t="s">
        <v>2415</v>
      </c>
      <c r="H5" s="149" t="s">
        <v>2416</v>
      </c>
      <c r="I5" s="150" t="s">
        <v>2417</v>
      </c>
      <c r="J5" s="702"/>
      <c r="K5" s="124" t="s">
        <v>2418</v>
      </c>
    </row>
    <row r="6" spans="1:11" ht="15" customHeight="1">
      <c r="A6" s="325"/>
      <c r="B6" s="123"/>
      <c r="C6" s="150" t="s">
        <v>1804</v>
      </c>
      <c r="D6" s="123"/>
      <c r="E6" s="150" t="s">
        <v>657</v>
      </c>
      <c r="F6" s="123"/>
      <c r="G6" s="150" t="s">
        <v>2419</v>
      </c>
      <c r="H6" s="149" t="s">
        <v>2420</v>
      </c>
      <c r="I6" s="150" t="s">
        <v>2421</v>
      </c>
      <c r="J6" s="702"/>
      <c r="K6" s="124" t="s">
        <v>2422</v>
      </c>
    </row>
    <row r="7" spans="1:11" ht="23.25" customHeight="1">
      <c r="A7" s="326"/>
      <c r="B7" s="129"/>
      <c r="C7" s="128"/>
      <c r="D7" s="129"/>
      <c r="E7" s="128"/>
      <c r="F7" s="129"/>
      <c r="G7" s="778" t="s">
        <v>885</v>
      </c>
      <c r="H7" s="779"/>
      <c r="I7" s="778" t="s">
        <v>2423</v>
      </c>
      <c r="J7" s="702"/>
      <c r="K7" s="153" t="s">
        <v>2427</v>
      </c>
    </row>
    <row r="8" spans="1:11" ht="30" customHeight="1" thickBot="1">
      <c r="A8" s="704" t="s">
        <v>1807</v>
      </c>
      <c r="B8" s="780">
        <v>77.266799553467663</v>
      </c>
      <c r="C8" s="781">
        <v>83.589884122130499</v>
      </c>
      <c r="D8" s="780" t="s">
        <v>2317</v>
      </c>
      <c r="E8" s="706">
        <v>424.59509967440181</v>
      </c>
      <c r="F8" s="689">
        <v>585.45178299999998</v>
      </c>
      <c r="G8" s="706">
        <v>157.91964899999999</v>
      </c>
      <c r="H8" s="689">
        <v>58.799782999999998</v>
      </c>
      <c r="I8" s="706">
        <v>216.71943200000001</v>
      </c>
      <c r="J8" s="702"/>
      <c r="K8" s="440">
        <v>585.45178299999998</v>
      </c>
    </row>
    <row r="9" spans="1:11" ht="20" customHeight="1" thickBot="1">
      <c r="A9" s="705" t="s">
        <v>1808</v>
      </c>
      <c r="B9" s="780">
        <v>30.484605999999999</v>
      </c>
      <c r="C9" s="781">
        <v>33.908085999999997</v>
      </c>
      <c r="D9" s="780">
        <v>148.17716799999999</v>
      </c>
      <c r="E9" s="706">
        <v>254.764197</v>
      </c>
      <c r="F9" s="689">
        <v>467.33405699999997</v>
      </c>
      <c r="G9" s="706">
        <v>176.504456</v>
      </c>
      <c r="H9" s="689">
        <v>56.042194000000002</v>
      </c>
      <c r="I9" s="706">
        <v>56.042194000000002</v>
      </c>
      <c r="J9" s="702"/>
      <c r="K9" s="706">
        <v>467.33405699999997</v>
      </c>
    </row>
    <row r="10" spans="1:11" ht="20" customHeight="1" thickBot="1">
      <c r="A10" s="705" t="s">
        <v>1809</v>
      </c>
      <c r="B10" s="780">
        <v>26.420534</v>
      </c>
      <c r="C10" s="781">
        <v>26.735191</v>
      </c>
      <c r="D10" s="780">
        <v>92.636190999999997</v>
      </c>
      <c r="E10" s="706" t="s">
        <v>2317</v>
      </c>
      <c r="F10" s="689">
        <v>145.79191599999999</v>
      </c>
      <c r="G10" s="706">
        <v>48.450023000000002</v>
      </c>
      <c r="H10" s="689">
        <v>18.206209999999999</v>
      </c>
      <c r="I10" s="706">
        <v>66.656233</v>
      </c>
      <c r="J10" s="702"/>
      <c r="K10" s="706">
        <v>145.79191599999999</v>
      </c>
    </row>
    <row r="11" spans="1:11" ht="20" customHeight="1" thickBot="1">
      <c r="A11" s="705" t="s">
        <v>1810</v>
      </c>
      <c r="B11" s="780" t="s">
        <v>2317</v>
      </c>
      <c r="C11" s="781" t="s">
        <v>2317</v>
      </c>
      <c r="D11" s="780" t="s">
        <v>2317</v>
      </c>
      <c r="E11" s="706">
        <v>14.974975000000001</v>
      </c>
      <c r="F11" s="689">
        <v>14.974975000000001</v>
      </c>
      <c r="G11" s="706">
        <v>2.9725570000000001</v>
      </c>
      <c r="H11" s="689" t="s">
        <v>2317</v>
      </c>
      <c r="I11" s="706" t="s">
        <v>2317</v>
      </c>
      <c r="J11" s="702"/>
      <c r="K11" s="706">
        <v>14.974975000000001</v>
      </c>
    </row>
    <row r="12" spans="1:11" ht="20" customHeight="1" thickBot="1">
      <c r="A12" s="705" t="s">
        <v>1811</v>
      </c>
      <c r="B12" s="780">
        <v>4.6291760000000002</v>
      </c>
      <c r="C12" s="781">
        <v>4.6775270000000004</v>
      </c>
      <c r="D12" s="780">
        <v>18.072534999999998</v>
      </c>
      <c r="E12" s="706">
        <v>13.089426</v>
      </c>
      <c r="F12" s="689">
        <v>40.468663999999997</v>
      </c>
      <c r="G12" s="706">
        <v>11.452411</v>
      </c>
      <c r="H12" s="689">
        <v>3.2114940000000001</v>
      </c>
      <c r="I12" s="706">
        <v>2.720736</v>
      </c>
      <c r="J12" s="702"/>
      <c r="K12" s="706">
        <v>40.468663999999997</v>
      </c>
    </row>
    <row r="13" spans="1:11" ht="20" customHeight="1" thickBot="1">
      <c r="A13" s="705" t="s">
        <v>1812</v>
      </c>
      <c r="B13" s="780" t="s">
        <v>2317</v>
      </c>
      <c r="C13" s="781" t="s">
        <v>2317</v>
      </c>
      <c r="D13" s="780" t="s">
        <v>2317</v>
      </c>
      <c r="E13" s="706">
        <v>14.831782</v>
      </c>
      <c r="F13" s="689">
        <v>14.831782</v>
      </c>
      <c r="G13" s="706">
        <v>2.8008329999999999</v>
      </c>
      <c r="H13" s="689" t="s">
        <v>2317</v>
      </c>
      <c r="I13" s="706" t="s">
        <v>2317</v>
      </c>
      <c r="J13" s="702"/>
      <c r="K13" s="706">
        <v>14.831782</v>
      </c>
    </row>
    <row r="14" spans="1:11" ht="20" customHeight="1" thickBot="1">
      <c r="A14" s="705" t="s">
        <v>1813</v>
      </c>
      <c r="B14" s="780">
        <v>2.445881</v>
      </c>
      <c r="C14" s="781">
        <v>3.4739089999999999</v>
      </c>
      <c r="D14" s="780">
        <v>5.7604369999999996</v>
      </c>
      <c r="E14" s="706">
        <v>2.396989</v>
      </c>
      <c r="F14" s="689">
        <v>14.077216</v>
      </c>
      <c r="G14" s="706">
        <v>2.2071839999999998</v>
      </c>
      <c r="H14" s="689">
        <v>0.98723499999999997</v>
      </c>
      <c r="I14" s="706" t="s">
        <v>2317</v>
      </c>
      <c r="J14" s="702"/>
      <c r="K14" s="706">
        <v>14.077216</v>
      </c>
    </row>
    <row r="15" spans="1:11" ht="20" customHeight="1" thickBot="1">
      <c r="A15" s="705" t="s">
        <v>1814</v>
      </c>
      <c r="B15" s="780" t="s">
        <v>2317</v>
      </c>
      <c r="C15" s="781" t="s">
        <v>2317</v>
      </c>
      <c r="D15" s="780" t="s">
        <v>2317</v>
      </c>
      <c r="E15" s="706">
        <v>13.135411</v>
      </c>
      <c r="F15" s="689">
        <v>13.135411</v>
      </c>
      <c r="G15" s="706" t="s">
        <v>2317</v>
      </c>
      <c r="H15" s="689" t="s">
        <v>2317</v>
      </c>
      <c r="I15" s="706" t="s">
        <v>2317</v>
      </c>
      <c r="J15" s="702"/>
      <c r="K15" s="706">
        <v>13.135411</v>
      </c>
    </row>
    <row r="16" spans="1:11" ht="20" customHeight="1" thickBot="1">
      <c r="A16" s="705" t="s">
        <v>1815</v>
      </c>
      <c r="B16" s="780" t="s">
        <v>2317</v>
      </c>
      <c r="C16" s="781" t="s">
        <v>2317</v>
      </c>
      <c r="D16" s="780" t="s">
        <v>2317</v>
      </c>
      <c r="E16" s="706">
        <v>37.847375999999997</v>
      </c>
      <c r="F16" s="689">
        <v>37.847375999999997</v>
      </c>
      <c r="G16" s="706" t="s">
        <v>2317</v>
      </c>
      <c r="H16" s="689" t="s">
        <v>2317</v>
      </c>
      <c r="I16" s="706" t="s">
        <v>2317</v>
      </c>
      <c r="J16" s="702"/>
      <c r="K16" s="706">
        <v>37.847375999999997</v>
      </c>
    </row>
    <row r="17" spans="1:11" ht="20" customHeight="1" thickBot="1">
      <c r="A17" s="705" t="s">
        <v>1816</v>
      </c>
      <c r="B17" s="780" t="s">
        <v>2317</v>
      </c>
      <c r="C17" s="781" t="s">
        <v>2317</v>
      </c>
      <c r="D17" s="780" t="s">
        <v>2317</v>
      </c>
      <c r="E17" s="706">
        <v>130.51660200000001</v>
      </c>
      <c r="F17" s="689">
        <v>130.51660200000001</v>
      </c>
      <c r="G17" s="706" t="s">
        <v>2317</v>
      </c>
      <c r="H17" s="689" t="s">
        <v>2317</v>
      </c>
      <c r="I17" s="706" t="s">
        <v>2317</v>
      </c>
      <c r="J17" s="702"/>
      <c r="K17" s="706">
        <v>130.51660200000001</v>
      </c>
    </row>
    <row r="18" spans="1:11" ht="20" customHeight="1" thickBot="1">
      <c r="A18" s="705" t="s">
        <v>1817</v>
      </c>
      <c r="B18" s="780">
        <v>9.6727489999999996</v>
      </c>
      <c r="C18" s="781">
        <v>11.275966</v>
      </c>
      <c r="D18" s="780">
        <v>53.949395000000003</v>
      </c>
      <c r="E18" s="706" t="s">
        <v>2317</v>
      </c>
      <c r="F18" s="689">
        <v>74.898110000000003</v>
      </c>
      <c r="G18" s="706">
        <v>28.867698000000001</v>
      </c>
      <c r="H18" s="689">
        <v>15.458259999999999</v>
      </c>
      <c r="I18" s="706" t="s">
        <v>2317</v>
      </c>
      <c r="J18" s="702"/>
      <c r="K18" s="706">
        <v>74.898110000000003</v>
      </c>
    </row>
    <row r="19" spans="1:11" ht="20" customHeight="1" thickBot="1">
      <c r="A19" s="705" t="s">
        <v>1818</v>
      </c>
      <c r="B19" s="780" t="s">
        <v>2317</v>
      </c>
      <c r="C19" s="781" t="s">
        <v>2317</v>
      </c>
      <c r="D19" s="780" t="s">
        <v>2317</v>
      </c>
      <c r="E19" s="706">
        <v>126.79173900000001</v>
      </c>
      <c r="F19" s="689">
        <v>126.79173900000001</v>
      </c>
      <c r="G19" s="706" t="s">
        <v>2317</v>
      </c>
      <c r="H19" s="689">
        <v>25.372261999999999</v>
      </c>
      <c r="I19" s="706" t="s">
        <v>2317</v>
      </c>
      <c r="J19" s="702"/>
      <c r="K19" s="706">
        <v>126.79173900000001</v>
      </c>
    </row>
    <row r="20" spans="1:11" ht="20" customHeight="1" thickBot="1">
      <c r="A20" s="705" t="s">
        <v>1819</v>
      </c>
      <c r="B20" s="780" t="s">
        <v>2317</v>
      </c>
      <c r="C20" s="781" t="s">
        <v>2317</v>
      </c>
      <c r="D20" s="780" t="s">
        <v>2317</v>
      </c>
      <c r="E20" s="706">
        <v>97.429496999999998</v>
      </c>
      <c r="F20" s="689">
        <v>97.429496999999998</v>
      </c>
      <c r="G20" s="706" t="s">
        <v>2317</v>
      </c>
      <c r="H20" s="689" t="s">
        <v>2317</v>
      </c>
      <c r="I20" s="706" t="s">
        <v>2317</v>
      </c>
      <c r="J20" s="702"/>
      <c r="K20" s="706">
        <v>97.429496999999998</v>
      </c>
    </row>
    <row r="21" spans="1:11" ht="20" customHeight="1" thickBot="1">
      <c r="A21" s="705" t="s">
        <v>1820</v>
      </c>
      <c r="B21" s="780" t="s">
        <v>2317</v>
      </c>
      <c r="C21" s="781" t="s">
        <v>2317</v>
      </c>
      <c r="D21" s="780" t="s">
        <v>2317</v>
      </c>
      <c r="E21" s="706">
        <v>36.043562000000001</v>
      </c>
      <c r="F21" s="689">
        <v>36.043562000000001</v>
      </c>
      <c r="G21" s="706">
        <v>9.7388960000000004</v>
      </c>
      <c r="H21" s="689" t="s">
        <v>2317</v>
      </c>
      <c r="I21" s="706" t="s">
        <v>2317</v>
      </c>
      <c r="J21" s="702"/>
      <c r="K21" s="706">
        <v>36.043562000000001</v>
      </c>
    </row>
    <row r="22" spans="1:11" ht="20" customHeight="1" thickBot="1">
      <c r="A22" s="705" t="s">
        <v>1821</v>
      </c>
      <c r="B22" s="780">
        <v>3.394558</v>
      </c>
      <c r="C22" s="781">
        <v>3.9245899999999998</v>
      </c>
      <c r="D22" s="780">
        <v>11.53</v>
      </c>
      <c r="E22" s="706">
        <v>5.3174140000000003</v>
      </c>
      <c r="F22" s="689">
        <v>24.166561999999999</v>
      </c>
      <c r="G22" s="706">
        <v>4.675484</v>
      </c>
      <c r="H22" s="689" t="s">
        <v>2317</v>
      </c>
      <c r="I22" s="706" t="s">
        <v>2317</v>
      </c>
      <c r="J22" s="702"/>
      <c r="K22" s="706">
        <v>24.166561999999999</v>
      </c>
    </row>
    <row r="23" spans="1:11" ht="20" customHeight="1" thickBot="1">
      <c r="A23" s="705" t="s">
        <v>1822</v>
      </c>
      <c r="B23" s="780">
        <v>0.28129900000000002</v>
      </c>
      <c r="C23" s="781">
        <v>0.775092</v>
      </c>
      <c r="D23" s="780">
        <v>3.5104630000000001</v>
      </c>
      <c r="E23" s="706" t="s">
        <v>2317</v>
      </c>
      <c r="F23" s="689">
        <v>4.5668540000000002</v>
      </c>
      <c r="G23" s="706">
        <v>0.91345600000000005</v>
      </c>
      <c r="H23" s="689" t="s">
        <v>2317</v>
      </c>
      <c r="I23" s="706">
        <v>8.2089999999999996E-2</v>
      </c>
      <c r="J23" s="702"/>
      <c r="K23" s="706">
        <v>4.5668540000000002</v>
      </c>
    </row>
    <row r="24" spans="1:11" ht="20" customHeight="1" thickBot="1">
      <c r="A24" s="705" t="s">
        <v>1823</v>
      </c>
      <c r="B24" s="780">
        <v>12.626049999999999</v>
      </c>
      <c r="C24" s="781">
        <v>10.198245</v>
      </c>
      <c r="D24" s="780">
        <v>50.931348</v>
      </c>
      <c r="E24" s="706">
        <v>83.420203000000001</v>
      </c>
      <c r="F24" s="689">
        <v>157.17584600000001</v>
      </c>
      <c r="G24" s="706">
        <v>57.993899999999996</v>
      </c>
      <c r="H24" s="689">
        <v>17.200493000000002</v>
      </c>
      <c r="I24" s="706">
        <v>17.200493000000002</v>
      </c>
      <c r="J24" s="702"/>
      <c r="K24" s="706">
        <v>157.17584600000001</v>
      </c>
    </row>
    <row r="25" spans="1:11" ht="20" customHeight="1" thickBot="1">
      <c r="A25" s="705" t="s">
        <v>1824</v>
      </c>
      <c r="B25" s="780">
        <v>8.0581960000000006</v>
      </c>
      <c r="C25" s="781">
        <v>7.2124309999999996</v>
      </c>
      <c r="D25" s="780">
        <v>48.720837000000003</v>
      </c>
      <c r="E25" s="706" t="s">
        <v>2317</v>
      </c>
      <c r="F25" s="689">
        <v>63.991464000000001</v>
      </c>
      <c r="G25" s="706">
        <v>15.734226</v>
      </c>
      <c r="H25" s="689">
        <v>4.5353300000000001</v>
      </c>
      <c r="I25" s="706">
        <v>0.14574999999999999</v>
      </c>
      <c r="J25" s="702"/>
      <c r="K25" s="706">
        <v>63.991464000000001</v>
      </c>
    </row>
    <row r="26" spans="1:11" ht="20" customHeight="1" thickBot="1">
      <c r="A26" s="705" t="s">
        <v>1825</v>
      </c>
      <c r="B26" s="780">
        <v>23.793422</v>
      </c>
      <c r="C26" s="781">
        <v>25.636156</v>
      </c>
      <c r="D26" s="780">
        <v>145.876284</v>
      </c>
      <c r="E26" s="706">
        <v>4.7699999999999999E-3</v>
      </c>
      <c r="F26" s="689">
        <v>195.310632</v>
      </c>
      <c r="G26" s="706">
        <v>55.039121000000002</v>
      </c>
      <c r="H26" s="689">
        <v>16.912659999999999</v>
      </c>
      <c r="I26" s="706" t="s">
        <v>2317</v>
      </c>
      <c r="J26" s="702"/>
      <c r="K26" s="706">
        <v>195.310632</v>
      </c>
    </row>
    <row r="27" spans="1:11" ht="20" customHeight="1" thickBot="1">
      <c r="A27" s="705" t="s">
        <v>1826</v>
      </c>
      <c r="B27" s="780">
        <v>21.855895</v>
      </c>
      <c r="C27" s="781">
        <v>20.539262000000001</v>
      </c>
      <c r="D27" s="780">
        <v>35.847783</v>
      </c>
      <c r="E27" s="706">
        <v>29.412485</v>
      </c>
      <c r="F27" s="689">
        <v>107.65542499999999</v>
      </c>
      <c r="G27" s="706">
        <v>24.835719000000001</v>
      </c>
      <c r="H27" s="689">
        <v>5.1745669999999997</v>
      </c>
      <c r="I27" s="706" t="s">
        <v>2317</v>
      </c>
      <c r="J27" s="702"/>
      <c r="K27" s="706">
        <v>107.65542499999999</v>
      </c>
    </row>
    <row r="28" spans="1:11" ht="20" customHeight="1" thickBot="1">
      <c r="A28" s="705" t="s">
        <v>1827</v>
      </c>
      <c r="B28" s="780">
        <v>19.764133441961775</v>
      </c>
      <c r="C28" s="781">
        <v>21.729483979412482</v>
      </c>
      <c r="D28" s="780">
        <v>196.01989157862576</v>
      </c>
      <c r="E28" s="706" t="s">
        <v>2317</v>
      </c>
      <c r="F28" s="689">
        <v>237.51350900000003</v>
      </c>
      <c r="G28" s="706">
        <v>103.33041299999999</v>
      </c>
      <c r="H28" s="689" t="s">
        <v>2317</v>
      </c>
      <c r="I28" s="706" t="s">
        <v>2317</v>
      </c>
      <c r="J28" s="702"/>
      <c r="K28" s="706">
        <v>237.51350900000003</v>
      </c>
    </row>
    <row r="29" spans="1:11" ht="20" customHeight="1" thickBot="1">
      <c r="A29" s="705" t="s">
        <v>1828</v>
      </c>
      <c r="B29" s="780">
        <v>39.467604600000001</v>
      </c>
      <c r="C29" s="781">
        <v>36.513937200000001</v>
      </c>
      <c r="D29" s="780">
        <v>269.33923920000001</v>
      </c>
      <c r="E29" s="706" t="s">
        <v>2317</v>
      </c>
      <c r="F29" s="689">
        <v>345.32078100000007</v>
      </c>
      <c r="G29" s="706">
        <v>126.08048939999999</v>
      </c>
      <c r="H29" s="689">
        <v>65.817228599999993</v>
      </c>
      <c r="I29" s="706">
        <v>191.897718</v>
      </c>
      <c r="J29" s="702"/>
      <c r="K29" s="706">
        <v>345.32078100000007</v>
      </c>
    </row>
    <row r="30" spans="1:11" ht="20" customHeight="1" thickBot="1">
      <c r="A30" s="705" t="s">
        <v>1829</v>
      </c>
      <c r="B30" s="780">
        <v>12.968726</v>
      </c>
      <c r="C30" s="781">
        <v>31.293248999999999</v>
      </c>
      <c r="D30" s="780">
        <v>106.71120500000001</v>
      </c>
      <c r="E30" s="706" t="s">
        <v>2317</v>
      </c>
      <c r="F30" s="689">
        <v>150.97318000000001</v>
      </c>
      <c r="G30" s="706">
        <v>25.559203</v>
      </c>
      <c r="H30" s="689">
        <v>8.2708840000000006</v>
      </c>
      <c r="I30" s="706" t="s">
        <v>2317</v>
      </c>
      <c r="J30" s="702"/>
      <c r="K30" s="706">
        <v>150.97318000000001</v>
      </c>
    </row>
    <row r="31" spans="1:11" ht="20" customHeight="1" thickBot="1">
      <c r="A31" s="705" t="s">
        <v>1830</v>
      </c>
      <c r="B31" s="780">
        <v>7.9028745000000002</v>
      </c>
      <c r="C31" s="781">
        <v>5.8221653499999997</v>
      </c>
      <c r="D31" s="780">
        <v>70.238853200000008</v>
      </c>
      <c r="E31" s="706" t="s">
        <v>2317</v>
      </c>
      <c r="F31" s="689">
        <v>83.96389305000001</v>
      </c>
      <c r="G31" s="706">
        <v>38.766412250000002</v>
      </c>
      <c r="H31" s="689">
        <v>20.551718899999997</v>
      </c>
      <c r="I31" s="706">
        <v>3.7586000000000001E-2</v>
      </c>
      <c r="J31" s="702"/>
      <c r="K31" s="706">
        <v>83.96389305000001</v>
      </c>
    </row>
    <row r="32" spans="1:11" ht="20" customHeight="1" thickBot="1">
      <c r="A32" s="705" t="s">
        <v>1831</v>
      </c>
      <c r="B32" s="780">
        <v>31.985738240000003</v>
      </c>
      <c r="C32" s="781">
        <v>17.535770799999998</v>
      </c>
      <c r="D32" s="780">
        <v>197.31488167999998</v>
      </c>
      <c r="E32" s="706" t="s">
        <v>2317</v>
      </c>
      <c r="F32" s="689">
        <v>246.83639072</v>
      </c>
      <c r="G32" s="706">
        <v>118.43668156999999</v>
      </c>
      <c r="H32" s="689">
        <v>44.779538490000007</v>
      </c>
      <c r="I32" s="706" t="s">
        <v>2317</v>
      </c>
      <c r="J32" s="702"/>
      <c r="K32" s="706">
        <v>246.83639072</v>
      </c>
    </row>
    <row r="33" spans="1:11" ht="20" customHeight="1" thickBot="1">
      <c r="A33" s="705" t="s">
        <v>1832</v>
      </c>
      <c r="B33" s="780">
        <v>3.9784959999999998</v>
      </c>
      <c r="C33" s="781">
        <v>3.336722</v>
      </c>
      <c r="D33" s="780">
        <v>27.423493000000001</v>
      </c>
      <c r="E33" s="706">
        <v>5.0860000000000002E-3</v>
      </c>
      <c r="F33" s="689">
        <v>34.743797000000001</v>
      </c>
      <c r="G33" s="706">
        <v>15.457826000000001</v>
      </c>
      <c r="H33" s="689">
        <v>2.6119029999999999</v>
      </c>
      <c r="I33" s="706" t="s">
        <v>2317</v>
      </c>
      <c r="J33" s="702"/>
      <c r="K33" s="706">
        <v>34.743797000000001</v>
      </c>
    </row>
    <row r="34" spans="1:11" ht="30" customHeight="1" thickBot="1">
      <c r="A34" s="707" t="s">
        <v>2481</v>
      </c>
      <c r="B34" s="782">
        <v>336.99673833542943</v>
      </c>
      <c r="C34" s="783">
        <v>348.17766745154302</v>
      </c>
      <c r="D34" s="782">
        <v>1482.0600046586258</v>
      </c>
      <c r="E34" s="784">
        <v>1284.5766136744019</v>
      </c>
      <c r="F34" s="785">
        <v>3451.8110237699998</v>
      </c>
      <c r="G34" s="784">
        <v>1027.7366382200003</v>
      </c>
      <c r="H34" s="786">
        <v>363.93176098999987</v>
      </c>
      <c r="I34" s="787">
        <v>551.50223200000005</v>
      </c>
      <c r="J34" s="315"/>
      <c r="K34" s="452">
        <v>3451.8110237699998</v>
      </c>
    </row>
    <row r="35" spans="1:11" ht="20" customHeight="1">
      <c r="A35" s="692" t="s">
        <v>226</v>
      </c>
      <c r="B35" s="194"/>
      <c r="C35" s="194"/>
      <c r="D35" s="194"/>
      <c r="E35" s="194"/>
      <c r="F35" s="194"/>
      <c r="G35" s="194"/>
      <c r="H35" s="194"/>
    </row>
    <row r="36" spans="1:11" ht="14.25" customHeight="1">
      <c r="A36" s="693"/>
      <c r="B36" s="196"/>
      <c r="C36" s="196"/>
      <c r="D36" s="196"/>
      <c r="E36" s="196"/>
      <c r="F36" s="196"/>
      <c r="G36" s="196"/>
      <c r="H36" s="196"/>
    </row>
    <row r="37" spans="1:11" ht="20" customHeight="1">
      <c r="A37" s="693" t="s">
        <v>2424</v>
      </c>
      <c r="B37" s="196"/>
      <c r="C37" s="196"/>
      <c r="D37" s="196"/>
      <c r="E37" s="196"/>
      <c r="F37" s="196"/>
      <c r="G37" s="196"/>
      <c r="H37" s="196"/>
    </row>
    <row r="38" spans="1:11" ht="15.75" customHeight="1">
      <c r="A38" s="693"/>
      <c r="B38" s="196"/>
      <c r="C38" s="196"/>
      <c r="D38" s="196"/>
      <c r="E38" s="196"/>
      <c r="F38" s="196"/>
      <c r="G38" s="196"/>
      <c r="H38" s="196"/>
    </row>
    <row r="39" spans="1:11" ht="12.75" customHeight="1">
      <c r="A39" s="141" t="s">
        <v>2480</v>
      </c>
      <c r="B39" s="196"/>
      <c r="C39" s="196"/>
      <c r="D39" s="196"/>
      <c r="E39" s="196"/>
      <c r="F39" s="196"/>
      <c r="G39" s="196"/>
      <c r="H39" s="196"/>
    </row>
    <row r="41" spans="1:11">
      <c r="E41" s="176"/>
    </row>
    <row r="42" spans="1:11">
      <c r="A42" s="2" t="s">
        <v>710</v>
      </c>
    </row>
  </sheetData>
  <phoneticPr fontId="0" type="noConversion"/>
  <pageMargins left="0.56000000000000005" right="0.5" top="0.76" bottom="0.49" header="0.42" footer="0.4921259845"/>
  <pageSetup paperSize="9" scale="72" orientation="portrait" horizontalDpi="1200" verticalDpi="1200"/>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B85FA-8545-DB49-BBE5-052EDBFC6305}">
  <sheetPr>
    <pageSetUpPr fitToPage="1"/>
  </sheetPr>
  <dimension ref="A1:L46"/>
  <sheetViews>
    <sheetView zoomScale="75" workbookViewId="0">
      <selection activeCell="I8" sqref="I8"/>
    </sheetView>
  </sheetViews>
  <sheetFormatPr baseColWidth="10" defaultColWidth="11.3984375" defaultRowHeight="13"/>
  <cols>
    <col min="1" max="1" width="9.796875" style="2" customWidth="1"/>
    <col min="2" max="2" width="12" style="2" customWidth="1"/>
    <col min="3" max="3" width="11" style="2" customWidth="1"/>
    <col min="4" max="4" width="12.3984375" style="87" customWidth="1"/>
    <col min="5" max="5" width="16.59765625" style="2" customWidth="1"/>
    <col min="6" max="6" width="17.19921875" style="2" customWidth="1"/>
    <col min="7" max="7" width="18.796875" style="277" customWidth="1"/>
    <col min="8" max="8" width="16.796875" style="2" customWidth="1"/>
    <col min="9" max="16384" width="11.3984375" style="2"/>
  </cols>
  <sheetData>
    <row r="1" spans="1:10" s="1" customFormat="1" ht="14" customHeight="1">
      <c r="D1" s="289"/>
      <c r="G1" s="16"/>
      <c r="J1" s="697"/>
    </row>
    <row r="2" spans="1:10" s="1" customFormat="1" ht="42" customHeight="1">
      <c r="A2" s="2014" t="s">
        <v>1288</v>
      </c>
      <c r="B2" s="2018"/>
      <c r="C2" s="2018"/>
      <c r="D2" s="2018"/>
      <c r="E2" s="2018"/>
      <c r="F2" s="2018"/>
      <c r="G2" s="398"/>
      <c r="H2" s="398">
        <v>2009</v>
      </c>
      <c r="J2" s="698"/>
    </row>
    <row r="3" spans="1:10" ht="24" customHeight="1">
      <c r="A3" s="119" t="s">
        <v>1797</v>
      </c>
      <c r="B3" s="120" t="s">
        <v>1289</v>
      </c>
      <c r="C3" s="121" t="s">
        <v>1290</v>
      </c>
      <c r="D3" s="120" t="s">
        <v>1289</v>
      </c>
      <c r="E3" s="119" t="s">
        <v>227</v>
      </c>
      <c r="F3" s="178"/>
      <c r="G3" s="389"/>
      <c r="H3" s="120"/>
      <c r="J3" s="700"/>
    </row>
    <row r="4" spans="1:10" ht="18" customHeight="1">
      <c r="A4" s="325"/>
      <c r="B4" s="123" t="s">
        <v>1291</v>
      </c>
      <c r="C4" s="150" t="s">
        <v>1305</v>
      </c>
      <c r="D4" s="123" t="s">
        <v>1291</v>
      </c>
      <c r="E4" s="150" t="s">
        <v>1292</v>
      </c>
      <c r="F4" s="149" t="s">
        <v>1293</v>
      </c>
      <c r="G4" s="479" t="s">
        <v>1567</v>
      </c>
      <c r="H4" s="788" t="s">
        <v>1294</v>
      </c>
      <c r="J4" s="789"/>
    </row>
    <row r="5" spans="1:10" ht="18.75" customHeight="1">
      <c r="A5" s="325"/>
      <c r="B5" s="123" t="s">
        <v>1306</v>
      </c>
      <c r="C5" s="124"/>
      <c r="D5" s="123" t="s">
        <v>1295</v>
      </c>
      <c r="E5" s="124" t="s">
        <v>1296</v>
      </c>
      <c r="F5" s="149" t="s">
        <v>1296</v>
      </c>
      <c r="G5" s="479" t="s">
        <v>1297</v>
      </c>
      <c r="H5" s="788" t="s">
        <v>2398</v>
      </c>
      <c r="J5" s="789"/>
    </row>
    <row r="6" spans="1:10" ht="15" customHeight="1">
      <c r="A6" s="325"/>
      <c r="B6" s="123"/>
      <c r="C6" s="124"/>
      <c r="D6" s="125" t="s">
        <v>1298</v>
      </c>
      <c r="E6" s="124" t="s">
        <v>2528</v>
      </c>
      <c r="F6" s="149" t="s">
        <v>2528</v>
      </c>
      <c r="G6" s="479" t="s">
        <v>1307</v>
      </c>
      <c r="H6" s="788" t="s">
        <v>2030</v>
      </c>
      <c r="J6" s="789"/>
    </row>
    <row r="7" spans="1:10" ht="18" customHeight="1">
      <c r="A7" s="325"/>
      <c r="B7" s="123"/>
      <c r="C7" s="124"/>
      <c r="D7" s="125" t="s">
        <v>1299</v>
      </c>
      <c r="E7" s="124"/>
      <c r="F7" s="149"/>
      <c r="G7" s="479"/>
      <c r="H7" s="788"/>
      <c r="J7" s="700"/>
    </row>
    <row r="8" spans="1:10" ht="23.25" customHeight="1">
      <c r="A8" s="326"/>
      <c r="B8" s="129"/>
      <c r="C8" s="128"/>
      <c r="D8" s="127"/>
      <c r="E8" s="128"/>
      <c r="F8" s="154"/>
      <c r="G8" s="480"/>
      <c r="H8" s="151"/>
      <c r="J8" s="790"/>
    </row>
    <row r="9" spans="1:10" ht="30" customHeight="1" thickBot="1">
      <c r="A9" s="704" t="s">
        <v>1807</v>
      </c>
      <c r="B9" s="132">
        <v>1322842</v>
      </c>
      <c r="C9" s="133">
        <v>1757</v>
      </c>
      <c r="D9" s="791">
        <v>1324599</v>
      </c>
      <c r="E9" s="133">
        <v>314913496</v>
      </c>
      <c r="F9" s="132">
        <v>292307508.05000007</v>
      </c>
      <c r="G9" s="769">
        <v>607221004.05000007</v>
      </c>
      <c r="H9" s="581">
        <v>0.48138569993525909</v>
      </c>
      <c r="I9" s="7"/>
      <c r="J9" s="792"/>
    </row>
    <row r="10" spans="1:10" ht="20" customHeight="1" thickBot="1">
      <c r="A10" s="705" t="s">
        <v>1808</v>
      </c>
      <c r="B10" s="455">
        <v>969907</v>
      </c>
      <c r="C10" s="578">
        <v>124</v>
      </c>
      <c r="D10" s="793">
        <v>970031</v>
      </c>
      <c r="E10" s="578">
        <v>230617608</v>
      </c>
      <c r="F10" s="455">
        <v>236716448.5</v>
      </c>
      <c r="G10" s="794">
        <v>467334056.5</v>
      </c>
      <c r="H10" s="449">
        <v>0.50652514022375772</v>
      </c>
      <c r="I10" s="7"/>
      <c r="J10" s="792"/>
    </row>
    <row r="11" spans="1:10" ht="20" customHeight="1" thickBot="1">
      <c r="A11" s="705" t="s">
        <v>1809</v>
      </c>
      <c r="B11" s="455">
        <v>361924</v>
      </c>
      <c r="C11" s="578">
        <v>46</v>
      </c>
      <c r="D11" s="793">
        <v>361970</v>
      </c>
      <c r="E11" s="578">
        <v>86055658</v>
      </c>
      <c r="F11" s="455">
        <v>63139226</v>
      </c>
      <c r="G11" s="794">
        <v>149194884</v>
      </c>
      <c r="H11" s="449">
        <v>0.42319967218178878</v>
      </c>
      <c r="I11" s="7"/>
      <c r="J11" s="792"/>
    </row>
    <row r="12" spans="1:10" ht="20" customHeight="1" thickBot="1">
      <c r="A12" s="705" t="s">
        <v>1810</v>
      </c>
      <c r="B12" s="455">
        <v>34447</v>
      </c>
      <c r="C12" s="578">
        <v>5</v>
      </c>
      <c r="D12" s="793">
        <v>34452</v>
      </c>
      <c r="E12" s="578">
        <v>8190705</v>
      </c>
      <c r="F12" s="455">
        <v>6784270</v>
      </c>
      <c r="G12" s="794">
        <v>14974975</v>
      </c>
      <c r="H12" s="449">
        <v>0.45304048921617568</v>
      </c>
      <c r="I12" s="7"/>
      <c r="J12" s="792"/>
    </row>
    <row r="13" spans="1:10" ht="20" customHeight="1" thickBot="1">
      <c r="A13" s="705" t="s">
        <v>1811</v>
      </c>
      <c r="B13" s="455">
        <v>139874</v>
      </c>
      <c r="C13" s="578">
        <v>34</v>
      </c>
      <c r="D13" s="793">
        <v>139908</v>
      </c>
      <c r="E13" s="578">
        <v>33262080</v>
      </c>
      <c r="F13" s="455">
        <v>7206584</v>
      </c>
      <c r="G13" s="794">
        <v>40468664</v>
      </c>
      <c r="H13" s="449">
        <v>0.17807812978456616</v>
      </c>
      <c r="I13" s="7"/>
      <c r="J13" s="792"/>
    </row>
    <row r="14" spans="1:10" ht="20" customHeight="1" thickBot="1">
      <c r="A14" s="705" t="s">
        <v>1812</v>
      </c>
      <c r="B14" s="455">
        <v>33785</v>
      </c>
      <c r="C14" s="578">
        <v>4</v>
      </c>
      <c r="D14" s="793">
        <v>33789</v>
      </c>
      <c r="E14" s="578">
        <v>8033081.8048241045</v>
      </c>
      <c r="F14" s="455">
        <v>6798700</v>
      </c>
      <c r="G14" s="794">
        <v>14831782</v>
      </c>
      <c r="H14" s="449">
        <v>0.45838726594012774</v>
      </c>
      <c r="I14" s="7"/>
      <c r="J14" s="792"/>
    </row>
    <row r="15" spans="1:10" ht="20" customHeight="1" thickBot="1">
      <c r="A15" s="705" t="s">
        <v>1813</v>
      </c>
      <c r="B15" s="455">
        <v>39566</v>
      </c>
      <c r="C15" s="578">
        <v>3</v>
      </c>
      <c r="D15" s="793">
        <v>39569</v>
      </c>
      <c r="E15" s="578">
        <v>9407233</v>
      </c>
      <c r="F15" s="455">
        <v>4669983</v>
      </c>
      <c r="G15" s="794">
        <v>14077216</v>
      </c>
      <c r="H15" s="449">
        <v>0.33174052312616359</v>
      </c>
      <c r="I15" s="7"/>
      <c r="J15" s="792"/>
    </row>
    <row r="16" spans="1:10" ht="20" customHeight="1" thickBot="1">
      <c r="A16" s="705" t="s">
        <v>1814</v>
      </c>
      <c r="B16" s="455">
        <v>38034</v>
      </c>
      <c r="C16" s="578">
        <v>4</v>
      </c>
      <c r="D16" s="793">
        <v>38038</v>
      </c>
      <c r="E16" s="578">
        <v>9043250</v>
      </c>
      <c r="F16" s="455">
        <v>4092161</v>
      </c>
      <c r="G16" s="794">
        <v>13135411</v>
      </c>
      <c r="H16" s="449">
        <v>0.31153657849000688</v>
      </c>
      <c r="I16" s="7"/>
      <c r="J16" s="792"/>
    </row>
    <row r="17" spans="1:10" ht="20" customHeight="1" thickBot="1">
      <c r="A17" s="705" t="s">
        <v>1815</v>
      </c>
      <c r="B17" s="455">
        <v>108826</v>
      </c>
      <c r="C17" s="578">
        <v>55</v>
      </c>
      <c r="D17" s="793">
        <v>108881</v>
      </c>
      <c r="E17" s="578">
        <v>25885643</v>
      </c>
      <c r="F17" s="455">
        <v>11961733</v>
      </c>
      <c r="G17" s="794">
        <v>37847376</v>
      </c>
      <c r="H17" s="449">
        <v>0.31605184465100039</v>
      </c>
      <c r="I17" s="7"/>
      <c r="J17" s="792"/>
    </row>
    <row r="18" spans="1:10" ht="20" customHeight="1" thickBot="1">
      <c r="A18" s="705" t="s">
        <v>1816</v>
      </c>
      <c r="B18" s="455">
        <v>264151</v>
      </c>
      <c r="C18" s="578">
        <v>7</v>
      </c>
      <c r="D18" s="793">
        <v>264158</v>
      </c>
      <c r="E18" s="578">
        <v>62801587</v>
      </c>
      <c r="F18" s="455">
        <v>67715015</v>
      </c>
      <c r="G18" s="794">
        <v>130516602</v>
      </c>
      <c r="H18" s="449">
        <v>0.51882300000424464</v>
      </c>
      <c r="I18" s="7"/>
      <c r="J18" s="792"/>
    </row>
    <row r="19" spans="1:10" ht="20" customHeight="1" thickBot="1">
      <c r="A19" s="705" t="s">
        <v>1817</v>
      </c>
      <c r="B19" s="455">
        <v>249005</v>
      </c>
      <c r="C19" s="578">
        <v>105</v>
      </c>
      <c r="D19" s="793">
        <v>249110</v>
      </c>
      <c r="E19" s="578">
        <v>59224038</v>
      </c>
      <c r="F19" s="455">
        <v>47318669</v>
      </c>
      <c r="G19" s="794">
        <v>106542707</v>
      </c>
      <c r="H19" s="449">
        <v>0.44412865349854497</v>
      </c>
      <c r="I19" s="7"/>
      <c r="J19" s="792"/>
    </row>
    <row r="20" spans="1:10" ht="20" customHeight="1" thickBot="1">
      <c r="A20" s="705" t="s">
        <v>1818</v>
      </c>
      <c r="B20" s="455">
        <v>189777</v>
      </c>
      <c r="C20" s="578">
        <v>3017</v>
      </c>
      <c r="D20" s="793">
        <v>192794</v>
      </c>
      <c r="E20" s="578">
        <v>45835330</v>
      </c>
      <c r="F20" s="455">
        <v>80956409</v>
      </c>
      <c r="G20" s="794">
        <v>126791739</v>
      </c>
      <c r="H20" s="449">
        <v>0.63849908234163422</v>
      </c>
      <c r="I20" s="7"/>
      <c r="J20" s="792"/>
    </row>
    <row r="21" spans="1:10" ht="20" customHeight="1" thickBot="1">
      <c r="A21" s="705" t="s">
        <v>1819</v>
      </c>
      <c r="B21" s="188">
        <v>267247</v>
      </c>
      <c r="C21" s="187">
        <v>1406</v>
      </c>
      <c r="D21" s="793">
        <v>268653</v>
      </c>
      <c r="E21" s="578">
        <v>63870240</v>
      </c>
      <c r="F21" s="188">
        <v>33559257</v>
      </c>
      <c r="G21" s="456">
        <v>97429497</v>
      </c>
      <c r="H21" s="449">
        <v>0.34444657966365155</v>
      </c>
      <c r="I21" s="7"/>
      <c r="J21" s="792"/>
    </row>
    <row r="22" spans="1:10" ht="20" customHeight="1" thickBot="1">
      <c r="A22" s="705" t="s">
        <v>1820</v>
      </c>
      <c r="B22" s="455">
        <v>74598</v>
      </c>
      <c r="C22" s="578">
        <v>1319</v>
      </c>
      <c r="D22" s="793">
        <v>75917</v>
      </c>
      <c r="E22" s="578">
        <v>18048698</v>
      </c>
      <c r="F22" s="455">
        <v>17994864</v>
      </c>
      <c r="G22" s="794">
        <v>36043562</v>
      </c>
      <c r="H22" s="449">
        <v>0.4992532092138951</v>
      </c>
      <c r="I22" s="7"/>
      <c r="J22" s="792"/>
    </row>
    <row r="23" spans="1:10" ht="20" customHeight="1" thickBot="1">
      <c r="A23" s="705" t="s">
        <v>1821</v>
      </c>
      <c r="B23" s="455">
        <v>52345</v>
      </c>
      <c r="C23" s="578">
        <v>7</v>
      </c>
      <c r="D23" s="793">
        <v>52352</v>
      </c>
      <c r="E23" s="578">
        <v>12446296</v>
      </c>
      <c r="F23" s="455">
        <v>11720266</v>
      </c>
      <c r="G23" s="794">
        <v>24166562</v>
      </c>
      <c r="H23" s="449">
        <v>0.48497862459707758</v>
      </c>
      <c r="I23" s="7"/>
      <c r="J23" s="792"/>
    </row>
    <row r="24" spans="1:10" ht="20" customHeight="1" thickBot="1">
      <c r="A24" s="705" t="s">
        <v>1822</v>
      </c>
      <c r="B24" s="455">
        <v>15028</v>
      </c>
      <c r="C24" s="578">
        <v>2</v>
      </c>
      <c r="D24" s="793">
        <v>15030</v>
      </c>
      <c r="E24" s="578">
        <v>3573270</v>
      </c>
      <c r="F24" s="455">
        <v>993583.6</v>
      </c>
      <c r="G24" s="794">
        <v>4566853.5999999996</v>
      </c>
      <c r="H24" s="449">
        <v>0.21756414525747006</v>
      </c>
      <c r="I24" s="7"/>
      <c r="J24" s="792"/>
    </row>
    <row r="25" spans="1:10" ht="20" customHeight="1" thickBot="1">
      <c r="A25" s="705" t="s">
        <v>1823</v>
      </c>
      <c r="B25" s="455">
        <v>465852</v>
      </c>
      <c r="C25" s="578">
        <v>275</v>
      </c>
      <c r="D25" s="793">
        <v>466127</v>
      </c>
      <c r="E25" s="578">
        <v>110818205</v>
      </c>
      <c r="F25" s="455">
        <v>46357641</v>
      </c>
      <c r="G25" s="794">
        <v>157175846</v>
      </c>
      <c r="H25" s="449">
        <v>0.29494125325083348</v>
      </c>
      <c r="I25" s="7"/>
      <c r="J25" s="792"/>
    </row>
    <row r="26" spans="1:10" ht="20" customHeight="1" thickBot="1">
      <c r="A26" s="705" t="s">
        <v>1824</v>
      </c>
      <c r="B26" s="455">
        <v>191878</v>
      </c>
      <c r="C26" s="578">
        <v>114</v>
      </c>
      <c r="D26" s="793">
        <v>191992</v>
      </c>
      <c r="E26" s="578">
        <v>45644661</v>
      </c>
      <c r="F26" s="455">
        <v>18346803</v>
      </c>
      <c r="G26" s="794">
        <v>63991464</v>
      </c>
      <c r="H26" s="449">
        <v>0.28670703642598333</v>
      </c>
      <c r="I26" s="7"/>
      <c r="J26" s="792"/>
    </row>
    <row r="27" spans="1:10" ht="20" customHeight="1" thickBot="1">
      <c r="A27" s="705" t="s">
        <v>1825</v>
      </c>
      <c r="B27" s="455">
        <v>578790</v>
      </c>
      <c r="C27" s="578">
        <v>2411</v>
      </c>
      <c r="D27" s="793">
        <v>581201</v>
      </c>
      <c r="E27" s="578">
        <v>138176187</v>
      </c>
      <c r="F27" s="455">
        <v>57134444.900000006</v>
      </c>
      <c r="G27" s="794">
        <v>195310631.90000001</v>
      </c>
      <c r="H27" s="449">
        <v>0.29253115585255551</v>
      </c>
      <c r="I27" s="7"/>
      <c r="J27" s="792"/>
    </row>
    <row r="28" spans="1:10" ht="20" customHeight="1" thickBot="1">
      <c r="A28" s="705" t="s">
        <v>1826</v>
      </c>
      <c r="B28" s="455">
        <v>238141</v>
      </c>
      <c r="C28" s="578">
        <v>1132</v>
      </c>
      <c r="D28" s="793">
        <v>239273</v>
      </c>
      <c r="E28" s="578">
        <v>56885364</v>
      </c>
      <c r="F28" s="455">
        <v>50770061</v>
      </c>
      <c r="G28" s="794">
        <v>107655425</v>
      </c>
      <c r="H28" s="449">
        <v>0.47159779453752565</v>
      </c>
      <c r="I28" s="7"/>
      <c r="J28" s="792"/>
    </row>
    <row r="29" spans="1:10" ht="20" customHeight="1" thickBot="1">
      <c r="A29" s="705" t="s">
        <v>1827</v>
      </c>
      <c r="B29" s="455">
        <v>327632</v>
      </c>
      <c r="C29" s="578">
        <v>169</v>
      </c>
      <c r="D29" s="793">
        <v>327801</v>
      </c>
      <c r="E29" s="578">
        <v>77932234</v>
      </c>
      <c r="F29" s="455">
        <v>162920967</v>
      </c>
      <c r="G29" s="794">
        <v>240853201</v>
      </c>
      <c r="H29" s="449">
        <v>0.67643264164049866</v>
      </c>
      <c r="I29" s="7"/>
      <c r="J29" s="792"/>
    </row>
    <row r="30" spans="1:10" ht="20" customHeight="1" thickBot="1">
      <c r="A30" s="705" t="s">
        <v>1828</v>
      </c>
      <c r="B30" s="455">
        <v>678143</v>
      </c>
      <c r="C30" s="578">
        <v>177</v>
      </c>
      <c r="D30" s="793">
        <v>678320</v>
      </c>
      <c r="E30" s="578">
        <v>161265502</v>
      </c>
      <c r="F30" s="455">
        <v>202407837</v>
      </c>
      <c r="G30" s="794">
        <v>363673339</v>
      </c>
      <c r="H30" s="449">
        <v>0.55656495897270053</v>
      </c>
      <c r="I30" s="7"/>
      <c r="J30" s="792"/>
    </row>
    <row r="31" spans="1:10" ht="20" customHeight="1" thickBot="1">
      <c r="A31" s="705" t="s">
        <v>1829</v>
      </c>
      <c r="B31" s="455">
        <v>296923</v>
      </c>
      <c r="C31" s="578">
        <v>23</v>
      </c>
      <c r="D31" s="793">
        <v>296946</v>
      </c>
      <c r="E31" s="578">
        <v>70596689</v>
      </c>
      <c r="F31" s="455">
        <v>89301458</v>
      </c>
      <c r="G31" s="794">
        <v>159898147</v>
      </c>
      <c r="H31" s="449">
        <v>0.55848963653093486</v>
      </c>
      <c r="I31" s="7"/>
      <c r="J31" s="792"/>
    </row>
    <row r="32" spans="1:10" ht="20" customHeight="1" thickBot="1">
      <c r="A32" s="705" t="s">
        <v>1830</v>
      </c>
      <c r="B32" s="455">
        <v>169895</v>
      </c>
      <c r="C32" s="578">
        <v>70</v>
      </c>
      <c r="D32" s="793">
        <v>169965</v>
      </c>
      <c r="E32" s="578">
        <v>40407906</v>
      </c>
      <c r="F32" s="455">
        <v>44084344</v>
      </c>
      <c r="G32" s="794">
        <v>84492250</v>
      </c>
      <c r="H32" s="449">
        <v>0.52175606638478678</v>
      </c>
      <c r="I32" s="7"/>
      <c r="J32" s="792"/>
    </row>
    <row r="33" spans="1:12" ht="20" customHeight="1" thickBot="1">
      <c r="A33" s="705" t="s">
        <v>1831</v>
      </c>
      <c r="B33" s="455">
        <v>441756</v>
      </c>
      <c r="C33" s="578">
        <v>3433</v>
      </c>
      <c r="D33" s="793">
        <v>445189</v>
      </c>
      <c r="E33" s="578">
        <v>105840352</v>
      </c>
      <c r="F33" s="455">
        <v>140996038.72000003</v>
      </c>
      <c r="G33" s="794">
        <v>246836390.72000003</v>
      </c>
      <c r="H33" s="449">
        <v>0.57121252789642152</v>
      </c>
      <c r="J33" s="792"/>
    </row>
    <row r="34" spans="1:12" ht="20" customHeight="1" thickBot="1">
      <c r="A34" s="705" t="s">
        <v>1832</v>
      </c>
      <c r="B34" s="455">
        <v>68233</v>
      </c>
      <c r="C34" s="578">
        <v>31</v>
      </c>
      <c r="D34" s="793">
        <v>68264</v>
      </c>
      <c r="E34" s="578">
        <v>16229255</v>
      </c>
      <c r="F34" s="455">
        <v>21155245</v>
      </c>
      <c r="G34" s="794">
        <v>37384500</v>
      </c>
      <c r="H34" s="449">
        <v>0.56588278564645778</v>
      </c>
      <c r="J34" s="792"/>
      <c r="K34" s="8"/>
      <c r="L34" s="8"/>
    </row>
    <row r="35" spans="1:12" s="277" customFormat="1" ht="30" customHeight="1" thickBot="1">
      <c r="A35" s="707" t="s">
        <v>1222</v>
      </c>
      <c r="B35" s="191">
        <v>7618599</v>
      </c>
      <c r="C35" s="190">
        <v>15730</v>
      </c>
      <c r="D35" s="795">
        <v>7634329</v>
      </c>
      <c r="E35" s="611">
        <v>1815004568.8048241</v>
      </c>
      <c r="F35" s="610">
        <v>1727409516.7700002</v>
      </c>
      <c r="G35" s="611">
        <v>3542414085.7700005</v>
      </c>
      <c r="H35" s="451">
        <v>0.48763624888153639</v>
      </c>
      <c r="J35" s="796"/>
    </row>
    <row r="36" spans="1:12" ht="20" customHeight="1">
      <c r="A36" s="692" t="s">
        <v>225</v>
      </c>
      <c r="B36" s="194"/>
      <c r="C36" s="194"/>
      <c r="D36" s="709"/>
      <c r="E36" s="194"/>
      <c r="F36" s="194"/>
      <c r="G36" s="481"/>
      <c r="H36" s="196"/>
    </row>
    <row r="37" spans="1:12" ht="14.25" customHeight="1">
      <c r="A37" s="693"/>
      <c r="B37" s="196"/>
      <c r="C37" s="196"/>
      <c r="D37" s="710"/>
      <c r="E37" s="196"/>
      <c r="F37" s="196"/>
      <c r="G37" s="482"/>
      <c r="H37" s="196"/>
    </row>
    <row r="38" spans="1:12" ht="15.75" customHeight="1">
      <c r="A38" s="693" t="s">
        <v>1300</v>
      </c>
      <c r="B38" s="196"/>
      <c r="C38" s="196"/>
      <c r="D38" s="710"/>
      <c r="E38" s="196"/>
      <c r="F38" s="196"/>
      <c r="G38" s="482"/>
      <c r="H38" s="196"/>
    </row>
    <row r="39" spans="1:12" ht="13.5" customHeight="1">
      <c r="A39" s="693"/>
      <c r="B39" s="196"/>
      <c r="C39" s="196"/>
      <c r="D39" s="710"/>
      <c r="E39" s="196"/>
      <c r="F39" s="196"/>
      <c r="G39" s="482"/>
      <c r="H39" s="196"/>
    </row>
    <row r="40" spans="1:12">
      <c r="A40" s="2" t="s">
        <v>1301</v>
      </c>
    </row>
    <row r="41" spans="1:12">
      <c r="A41" s="2" t="s">
        <v>1302</v>
      </c>
    </row>
    <row r="42" spans="1:12">
      <c r="A42" s="2" t="s">
        <v>1303</v>
      </c>
    </row>
    <row r="43" spans="1:12">
      <c r="A43" s="797" t="s">
        <v>1304</v>
      </c>
    </row>
    <row r="46" spans="1:12">
      <c r="A46" s="2" t="s">
        <v>710</v>
      </c>
    </row>
  </sheetData>
  <mergeCells count="1">
    <mergeCell ref="A2:F2"/>
  </mergeCells>
  <phoneticPr fontId="0" type="noConversion"/>
  <pageMargins left="0.56000000000000005" right="0.51" top="0.81" bottom="0.49" header="0.42" footer="0.4921259845"/>
  <pageSetup paperSize="9" scale="81" orientation="portrait" horizontalDpi="1200" verticalDpi="1200"/>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E2CB5-BBFE-5A4F-AEB2-B68B5A88E70C}">
  <sheetPr>
    <pageSetUpPr fitToPage="1"/>
  </sheetPr>
  <dimension ref="A1:K44"/>
  <sheetViews>
    <sheetView zoomScale="75" workbookViewId="0">
      <selection activeCell="H40" sqref="H40"/>
    </sheetView>
  </sheetViews>
  <sheetFormatPr baseColWidth="10" defaultColWidth="11.3984375" defaultRowHeight="13"/>
  <cols>
    <col min="1" max="1" width="11.796875" style="2" customWidth="1"/>
    <col min="2" max="2" width="18.3984375" style="2" customWidth="1"/>
    <col min="3" max="3" width="17.796875" style="2" customWidth="1"/>
    <col min="4" max="4" width="17.3984375" style="277" customWidth="1"/>
    <col min="5" max="5" width="16" style="87" customWidth="1"/>
    <col min="6" max="6" width="13.3984375" style="87" customWidth="1"/>
    <col min="7" max="7" width="14.59765625" style="87" customWidth="1"/>
    <col min="8" max="8" width="14.796875" style="2" customWidth="1"/>
    <col min="9" max="9" width="11.59765625" style="2" customWidth="1"/>
    <col min="10" max="16384" width="11.3984375" style="2"/>
  </cols>
  <sheetData>
    <row r="1" spans="1:9" s="1" customFormat="1" ht="14" customHeight="1">
      <c r="D1" s="16"/>
      <c r="E1" s="289"/>
      <c r="F1" s="289"/>
      <c r="G1" s="289"/>
    </row>
    <row r="2" spans="1:9" s="1" customFormat="1" ht="28" customHeight="1">
      <c r="A2" s="118" t="s">
        <v>1308</v>
      </c>
      <c r="D2" s="16"/>
      <c r="E2" s="289"/>
      <c r="F2" s="289"/>
      <c r="G2" s="398"/>
      <c r="H2" s="398">
        <v>2009</v>
      </c>
    </row>
    <row r="3" spans="1:9" ht="24" customHeight="1">
      <c r="A3" s="119" t="s">
        <v>1797</v>
      </c>
      <c r="B3" s="120" t="s">
        <v>1309</v>
      </c>
      <c r="C3" s="121" t="s">
        <v>1309</v>
      </c>
      <c r="D3" s="356" t="s">
        <v>1567</v>
      </c>
      <c r="E3" s="306" t="s">
        <v>1801</v>
      </c>
      <c r="F3" s="390" t="s">
        <v>1567</v>
      </c>
      <c r="G3" s="306" t="s">
        <v>1567</v>
      </c>
      <c r="H3" s="798"/>
    </row>
    <row r="4" spans="1:9" ht="15" customHeight="1">
      <c r="A4" s="325"/>
      <c r="B4" s="149" t="s">
        <v>1310</v>
      </c>
      <c r="C4" s="150" t="s">
        <v>1310</v>
      </c>
      <c r="D4" s="799" t="s">
        <v>1297</v>
      </c>
      <c r="E4" s="122" t="s">
        <v>1802</v>
      </c>
      <c r="F4" s="788" t="s">
        <v>1309</v>
      </c>
      <c r="G4" s="122" t="s">
        <v>1309</v>
      </c>
      <c r="H4" s="788" t="s">
        <v>1311</v>
      </c>
    </row>
    <row r="5" spans="1:9" ht="15.75" customHeight="1">
      <c r="A5" s="325"/>
      <c r="B5" s="123" t="s">
        <v>228</v>
      </c>
      <c r="C5" s="124" t="s">
        <v>229</v>
      </c>
      <c r="D5" s="799" t="s">
        <v>217</v>
      </c>
      <c r="E5" s="122" t="s">
        <v>1806</v>
      </c>
      <c r="F5" s="788" t="s">
        <v>2397</v>
      </c>
      <c r="G5" s="122" t="s">
        <v>2395</v>
      </c>
      <c r="H5" s="788" t="s">
        <v>1312</v>
      </c>
    </row>
    <row r="6" spans="1:9" ht="15" customHeight="1">
      <c r="A6" s="325"/>
      <c r="B6" s="123" t="s">
        <v>2528</v>
      </c>
      <c r="C6" s="124" t="s">
        <v>1313</v>
      </c>
      <c r="D6" s="799" t="s">
        <v>2528</v>
      </c>
      <c r="E6" s="122"/>
      <c r="F6" s="788" t="s">
        <v>2528</v>
      </c>
      <c r="G6" s="122" t="s">
        <v>1314</v>
      </c>
      <c r="H6" s="788" t="s">
        <v>1315</v>
      </c>
    </row>
    <row r="7" spans="1:9" ht="24" customHeight="1">
      <c r="A7" s="326"/>
      <c r="B7" s="129"/>
      <c r="C7" s="128" t="s">
        <v>2528</v>
      </c>
      <c r="D7" s="293"/>
      <c r="E7" s="152"/>
      <c r="F7" s="151"/>
      <c r="G7" s="152"/>
      <c r="H7" s="151"/>
    </row>
    <row r="8" spans="1:9" ht="30" customHeight="1" thickBot="1">
      <c r="A8" s="704" t="s">
        <v>1807</v>
      </c>
      <c r="B8" s="132">
        <v>596728745.10000002</v>
      </c>
      <c r="C8" s="133">
        <v>10492258.949999999</v>
      </c>
      <c r="D8" s="800">
        <v>607221004.05000007</v>
      </c>
      <c r="E8" s="422">
        <v>5.9568498099629774E-2</v>
      </c>
      <c r="F8" s="791">
        <v>2081.7054997703076</v>
      </c>
      <c r="G8" s="404">
        <v>1392.006336366971</v>
      </c>
      <c r="H8" s="581">
        <v>0.5452344663217813</v>
      </c>
      <c r="I8" s="134"/>
    </row>
    <row r="9" spans="1:9" ht="20" customHeight="1" thickBot="1">
      <c r="A9" s="705" t="s">
        <v>1808</v>
      </c>
      <c r="B9" s="455">
        <v>424577784.55000001</v>
      </c>
      <c r="C9" s="578">
        <v>42756271.950000003</v>
      </c>
      <c r="D9" s="801">
        <v>467334056.5</v>
      </c>
      <c r="E9" s="422">
        <v>3.0088362030004871E-3</v>
      </c>
      <c r="F9" s="793">
        <v>3544.087852543928</v>
      </c>
      <c r="G9" s="1983">
        <v>1689.6641038527175</v>
      </c>
      <c r="H9" s="1984">
        <v>0.61228106920026193</v>
      </c>
      <c r="I9" s="134"/>
    </row>
    <row r="10" spans="1:9" ht="20" customHeight="1" thickBot="1">
      <c r="A10" s="705" t="s">
        <v>1809</v>
      </c>
      <c r="B10" s="455">
        <v>145872523</v>
      </c>
      <c r="C10" s="578">
        <v>3322361</v>
      </c>
      <c r="D10" s="801">
        <v>149194884</v>
      </c>
      <c r="E10" s="422">
        <v>-3.617757866481882E-2</v>
      </c>
      <c r="F10" s="793">
        <v>2398.9015484057691</v>
      </c>
      <c r="G10" s="404">
        <v>1183.5979119728365</v>
      </c>
      <c r="H10" s="449">
        <v>0.54509707766873949</v>
      </c>
      <c r="I10" s="134"/>
    </row>
    <row r="11" spans="1:9" ht="20" customHeight="1" thickBot="1">
      <c r="A11" s="705" t="s">
        <v>1810</v>
      </c>
      <c r="B11" s="455">
        <v>14789733</v>
      </c>
      <c r="C11" s="578">
        <v>185242</v>
      </c>
      <c r="D11" s="801">
        <v>14974975</v>
      </c>
      <c r="E11" s="422">
        <v>5.2559385886276164E-2</v>
      </c>
      <c r="F11" s="793">
        <v>2320.2626278277039</v>
      </c>
      <c r="G11" s="404">
        <v>1054.0560991060745</v>
      </c>
      <c r="H11" s="449">
        <v>0.53915726897202898</v>
      </c>
      <c r="I11" s="134"/>
    </row>
    <row r="12" spans="1:9" ht="20" customHeight="1" thickBot="1">
      <c r="A12" s="705" t="s">
        <v>1811</v>
      </c>
      <c r="B12" s="455">
        <v>40335329</v>
      </c>
      <c r="C12" s="578">
        <v>133335</v>
      </c>
      <c r="D12" s="801">
        <v>40468664</v>
      </c>
      <c r="E12" s="422">
        <v>3.691296284946427E-2</v>
      </c>
      <c r="F12" s="793">
        <v>2261.8300916610774</v>
      </c>
      <c r="G12" s="404">
        <v>1114.6856906762155</v>
      </c>
      <c r="H12" s="449">
        <v>0.52122983348440377</v>
      </c>
      <c r="I12" s="134"/>
    </row>
    <row r="13" spans="1:9" ht="20" customHeight="1" thickBot="1">
      <c r="A13" s="705" t="s">
        <v>1812</v>
      </c>
      <c r="B13" s="455">
        <v>14825537</v>
      </c>
      <c r="C13" s="578">
        <v>6245</v>
      </c>
      <c r="D13" s="801">
        <v>14831782</v>
      </c>
      <c r="E13" s="422">
        <v>4.3735643322027437E-2</v>
      </c>
      <c r="F13" s="793">
        <v>2051.7059067644209</v>
      </c>
      <c r="G13" s="404">
        <v>1175.2600633914421</v>
      </c>
      <c r="H13" s="449">
        <v>0.60445926325479438</v>
      </c>
      <c r="I13" s="134"/>
    </row>
    <row r="14" spans="1:9" ht="20" customHeight="1" thickBot="1">
      <c r="A14" s="705" t="s">
        <v>1813</v>
      </c>
      <c r="B14" s="455">
        <v>13887411</v>
      </c>
      <c r="C14" s="578">
        <v>189805</v>
      </c>
      <c r="D14" s="801">
        <v>14077216</v>
      </c>
      <c r="E14" s="422">
        <v>9.2409503948778213E-2</v>
      </c>
      <c r="F14" s="793">
        <v>1615.1005048187242</v>
      </c>
      <c r="G14" s="404">
        <v>762.53810736146465</v>
      </c>
      <c r="H14" s="449">
        <v>0.40831406886454202</v>
      </c>
      <c r="I14" s="134"/>
    </row>
    <row r="15" spans="1:9" ht="20" customHeight="1" thickBot="1">
      <c r="A15" s="705" t="s">
        <v>1814</v>
      </c>
      <c r="B15" s="455">
        <v>13135411</v>
      </c>
      <c r="C15" s="578">
        <v>0</v>
      </c>
      <c r="D15" s="801">
        <v>13135411</v>
      </c>
      <c r="E15" s="422">
        <v>7.8238068829740742E-2</v>
      </c>
      <c r="F15" s="793">
        <v>2856.7662026968246</v>
      </c>
      <c r="G15" s="404">
        <v>1228.0675953627524</v>
      </c>
      <c r="H15" s="449">
        <v>0.55704351251009632</v>
      </c>
      <c r="I15" s="134"/>
    </row>
    <row r="16" spans="1:9" ht="20" customHeight="1" thickBot="1">
      <c r="A16" s="705" t="s">
        <v>1815</v>
      </c>
      <c r="B16" s="455">
        <v>33383866</v>
      </c>
      <c r="C16" s="578">
        <v>4463510</v>
      </c>
      <c r="D16" s="801">
        <v>37847376</v>
      </c>
      <c r="E16" s="422">
        <v>6.4595408257467568E-2</v>
      </c>
      <c r="F16" s="793">
        <v>2805.5875463306152</v>
      </c>
      <c r="G16" s="404">
        <v>1272.3090059501799</v>
      </c>
      <c r="H16" s="449">
        <v>0.59894328819960319</v>
      </c>
      <c r="I16" s="134"/>
    </row>
    <row r="17" spans="1:9" ht="20" customHeight="1" thickBot="1">
      <c r="A17" s="705" t="s">
        <v>1816</v>
      </c>
      <c r="B17" s="455">
        <v>130516602</v>
      </c>
      <c r="C17" s="578">
        <v>0</v>
      </c>
      <c r="D17" s="801">
        <v>130516602</v>
      </c>
      <c r="E17" s="422">
        <v>7.3719191264048509E-2</v>
      </c>
      <c r="F17" s="793">
        <v>3974.681060998264</v>
      </c>
      <c r="G17" s="404">
        <v>1920.2089451228483</v>
      </c>
      <c r="H17" s="449">
        <v>0.80533420725197613</v>
      </c>
      <c r="I17" s="134"/>
    </row>
    <row r="18" spans="1:9" ht="20" customHeight="1" thickBot="1">
      <c r="A18" s="705" t="s">
        <v>1817</v>
      </c>
      <c r="B18" s="455">
        <v>104745022</v>
      </c>
      <c r="C18" s="578">
        <v>1797685</v>
      </c>
      <c r="D18" s="801">
        <v>106542707</v>
      </c>
      <c r="E18" s="422">
        <v>0.1089723093922905</v>
      </c>
      <c r="F18" s="793">
        <v>3369.3655165870782</v>
      </c>
      <c r="G18" s="404">
        <v>1520.9088534231714</v>
      </c>
      <c r="H18" s="449">
        <v>0.6257069755479111</v>
      </c>
      <c r="I18" s="134"/>
    </row>
    <row r="19" spans="1:9" ht="20" customHeight="1" thickBot="1">
      <c r="A19" s="705" t="s">
        <v>1818</v>
      </c>
      <c r="B19" s="455">
        <v>127620369</v>
      </c>
      <c r="C19" s="578">
        <v>-828630</v>
      </c>
      <c r="D19" s="801">
        <v>126791739</v>
      </c>
      <c r="E19" s="422">
        <v>4.8918821423213334E-2</v>
      </c>
      <c r="F19" s="793">
        <v>4213.1899714228748</v>
      </c>
      <c r="G19" s="404">
        <v>2543.108069077562</v>
      </c>
      <c r="H19" s="449">
        <v>0.69924574585379118</v>
      </c>
      <c r="I19" s="134"/>
    </row>
    <row r="20" spans="1:9" ht="20" customHeight="1" thickBot="1">
      <c r="A20" s="705" t="s">
        <v>1819</v>
      </c>
      <c r="B20" s="455">
        <v>94040340</v>
      </c>
      <c r="C20" s="578">
        <v>3389157</v>
      </c>
      <c r="D20" s="295">
        <v>97429497</v>
      </c>
      <c r="E20" s="422">
        <v>5.3094549387724989E-2</v>
      </c>
      <c r="F20" s="793">
        <v>3022.1942117997396</v>
      </c>
      <c r="G20" s="404">
        <v>1639.0682850509741</v>
      </c>
      <c r="H20" s="449">
        <v>0.60248524296129602</v>
      </c>
      <c r="I20" s="134"/>
    </row>
    <row r="21" spans="1:9" ht="20" customHeight="1" thickBot="1">
      <c r="A21" s="705" t="s">
        <v>1820</v>
      </c>
      <c r="B21" s="455">
        <v>35019535</v>
      </c>
      <c r="C21" s="578">
        <v>1024027</v>
      </c>
      <c r="D21" s="801">
        <v>36043562</v>
      </c>
      <c r="E21" s="422">
        <v>-1.3135419001911531E-3</v>
      </c>
      <c r="F21" s="793">
        <v>3152.0386532575426</v>
      </c>
      <c r="G21" s="404">
        <v>1520.5687647654404</v>
      </c>
      <c r="H21" s="449">
        <v>0.61007259579518902</v>
      </c>
      <c r="I21" s="134"/>
    </row>
    <row r="22" spans="1:9" ht="20" customHeight="1" thickBot="1">
      <c r="A22" s="705" t="s">
        <v>1821</v>
      </c>
      <c r="B22" s="455">
        <v>23909103</v>
      </c>
      <c r="C22" s="578">
        <v>257459</v>
      </c>
      <c r="D22" s="801">
        <v>24166562</v>
      </c>
      <c r="E22" s="422">
        <v>4.8636491840126354E-2</v>
      </c>
      <c r="F22" s="793">
        <v>3936.5632839224631</v>
      </c>
      <c r="G22" s="404">
        <v>1483.1571130477475</v>
      </c>
      <c r="H22" s="449">
        <v>0.74892098288840847</v>
      </c>
      <c r="I22" s="134"/>
    </row>
    <row r="23" spans="1:9" ht="20" customHeight="1" thickBot="1">
      <c r="A23" s="705" t="s">
        <v>1822</v>
      </c>
      <c r="B23" s="455">
        <v>4475787</v>
      </c>
      <c r="C23" s="578">
        <v>91066.6</v>
      </c>
      <c r="D23" s="801">
        <v>4566853.5999999996</v>
      </c>
      <c r="E23" s="422">
        <v>0.17079657225305184</v>
      </c>
      <c r="F23" s="793">
        <v>1638.0393113342898</v>
      </c>
      <c r="G23" s="404">
        <v>666.11050175029163</v>
      </c>
      <c r="H23" s="449">
        <v>0.3683715405556357</v>
      </c>
      <c r="I23" s="134"/>
    </row>
    <row r="24" spans="1:9" ht="20" customHeight="1" thickBot="1">
      <c r="A24" s="705" t="s">
        <v>1823</v>
      </c>
      <c r="B24" s="455">
        <v>157175846</v>
      </c>
      <c r="C24" s="578">
        <v>0</v>
      </c>
      <c r="D24" s="801">
        <v>157175846</v>
      </c>
      <c r="E24" s="422">
        <v>0.11535786828317171</v>
      </c>
      <c r="F24" s="793">
        <v>2301.2905899061479</v>
      </c>
      <c r="G24" s="404">
        <v>1044.8993232372925</v>
      </c>
      <c r="H24" s="449">
        <v>0.48308946501643402</v>
      </c>
      <c r="I24" s="134"/>
    </row>
    <row r="25" spans="1:9" ht="20" customHeight="1" thickBot="1">
      <c r="A25" s="705" t="s">
        <v>1824</v>
      </c>
      <c r="B25" s="455">
        <v>57625763</v>
      </c>
      <c r="C25" s="578">
        <v>6365701</v>
      </c>
      <c r="D25" s="801">
        <v>63991464</v>
      </c>
      <c r="E25" s="422">
        <v>3.2503012729362415E-2</v>
      </c>
      <c r="F25" s="793">
        <v>2287.4517962466489</v>
      </c>
      <c r="G25" s="404">
        <v>1095.3691201643273</v>
      </c>
      <c r="H25" s="449">
        <v>0.48454548040579887</v>
      </c>
      <c r="I25" s="134"/>
    </row>
    <row r="26" spans="1:9" ht="20" customHeight="1" thickBot="1">
      <c r="A26" s="705" t="s">
        <v>1825</v>
      </c>
      <c r="B26" s="455">
        <v>177655180</v>
      </c>
      <c r="C26" s="578">
        <v>17655451.899999999</v>
      </c>
      <c r="D26" s="801">
        <v>195310631.90000001</v>
      </c>
      <c r="E26" s="422">
        <v>9.4464664383168723E-2</v>
      </c>
      <c r="F26" s="793">
        <v>3116.6921759805955</v>
      </c>
      <c r="G26" s="404">
        <v>1276.3398676024676</v>
      </c>
      <c r="H26" s="449">
        <v>0.53625093521675571</v>
      </c>
      <c r="I26" s="134"/>
    </row>
    <row r="27" spans="1:9" ht="20" customHeight="1" thickBot="1">
      <c r="A27" s="705" t="s">
        <v>1826</v>
      </c>
      <c r="B27" s="455">
        <v>103559537</v>
      </c>
      <c r="C27" s="578">
        <v>4095888</v>
      </c>
      <c r="D27" s="801">
        <v>107655425</v>
      </c>
      <c r="E27" s="422">
        <v>2.7166228300763772E-2</v>
      </c>
      <c r="F27" s="793">
        <v>2114.1240524724089</v>
      </c>
      <c r="G27" s="404">
        <v>1189.2473266757986</v>
      </c>
      <c r="H27" s="449">
        <v>0.51476240707883802</v>
      </c>
      <c r="I27" s="134"/>
    </row>
    <row r="28" spans="1:9" ht="20" customHeight="1" thickBot="1">
      <c r="A28" s="705" t="s">
        <v>1827</v>
      </c>
      <c r="B28" s="455">
        <v>239322605</v>
      </c>
      <c r="C28" s="578">
        <v>1530596</v>
      </c>
      <c r="D28" s="801">
        <v>240853201</v>
      </c>
      <c r="E28" s="422">
        <v>2.3430175962680721E-2</v>
      </c>
      <c r="F28" s="793">
        <v>4146.4217639058652</v>
      </c>
      <c r="G28" s="404">
        <v>2393.3105548710205</v>
      </c>
      <c r="H28" s="449">
        <v>0.76856559726849416</v>
      </c>
      <c r="I28" s="134"/>
    </row>
    <row r="29" spans="1:9" ht="20" customHeight="1" thickBot="1">
      <c r="A29" s="705" t="s">
        <v>1828</v>
      </c>
      <c r="B29" s="455">
        <v>361714012</v>
      </c>
      <c r="C29" s="578">
        <v>1959327</v>
      </c>
      <c r="D29" s="801">
        <v>363673339</v>
      </c>
      <c r="E29" s="422">
        <v>6.9508522571282386E-2</v>
      </c>
      <c r="F29" s="793">
        <v>4384.6176169176424</v>
      </c>
      <c r="G29" s="404">
        <v>2423.9071889413208</v>
      </c>
      <c r="H29" s="449">
        <v>0.8126593503937799</v>
      </c>
      <c r="I29" s="134"/>
    </row>
    <row r="30" spans="1:9" ht="20" customHeight="1" thickBot="1">
      <c r="A30" s="705" t="s">
        <v>1829</v>
      </c>
      <c r="B30" s="455">
        <v>154823742</v>
      </c>
      <c r="C30" s="578">
        <v>5074406</v>
      </c>
      <c r="D30" s="801">
        <v>159898148</v>
      </c>
      <c r="E30" s="422">
        <v>1.8540473200020193E-2</v>
      </c>
      <c r="F30" s="793">
        <v>2992.2740423302207</v>
      </c>
      <c r="G30" s="404">
        <v>1713.6044839300832</v>
      </c>
      <c r="H30" s="449">
        <v>0.73197964606922261</v>
      </c>
      <c r="I30" s="134"/>
    </row>
    <row r="31" spans="1:9" ht="20" customHeight="1" thickBot="1">
      <c r="A31" s="705" t="s">
        <v>1830</v>
      </c>
      <c r="B31" s="455">
        <v>84111338</v>
      </c>
      <c r="C31" s="578">
        <v>380912</v>
      </c>
      <c r="D31" s="801">
        <v>84492250</v>
      </c>
      <c r="E31" s="422">
        <v>8.2196092808735258E-2</v>
      </c>
      <c r="F31" s="793">
        <v>2964.1203297667075</v>
      </c>
      <c r="G31" s="404">
        <v>1756.2670186451599</v>
      </c>
      <c r="H31" s="449">
        <v>0.60001890915987666</v>
      </c>
      <c r="I31" s="134"/>
    </row>
    <row r="32" spans="1:9" ht="20" customHeight="1" thickBot="1">
      <c r="A32" s="705" t="s">
        <v>1831</v>
      </c>
      <c r="B32" s="455">
        <v>215259168.32000002</v>
      </c>
      <c r="C32" s="578">
        <v>31577222.40000001</v>
      </c>
      <c r="D32" s="801">
        <v>246836390.72000003</v>
      </c>
      <c r="E32" s="422">
        <v>-8.158925384031606E-3</v>
      </c>
      <c r="F32" s="793">
        <v>2695.3383496216384</v>
      </c>
      <c r="G32" s="404">
        <v>1868.9956819541303</v>
      </c>
      <c r="H32" s="449">
        <v>0.53760884363225681</v>
      </c>
      <c r="I32" s="134"/>
    </row>
    <row r="33" spans="1:11" ht="20" customHeight="1" thickBot="1">
      <c r="A33" s="705" t="s">
        <v>1832</v>
      </c>
      <c r="B33" s="455">
        <v>36447238</v>
      </c>
      <c r="C33" s="578">
        <v>937262</v>
      </c>
      <c r="D33" s="801">
        <v>37384500</v>
      </c>
      <c r="E33" s="422">
        <v>1.4998834439407709E-2</v>
      </c>
      <c r="F33" s="793">
        <v>2724.02360827747</v>
      </c>
      <c r="G33" s="404">
        <v>1606.4154348573393</v>
      </c>
      <c r="H33" s="449">
        <v>0.60140702156197523</v>
      </c>
      <c r="I33" s="8"/>
      <c r="J33" s="8"/>
      <c r="K33" s="8"/>
    </row>
    <row r="34" spans="1:11" ht="30" customHeight="1" thickBot="1">
      <c r="A34" s="707" t="s">
        <v>1222</v>
      </c>
      <c r="B34" s="610">
        <v>3405557526.9700003</v>
      </c>
      <c r="C34" s="611">
        <v>136856559.80000001</v>
      </c>
      <c r="D34" s="610">
        <v>3542414086.7700005</v>
      </c>
      <c r="E34" s="417">
        <v>4.2421832147317574E-2</v>
      </c>
      <c r="F34" s="795">
        <v>2881.3748348974887</v>
      </c>
      <c r="G34" s="1985">
        <v>1570.991971568458</v>
      </c>
      <c r="H34" s="1986">
        <v>0.60177288016870822</v>
      </c>
      <c r="I34" s="134"/>
    </row>
    <row r="35" spans="1:11" ht="20" customHeight="1">
      <c r="A35" s="692" t="s">
        <v>225</v>
      </c>
      <c r="B35" s="194"/>
      <c r="C35" s="194"/>
      <c r="D35" s="481"/>
      <c r="E35" s="709"/>
      <c r="F35" s="709"/>
      <c r="G35" s="709"/>
    </row>
    <row r="36" spans="1:11" ht="8.25" customHeight="1">
      <c r="A36" s="693"/>
      <c r="B36" s="196"/>
      <c r="C36" s="196"/>
      <c r="D36" s="482"/>
      <c r="E36" s="710"/>
      <c r="F36" s="710"/>
      <c r="G36" s="710"/>
    </row>
    <row r="37" spans="1:11" ht="14.25" customHeight="1">
      <c r="A37" s="693" t="s">
        <v>1316</v>
      </c>
      <c r="B37" s="196"/>
      <c r="C37" s="196"/>
      <c r="D37" s="482"/>
      <c r="E37" s="710"/>
      <c r="F37" s="710"/>
      <c r="G37" s="710"/>
    </row>
    <row r="38" spans="1:11" ht="12.75" customHeight="1">
      <c r="A38" s="693"/>
      <c r="B38" s="196"/>
      <c r="C38" s="196"/>
      <c r="D38" s="482"/>
      <c r="E38" s="710"/>
      <c r="F38" s="710"/>
      <c r="G38" s="710"/>
    </row>
    <row r="39" spans="1:11" ht="14.25" customHeight="1">
      <c r="A39" s="141" t="s">
        <v>1317</v>
      </c>
      <c r="B39" s="196"/>
      <c r="C39" s="196"/>
      <c r="D39" s="482"/>
      <c r="E39" s="710"/>
      <c r="F39" s="710"/>
      <c r="G39" s="710"/>
    </row>
    <row r="40" spans="1:11" ht="13.5" customHeight="1">
      <c r="A40" s="2" t="s">
        <v>215</v>
      </c>
      <c r="B40" s="196"/>
      <c r="C40" s="196"/>
      <c r="D40" s="482"/>
      <c r="E40" s="710"/>
      <c r="F40" s="710"/>
      <c r="G40" s="710"/>
    </row>
    <row r="41" spans="1:11" ht="14.25" customHeight="1">
      <c r="A41" s="797" t="s">
        <v>216</v>
      </c>
      <c r="B41" s="196"/>
      <c r="C41" s="196"/>
      <c r="D41" s="482"/>
      <c r="E41" s="710"/>
      <c r="F41" s="710"/>
      <c r="G41" s="710"/>
    </row>
    <row r="44" spans="1:11">
      <c r="A44" s="2" t="s">
        <v>710</v>
      </c>
    </row>
  </sheetData>
  <phoneticPr fontId="0" type="noConversion"/>
  <pageMargins left="0.59" right="0.56999999999999995" top="0.87" bottom="0.49" header="0.42" footer="0.4921259845"/>
  <pageSetup paperSize="9" scale="74" orientation="portrait" horizontalDpi="1200" verticalDpi="1200"/>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D100D-0032-CB49-9B67-54FBB757B7A8}">
  <sheetPr>
    <pageSetUpPr fitToPage="1"/>
  </sheetPr>
  <dimension ref="A1:M46"/>
  <sheetViews>
    <sheetView zoomScale="75" workbookViewId="0">
      <selection activeCell="A39" sqref="A39"/>
    </sheetView>
  </sheetViews>
  <sheetFormatPr baseColWidth="10" defaultColWidth="11.3984375" defaultRowHeight="13"/>
  <cols>
    <col min="1" max="1" width="14.59765625" style="2" customWidth="1"/>
    <col min="2" max="3" width="19.3984375" style="2" customWidth="1"/>
    <col min="4" max="4" width="19" style="87" customWidth="1"/>
    <col min="5" max="5" width="7.3984375" style="87" customWidth="1"/>
    <col min="6" max="8" width="16.796875" style="87" customWidth="1"/>
    <col min="9" max="9" width="13" style="2" customWidth="1"/>
    <col min="10" max="16384" width="11.3984375" style="2"/>
  </cols>
  <sheetData>
    <row r="1" spans="1:11" s="1" customFormat="1" ht="14" customHeight="1">
      <c r="D1" s="289"/>
      <c r="E1" s="289"/>
      <c r="F1" s="289"/>
      <c r="G1" s="289"/>
      <c r="H1" s="289"/>
      <c r="K1" s="697"/>
    </row>
    <row r="2" spans="1:11" s="1" customFormat="1" ht="28.5" customHeight="1">
      <c r="A2" s="2014" t="s">
        <v>218</v>
      </c>
      <c r="B2" s="2018"/>
      <c r="C2" s="2018"/>
      <c r="D2" s="2018"/>
      <c r="E2" s="2023"/>
      <c r="F2" s="2018"/>
      <c r="G2" s="2018"/>
      <c r="H2" s="2018"/>
      <c r="K2" s="698"/>
    </row>
    <row r="3" spans="1:11" ht="24" customHeight="1">
      <c r="A3" s="119" t="s">
        <v>1797</v>
      </c>
      <c r="B3" s="802" t="s">
        <v>224</v>
      </c>
      <c r="C3" s="389"/>
      <c r="D3" s="803"/>
      <c r="E3" s="804"/>
      <c r="F3" s="805" t="s">
        <v>219</v>
      </c>
      <c r="G3" s="806"/>
      <c r="H3" s="806"/>
      <c r="K3" s="700"/>
    </row>
    <row r="4" spans="1:11" ht="18" customHeight="1">
      <c r="A4" s="325"/>
      <c r="B4" s="149"/>
      <c r="C4" s="150"/>
      <c r="D4" s="736"/>
      <c r="E4" s="789"/>
      <c r="F4" s="124" t="s">
        <v>1289</v>
      </c>
      <c r="G4" s="124" t="s">
        <v>1290</v>
      </c>
      <c r="H4" s="124" t="s">
        <v>1289</v>
      </c>
      <c r="K4" s="789"/>
    </row>
    <row r="5" spans="1:11" ht="18.75" customHeight="1">
      <c r="A5" s="325"/>
      <c r="B5" s="807">
        <v>2009</v>
      </c>
      <c r="C5" s="808">
        <v>2010</v>
      </c>
      <c r="D5" s="807">
        <v>2011</v>
      </c>
      <c r="E5" s="809"/>
      <c r="F5" s="124" t="s">
        <v>1291</v>
      </c>
      <c r="G5" s="150" t="s">
        <v>1305</v>
      </c>
      <c r="H5" s="124" t="s">
        <v>1291</v>
      </c>
      <c r="K5" s="789"/>
    </row>
    <row r="6" spans="1:11" ht="15" customHeight="1">
      <c r="A6" s="325"/>
      <c r="B6" s="123"/>
      <c r="C6" s="124"/>
      <c r="D6" s="125"/>
      <c r="E6" s="789"/>
      <c r="F6" s="124" t="s">
        <v>1306</v>
      </c>
      <c r="G6" s="124"/>
      <c r="H6" s="124" t="s">
        <v>1295</v>
      </c>
      <c r="K6" s="789"/>
    </row>
    <row r="7" spans="1:11" ht="18" customHeight="1">
      <c r="A7" s="325"/>
      <c r="B7" s="123"/>
      <c r="C7" s="124"/>
      <c r="D7" s="125"/>
      <c r="E7" s="789"/>
      <c r="F7" s="124"/>
      <c r="G7" s="124"/>
      <c r="H7" s="124" t="s">
        <v>1298</v>
      </c>
      <c r="K7" s="700"/>
    </row>
    <row r="8" spans="1:11" ht="20.25" customHeight="1">
      <c r="A8" s="326"/>
      <c r="B8" s="129"/>
      <c r="C8" s="128"/>
      <c r="D8" s="127"/>
      <c r="E8" s="810"/>
      <c r="F8" s="600"/>
      <c r="G8" s="600"/>
      <c r="H8" s="811" t="s">
        <v>1299</v>
      </c>
      <c r="K8" s="790"/>
    </row>
    <row r="9" spans="1:11" ht="30" customHeight="1" thickBot="1">
      <c r="A9" s="704" t="s">
        <v>1807</v>
      </c>
      <c r="B9" s="170">
        <v>314913496</v>
      </c>
      <c r="C9" s="171">
        <v>345069805.33357358</v>
      </c>
      <c r="D9" s="170">
        <v>370346571.35829043</v>
      </c>
      <c r="E9" s="702"/>
      <c r="F9" s="171">
        <v>1366821</v>
      </c>
      <c r="G9" s="171">
        <v>2557.61</v>
      </c>
      <c r="H9" s="171">
        <v>1369378.61</v>
      </c>
      <c r="J9" s="7"/>
      <c r="K9" s="792"/>
    </row>
    <row r="10" spans="1:11" ht="20" customHeight="1" thickBot="1">
      <c r="A10" s="705" t="s">
        <v>1808</v>
      </c>
      <c r="B10" s="170">
        <v>230617608</v>
      </c>
      <c r="C10" s="171">
        <v>249114570.81444359</v>
      </c>
      <c r="D10" s="170">
        <v>264981951.64171341</v>
      </c>
      <c r="E10" s="702"/>
      <c r="F10" s="171">
        <v>979554</v>
      </c>
      <c r="G10" s="171">
        <v>232.62333333333299</v>
      </c>
      <c r="H10" s="171">
        <v>979786.62333333329</v>
      </c>
      <c r="J10" s="7"/>
      <c r="K10" s="792"/>
    </row>
    <row r="11" spans="1:11" ht="20" customHeight="1" thickBot="1">
      <c r="A11" s="705" t="s">
        <v>1809</v>
      </c>
      <c r="B11" s="170">
        <v>86055658</v>
      </c>
      <c r="C11" s="171">
        <v>93675575.722159237</v>
      </c>
      <c r="D11" s="170">
        <v>100373906.7093851</v>
      </c>
      <c r="E11" s="702"/>
      <c r="F11" s="171">
        <v>370931</v>
      </c>
      <c r="G11" s="171">
        <v>207.52666666666667</v>
      </c>
      <c r="H11" s="171">
        <v>371138.52666666667</v>
      </c>
      <c r="J11" s="7"/>
      <c r="K11" s="792"/>
    </row>
    <row r="12" spans="1:11" ht="20" customHeight="1" thickBot="1">
      <c r="A12" s="705" t="s">
        <v>1810</v>
      </c>
      <c r="B12" s="170">
        <v>8190705</v>
      </c>
      <c r="C12" s="171">
        <v>8856167.7456757352</v>
      </c>
      <c r="D12" s="170">
        <v>9405414.6021322366</v>
      </c>
      <c r="E12" s="702"/>
      <c r="F12" s="171">
        <v>34772</v>
      </c>
      <c r="G12" s="171">
        <v>5.0833333333333339</v>
      </c>
      <c r="H12" s="171">
        <v>34777.083333333336</v>
      </c>
      <c r="J12" s="7"/>
      <c r="K12" s="792"/>
    </row>
    <row r="13" spans="1:11" ht="20" customHeight="1" thickBot="1">
      <c r="A13" s="705" t="s">
        <v>1811</v>
      </c>
      <c r="B13" s="170">
        <v>33262080</v>
      </c>
      <c r="C13" s="171">
        <v>36307399.848704845</v>
      </c>
      <c r="D13" s="170">
        <v>38872315.652005136</v>
      </c>
      <c r="E13" s="702"/>
      <c r="F13" s="171">
        <v>143699</v>
      </c>
      <c r="G13" s="171">
        <v>33.713333333333331</v>
      </c>
      <c r="H13" s="171">
        <v>143732.71333333335</v>
      </c>
      <c r="J13" s="7"/>
      <c r="K13" s="792"/>
    </row>
    <row r="14" spans="1:11" ht="20" customHeight="1" thickBot="1">
      <c r="A14" s="705" t="s">
        <v>1812</v>
      </c>
      <c r="B14" s="170">
        <v>8033081.8048241045</v>
      </c>
      <c r="C14" s="171">
        <v>8725828.5095260628</v>
      </c>
      <c r="D14" s="170">
        <v>9378310.2402629312</v>
      </c>
      <c r="E14" s="702"/>
      <c r="F14" s="171">
        <v>34667</v>
      </c>
      <c r="G14" s="171">
        <v>9.8633333333333368</v>
      </c>
      <c r="H14" s="171">
        <v>34676.863333333335</v>
      </c>
      <c r="J14" s="7"/>
      <c r="K14" s="792"/>
    </row>
    <row r="15" spans="1:11" ht="20" customHeight="1" thickBot="1">
      <c r="A15" s="705" t="s">
        <v>1813</v>
      </c>
      <c r="B15" s="170">
        <v>9407233</v>
      </c>
      <c r="C15" s="171">
        <v>10201473.116444126</v>
      </c>
      <c r="D15" s="170">
        <v>10863606.012118598</v>
      </c>
      <c r="E15" s="702"/>
      <c r="F15" s="171">
        <v>40164</v>
      </c>
      <c r="G15" s="171">
        <v>4.8333333333333304</v>
      </c>
      <c r="H15" s="171">
        <v>40168.833333333336</v>
      </c>
      <c r="J15" s="7"/>
      <c r="K15" s="792"/>
    </row>
    <row r="16" spans="1:11" ht="20" customHeight="1" thickBot="1">
      <c r="A16" s="705" t="s">
        <v>1814</v>
      </c>
      <c r="B16" s="170">
        <v>9043250</v>
      </c>
      <c r="C16" s="171">
        <v>9754997.3408490699</v>
      </c>
      <c r="D16" s="170">
        <v>10348559.130425604</v>
      </c>
      <c r="E16" s="702"/>
      <c r="F16" s="171">
        <v>38259</v>
      </c>
      <c r="G16" s="171">
        <v>5.4166666666666696</v>
      </c>
      <c r="H16" s="171">
        <v>38264.416666666664</v>
      </c>
      <c r="J16" s="7"/>
      <c r="K16" s="792"/>
    </row>
    <row r="17" spans="1:11" ht="20" customHeight="1" thickBot="1">
      <c r="A17" s="705" t="s">
        <v>1815</v>
      </c>
      <c r="B17" s="170">
        <v>25885643</v>
      </c>
      <c r="C17" s="171">
        <v>28233267.519927148</v>
      </c>
      <c r="D17" s="170">
        <v>30085399.040669605</v>
      </c>
      <c r="E17" s="702"/>
      <c r="F17" s="171">
        <v>111151</v>
      </c>
      <c r="G17" s="171">
        <v>91.563333333333333</v>
      </c>
      <c r="H17" s="171">
        <v>111242.56333333334</v>
      </c>
      <c r="J17" s="7"/>
      <c r="K17" s="792"/>
    </row>
    <row r="18" spans="1:11" ht="20" customHeight="1" thickBot="1">
      <c r="A18" s="705" t="s">
        <v>1816</v>
      </c>
      <c r="B18" s="170">
        <v>62801587</v>
      </c>
      <c r="C18" s="171">
        <v>68707178.284216553</v>
      </c>
      <c r="D18" s="170">
        <v>74103757.166999117</v>
      </c>
      <c r="E18" s="702"/>
      <c r="F18" s="171">
        <v>273855</v>
      </c>
      <c r="G18" s="171">
        <v>148.07666666666665</v>
      </c>
      <c r="H18" s="171">
        <v>274003.07666666666</v>
      </c>
      <c r="J18" s="7"/>
      <c r="K18" s="792"/>
    </row>
    <row r="19" spans="1:11" ht="20" customHeight="1" thickBot="1">
      <c r="A19" s="705" t="s">
        <v>1817</v>
      </c>
      <c r="B19" s="170">
        <v>59224038</v>
      </c>
      <c r="C19" s="171">
        <v>64077579.729606099</v>
      </c>
      <c r="D19" s="170">
        <v>68217118.159618378</v>
      </c>
      <c r="E19" s="702"/>
      <c r="F19" s="171">
        <v>252083</v>
      </c>
      <c r="G19" s="171">
        <v>153.87666666666667</v>
      </c>
      <c r="H19" s="171">
        <v>252236.87666666668</v>
      </c>
      <c r="J19" s="7"/>
      <c r="K19" s="792"/>
    </row>
    <row r="20" spans="1:11" ht="20" customHeight="1" thickBot="1">
      <c r="A20" s="705" t="s">
        <v>1818</v>
      </c>
      <c r="B20" s="170">
        <v>45835330</v>
      </c>
      <c r="C20" s="171">
        <v>49548077.271603703</v>
      </c>
      <c r="D20" s="170">
        <v>53078830.824146628</v>
      </c>
      <c r="E20" s="702"/>
      <c r="F20" s="171">
        <v>192068</v>
      </c>
      <c r="G20" s="171">
        <v>4194.1533333333336</v>
      </c>
      <c r="H20" s="171">
        <v>196262.15333333332</v>
      </c>
      <c r="J20" s="7"/>
      <c r="K20" s="792"/>
    </row>
    <row r="21" spans="1:11" ht="20" customHeight="1" thickBot="1">
      <c r="A21" s="705" t="s">
        <v>1819</v>
      </c>
      <c r="B21" s="170">
        <v>63870240</v>
      </c>
      <c r="C21" s="171">
        <v>69237480.078354925</v>
      </c>
      <c r="D21" s="170">
        <v>73855991.062036753</v>
      </c>
      <c r="E21" s="702"/>
      <c r="F21" s="171">
        <v>271125</v>
      </c>
      <c r="G21" s="171">
        <v>1961.9466666666635</v>
      </c>
      <c r="H21" s="171">
        <v>273086.94666666666</v>
      </c>
      <c r="J21" s="7"/>
      <c r="K21" s="792"/>
    </row>
    <row r="22" spans="1:11" ht="20" customHeight="1" thickBot="1">
      <c r="A22" s="705" t="s">
        <v>1820</v>
      </c>
      <c r="B22" s="170">
        <v>18048698</v>
      </c>
      <c r="C22" s="171">
        <v>19552674.392358914</v>
      </c>
      <c r="D22" s="170">
        <v>20954663.788335964</v>
      </c>
      <c r="E22" s="702"/>
      <c r="F22" s="171">
        <v>75691</v>
      </c>
      <c r="G22" s="171">
        <v>1790.1233333333364</v>
      </c>
      <c r="H22" s="171">
        <v>77481.123333333337</v>
      </c>
      <c r="J22" s="7"/>
      <c r="K22" s="792"/>
    </row>
    <row r="23" spans="1:11" ht="20" customHeight="1" thickBot="1">
      <c r="A23" s="705" t="s">
        <v>1821</v>
      </c>
      <c r="B23" s="170">
        <v>12446296</v>
      </c>
      <c r="C23" s="171">
        <v>13426474.72619457</v>
      </c>
      <c r="D23" s="170">
        <v>14256616.682659976</v>
      </c>
      <c r="E23" s="702"/>
      <c r="F23" s="171">
        <v>52681</v>
      </c>
      <c r="G23" s="171">
        <v>33.693333333333307</v>
      </c>
      <c r="H23" s="171">
        <v>52714.693333333336</v>
      </c>
      <c r="J23" s="7"/>
      <c r="K23" s="792"/>
    </row>
    <row r="24" spans="1:11" ht="20" customHeight="1" thickBot="1">
      <c r="A24" s="705" t="s">
        <v>1822</v>
      </c>
      <c r="B24" s="170">
        <v>3573270</v>
      </c>
      <c r="C24" s="171">
        <v>3872353.1492938199</v>
      </c>
      <c r="D24" s="170">
        <v>4198314.7432190785</v>
      </c>
      <c r="E24" s="702"/>
      <c r="F24" s="171">
        <v>15517</v>
      </c>
      <c r="G24" s="171">
        <v>6.52</v>
      </c>
      <c r="H24" s="171">
        <v>15523.52</v>
      </c>
      <c r="J24" s="7"/>
      <c r="K24" s="792"/>
    </row>
    <row r="25" spans="1:11" ht="20" customHeight="1" thickBot="1">
      <c r="A25" s="705" t="s">
        <v>1823</v>
      </c>
      <c r="B25" s="170">
        <v>110818205</v>
      </c>
      <c r="C25" s="171">
        <v>120279602.79021546</v>
      </c>
      <c r="D25" s="170">
        <v>128396170.33319716</v>
      </c>
      <c r="E25" s="702"/>
      <c r="F25" s="171">
        <v>474316</v>
      </c>
      <c r="G25" s="171">
        <v>436.52333333333297</v>
      </c>
      <c r="H25" s="171">
        <v>474752.52333333332</v>
      </c>
      <c r="J25" s="7"/>
      <c r="K25" s="792"/>
    </row>
    <row r="26" spans="1:11" ht="20" customHeight="1" thickBot="1">
      <c r="A26" s="705" t="s">
        <v>1824</v>
      </c>
      <c r="B26" s="170">
        <v>45644661</v>
      </c>
      <c r="C26" s="171">
        <v>49348479.343303911</v>
      </c>
      <c r="D26" s="170">
        <v>52733045.120100595</v>
      </c>
      <c r="E26" s="702"/>
      <c r="F26" s="171">
        <v>194753</v>
      </c>
      <c r="G26" s="171">
        <v>230.59</v>
      </c>
      <c r="H26" s="171">
        <v>194983.59</v>
      </c>
      <c r="J26" s="7"/>
      <c r="K26" s="792"/>
    </row>
    <row r="27" spans="1:11" ht="20" customHeight="1" thickBot="1">
      <c r="A27" s="705" t="s">
        <v>1825</v>
      </c>
      <c r="B27" s="170">
        <v>138176187</v>
      </c>
      <c r="C27" s="171">
        <v>150913156.79233426</v>
      </c>
      <c r="D27" s="170">
        <v>162323757.35885891</v>
      </c>
      <c r="E27" s="702"/>
      <c r="F27" s="171">
        <v>596795</v>
      </c>
      <c r="G27" s="171">
        <v>3406.8066666666632</v>
      </c>
      <c r="H27" s="171">
        <v>600201.80666666664</v>
      </c>
      <c r="J27" s="7"/>
      <c r="K27" s="792"/>
    </row>
    <row r="28" spans="1:11" ht="20" customHeight="1" thickBot="1">
      <c r="A28" s="705" t="s">
        <v>1826</v>
      </c>
      <c r="B28" s="170">
        <v>56885364</v>
      </c>
      <c r="C28" s="171">
        <v>61848012.090057567</v>
      </c>
      <c r="D28" s="170">
        <v>66419901.359883122</v>
      </c>
      <c r="E28" s="702"/>
      <c r="F28" s="171">
        <v>244069</v>
      </c>
      <c r="G28" s="171">
        <v>1522.56</v>
      </c>
      <c r="H28" s="171">
        <v>245591.56</v>
      </c>
      <c r="J28" s="7"/>
      <c r="K28" s="792"/>
    </row>
    <row r="29" spans="1:11" ht="20" customHeight="1" thickBot="1">
      <c r="A29" s="705" t="s">
        <v>1827</v>
      </c>
      <c r="B29" s="170">
        <v>77932234</v>
      </c>
      <c r="C29" s="171">
        <v>84796918.069069445</v>
      </c>
      <c r="D29" s="170">
        <v>90359705.926820606</v>
      </c>
      <c r="E29" s="702"/>
      <c r="F29" s="171">
        <v>333567</v>
      </c>
      <c r="G29" s="171">
        <v>543.41999999999996</v>
      </c>
      <c r="H29" s="171">
        <v>334110.42</v>
      </c>
      <c r="J29" s="7"/>
      <c r="K29" s="792"/>
    </row>
    <row r="30" spans="1:11" ht="20" customHeight="1" thickBot="1">
      <c r="A30" s="705" t="s">
        <v>1828</v>
      </c>
      <c r="B30" s="170">
        <v>161265502</v>
      </c>
      <c r="C30" s="171">
        <v>176630110.3531836</v>
      </c>
      <c r="D30" s="170">
        <v>190723890.9093914</v>
      </c>
      <c r="E30" s="702"/>
      <c r="F30" s="171">
        <v>704916</v>
      </c>
      <c r="G30" s="171">
        <v>297</v>
      </c>
      <c r="H30" s="171">
        <v>705213</v>
      </c>
      <c r="J30" s="7"/>
      <c r="K30" s="792"/>
    </row>
    <row r="31" spans="1:11" ht="20" customHeight="1" thickBot="1">
      <c r="A31" s="705" t="s">
        <v>1829</v>
      </c>
      <c r="B31" s="170">
        <v>70596689</v>
      </c>
      <c r="C31" s="171">
        <v>76943595.740357071</v>
      </c>
      <c r="D31" s="170">
        <v>82543266.28399384</v>
      </c>
      <c r="E31" s="702"/>
      <c r="F31" s="171">
        <v>305178</v>
      </c>
      <c r="G31" s="171">
        <v>30.666666666666671</v>
      </c>
      <c r="H31" s="171">
        <v>305208.66666666669</v>
      </c>
      <c r="J31" s="7"/>
      <c r="K31" s="792"/>
    </row>
    <row r="32" spans="1:11" ht="20" customHeight="1" thickBot="1">
      <c r="A32" s="705" t="s">
        <v>1830</v>
      </c>
      <c r="B32" s="170">
        <v>40407906</v>
      </c>
      <c r="C32" s="171">
        <v>43747981.262943245</v>
      </c>
      <c r="D32" s="170">
        <v>46610491.968294173</v>
      </c>
      <c r="E32" s="702"/>
      <c r="F32" s="171">
        <v>172263</v>
      </c>
      <c r="G32" s="171">
        <v>82.083333333333343</v>
      </c>
      <c r="H32" s="171">
        <v>172345.08333333334</v>
      </c>
      <c r="J32" s="7"/>
      <c r="K32" s="792"/>
    </row>
    <row r="33" spans="1:13" ht="20" customHeight="1" thickBot="1">
      <c r="A33" s="705" t="s">
        <v>1831</v>
      </c>
      <c r="B33" s="170">
        <v>105840352</v>
      </c>
      <c r="C33" s="171">
        <v>115266653.54104716</v>
      </c>
      <c r="D33" s="170">
        <v>123915140.30983615</v>
      </c>
      <c r="E33" s="702"/>
      <c r="F33" s="171">
        <v>453674</v>
      </c>
      <c r="G33" s="171">
        <v>4509.6466666666674</v>
      </c>
      <c r="H33" s="171">
        <v>458183.64666666667</v>
      </c>
      <c r="K33" s="792"/>
    </row>
    <row r="34" spans="1:13" ht="20" customHeight="1" thickBot="1">
      <c r="A34" s="705" t="s">
        <v>1832</v>
      </c>
      <c r="B34" s="170">
        <v>16229255</v>
      </c>
      <c r="C34" s="171">
        <v>17511204.160273444</v>
      </c>
      <c r="D34" s="170">
        <v>18588994.615605265</v>
      </c>
      <c r="E34" s="702"/>
      <c r="F34" s="171">
        <v>68709</v>
      </c>
      <c r="G34" s="171">
        <v>24.92</v>
      </c>
      <c r="H34" s="171">
        <v>68733.919999999998</v>
      </c>
      <c r="K34" s="792"/>
      <c r="L34" s="8"/>
      <c r="M34" s="8"/>
    </row>
    <row r="35" spans="1:13" s="277" customFormat="1" ht="30" customHeight="1" thickBot="1">
      <c r="A35" s="707" t="s">
        <v>1222</v>
      </c>
      <c r="B35" s="191">
        <v>1815004568.8048241</v>
      </c>
      <c r="C35" s="190">
        <v>1975646617.7257173</v>
      </c>
      <c r="D35" s="191">
        <v>2115935690.9999998</v>
      </c>
      <c r="E35" s="315"/>
      <c r="F35" s="190">
        <v>7801278</v>
      </c>
      <c r="G35" s="190">
        <v>22520.84</v>
      </c>
      <c r="H35" s="190">
        <v>7823798.8399999989</v>
      </c>
      <c r="I35" s="270"/>
      <c r="K35" s="796"/>
    </row>
    <row r="36" spans="1:13" ht="20" customHeight="1">
      <c r="A36" s="692" t="s">
        <v>225</v>
      </c>
      <c r="B36" s="194"/>
      <c r="C36" s="194"/>
      <c r="D36" s="709"/>
      <c r="E36" s="710"/>
      <c r="F36" s="709"/>
      <c r="G36" s="709"/>
      <c r="H36" s="709"/>
      <c r="I36" s="196"/>
    </row>
    <row r="37" spans="1:13" ht="14.25" customHeight="1">
      <c r="A37" s="693"/>
      <c r="B37" s="196"/>
      <c r="C37" s="196"/>
      <c r="D37" s="710"/>
      <c r="E37" s="710"/>
      <c r="F37" s="710"/>
      <c r="G37" s="710"/>
      <c r="H37" s="710"/>
      <c r="I37" s="196"/>
    </row>
    <row r="38" spans="1:13" ht="15.75" customHeight="1">
      <c r="A38" s="693" t="s">
        <v>220</v>
      </c>
      <c r="B38" s="196"/>
      <c r="C38" s="196"/>
      <c r="D38" s="710"/>
      <c r="E38" s="710"/>
      <c r="F38" s="710"/>
      <c r="G38" s="710"/>
      <c r="H38" s="710"/>
      <c r="I38" s="196"/>
    </row>
    <row r="39" spans="1:13" ht="15.75" customHeight="1">
      <c r="A39" s="693"/>
      <c r="B39" s="196"/>
      <c r="C39" s="196"/>
      <c r="D39" s="710"/>
      <c r="E39" s="710"/>
      <c r="F39" s="710"/>
      <c r="G39" s="710"/>
      <c r="H39" s="710"/>
      <c r="I39" s="196"/>
    </row>
    <row r="40" spans="1:13" ht="15.75" customHeight="1">
      <c r="A40" s="2" t="s">
        <v>221</v>
      </c>
      <c r="B40" s="196"/>
      <c r="C40" s="196"/>
      <c r="D40" s="710"/>
      <c r="E40" s="710"/>
      <c r="F40" s="710"/>
      <c r="G40" s="710"/>
      <c r="H40" s="710"/>
      <c r="I40" s="196"/>
    </row>
    <row r="41" spans="1:13" ht="15.75" customHeight="1">
      <c r="A41" s="2" t="s">
        <v>222</v>
      </c>
      <c r="B41" s="196"/>
      <c r="C41" s="196"/>
      <c r="D41" s="710"/>
      <c r="E41" s="710"/>
      <c r="F41" s="710"/>
      <c r="G41" s="710"/>
      <c r="H41" s="710"/>
      <c r="I41" s="196"/>
    </row>
    <row r="42" spans="1:13" ht="15.75" customHeight="1">
      <c r="A42" s="2" t="s">
        <v>223</v>
      </c>
      <c r="B42" s="196"/>
      <c r="C42" s="196"/>
      <c r="D42" s="710"/>
      <c r="E42" s="710"/>
      <c r="F42" s="710"/>
      <c r="G42" s="710"/>
      <c r="H42" s="710"/>
      <c r="I42" s="196"/>
    </row>
    <row r="43" spans="1:13" ht="15.75" customHeight="1">
      <c r="A43" s="797" t="s">
        <v>216</v>
      </c>
      <c r="B43" s="196"/>
      <c r="C43" s="196"/>
      <c r="D43" s="710"/>
      <c r="E43" s="710"/>
      <c r="F43" s="710"/>
      <c r="G43" s="710"/>
      <c r="H43" s="710"/>
      <c r="I43" s="196"/>
    </row>
    <row r="44" spans="1:13" ht="13.5" customHeight="1">
      <c r="A44" s="693"/>
      <c r="B44" s="196"/>
      <c r="C44" s="196"/>
      <c r="D44" s="710"/>
      <c r="E44" s="710"/>
      <c r="F44" s="710"/>
      <c r="G44" s="710"/>
      <c r="H44" s="710"/>
      <c r="I44" s="196"/>
    </row>
    <row r="46" spans="1:13">
      <c r="A46" s="2" t="s">
        <v>710</v>
      </c>
    </row>
  </sheetData>
  <mergeCells count="1">
    <mergeCell ref="A2:H2"/>
  </mergeCells>
  <phoneticPr fontId="0" type="noConversion"/>
  <pageMargins left="0.56000000000000005" right="0.51" top="0.81" bottom="0.49" header="0.42" footer="0.4921259845"/>
  <pageSetup paperSize="9" scale="71" orientation="portrait" horizontalDpi="1200" verticalDpi="1200"/>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52F43-7ACF-C143-8FB7-751EB499897E}">
  <sheetPr>
    <pageSetUpPr fitToPage="1"/>
  </sheetPr>
  <dimension ref="A1:B10"/>
  <sheetViews>
    <sheetView workbookViewId="0">
      <selection activeCell="B8" sqref="B8"/>
    </sheetView>
  </sheetViews>
  <sheetFormatPr baseColWidth="10" defaultColWidth="11.3984375" defaultRowHeight="13"/>
  <cols>
    <col min="1" max="1" width="5.59765625" style="115" customWidth="1"/>
    <col min="2" max="16384" width="11.3984375" style="115"/>
  </cols>
  <sheetData>
    <row r="1" spans="1:2" ht="16">
      <c r="A1" s="114" t="s">
        <v>838</v>
      </c>
    </row>
    <row r="2" spans="1:2" ht="16">
      <c r="A2" s="114"/>
    </row>
    <row r="3" spans="1:2">
      <c r="A3" s="115">
        <v>5.01</v>
      </c>
      <c r="B3" s="116" t="s">
        <v>839</v>
      </c>
    </row>
    <row r="4" spans="1:2">
      <c r="A4" s="115">
        <v>5.0199999999999996</v>
      </c>
      <c r="B4" s="116" t="s">
        <v>840</v>
      </c>
    </row>
    <row r="5" spans="1:2">
      <c r="A5" s="115">
        <v>5.03</v>
      </c>
      <c r="B5" s="115" t="s">
        <v>841</v>
      </c>
    </row>
    <row r="6" spans="1:2">
      <c r="A6" s="115">
        <v>5.04</v>
      </c>
      <c r="B6" s="115" t="s">
        <v>842</v>
      </c>
    </row>
    <row r="7" spans="1:2">
      <c r="A7" s="115">
        <v>5.05</v>
      </c>
      <c r="B7" s="115" t="s">
        <v>230</v>
      </c>
    </row>
    <row r="10" spans="1:2">
      <c r="A10" s="117" t="s">
        <v>710</v>
      </c>
    </row>
  </sheetData>
  <phoneticPr fontId="30" type="noConversion"/>
  <pageMargins left="0.54" right="0.51" top="0.78" bottom="0.984251969" header="0.36" footer="0.4921259845"/>
  <pageSetup paperSize="9" orientation="portrait"/>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5A0D0-827E-E04B-82DB-AD46F6087A8F}">
  <dimension ref="A1:AD109"/>
  <sheetViews>
    <sheetView topLeftCell="S3" zoomScale="75" workbookViewId="0">
      <selection activeCell="AC2" sqref="AC2"/>
    </sheetView>
  </sheetViews>
  <sheetFormatPr baseColWidth="10" defaultColWidth="11.3984375" defaultRowHeight="13"/>
  <cols>
    <col min="1" max="1" width="7.59765625" style="87" customWidth="1"/>
    <col min="2" max="2" width="40.796875" style="87" customWidth="1"/>
    <col min="3" max="3" width="10.59765625" style="87" customWidth="1"/>
    <col min="4" max="4" width="11.59765625" style="87" customWidth="1"/>
    <col min="5" max="5" width="11.3984375" style="2" customWidth="1"/>
    <col min="6" max="6" width="10.59765625" style="2" customWidth="1"/>
    <col min="7" max="7" width="11.3984375" style="2" customWidth="1"/>
    <col min="8" max="8" width="11.3984375" style="7" customWidth="1"/>
    <col min="9" max="9" width="11.19921875" style="7" customWidth="1"/>
    <col min="10" max="14" width="10.59765625" style="2" customWidth="1"/>
    <col min="15" max="15" width="10.796875" style="2" customWidth="1"/>
    <col min="16" max="16" width="10.59765625" style="2" customWidth="1"/>
    <col min="17" max="17" width="3" style="2" customWidth="1"/>
    <col min="18" max="18" width="10.59765625" style="2" customWidth="1"/>
    <col min="19" max="19" width="11.796875" style="536" customWidth="1"/>
    <col min="20" max="20" width="11.3984375" style="2"/>
    <col min="21" max="22" width="12.19921875" style="2" customWidth="1"/>
    <col min="23" max="28" width="11.3984375" style="2"/>
    <col min="29" max="29" width="11.796875" style="2" customWidth="1"/>
    <col min="30" max="30" width="12.3984375" style="2" customWidth="1"/>
    <col min="31" max="16384" width="11.3984375" style="2"/>
  </cols>
  <sheetData>
    <row r="1" spans="1:30" s="1" customFormat="1" ht="14" customHeight="1">
      <c r="A1" s="289"/>
      <c r="B1" s="289"/>
      <c r="C1" s="289"/>
      <c r="D1" s="289"/>
      <c r="H1" s="144"/>
      <c r="I1" s="144"/>
      <c r="S1" s="504"/>
    </row>
    <row r="2" spans="1:30" s="1" customFormat="1" ht="28.5" customHeight="1">
      <c r="A2" s="2025" t="s">
        <v>866</v>
      </c>
      <c r="B2" s="2017"/>
      <c r="C2" s="45"/>
      <c r="D2" s="45"/>
      <c r="E2" s="44"/>
      <c r="F2" s="44"/>
      <c r="G2" s="44"/>
      <c r="H2" s="46"/>
      <c r="I2" s="144"/>
      <c r="J2" s="16"/>
      <c r="V2" s="505"/>
      <c r="AD2" s="505">
        <v>2009</v>
      </c>
    </row>
    <row r="3" spans="1:30" s="1" customFormat="1" ht="12" customHeight="1">
      <c r="A3" s="289"/>
      <c r="B3" s="289"/>
      <c r="C3" s="289"/>
      <c r="D3" s="289"/>
      <c r="H3" s="144"/>
      <c r="I3" s="144"/>
      <c r="S3" s="506"/>
      <c r="U3" s="507"/>
      <c r="W3" s="507"/>
      <c r="X3" s="507"/>
      <c r="Y3" s="507"/>
      <c r="Z3" s="507"/>
      <c r="AA3" s="507"/>
      <c r="AB3" s="507"/>
      <c r="AC3" s="507"/>
      <c r="AD3" s="507"/>
    </row>
    <row r="4" spans="1:30" ht="18" customHeight="1">
      <c r="A4" s="50" t="s">
        <v>844</v>
      </c>
      <c r="B4" s="50" t="s">
        <v>867</v>
      </c>
      <c r="C4" s="51" t="s">
        <v>868</v>
      </c>
      <c r="D4" s="52" t="s">
        <v>2529</v>
      </c>
      <c r="E4" s="52" t="s">
        <v>869</v>
      </c>
      <c r="F4" s="52" t="s">
        <v>870</v>
      </c>
      <c r="G4" s="52" t="s">
        <v>871</v>
      </c>
      <c r="H4" s="54" t="s">
        <v>872</v>
      </c>
      <c r="I4" s="54" t="s">
        <v>873</v>
      </c>
      <c r="J4" s="52" t="s">
        <v>874</v>
      </c>
      <c r="K4" s="52" t="s">
        <v>875</v>
      </c>
      <c r="L4" s="52" t="s">
        <v>875</v>
      </c>
      <c r="M4" s="51" t="s">
        <v>876</v>
      </c>
      <c r="N4" s="53" t="s">
        <v>872</v>
      </c>
      <c r="O4" s="53" t="s">
        <v>873</v>
      </c>
      <c r="P4" s="53" t="s">
        <v>2088</v>
      </c>
      <c r="Q4" s="52"/>
      <c r="R4" s="54" t="s">
        <v>877</v>
      </c>
      <c r="S4" s="58" t="s">
        <v>878</v>
      </c>
      <c r="T4" s="54" t="s">
        <v>2529</v>
      </c>
      <c r="U4" s="15" t="s">
        <v>869</v>
      </c>
      <c r="V4" s="54" t="s">
        <v>870</v>
      </c>
      <c r="W4" s="15" t="s">
        <v>871</v>
      </c>
      <c r="X4" s="15" t="s">
        <v>879</v>
      </c>
      <c r="Y4" s="15" t="s">
        <v>875</v>
      </c>
      <c r="Z4" s="15" t="s">
        <v>875</v>
      </c>
      <c r="AA4" s="15" t="s">
        <v>2363</v>
      </c>
      <c r="AB4" s="15" t="s">
        <v>880</v>
      </c>
      <c r="AC4" s="15" t="s">
        <v>881</v>
      </c>
      <c r="AD4" s="15" t="s">
        <v>882</v>
      </c>
    </row>
    <row r="5" spans="1:30" ht="15" customHeight="1">
      <c r="A5" s="56" t="s">
        <v>1561</v>
      </c>
      <c r="B5" s="56"/>
      <c r="C5" s="57" t="s">
        <v>883</v>
      </c>
      <c r="D5" s="58" t="s">
        <v>884</v>
      </c>
      <c r="E5" s="58" t="s">
        <v>885</v>
      </c>
      <c r="F5" s="58" t="s">
        <v>886</v>
      </c>
      <c r="G5" s="58" t="s">
        <v>885</v>
      </c>
      <c r="H5" s="60" t="s">
        <v>887</v>
      </c>
      <c r="I5" s="60" t="s">
        <v>888</v>
      </c>
      <c r="J5" s="58" t="s">
        <v>889</v>
      </c>
      <c r="K5" s="58" t="s">
        <v>890</v>
      </c>
      <c r="L5" s="58" t="s">
        <v>2088</v>
      </c>
      <c r="M5" s="57" t="s">
        <v>869</v>
      </c>
      <c r="N5" s="59" t="s">
        <v>891</v>
      </c>
      <c r="O5" s="59" t="s">
        <v>888</v>
      </c>
      <c r="P5" s="59" t="s">
        <v>892</v>
      </c>
      <c r="Q5" s="58"/>
      <c r="R5" s="60" t="s">
        <v>1567</v>
      </c>
      <c r="S5" s="58" t="s">
        <v>1567</v>
      </c>
      <c r="T5" s="60" t="s">
        <v>2334</v>
      </c>
      <c r="U5" s="15" t="s">
        <v>885</v>
      </c>
      <c r="V5" s="60" t="s">
        <v>886</v>
      </c>
      <c r="W5" s="15" t="s">
        <v>885</v>
      </c>
      <c r="X5" s="15" t="s">
        <v>893</v>
      </c>
      <c r="Y5" s="15" t="s">
        <v>890</v>
      </c>
      <c r="Z5" s="15" t="s">
        <v>2088</v>
      </c>
      <c r="AA5" s="15" t="s">
        <v>2359</v>
      </c>
      <c r="AB5" s="15" t="s">
        <v>894</v>
      </c>
      <c r="AC5" s="15" t="s">
        <v>895</v>
      </c>
      <c r="AD5" s="15" t="s">
        <v>895</v>
      </c>
    </row>
    <row r="6" spans="1:30" ht="15" customHeight="1">
      <c r="A6" s="56"/>
      <c r="B6" s="56"/>
      <c r="C6" s="57" t="s">
        <v>896</v>
      </c>
      <c r="D6" s="58" t="s">
        <v>897</v>
      </c>
      <c r="E6" s="58" t="s">
        <v>898</v>
      </c>
      <c r="F6" s="58" t="s">
        <v>898</v>
      </c>
      <c r="G6" s="58" t="s">
        <v>898</v>
      </c>
      <c r="H6" s="60" t="s">
        <v>898</v>
      </c>
      <c r="I6" s="60" t="s">
        <v>899</v>
      </c>
      <c r="J6" s="58" t="s">
        <v>900</v>
      </c>
      <c r="K6" s="58" t="s">
        <v>901</v>
      </c>
      <c r="L6" s="58" t="s">
        <v>884</v>
      </c>
      <c r="M6" s="57" t="s">
        <v>902</v>
      </c>
      <c r="N6" s="59" t="s">
        <v>903</v>
      </c>
      <c r="O6" s="59" t="s">
        <v>899</v>
      </c>
      <c r="P6" s="59" t="s">
        <v>2529</v>
      </c>
      <c r="Q6" s="58"/>
      <c r="R6" s="60" t="s">
        <v>2334</v>
      </c>
      <c r="S6" s="58" t="s">
        <v>2334</v>
      </c>
      <c r="T6" s="60"/>
      <c r="U6" s="15" t="s">
        <v>2334</v>
      </c>
      <c r="V6" s="60" t="s">
        <v>2334</v>
      </c>
      <c r="W6" s="15" t="s">
        <v>2334</v>
      </c>
      <c r="X6" s="15" t="s">
        <v>2334</v>
      </c>
      <c r="Y6" s="15" t="s">
        <v>904</v>
      </c>
      <c r="Z6" s="15" t="s">
        <v>905</v>
      </c>
      <c r="AA6" s="15" t="s">
        <v>906</v>
      </c>
      <c r="AB6" s="15" t="s">
        <v>985</v>
      </c>
      <c r="AC6" s="15" t="s">
        <v>894</v>
      </c>
      <c r="AD6" s="15" t="s">
        <v>894</v>
      </c>
    </row>
    <row r="7" spans="1:30" ht="15" customHeight="1">
      <c r="A7" s="56"/>
      <c r="B7" s="56"/>
      <c r="C7" s="508" t="s">
        <v>986</v>
      </c>
      <c r="D7" s="58" t="s">
        <v>2528</v>
      </c>
      <c r="E7" s="58" t="s">
        <v>897</v>
      </c>
      <c r="F7" s="58" t="s">
        <v>897</v>
      </c>
      <c r="G7" s="58" t="s">
        <v>897</v>
      </c>
      <c r="H7" s="60" t="s">
        <v>897</v>
      </c>
      <c r="I7" s="60" t="s">
        <v>987</v>
      </c>
      <c r="J7" s="58" t="s">
        <v>988</v>
      </c>
      <c r="K7" s="58" t="s">
        <v>900</v>
      </c>
      <c r="L7" s="58" t="s">
        <v>897</v>
      </c>
      <c r="M7" s="57" t="s">
        <v>2529</v>
      </c>
      <c r="N7" s="59" t="s">
        <v>989</v>
      </c>
      <c r="O7" s="59" t="s">
        <v>990</v>
      </c>
      <c r="P7" s="59"/>
      <c r="Q7" s="58"/>
      <c r="R7" s="60"/>
      <c r="S7" s="58"/>
      <c r="T7" s="60"/>
      <c r="U7" s="58"/>
      <c r="V7" s="60"/>
      <c r="W7" s="15"/>
      <c r="X7" s="15"/>
      <c r="Y7" s="15" t="s">
        <v>905</v>
      </c>
      <c r="Z7" s="15"/>
      <c r="AA7" s="15" t="s">
        <v>2529</v>
      </c>
      <c r="AB7" s="15" t="s">
        <v>2334</v>
      </c>
      <c r="AC7" s="15" t="s">
        <v>985</v>
      </c>
      <c r="AD7" s="15" t="s">
        <v>985</v>
      </c>
    </row>
    <row r="8" spans="1:30" ht="15" customHeight="1">
      <c r="A8" s="56"/>
      <c r="B8" s="56"/>
      <c r="C8" s="508"/>
      <c r="D8" s="58"/>
      <c r="E8" s="58" t="s">
        <v>2528</v>
      </c>
      <c r="F8" s="58" t="s">
        <v>2528</v>
      </c>
      <c r="G8" s="58" t="s">
        <v>2528</v>
      </c>
      <c r="H8" s="60" t="s">
        <v>2528</v>
      </c>
      <c r="I8" s="60" t="s">
        <v>900</v>
      </c>
      <c r="J8" s="58" t="s">
        <v>2528</v>
      </c>
      <c r="K8" s="58" t="s">
        <v>991</v>
      </c>
      <c r="L8" s="58" t="s">
        <v>2528</v>
      </c>
      <c r="M8" s="57" t="s">
        <v>2030</v>
      </c>
      <c r="N8" s="59"/>
      <c r="O8" s="59" t="s">
        <v>992</v>
      </c>
      <c r="P8" s="59"/>
      <c r="Q8" s="58"/>
      <c r="R8" s="60"/>
      <c r="S8" s="58"/>
      <c r="T8" s="60"/>
      <c r="U8" s="58"/>
      <c r="V8" s="60"/>
      <c r="W8" s="15"/>
      <c r="X8" s="15"/>
      <c r="Y8" s="15"/>
      <c r="Z8" s="15"/>
      <c r="AA8" s="15" t="s">
        <v>2334</v>
      </c>
      <c r="AB8" s="15"/>
      <c r="AC8" s="15" t="s">
        <v>993</v>
      </c>
      <c r="AD8" s="15" t="s">
        <v>994</v>
      </c>
    </row>
    <row r="9" spans="1:30" ht="15" customHeight="1">
      <c r="A9" s="56"/>
      <c r="B9" s="56"/>
      <c r="C9" s="57"/>
      <c r="D9" s="58"/>
      <c r="E9" s="58"/>
      <c r="F9" s="58"/>
      <c r="G9" s="58"/>
      <c r="H9" s="60"/>
      <c r="I9" s="60" t="s">
        <v>995</v>
      </c>
      <c r="J9" s="58"/>
      <c r="K9" s="58" t="s">
        <v>2528</v>
      </c>
      <c r="L9" s="58"/>
      <c r="M9" s="509"/>
      <c r="N9" s="59"/>
      <c r="O9" s="59" t="s">
        <v>878</v>
      </c>
      <c r="P9" s="59"/>
      <c r="Q9" s="58"/>
      <c r="R9" s="60"/>
      <c r="S9" s="58"/>
      <c r="T9" s="60"/>
      <c r="U9" s="58"/>
      <c r="V9" s="60"/>
      <c r="W9" s="15"/>
      <c r="X9" s="15"/>
      <c r="Y9" s="15"/>
      <c r="Z9" s="15"/>
      <c r="AA9" s="15"/>
      <c r="AB9" s="15"/>
      <c r="AC9" s="15"/>
      <c r="AD9" s="15"/>
    </row>
    <row r="10" spans="1:30" ht="21" customHeight="1">
      <c r="A10" s="510">
        <v>0</v>
      </c>
      <c r="B10" s="510"/>
      <c r="C10" s="511">
        <v>1</v>
      </c>
      <c r="D10" s="512" t="s">
        <v>3</v>
      </c>
      <c r="E10" s="512" t="s">
        <v>996</v>
      </c>
      <c r="F10" s="512" t="s">
        <v>21</v>
      </c>
      <c r="G10" s="512" t="s">
        <v>19</v>
      </c>
      <c r="H10" s="513" t="s">
        <v>997</v>
      </c>
      <c r="I10" s="513" t="s">
        <v>7</v>
      </c>
      <c r="J10" s="512">
        <v>7</v>
      </c>
      <c r="K10" s="512" t="s">
        <v>14</v>
      </c>
      <c r="L10" s="512" t="s">
        <v>16</v>
      </c>
      <c r="M10" s="511">
        <v>15</v>
      </c>
      <c r="N10" s="514" t="s">
        <v>998</v>
      </c>
      <c r="O10" s="514" t="s">
        <v>23</v>
      </c>
      <c r="P10" s="514" t="s">
        <v>999</v>
      </c>
      <c r="Q10" s="510"/>
      <c r="R10" s="513">
        <v>2</v>
      </c>
      <c r="S10" s="512">
        <v>14</v>
      </c>
      <c r="T10" s="513" t="s">
        <v>1</v>
      </c>
      <c r="U10" s="512" t="s">
        <v>1000</v>
      </c>
      <c r="V10" s="513" t="s">
        <v>35</v>
      </c>
      <c r="W10" s="512" t="s">
        <v>32</v>
      </c>
      <c r="X10" s="512" t="s">
        <v>1001</v>
      </c>
      <c r="Y10" s="512" t="s">
        <v>26</v>
      </c>
      <c r="Z10" s="512" t="s">
        <v>28</v>
      </c>
      <c r="AA10" s="512">
        <v>10</v>
      </c>
      <c r="AB10" s="512" t="s">
        <v>1002</v>
      </c>
      <c r="AC10" s="512" t="s">
        <v>1003</v>
      </c>
      <c r="AD10" s="512" t="s">
        <v>1004</v>
      </c>
    </row>
    <row r="11" spans="1:30" ht="14" thickBot="1">
      <c r="A11" s="70">
        <v>8</v>
      </c>
      <c r="B11" s="71" t="s">
        <v>1769</v>
      </c>
      <c r="C11" s="515">
        <v>890418.42</v>
      </c>
      <c r="D11" s="516">
        <v>2486.2697631637038</v>
      </c>
      <c r="E11" s="516">
        <v>2758.310755869134</v>
      </c>
      <c r="F11" s="516">
        <v>437.03039165564428</v>
      </c>
      <c r="G11" s="516">
        <v>3195.341147524779</v>
      </c>
      <c r="H11" s="516">
        <v>-216.5337972118771</v>
      </c>
      <c r="I11" s="517">
        <v>136.82851352064347</v>
      </c>
      <c r="J11" s="516">
        <v>-72.112249194036195</v>
      </c>
      <c r="K11" s="517">
        <v>674.40204123360343</v>
      </c>
      <c r="L11" s="516">
        <v>313.78879761943824</v>
      </c>
      <c r="M11" s="518">
        <v>1.1094173274099051</v>
      </c>
      <c r="N11" s="518">
        <v>-8.3652766090117847E-2</v>
      </c>
      <c r="O11" s="518">
        <v>5.1427774474848913E-2</v>
      </c>
      <c r="P11" s="518">
        <v>0.12620866901431943</v>
      </c>
      <c r="Q11" s="516"/>
      <c r="R11" s="519">
        <v>2304.8333079899999</v>
      </c>
      <c r="S11" s="519">
        <v>2369.0433829600001</v>
      </c>
      <c r="T11" s="519">
        <v>2213.8203942099994</v>
      </c>
      <c r="U11" s="519">
        <v>2456.0507051100003</v>
      </c>
      <c r="V11" s="519">
        <v>389.13991082999996</v>
      </c>
      <c r="W11" s="519">
        <v>2845.1906159400005</v>
      </c>
      <c r="X11" s="519">
        <v>-192.80568159000001</v>
      </c>
      <c r="Y11" s="519">
        <v>600.5</v>
      </c>
      <c r="Z11" s="519">
        <v>279.40332538999996</v>
      </c>
      <c r="AA11" s="519" t="s">
        <v>744</v>
      </c>
      <c r="AB11" s="519">
        <v>221.38203942099997</v>
      </c>
      <c r="AC11" s="584">
        <v>58.02128596899999</v>
      </c>
      <c r="AD11" s="584"/>
    </row>
    <row r="12" spans="1:30" ht="14" thickBot="1">
      <c r="A12" s="70">
        <v>32</v>
      </c>
      <c r="B12" s="71" t="s">
        <v>1770</v>
      </c>
      <c r="C12" s="515">
        <v>31886.81</v>
      </c>
      <c r="D12" s="516">
        <v>2468.4914734336858</v>
      </c>
      <c r="E12" s="516">
        <v>2772.9609807315314</v>
      </c>
      <c r="F12" s="516">
        <v>433.49908692653793</v>
      </c>
      <c r="G12" s="516">
        <v>3206.4600676580694</v>
      </c>
      <c r="H12" s="516">
        <v>-180.09647249129023</v>
      </c>
      <c r="I12" s="517">
        <v>130.27821848595079</v>
      </c>
      <c r="J12" s="516">
        <v>-71.422700169756681</v>
      </c>
      <c r="K12" s="517">
        <v>575.47305610062597</v>
      </c>
      <c r="L12" s="516">
        <v>537.94034461270974</v>
      </c>
      <c r="M12" s="518">
        <v>1.1233423370404949</v>
      </c>
      <c r="N12" s="518">
        <v>-6.9363056749251653E-2</v>
      </c>
      <c r="O12" s="518">
        <v>4.8832573152265642E-2</v>
      </c>
      <c r="P12" s="518">
        <v>0.21792270720888154</v>
      </c>
      <c r="Q12" s="516"/>
      <c r="R12" s="519">
        <v>82.791939529999965</v>
      </c>
      <c r="S12" s="519">
        <v>85.0693816</v>
      </c>
      <c r="T12" s="520">
        <v>78.712318599999989</v>
      </c>
      <c r="U12" s="520">
        <v>88.420879929999998</v>
      </c>
      <c r="V12" s="520">
        <v>13.822903019999998</v>
      </c>
      <c r="W12" s="519">
        <v>102.24378295</v>
      </c>
      <c r="X12" s="519">
        <v>-5.7427019999999986</v>
      </c>
      <c r="Y12" s="520">
        <v>18.350000000000001</v>
      </c>
      <c r="Z12" s="519">
        <v>17.153201559999999</v>
      </c>
      <c r="AA12" s="519">
        <v>35.794812399999998</v>
      </c>
      <c r="AB12" s="520">
        <v>15.742463719999998</v>
      </c>
      <c r="AC12" s="585">
        <v>1.4107378400000012</v>
      </c>
      <c r="AD12" s="585"/>
    </row>
    <row r="13" spans="1:30" ht="14" thickBot="1">
      <c r="A13" s="70">
        <v>57</v>
      </c>
      <c r="B13" s="71" t="s">
        <v>1771</v>
      </c>
      <c r="C13" s="515">
        <v>8928.67</v>
      </c>
      <c r="D13" s="516">
        <v>3480.8503349323032</v>
      </c>
      <c r="E13" s="516">
        <v>4011.6799433734259</v>
      </c>
      <c r="F13" s="516">
        <v>499.87821702448406</v>
      </c>
      <c r="G13" s="516">
        <v>4511.5581603979099</v>
      </c>
      <c r="H13" s="516">
        <v>-338.60850048215462</v>
      </c>
      <c r="I13" s="517">
        <v>189.63141990912413</v>
      </c>
      <c r="J13" s="516">
        <v>-42.820601500559469</v>
      </c>
      <c r="K13" s="517">
        <v>1022.6970870241595</v>
      </c>
      <c r="L13" s="516">
        <v>729.54333064162972</v>
      </c>
      <c r="M13" s="518">
        <v>1.1524999805691003</v>
      </c>
      <c r="N13" s="518">
        <v>-9.0984682133839173E-2</v>
      </c>
      <c r="O13" s="518">
        <v>5.0374676817383932E-2</v>
      </c>
      <c r="P13" s="518">
        <v>0.20958767555164598</v>
      </c>
      <c r="Q13" s="516"/>
      <c r="R13" s="519">
        <v>33.228929189999995</v>
      </c>
      <c r="S13" s="519">
        <v>33.611260200000004</v>
      </c>
      <c r="T13" s="520">
        <v>31.079363960000006</v>
      </c>
      <c r="U13" s="520">
        <v>35.818966360000005</v>
      </c>
      <c r="V13" s="520">
        <v>4.4632476399999996</v>
      </c>
      <c r="W13" s="519">
        <v>40.282214000000003</v>
      </c>
      <c r="X13" s="519">
        <v>-3.0233235599999997</v>
      </c>
      <c r="Y13" s="520">
        <v>9.1313248000000016</v>
      </c>
      <c r="Z13" s="519">
        <v>6.5138516500000003</v>
      </c>
      <c r="AA13" s="519" t="s">
        <v>744</v>
      </c>
      <c r="AB13" s="520">
        <v>6.2158727920000016</v>
      </c>
      <c r="AC13" s="585">
        <v>0.29797885799999868</v>
      </c>
      <c r="AD13" s="585"/>
    </row>
    <row r="14" spans="1:30" ht="14" thickBot="1">
      <c r="A14" s="70">
        <v>62</v>
      </c>
      <c r="B14" s="71" t="s">
        <v>1772</v>
      </c>
      <c r="C14" s="515">
        <v>39046.25</v>
      </c>
      <c r="D14" s="516">
        <v>3826.5336824919168</v>
      </c>
      <c r="E14" s="516">
        <v>4766.0424186701666</v>
      </c>
      <c r="F14" s="516">
        <v>611.54438928194122</v>
      </c>
      <c r="G14" s="516">
        <v>5377.5868079521078</v>
      </c>
      <c r="H14" s="516">
        <v>-1338.828813266319</v>
      </c>
      <c r="I14" s="517">
        <v>321.9501042993885</v>
      </c>
      <c r="J14" s="516">
        <v>226.14601786343115</v>
      </c>
      <c r="K14" s="517">
        <v>1813.7065915420817</v>
      </c>
      <c r="L14" s="516">
        <v>1921.9287345135576</v>
      </c>
      <c r="M14" s="518">
        <v>1.2455247527225273</v>
      </c>
      <c r="N14" s="518">
        <v>-0.34272414727845069</v>
      </c>
      <c r="O14" s="518">
        <v>8.7479626671998961E-2</v>
      </c>
      <c r="P14" s="518">
        <v>0.50226363962435017</v>
      </c>
      <c r="Q14" s="516"/>
      <c r="R14" s="519">
        <v>152.53154750000002</v>
      </c>
      <c r="S14" s="519">
        <v>143.70139354999998</v>
      </c>
      <c r="T14" s="520">
        <v>149.41179080000001</v>
      </c>
      <c r="U14" s="520">
        <v>186.09608379000002</v>
      </c>
      <c r="V14" s="520">
        <v>23.878515109999999</v>
      </c>
      <c r="W14" s="519">
        <v>209.97459890000002</v>
      </c>
      <c r="X14" s="519">
        <v>-52.276244550000001</v>
      </c>
      <c r="Y14" s="520">
        <v>70.818441000000007</v>
      </c>
      <c r="Z14" s="519">
        <v>75.044109849999998</v>
      </c>
      <c r="AA14" s="519" t="s">
        <v>744</v>
      </c>
      <c r="AB14" s="520">
        <v>29.882358160000003</v>
      </c>
      <c r="AC14" s="585">
        <v>45.161751689999996</v>
      </c>
      <c r="AD14" s="585"/>
    </row>
    <row r="15" spans="1:30" ht="14" thickBot="1">
      <c r="A15" s="70">
        <v>97</v>
      </c>
      <c r="B15" s="71" t="s">
        <v>1773</v>
      </c>
      <c r="C15" s="515">
        <v>969.82</v>
      </c>
      <c r="D15" s="516">
        <v>2086.4686230434513</v>
      </c>
      <c r="E15" s="516">
        <v>1862.9517333113361</v>
      </c>
      <c r="F15" s="516">
        <v>377.49262749788625</v>
      </c>
      <c r="G15" s="516">
        <v>2240.444360809222</v>
      </c>
      <c r="H15" s="516">
        <v>73.428729042502724</v>
      </c>
      <c r="I15" s="517">
        <v>120.33822771235899</v>
      </c>
      <c r="J15" s="516">
        <v>64.535099296776693</v>
      </c>
      <c r="K15" s="517">
        <v>464.00362953950219</v>
      </c>
      <c r="L15" s="516">
        <v>679.83686663504568</v>
      </c>
      <c r="M15" s="518">
        <v>0.89287311236625266</v>
      </c>
      <c r="N15" s="518">
        <v>3.4820432197848576E-2</v>
      </c>
      <c r="O15" s="518">
        <v>5.8866754144475737E-2</v>
      </c>
      <c r="P15" s="518">
        <v>0.32583133967449451</v>
      </c>
      <c r="Q15" s="516"/>
      <c r="R15" s="519">
        <v>2.0451397500000001</v>
      </c>
      <c r="S15" s="519">
        <v>1.9825523200000004</v>
      </c>
      <c r="T15" s="520">
        <v>2.0234990000000002</v>
      </c>
      <c r="U15" s="520">
        <v>1.8067278499999999</v>
      </c>
      <c r="V15" s="520">
        <v>0.36609990000000003</v>
      </c>
      <c r="W15" s="519">
        <v>2.1728277499999997</v>
      </c>
      <c r="X15" s="519">
        <v>7.1212649999999988E-2</v>
      </c>
      <c r="Y15" s="520">
        <v>0.45</v>
      </c>
      <c r="Z15" s="519">
        <v>0.65931939000000006</v>
      </c>
      <c r="AA15" s="519" t="s">
        <v>744</v>
      </c>
      <c r="AB15" s="520">
        <v>0.40469980000000005</v>
      </c>
      <c r="AC15" s="585">
        <v>0.25461959000000001</v>
      </c>
      <c r="AD15" s="585"/>
    </row>
    <row r="16" spans="1:30" ht="14" thickBot="1">
      <c r="A16" s="70">
        <v>134</v>
      </c>
      <c r="B16" s="71" t="s">
        <v>1774</v>
      </c>
      <c r="C16" s="515">
        <v>3709.42</v>
      </c>
      <c r="D16" s="516">
        <v>2035.5614354804793</v>
      </c>
      <c r="E16" s="516">
        <v>2028.9507658879284</v>
      </c>
      <c r="F16" s="516">
        <v>378.41065449585113</v>
      </c>
      <c r="G16" s="516">
        <v>2407.3614203837797</v>
      </c>
      <c r="H16" s="516">
        <v>-13.990057744876557</v>
      </c>
      <c r="I16" s="517">
        <v>136.16820419364754</v>
      </c>
      <c r="J16" s="516">
        <v>6.7795827919189824</v>
      </c>
      <c r="K16" s="517">
        <v>593.08463317715439</v>
      </c>
      <c r="L16" s="516">
        <v>852.9275601037358</v>
      </c>
      <c r="M16" s="518">
        <v>0.99675240969035628</v>
      </c>
      <c r="N16" s="518">
        <v>-6.7837381836124075E-3</v>
      </c>
      <c r="O16" s="518">
        <v>6.6245339858835711E-2</v>
      </c>
      <c r="P16" s="518">
        <v>0.41901342068922065</v>
      </c>
      <c r="Q16" s="516"/>
      <c r="R16" s="519">
        <v>7.6499119800000006</v>
      </c>
      <c r="S16" s="519">
        <v>7.6247636600000002</v>
      </c>
      <c r="T16" s="520">
        <v>7.5507522999999992</v>
      </c>
      <c r="U16" s="520">
        <v>7.5262305500000002</v>
      </c>
      <c r="V16" s="520">
        <v>1.4036840500000003</v>
      </c>
      <c r="W16" s="519">
        <v>8.9299146</v>
      </c>
      <c r="X16" s="519">
        <v>-5.1894999999999997E-2</v>
      </c>
      <c r="Y16" s="520">
        <v>2.2000000000000002</v>
      </c>
      <c r="Z16" s="519">
        <v>3.1638665499999998</v>
      </c>
      <c r="AA16" s="519" t="s">
        <v>744</v>
      </c>
      <c r="AB16" s="520">
        <v>1.51015046</v>
      </c>
      <c r="AC16" s="585">
        <v>1.6537160899999999</v>
      </c>
      <c r="AD16" s="585"/>
    </row>
    <row r="17" spans="1:30" ht="14" thickBot="1">
      <c r="A17" s="70">
        <v>160</v>
      </c>
      <c r="B17" s="71" t="s">
        <v>1775</v>
      </c>
      <c r="C17" s="515">
        <v>35579.17</v>
      </c>
      <c r="D17" s="516">
        <v>2533.4101975959529</v>
      </c>
      <c r="E17" s="516">
        <v>2090.6501413608021</v>
      </c>
      <c r="F17" s="516">
        <v>425.22655194036292</v>
      </c>
      <c r="G17" s="516">
        <v>2515.8766933011652</v>
      </c>
      <c r="H17" s="516">
        <v>276.49157920210058</v>
      </c>
      <c r="I17" s="517">
        <v>153.15391590079253</v>
      </c>
      <c r="J17" s="516">
        <v>9.0785687243406805</v>
      </c>
      <c r="K17" s="517">
        <v>547.1459845746823</v>
      </c>
      <c r="L17" s="516">
        <v>496.66458042725571</v>
      </c>
      <c r="M17" s="518">
        <v>0.82523159626684128</v>
      </c>
      <c r="N17" s="518">
        <v>0.1077033934008995</v>
      </c>
      <c r="O17" s="518">
        <v>5.9870675301255692E-2</v>
      </c>
      <c r="P17" s="518">
        <v>0.19604585980531661</v>
      </c>
      <c r="Q17" s="516"/>
      <c r="R17" s="519">
        <v>91.337334779999992</v>
      </c>
      <c r="S17" s="519">
        <v>91.014326839999995</v>
      </c>
      <c r="T17" s="520">
        <v>90.1366321</v>
      </c>
      <c r="U17" s="520">
        <v>74.383596790000013</v>
      </c>
      <c r="V17" s="520">
        <v>15.129207780000002</v>
      </c>
      <c r="W17" s="519">
        <v>89.512804570000014</v>
      </c>
      <c r="X17" s="519">
        <v>9.8373409000000009</v>
      </c>
      <c r="Y17" s="520">
        <v>19.466999999999999</v>
      </c>
      <c r="Z17" s="519">
        <v>17.670913540000001</v>
      </c>
      <c r="AA17" s="519">
        <v>9.4736621999999997</v>
      </c>
      <c r="AB17" s="520">
        <v>18.027326419999998</v>
      </c>
      <c r="AC17" s="585"/>
      <c r="AD17" s="585">
        <v>-0.35641287999999705</v>
      </c>
    </row>
    <row r="18" spans="1:30" ht="14" thickBot="1">
      <c r="A18" s="70">
        <v>182</v>
      </c>
      <c r="B18" s="71" t="s">
        <v>1776</v>
      </c>
      <c r="C18" s="515">
        <v>60737.25</v>
      </c>
      <c r="D18" s="516">
        <v>2248.218399746449</v>
      </c>
      <c r="E18" s="516">
        <v>2245.731938801971</v>
      </c>
      <c r="F18" s="516">
        <v>420.02949260956001</v>
      </c>
      <c r="G18" s="516">
        <v>2665.7614314115312</v>
      </c>
      <c r="H18" s="516">
        <v>122.01737813285915</v>
      </c>
      <c r="I18" s="517">
        <v>125.61134213353421</v>
      </c>
      <c r="J18" s="516">
        <v>-212.76037044811875</v>
      </c>
      <c r="K18" s="517">
        <v>444.53774248916437</v>
      </c>
      <c r="L18" s="516">
        <v>45.77213357535944</v>
      </c>
      <c r="M18" s="518">
        <v>0.99889403051555914</v>
      </c>
      <c r="N18" s="518">
        <v>5.3145055662665169E-2</v>
      </c>
      <c r="O18" s="518">
        <v>5.0070465476782774E-2</v>
      </c>
      <c r="P18" s="518">
        <v>2.0359291419606552E-2</v>
      </c>
      <c r="Q18" s="516"/>
      <c r="R18" s="519">
        <v>139.44853208999999</v>
      </c>
      <c r="S18" s="519">
        <v>152.37101188000003</v>
      </c>
      <c r="T18" s="520">
        <v>136.550603</v>
      </c>
      <c r="U18" s="520">
        <v>136.39958220000003</v>
      </c>
      <c r="V18" s="520">
        <v>25.5114363</v>
      </c>
      <c r="W18" s="519">
        <v>161.91101850000001</v>
      </c>
      <c r="X18" s="519">
        <v>7.4109999999999996</v>
      </c>
      <c r="Y18" s="520">
        <v>27</v>
      </c>
      <c r="Z18" s="519">
        <v>2.7800735200000002</v>
      </c>
      <c r="AA18" s="519" t="s">
        <v>744</v>
      </c>
      <c r="AB18" s="520">
        <v>20.48259045</v>
      </c>
      <c r="AC18" s="585"/>
      <c r="AD18" s="585">
        <v>-17.702516930000002</v>
      </c>
    </row>
    <row r="19" spans="1:30" ht="14" thickBot="1">
      <c r="A19" s="70">
        <v>194</v>
      </c>
      <c r="B19" s="71" t="s">
        <v>1777</v>
      </c>
      <c r="C19" s="515">
        <v>24660.15</v>
      </c>
      <c r="D19" s="516">
        <v>2273.3708432430458</v>
      </c>
      <c r="E19" s="516">
        <v>1867.179686660462</v>
      </c>
      <c r="F19" s="516">
        <v>378.30660600199099</v>
      </c>
      <c r="G19" s="516">
        <v>2245.4862926624528</v>
      </c>
      <c r="H19" s="516">
        <v>592.01329472853968</v>
      </c>
      <c r="I19" s="517">
        <v>80.805366147407852</v>
      </c>
      <c r="J19" s="516">
        <v>-218.42054488719648</v>
      </c>
      <c r="K19" s="517">
        <v>391.31959862369041</v>
      </c>
      <c r="L19" s="516">
        <v>129.97244177346855</v>
      </c>
      <c r="M19" s="518">
        <v>0.82132648626603422</v>
      </c>
      <c r="N19" s="518">
        <v>0.25605094727535166</v>
      </c>
      <c r="O19" s="518">
        <v>3.1932413377297263E-2</v>
      </c>
      <c r="P19" s="518">
        <v>5.7171685015568394E-2</v>
      </c>
      <c r="Q19" s="516"/>
      <c r="R19" s="519">
        <v>57.016530519999996</v>
      </c>
      <c r="S19" s="519">
        <v>62.40281392</v>
      </c>
      <c r="T19" s="520">
        <v>56.061666000000002</v>
      </c>
      <c r="U19" s="520">
        <v>46.044931149999996</v>
      </c>
      <c r="V19" s="520">
        <v>9.3290976499999996</v>
      </c>
      <c r="W19" s="519">
        <v>55.374028799999998</v>
      </c>
      <c r="X19" s="519">
        <v>14.599136649999998</v>
      </c>
      <c r="Y19" s="520">
        <v>9.65</v>
      </c>
      <c r="Z19" s="519">
        <v>3.2051399100000002</v>
      </c>
      <c r="AA19" s="519">
        <v>8.3815735</v>
      </c>
      <c r="AB19" s="520">
        <v>11.212333200000002</v>
      </c>
      <c r="AC19" s="585"/>
      <c r="AD19" s="585">
        <v>-8.0071932900000018</v>
      </c>
    </row>
    <row r="20" spans="1:30" ht="14" thickBot="1">
      <c r="A20" s="70">
        <v>216</v>
      </c>
      <c r="B20" s="71" t="s">
        <v>1778</v>
      </c>
      <c r="C20" s="515">
        <v>1852.42</v>
      </c>
      <c r="D20" s="516">
        <v>2651.312067457704</v>
      </c>
      <c r="E20" s="516">
        <v>2494.3081266667391</v>
      </c>
      <c r="F20" s="516">
        <v>476.40803381522545</v>
      </c>
      <c r="G20" s="516">
        <v>2970.7161604819644</v>
      </c>
      <c r="H20" s="516">
        <v>6.7112209973980095</v>
      </c>
      <c r="I20" s="517">
        <v>153.97468176763365</v>
      </c>
      <c r="J20" s="516">
        <v>5.9258483497263175</v>
      </c>
      <c r="K20" s="517">
        <v>847.53997473575112</v>
      </c>
      <c r="L20" s="516">
        <v>1300.4410230941146</v>
      </c>
      <c r="M20" s="518">
        <v>0.94078254962211483</v>
      </c>
      <c r="N20" s="518">
        <v>2.4860390519900457E-3</v>
      </c>
      <c r="O20" s="518">
        <v>5.7162352656234615E-2</v>
      </c>
      <c r="P20" s="518">
        <v>0.49048961042940692</v>
      </c>
      <c r="Q20" s="516"/>
      <c r="R20" s="519">
        <v>5.0007259500000005</v>
      </c>
      <c r="S20" s="519">
        <v>4.9897487900000002</v>
      </c>
      <c r="T20" s="520">
        <v>4.9113435000000001</v>
      </c>
      <c r="U20" s="520">
        <v>4.6205062600000009</v>
      </c>
      <c r="V20" s="520">
        <v>0.88250777000000002</v>
      </c>
      <c r="W20" s="519">
        <v>5.503014030000001</v>
      </c>
      <c r="X20" s="519">
        <v>1.2432000000000021E-2</v>
      </c>
      <c r="Y20" s="520">
        <v>1.57</v>
      </c>
      <c r="Z20" s="519">
        <v>2.4089629599999998</v>
      </c>
      <c r="AA20" s="519">
        <v>0.48262795000000003</v>
      </c>
      <c r="AB20" s="520">
        <v>0.98226870000000011</v>
      </c>
      <c r="AC20" s="585">
        <v>1.4266942599999997</v>
      </c>
      <c r="AD20" s="585"/>
    </row>
    <row r="21" spans="1:30" ht="14" thickBot="1">
      <c r="A21" s="70">
        <v>246</v>
      </c>
      <c r="B21" s="71" t="s">
        <v>1779</v>
      </c>
      <c r="C21" s="515">
        <v>9749.3700000000008</v>
      </c>
      <c r="D21" s="516">
        <v>2113.6617750685427</v>
      </c>
      <c r="E21" s="516">
        <v>1998.537638842304</v>
      </c>
      <c r="F21" s="516">
        <v>350.69426024450803</v>
      </c>
      <c r="G21" s="516">
        <v>2349.2318990868121</v>
      </c>
      <c r="H21" s="516">
        <v>229.69750865953384</v>
      </c>
      <c r="I21" s="517">
        <v>111.50462747849343</v>
      </c>
      <c r="J21" s="516">
        <v>-273.70742006919426</v>
      </c>
      <c r="K21" s="517">
        <v>461.56828595078446</v>
      </c>
      <c r="L21" s="516">
        <v>111.66888732297575</v>
      </c>
      <c r="M21" s="518">
        <v>0.94553332156347225</v>
      </c>
      <c r="N21" s="518">
        <v>0.10874190243676818</v>
      </c>
      <c r="O21" s="518">
        <v>4.6732366432173524E-2</v>
      </c>
      <c r="P21" s="518">
        <v>5.2831956673557438E-2</v>
      </c>
      <c r="Q21" s="516"/>
      <c r="R21" s="519">
        <v>20.593772500000004</v>
      </c>
      <c r="S21" s="519">
        <v>23.262247410000004</v>
      </c>
      <c r="T21" s="520">
        <v>20.606870699999998</v>
      </c>
      <c r="U21" s="520">
        <v>19.484482899999996</v>
      </c>
      <c r="V21" s="520">
        <v>3.4190480999999999</v>
      </c>
      <c r="W21" s="519">
        <v>22.903530999999997</v>
      </c>
      <c r="X21" s="519">
        <v>2.2394059999999998</v>
      </c>
      <c r="Y21" s="520">
        <v>4.5</v>
      </c>
      <c r="Z21" s="519">
        <v>1.0887013000000001</v>
      </c>
      <c r="AA21" s="519">
        <v>1.3856975499999999</v>
      </c>
      <c r="AB21" s="520">
        <v>4.1213741400000004</v>
      </c>
      <c r="AC21" s="585"/>
      <c r="AD21" s="585">
        <v>-3.03267284</v>
      </c>
    </row>
    <row r="22" spans="1:30" ht="14" thickBot="1">
      <c r="A22" s="70">
        <v>261</v>
      </c>
      <c r="B22" s="71" t="s">
        <v>1780</v>
      </c>
      <c r="C22" s="515">
        <v>22549.25</v>
      </c>
      <c r="D22" s="516">
        <v>2248.9831923456436</v>
      </c>
      <c r="E22" s="516">
        <v>1740.8543410534717</v>
      </c>
      <c r="F22" s="516">
        <v>365.64070201891423</v>
      </c>
      <c r="G22" s="516">
        <v>2106.4950430723857</v>
      </c>
      <c r="H22" s="516">
        <v>447.88478552501761</v>
      </c>
      <c r="I22" s="517">
        <v>130.28243777509229</v>
      </c>
      <c r="J22" s="516">
        <v>-114.14079226581815</v>
      </c>
      <c r="K22" s="517">
        <v>403.56109404969118</v>
      </c>
      <c r="L22" s="516">
        <v>49.253086909764185</v>
      </c>
      <c r="M22" s="518">
        <v>0.77406285070445369</v>
      </c>
      <c r="N22" s="518">
        <v>0.19819019775035321</v>
      </c>
      <c r="O22" s="518">
        <v>5.4878538651657566E-2</v>
      </c>
      <c r="P22" s="518">
        <v>2.19001578479536E-2</v>
      </c>
      <c r="Q22" s="516"/>
      <c r="R22" s="519">
        <v>50.958453620000007</v>
      </c>
      <c r="S22" s="519">
        <v>53.532242879999998</v>
      </c>
      <c r="T22" s="520">
        <v>50.712884250000002</v>
      </c>
      <c r="U22" s="520">
        <v>39.254959749999998</v>
      </c>
      <c r="V22" s="520">
        <v>8.2449236000000017</v>
      </c>
      <c r="W22" s="519">
        <v>47.499883349999998</v>
      </c>
      <c r="X22" s="519">
        <v>10.099466000000003</v>
      </c>
      <c r="Y22" s="520">
        <v>9.1</v>
      </c>
      <c r="Z22" s="519">
        <v>1.11062017</v>
      </c>
      <c r="AA22" s="519">
        <v>14.2826819</v>
      </c>
      <c r="AB22" s="520">
        <v>10.142576850000001</v>
      </c>
      <c r="AC22" s="585"/>
      <c r="AD22" s="585">
        <v>-9.0319566800000004</v>
      </c>
    </row>
    <row r="23" spans="1:30" ht="14" thickBot="1">
      <c r="A23" s="70">
        <v>263</v>
      </c>
      <c r="B23" s="71" t="s">
        <v>1781</v>
      </c>
      <c r="C23" s="515">
        <v>63559.42</v>
      </c>
      <c r="D23" s="516">
        <v>3007.0987903917312</v>
      </c>
      <c r="E23" s="516">
        <v>2844.9328486635027</v>
      </c>
      <c r="F23" s="516">
        <v>494.65758403711038</v>
      </c>
      <c r="G23" s="516">
        <v>3339.5904327006133</v>
      </c>
      <c r="H23" s="516">
        <v>137.24759996236594</v>
      </c>
      <c r="I23" s="517">
        <v>158.05934541252893</v>
      </c>
      <c r="J23" s="516">
        <v>9.2904170617038009</v>
      </c>
      <c r="K23" s="517">
        <v>676.17042446265248</v>
      </c>
      <c r="L23" s="516">
        <v>392.00910407930093</v>
      </c>
      <c r="M23" s="518">
        <v>0.94607229325275899</v>
      </c>
      <c r="N23" s="518">
        <v>4.3912750650009498E-2</v>
      </c>
      <c r="O23" s="518">
        <v>5.0722298150718353E-2</v>
      </c>
      <c r="P23" s="518">
        <v>0.13036123233857386</v>
      </c>
      <c r="Q23" s="516"/>
      <c r="R23" s="519">
        <v>198.65250344999998</v>
      </c>
      <c r="S23" s="519">
        <v>198.06200993000002</v>
      </c>
      <c r="T23" s="520">
        <v>191.12945500000001</v>
      </c>
      <c r="U23" s="520">
        <v>180.82228180000001</v>
      </c>
      <c r="V23" s="520">
        <v>31.440149139999992</v>
      </c>
      <c r="W23" s="519">
        <v>212.26243094</v>
      </c>
      <c r="X23" s="519">
        <v>8.7233778500000003</v>
      </c>
      <c r="Y23" s="520">
        <v>42.976999999999997</v>
      </c>
      <c r="Z23" s="519">
        <v>24.915871289999998</v>
      </c>
      <c r="AA23" s="519">
        <v>27.051192149999999</v>
      </c>
      <c r="AB23" s="520">
        <v>28.66941825</v>
      </c>
      <c r="AC23" s="585"/>
      <c r="AD23" s="585">
        <v>-3.7535469600000013</v>
      </c>
    </row>
    <row r="24" spans="1:30" ht="14" thickBot="1">
      <c r="A24" s="70">
        <v>290</v>
      </c>
      <c r="B24" s="71" t="s">
        <v>1782</v>
      </c>
      <c r="C24" s="515">
        <v>518890.42</v>
      </c>
      <c r="D24" s="516">
        <v>2524.7233336857516</v>
      </c>
      <c r="E24" s="516">
        <v>2717.6727353918</v>
      </c>
      <c r="F24" s="516">
        <v>423.22460441647775</v>
      </c>
      <c r="G24" s="516">
        <v>3140.8973398082776</v>
      </c>
      <c r="H24" s="516">
        <v>-219.88654367525228</v>
      </c>
      <c r="I24" s="517">
        <v>132.26703372168637</v>
      </c>
      <c r="J24" s="516">
        <v>-61.763585113018657</v>
      </c>
      <c r="K24" s="517">
        <v>671.82557411640016</v>
      </c>
      <c r="L24" s="516">
        <v>434.49378780205654</v>
      </c>
      <c r="M24" s="518">
        <v>1.0764239784738585</v>
      </c>
      <c r="N24" s="518">
        <v>-8.5203263143272701E-2</v>
      </c>
      <c r="O24" s="518">
        <v>5.0053887628679815E-2</v>
      </c>
      <c r="P24" s="518">
        <v>0.17209560430043433</v>
      </c>
      <c r="Q24" s="516"/>
      <c r="R24" s="519">
        <v>1339.1156252799999</v>
      </c>
      <c r="S24" s="519">
        <v>1371.1641579000004</v>
      </c>
      <c r="T24" s="520">
        <v>1310.0547509999999</v>
      </c>
      <c r="U24" s="520">
        <v>1410.1743470899999</v>
      </c>
      <c r="V24" s="520">
        <v>219.60719273999999</v>
      </c>
      <c r="W24" s="519">
        <v>1629.7815398299999</v>
      </c>
      <c r="X24" s="519">
        <v>-114.097021</v>
      </c>
      <c r="Y24" s="520">
        <v>348.60385431999998</v>
      </c>
      <c r="Z24" s="519">
        <v>225.45466403999998</v>
      </c>
      <c r="AA24" s="519">
        <v>478.99204370000007</v>
      </c>
      <c r="AB24" s="520">
        <v>131.00547510000001</v>
      </c>
      <c r="AC24" s="585">
        <v>94.449188939999971</v>
      </c>
      <c r="AD24" s="585"/>
    </row>
    <row r="25" spans="1:30" ht="14" thickBot="1">
      <c r="A25" s="70">
        <v>294</v>
      </c>
      <c r="B25" s="71" t="s">
        <v>1783</v>
      </c>
      <c r="C25" s="515">
        <v>4694.84</v>
      </c>
      <c r="D25" s="516">
        <v>2130.4189493145664</v>
      </c>
      <c r="E25" s="516">
        <v>1849.5490581148663</v>
      </c>
      <c r="F25" s="516">
        <v>352.46750687989368</v>
      </c>
      <c r="G25" s="516">
        <v>2202.0165649947598</v>
      </c>
      <c r="H25" s="516">
        <v>106.49990202009015</v>
      </c>
      <c r="I25" s="517">
        <v>163.86780806161656</v>
      </c>
      <c r="J25" s="516">
        <v>93.301211542885397</v>
      </c>
      <c r="K25" s="517">
        <v>554.97098942668981</v>
      </c>
      <c r="L25" s="516">
        <v>593.17006756353783</v>
      </c>
      <c r="M25" s="518">
        <v>0.86816213248100038</v>
      </c>
      <c r="N25" s="518">
        <v>4.8318807958772532E-2</v>
      </c>
      <c r="O25" s="518">
        <v>7.7632760798104022E-2</v>
      </c>
      <c r="P25" s="518">
        <v>0.27842883567778171</v>
      </c>
      <c r="Q25" s="516"/>
      <c r="R25" s="519">
        <v>10.347937400000001</v>
      </c>
      <c r="S25" s="519">
        <v>9.9099031399999991</v>
      </c>
      <c r="T25" s="520">
        <v>10.0019761</v>
      </c>
      <c r="U25" s="520">
        <v>8.6833368999999987</v>
      </c>
      <c r="V25" s="520">
        <v>1.6547785500000001</v>
      </c>
      <c r="W25" s="519">
        <v>10.338115449999998</v>
      </c>
      <c r="X25" s="519">
        <v>0.5</v>
      </c>
      <c r="Y25" s="520">
        <v>2.6055000000000001</v>
      </c>
      <c r="Z25" s="519">
        <v>2.7848385599999999</v>
      </c>
      <c r="AA25" s="519" t="s">
        <v>744</v>
      </c>
      <c r="AB25" s="520">
        <v>2.0003952200000001</v>
      </c>
      <c r="AC25" s="585">
        <v>0.78444333999999971</v>
      </c>
      <c r="AD25" s="585"/>
    </row>
    <row r="26" spans="1:30" ht="14" thickBot="1">
      <c r="A26" s="70">
        <v>312</v>
      </c>
      <c r="B26" s="71" t="s">
        <v>1784</v>
      </c>
      <c r="C26" s="515">
        <v>160023.42000000001</v>
      </c>
      <c r="D26" s="516">
        <v>2444.9933341007204</v>
      </c>
      <c r="E26" s="516">
        <v>2507.0539892848187</v>
      </c>
      <c r="F26" s="516">
        <v>416.03327375455416</v>
      </c>
      <c r="G26" s="516">
        <v>2923.0872630393728</v>
      </c>
      <c r="H26" s="516">
        <v>79.733634301779091</v>
      </c>
      <c r="I26" s="517">
        <v>102.26131587488879</v>
      </c>
      <c r="J26" s="516">
        <v>-142.43099660037259</v>
      </c>
      <c r="K26" s="517">
        <v>753.2022500206532</v>
      </c>
      <c r="L26" s="516">
        <v>210.18915506242769</v>
      </c>
      <c r="M26" s="518">
        <v>1.0253827502588773</v>
      </c>
      <c r="N26" s="518">
        <v>3.1703739615329136E-2</v>
      </c>
      <c r="O26" s="518">
        <v>3.8481849024147141E-2</v>
      </c>
      <c r="P26" s="518">
        <v>8.5967168961520374E-2</v>
      </c>
      <c r="Q26" s="516"/>
      <c r="R26" s="519">
        <v>402.45248683000011</v>
      </c>
      <c r="S26" s="519">
        <v>425.24478201999995</v>
      </c>
      <c r="T26" s="520">
        <v>391.25619519999998</v>
      </c>
      <c r="U26" s="520">
        <v>401.18735349000008</v>
      </c>
      <c r="V26" s="520">
        <v>66.575067300000001</v>
      </c>
      <c r="W26" s="519">
        <v>467.76242079000008</v>
      </c>
      <c r="X26" s="519">
        <v>12.759248850000002</v>
      </c>
      <c r="Y26" s="520">
        <v>120.53</v>
      </c>
      <c r="Z26" s="519">
        <v>33.635187439999996</v>
      </c>
      <c r="AA26" s="519">
        <v>103.40278840000001</v>
      </c>
      <c r="AB26" s="520">
        <v>39.125619520000001</v>
      </c>
      <c r="AC26" s="585"/>
      <c r="AD26" s="585">
        <v>-5.490432080000005</v>
      </c>
    </row>
    <row r="27" spans="1:30" ht="14" thickBot="1">
      <c r="A27" s="70">
        <v>343</v>
      </c>
      <c r="B27" s="71" t="s">
        <v>1785</v>
      </c>
      <c r="C27" s="515">
        <v>95618</v>
      </c>
      <c r="D27" s="516">
        <v>2793.3616013721266</v>
      </c>
      <c r="E27" s="516">
        <v>2653.7992786922969</v>
      </c>
      <c r="F27" s="516">
        <v>462.81416731159396</v>
      </c>
      <c r="G27" s="516">
        <v>3116.6134460038907</v>
      </c>
      <c r="H27" s="516">
        <v>49.957524210922635</v>
      </c>
      <c r="I27" s="517">
        <v>140.37591185760007</v>
      </c>
      <c r="J27" s="516">
        <v>-58.60490733962223</v>
      </c>
      <c r="K27" s="517">
        <v>692.79006044886955</v>
      </c>
      <c r="L27" s="516">
        <v>493.83917274990068</v>
      </c>
      <c r="M27" s="518">
        <v>0.95003786025723436</v>
      </c>
      <c r="N27" s="518">
        <v>1.746352691335833E-2</v>
      </c>
      <c r="O27" s="518">
        <v>4.8085754160628616E-2</v>
      </c>
      <c r="P27" s="518">
        <v>0.17679027753060039</v>
      </c>
      <c r="Q27" s="516"/>
      <c r="R27" s="519">
        <v>273.53229240000002</v>
      </c>
      <c r="S27" s="519">
        <v>279.13597643000003</v>
      </c>
      <c r="T27" s="520">
        <v>267.0956496</v>
      </c>
      <c r="U27" s="520">
        <v>253.75097943000003</v>
      </c>
      <c r="V27" s="520">
        <v>44.253365049999992</v>
      </c>
      <c r="W27" s="519">
        <v>298.00434448000004</v>
      </c>
      <c r="X27" s="519">
        <v>4.7768385500000008</v>
      </c>
      <c r="Y27" s="520">
        <v>66.243200000000002</v>
      </c>
      <c r="Z27" s="519">
        <v>47.219914020000004</v>
      </c>
      <c r="AA27" s="519">
        <v>26.681511499999999</v>
      </c>
      <c r="AB27" s="520">
        <v>40.064347439999999</v>
      </c>
      <c r="AC27" s="585">
        <v>7.1555665800000057</v>
      </c>
      <c r="AD27" s="585"/>
    </row>
    <row r="28" spans="1:30" ht="14" thickBot="1">
      <c r="A28" s="70">
        <v>360</v>
      </c>
      <c r="B28" s="71" t="s">
        <v>1786</v>
      </c>
      <c r="C28" s="515">
        <v>15274.34</v>
      </c>
      <c r="D28" s="516">
        <v>2028.5176839064727</v>
      </c>
      <c r="E28" s="516">
        <v>1755.3139088170094</v>
      </c>
      <c r="F28" s="516">
        <v>349.28597569518541</v>
      </c>
      <c r="G28" s="516">
        <v>2104.5998845121949</v>
      </c>
      <c r="H28" s="516">
        <v>289.79366702587481</v>
      </c>
      <c r="I28" s="517">
        <v>73.137130638705173</v>
      </c>
      <c r="J28" s="516">
        <v>4.5496604108590173</v>
      </c>
      <c r="K28" s="517">
        <v>587.6584552916853</v>
      </c>
      <c r="L28" s="516">
        <v>1001.2224724603486</v>
      </c>
      <c r="M28" s="518">
        <v>0.86531851447144703</v>
      </c>
      <c r="N28" s="518">
        <v>0.13730711264102669</v>
      </c>
      <c r="O28" s="518">
        <v>3.4727959793347071E-2</v>
      </c>
      <c r="P28" s="518">
        <v>0.49357345040848616</v>
      </c>
      <c r="Q28" s="516"/>
      <c r="R28" s="519">
        <v>32.237273909999999</v>
      </c>
      <c r="S28" s="519">
        <v>32.16778085</v>
      </c>
      <c r="T28" s="520">
        <v>30.984268799999995</v>
      </c>
      <c r="U28" s="520">
        <v>26.81126145</v>
      </c>
      <c r="V28" s="520">
        <v>5.3351127499999986</v>
      </c>
      <c r="W28" s="519">
        <v>32.146374199999997</v>
      </c>
      <c r="X28" s="519">
        <v>4.4264070000000002</v>
      </c>
      <c r="Y28" s="520">
        <v>8.9760950500000014</v>
      </c>
      <c r="Z28" s="519">
        <v>15.293012460000002</v>
      </c>
      <c r="AA28" s="519">
        <v>6.0210800999999998</v>
      </c>
      <c r="AB28" s="520">
        <v>6.1968537599999998</v>
      </c>
      <c r="AC28" s="585">
        <v>9.0961587000000019</v>
      </c>
      <c r="AD28" s="585"/>
    </row>
    <row r="29" spans="1:30" ht="14" thickBot="1">
      <c r="A29" s="70">
        <v>376</v>
      </c>
      <c r="B29" s="71" t="s">
        <v>1787</v>
      </c>
      <c r="C29" s="515">
        <v>291976</v>
      </c>
      <c r="D29" s="516">
        <v>2811.8648361509163</v>
      </c>
      <c r="E29" s="516">
        <v>2842.1197685426196</v>
      </c>
      <c r="F29" s="516">
        <v>465.17383486998932</v>
      </c>
      <c r="G29" s="516">
        <v>3307.2936034126083</v>
      </c>
      <c r="H29" s="516">
        <v>-107.99519138559333</v>
      </c>
      <c r="I29" s="517">
        <v>178.52771806586841</v>
      </c>
      <c r="J29" s="516">
        <v>1.7800941858234784</v>
      </c>
      <c r="K29" s="517">
        <v>852.63857303340001</v>
      </c>
      <c r="L29" s="516">
        <v>360.85689046359977</v>
      </c>
      <c r="M29" s="518">
        <v>1.0107597392316761</v>
      </c>
      <c r="N29" s="518">
        <v>-3.7710418965297463E-2</v>
      </c>
      <c r="O29" s="518">
        <v>6.2378169681545026E-2</v>
      </c>
      <c r="P29" s="518">
        <v>0.12833365452856074</v>
      </c>
      <c r="Q29" s="516"/>
      <c r="R29" s="519">
        <v>836.16159314000004</v>
      </c>
      <c r="S29" s="519">
        <v>835.64184836000004</v>
      </c>
      <c r="T29" s="520">
        <v>820.99704739999993</v>
      </c>
      <c r="U29" s="520">
        <v>829.8307615399998</v>
      </c>
      <c r="V29" s="520">
        <v>135.81959560999999</v>
      </c>
      <c r="W29" s="519">
        <v>965.65035714999976</v>
      </c>
      <c r="X29" s="519">
        <v>-31.532003999999997</v>
      </c>
      <c r="Y29" s="520">
        <v>248.95</v>
      </c>
      <c r="Z29" s="519">
        <v>105.36155145000001</v>
      </c>
      <c r="AA29" s="519" t="s">
        <v>744</v>
      </c>
      <c r="AB29" s="520">
        <v>82.099704740000007</v>
      </c>
      <c r="AC29" s="585">
        <v>23.26184671</v>
      </c>
      <c r="AD29" s="585"/>
    </row>
    <row r="30" spans="1:30" ht="14" thickBot="1">
      <c r="A30" s="70">
        <v>411</v>
      </c>
      <c r="B30" s="71" t="s">
        <v>1788</v>
      </c>
      <c r="C30" s="515">
        <v>29633</v>
      </c>
      <c r="D30" s="516">
        <v>2585.5865707150806</v>
      </c>
      <c r="E30" s="516">
        <v>2367.3836428981203</v>
      </c>
      <c r="F30" s="516">
        <v>345.07724563830863</v>
      </c>
      <c r="G30" s="516">
        <v>2712.4608885364287</v>
      </c>
      <c r="H30" s="516">
        <v>214.77889515067662</v>
      </c>
      <c r="I30" s="517">
        <v>213.80067458576585</v>
      </c>
      <c r="J30" s="516">
        <v>24.571243546046642</v>
      </c>
      <c r="K30" s="517">
        <v>509.36455978132483</v>
      </c>
      <c r="L30" s="516">
        <v>16.674563493402623</v>
      </c>
      <c r="M30" s="518">
        <v>0.91560795902625181</v>
      </c>
      <c r="N30" s="518">
        <v>7.9415264931514282E-2</v>
      </c>
      <c r="O30" s="518">
        <v>7.9778375236310622E-2</v>
      </c>
      <c r="P30" s="518">
        <v>6.4490447476260818E-3</v>
      </c>
      <c r="Q30" s="516"/>
      <c r="R30" s="519">
        <v>80.142564600000028</v>
      </c>
      <c r="S30" s="519">
        <v>79.414444969999977</v>
      </c>
      <c r="T30" s="520">
        <v>76.618686849999989</v>
      </c>
      <c r="U30" s="520">
        <v>70.152679489999997</v>
      </c>
      <c r="V30" s="520">
        <v>10.22567402</v>
      </c>
      <c r="W30" s="519">
        <v>80.378353509999997</v>
      </c>
      <c r="X30" s="519">
        <v>6.3645430000000003</v>
      </c>
      <c r="Y30" s="520">
        <v>15.093999999999999</v>
      </c>
      <c r="Z30" s="519">
        <v>0.49411733999999996</v>
      </c>
      <c r="AA30" s="519">
        <v>27.113846250000002</v>
      </c>
      <c r="AB30" s="520">
        <v>15.32373737</v>
      </c>
      <c r="AC30" s="585"/>
      <c r="AD30" s="585">
        <v>-14.829620029999999</v>
      </c>
    </row>
    <row r="31" spans="1:30" ht="14" thickBot="1">
      <c r="A31" s="70">
        <v>445</v>
      </c>
      <c r="B31" s="71" t="s">
        <v>1789</v>
      </c>
      <c r="C31" s="515">
        <v>68148.58</v>
      </c>
      <c r="D31" s="516">
        <v>2596.0885333194024</v>
      </c>
      <c r="E31" s="516">
        <v>2057.0802512686255</v>
      </c>
      <c r="F31" s="516">
        <v>426.94392252927344</v>
      </c>
      <c r="G31" s="516">
        <v>2484.024173797899</v>
      </c>
      <c r="H31" s="516">
        <v>495.89672301315738</v>
      </c>
      <c r="I31" s="517">
        <v>133.53667501215727</v>
      </c>
      <c r="J31" s="516">
        <v>-99.071584763761777</v>
      </c>
      <c r="K31" s="517">
        <v>544.89763396390651</v>
      </c>
      <c r="L31" s="516">
        <v>433.46793961077395</v>
      </c>
      <c r="M31" s="518">
        <v>0.79237677177303667</v>
      </c>
      <c r="N31" s="518">
        <v>0.18792982495577315</v>
      </c>
      <c r="O31" s="518">
        <v>4.8775084906030226E-2</v>
      </c>
      <c r="P31" s="518">
        <v>0.16696962913531097</v>
      </c>
      <c r="Q31" s="516"/>
      <c r="R31" s="519">
        <v>179.82594039</v>
      </c>
      <c r="S31" s="519">
        <v>186.57752821000003</v>
      </c>
      <c r="T31" s="520">
        <v>176.91974709999997</v>
      </c>
      <c r="U31" s="520">
        <v>140.18709807000002</v>
      </c>
      <c r="V31" s="520">
        <v>29.095622059999997</v>
      </c>
      <c r="W31" s="519">
        <v>169.28272013000003</v>
      </c>
      <c r="X31" s="519">
        <v>33.7946575</v>
      </c>
      <c r="Y31" s="520">
        <v>37.134</v>
      </c>
      <c r="Z31" s="519">
        <v>29.540224559999999</v>
      </c>
      <c r="AA31" s="519">
        <v>25.197631300000001</v>
      </c>
      <c r="AB31" s="520">
        <v>26.537962064999995</v>
      </c>
      <c r="AC31" s="585">
        <v>3.0022624950000036</v>
      </c>
      <c r="AD31" s="585"/>
    </row>
    <row r="32" spans="1:30" ht="14" thickBot="1">
      <c r="A32" s="70">
        <v>455</v>
      </c>
      <c r="B32" s="71" t="s">
        <v>1790</v>
      </c>
      <c r="C32" s="515">
        <v>150974.18</v>
      </c>
      <c r="D32" s="516">
        <v>2224.3304673024227</v>
      </c>
      <c r="E32" s="516">
        <v>2069.4780932739623</v>
      </c>
      <c r="F32" s="516">
        <v>369.93994297567968</v>
      </c>
      <c r="G32" s="516">
        <v>2439.4180362496422</v>
      </c>
      <c r="H32" s="516">
        <v>206.22084120609236</v>
      </c>
      <c r="I32" s="517">
        <v>168.15666606038198</v>
      </c>
      <c r="J32" s="516">
        <v>2.0483300521983301</v>
      </c>
      <c r="K32" s="517">
        <v>478.16902963142439</v>
      </c>
      <c r="L32" s="516">
        <v>335.9444215560568</v>
      </c>
      <c r="M32" s="518">
        <v>0.9303824785458884</v>
      </c>
      <c r="N32" s="518">
        <v>8.6796336453198814E-2</v>
      </c>
      <c r="O32" s="518">
        <v>7.0836566944829371E-2</v>
      </c>
      <c r="P32" s="518">
        <v>0.1510317043687652</v>
      </c>
      <c r="Q32" s="516"/>
      <c r="R32" s="519">
        <v>358.70203365999993</v>
      </c>
      <c r="S32" s="519">
        <v>358.39278870999993</v>
      </c>
      <c r="T32" s="520">
        <v>335.81646835000004</v>
      </c>
      <c r="U32" s="520">
        <v>312.43775815999999</v>
      </c>
      <c r="V32" s="520">
        <v>55.851379540000003</v>
      </c>
      <c r="W32" s="519">
        <v>368.28913769999997</v>
      </c>
      <c r="X32" s="519">
        <v>31.134022400000003</v>
      </c>
      <c r="Y32" s="520">
        <v>72.191177150000001</v>
      </c>
      <c r="Z32" s="519">
        <v>50.718933569999997</v>
      </c>
      <c r="AA32" s="519" t="s">
        <v>744</v>
      </c>
      <c r="AB32" s="520">
        <v>33.581646835000001</v>
      </c>
      <c r="AC32" s="585">
        <v>17.137286734999996</v>
      </c>
      <c r="AD32" s="585"/>
    </row>
    <row r="33" spans="1:30" ht="14" thickBot="1">
      <c r="A33" s="70">
        <v>484</v>
      </c>
      <c r="B33" s="71" t="s">
        <v>1791</v>
      </c>
      <c r="C33" s="515">
        <v>21270.92</v>
      </c>
      <c r="D33" s="516">
        <v>2841.0561179300189</v>
      </c>
      <c r="E33" s="516">
        <v>2890.4190801338164</v>
      </c>
      <c r="F33" s="516">
        <v>451.37385218880974</v>
      </c>
      <c r="G33" s="516">
        <v>3341.7929323226258</v>
      </c>
      <c r="H33" s="516">
        <v>-246.99660381403342</v>
      </c>
      <c r="I33" s="517">
        <v>150.23777062769264</v>
      </c>
      <c r="J33" s="516">
        <v>120.87009259590089</v>
      </c>
      <c r="K33" s="517">
        <v>667.57808312945554</v>
      </c>
      <c r="L33" s="516">
        <v>513.54187313007617</v>
      </c>
      <c r="M33" s="518">
        <v>1.0173748634855417</v>
      </c>
      <c r="N33" s="518">
        <v>-8.4597343071146872E-2</v>
      </c>
      <c r="O33" s="518">
        <v>5.3679290573680261E-2</v>
      </c>
      <c r="P33" s="518">
        <v>0.18075738451243281</v>
      </c>
      <c r="Q33" s="516"/>
      <c r="R33" s="519">
        <v>62.104137189999982</v>
      </c>
      <c r="S33" s="519">
        <v>59.533119119999995</v>
      </c>
      <c r="T33" s="520">
        <v>60.431877399999998</v>
      </c>
      <c r="U33" s="520">
        <v>61.481873020000002</v>
      </c>
      <c r="V33" s="520">
        <v>9.6011370999999972</v>
      </c>
      <c r="W33" s="519">
        <v>71.083010119999997</v>
      </c>
      <c r="X33" s="519">
        <v>-5.2538450000000001</v>
      </c>
      <c r="Y33" s="520">
        <v>14.2</v>
      </c>
      <c r="Z33" s="519">
        <v>10.923508099999999</v>
      </c>
      <c r="AA33" s="519" t="s">
        <v>744</v>
      </c>
      <c r="AB33" s="520">
        <v>12.086375480000001</v>
      </c>
      <c r="AC33" s="585"/>
      <c r="AD33" s="585">
        <v>-1.1628673800000016</v>
      </c>
    </row>
    <row r="34" spans="1:30" ht="14" thickBot="1">
      <c r="A34" s="70">
        <v>509</v>
      </c>
      <c r="B34" s="71" t="s">
        <v>760</v>
      </c>
      <c r="C34" s="515">
        <v>133828.42000000001</v>
      </c>
      <c r="D34" s="516">
        <v>3154.3854466039425</v>
      </c>
      <c r="E34" s="516">
        <v>3382.0400952951545</v>
      </c>
      <c r="F34" s="516">
        <v>400.36003593257692</v>
      </c>
      <c r="G34" s="516">
        <v>3782.4001312277314</v>
      </c>
      <c r="H34" s="516">
        <v>-81.407481908551233</v>
      </c>
      <c r="I34" s="517">
        <v>258.94239108554069</v>
      </c>
      <c r="J34" s="516">
        <v>-146.12703990677014</v>
      </c>
      <c r="K34" s="517">
        <v>892.09931037069691</v>
      </c>
      <c r="L34" s="516">
        <v>439.71326090526964</v>
      </c>
      <c r="M34" s="518">
        <v>1.0721708404203767</v>
      </c>
      <c r="N34" s="518">
        <v>-2.427208927190426E-2</v>
      </c>
      <c r="O34" s="518">
        <v>7.3981817733819802E-2</v>
      </c>
      <c r="P34" s="518">
        <v>0.13939744154560163</v>
      </c>
      <c r="Q34" s="516"/>
      <c r="R34" s="519">
        <v>448.85442525999997</v>
      </c>
      <c r="S34" s="519">
        <v>468.41037611000002</v>
      </c>
      <c r="T34" s="520">
        <v>422.14642039000006</v>
      </c>
      <c r="U34" s="520">
        <v>452.61308233</v>
      </c>
      <c r="V34" s="520">
        <v>53.579551039999998</v>
      </c>
      <c r="W34" s="519">
        <v>506.19263337000001</v>
      </c>
      <c r="X34" s="519">
        <v>-10.894634679999998</v>
      </c>
      <c r="Y34" s="520">
        <v>119.38824119</v>
      </c>
      <c r="Z34" s="519">
        <v>58.846130960000004</v>
      </c>
      <c r="AA34" s="519">
        <v>21.351870099999999</v>
      </c>
      <c r="AB34" s="520">
        <v>63.321963058500003</v>
      </c>
      <c r="AC34" s="585"/>
      <c r="AD34" s="585">
        <v>-4.4758320984999997</v>
      </c>
    </row>
    <row r="35" spans="1:30" ht="14" thickBot="1">
      <c r="A35" s="70">
        <v>556</v>
      </c>
      <c r="B35" s="71" t="s">
        <v>1792</v>
      </c>
      <c r="C35" s="515">
        <v>2888.33</v>
      </c>
      <c r="D35" s="516">
        <v>2665.526948098036</v>
      </c>
      <c r="E35" s="516">
        <v>2584.0998847084647</v>
      </c>
      <c r="F35" s="516">
        <v>350.32872975040937</v>
      </c>
      <c r="G35" s="516">
        <v>2934.4286144588741</v>
      </c>
      <c r="H35" s="516">
        <v>163.08939767962801</v>
      </c>
      <c r="I35" s="517">
        <v>159.79924039150649</v>
      </c>
      <c r="J35" s="516">
        <v>-160.91780371356461</v>
      </c>
      <c r="K35" s="517">
        <v>666.47509114263266</v>
      </c>
      <c r="L35" s="516">
        <v>666.66090786025154</v>
      </c>
      <c r="M35" s="518">
        <v>0.96945179509527268</v>
      </c>
      <c r="N35" s="518">
        <v>6.0398543944476503E-2</v>
      </c>
      <c r="O35" s="518">
        <v>5.5851627260707574E-2</v>
      </c>
      <c r="P35" s="518">
        <v>0.2501047338260608</v>
      </c>
      <c r="Q35" s="516"/>
      <c r="R35" s="519">
        <v>7.7991284099999971</v>
      </c>
      <c r="S35" s="519">
        <v>8.2639121299999996</v>
      </c>
      <c r="T35" s="520">
        <v>7.6989214500000003</v>
      </c>
      <c r="U35" s="520">
        <v>7.4637332199999999</v>
      </c>
      <c r="V35" s="520">
        <v>1.0118649799999999</v>
      </c>
      <c r="W35" s="519">
        <v>8.4755982000000003</v>
      </c>
      <c r="X35" s="519">
        <v>0.47105599999999997</v>
      </c>
      <c r="Y35" s="520">
        <v>1.925</v>
      </c>
      <c r="Z35" s="519">
        <v>1.9255367000000001</v>
      </c>
      <c r="AA35" s="519">
        <v>1.8693234500000002</v>
      </c>
      <c r="AB35" s="520">
        <v>1.5397842900000001</v>
      </c>
      <c r="AC35" s="585">
        <v>0.38575241000000005</v>
      </c>
      <c r="AD35" s="585"/>
    </row>
    <row r="36" spans="1:30" ht="14" thickBot="1">
      <c r="A36" s="70">
        <v>558</v>
      </c>
      <c r="B36" s="71" t="s">
        <v>699</v>
      </c>
      <c r="C36" s="515">
        <v>2034.33</v>
      </c>
      <c r="D36" s="516">
        <v>1846.404221537312</v>
      </c>
      <c r="E36" s="516">
        <v>1326.2879916237778</v>
      </c>
      <c r="F36" s="516">
        <v>376.81907556787735</v>
      </c>
      <c r="G36" s="516">
        <v>1703.1070671916552</v>
      </c>
      <c r="H36" s="516">
        <v>161.60600787482858</v>
      </c>
      <c r="I36" s="517">
        <v>182.74889521365759</v>
      </c>
      <c r="J36" s="516">
        <v>124.64954063500022</v>
      </c>
      <c r="K36" s="517">
        <v>614.45291570197548</v>
      </c>
      <c r="L36" s="516">
        <v>1783.3970496428799</v>
      </c>
      <c r="M36" s="518">
        <v>0.71830857845391693</v>
      </c>
      <c r="N36" s="518">
        <v>8.7173932393805054E-2</v>
      </c>
      <c r="O36" s="518">
        <v>0.10568501493096968</v>
      </c>
      <c r="P36" s="518">
        <v>0.96587574315554137</v>
      </c>
      <c r="Q36" s="516"/>
      <c r="R36" s="519">
        <v>3.7713103100000005</v>
      </c>
      <c r="S36" s="519">
        <v>3.51773201</v>
      </c>
      <c r="T36" s="520">
        <v>3.7561955</v>
      </c>
      <c r="U36" s="520">
        <v>2.6981074500000002</v>
      </c>
      <c r="V36" s="520">
        <v>0.76657434999999996</v>
      </c>
      <c r="W36" s="519">
        <v>3.4646818000000001</v>
      </c>
      <c r="X36" s="519">
        <v>0.32875995000000002</v>
      </c>
      <c r="Y36" s="520">
        <v>1.25</v>
      </c>
      <c r="Z36" s="519">
        <v>3.6280181200000001</v>
      </c>
      <c r="AA36" s="519" t="s">
        <v>744</v>
      </c>
      <c r="AB36" s="520">
        <v>0.75123910000000005</v>
      </c>
      <c r="AC36" s="585">
        <v>2.8767790199999999</v>
      </c>
      <c r="AD36" s="585"/>
    </row>
    <row r="37" spans="1:30" ht="14" thickBot="1">
      <c r="A37" s="70">
        <v>749</v>
      </c>
      <c r="B37" s="71" t="s">
        <v>534</v>
      </c>
      <c r="C37" s="515">
        <v>64605.08</v>
      </c>
      <c r="D37" s="516">
        <v>2747.9243242172279</v>
      </c>
      <c r="E37" s="516">
        <v>2310.3468180830364</v>
      </c>
      <c r="F37" s="516">
        <v>441.31730755538109</v>
      </c>
      <c r="G37" s="516">
        <v>2751.6641256384178</v>
      </c>
      <c r="H37" s="516">
        <v>356.94257402049499</v>
      </c>
      <c r="I37" s="517">
        <v>148.23513259328831</v>
      </c>
      <c r="J37" s="516">
        <v>-19.705138512327519</v>
      </c>
      <c r="K37" s="517">
        <v>658.83054397579872</v>
      </c>
      <c r="L37" s="516">
        <v>814.8658594649213</v>
      </c>
      <c r="M37" s="518">
        <v>0.84076071444986411</v>
      </c>
      <c r="N37" s="518">
        <v>0.12664384188635372</v>
      </c>
      <c r="O37" s="518">
        <v>5.2228926905483065E-2</v>
      </c>
      <c r="P37" s="518">
        <v>0.29653868277360351</v>
      </c>
      <c r="Q37" s="516"/>
      <c r="R37" s="519">
        <v>182.08783946</v>
      </c>
      <c r="S37" s="519">
        <v>183.36089150999999</v>
      </c>
      <c r="T37" s="520">
        <v>177.52987079999994</v>
      </c>
      <c r="U37" s="520">
        <v>149.26014101000001</v>
      </c>
      <c r="V37" s="520">
        <v>28.511339960000001</v>
      </c>
      <c r="W37" s="519">
        <v>177.77148097000003</v>
      </c>
      <c r="X37" s="519">
        <v>23.06030355</v>
      </c>
      <c r="Y37" s="520">
        <v>42.563800000000001</v>
      </c>
      <c r="Z37" s="519">
        <v>52.644474039999999</v>
      </c>
      <c r="AA37" s="519">
        <v>49.677064600000001</v>
      </c>
      <c r="AB37" s="520">
        <v>26.629480619999992</v>
      </c>
      <c r="AC37" s="585">
        <v>26.014993420000007</v>
      </c>
      <c r="AD37" s="585"/>
    </row>
    <row r="38" spans="1:30" ht="14" thickBot="1">
      <c r="A38" s="70">
        <v>762</v>
      </c>
      <c r="B38" s="71" t="s">
        <v>535</v>
      </c>
      <c r="C38" s="515">
        <v>32062.080000000002</v>
      </c>
      <c r="D38" s="516">
        <v>2501.8666973571271</v>
      </c>
      <c r="E38" s="516">
        <v>2616.9466407045334</v>
      </c>
      <c r="F38" s="516">
        <v>445.63783291664174</v>
      </c>
      <c r="G38" s="516">
        <v>3062.5844736211748</v>
      </c>
      <c r="H38" s="516">
        <v>54.882822636585026</v>
      </c>
      <c r="I38" s="517">
        <v>156.71089118360376</v>
      </c>
      <c r="J38" s="516">
        <v>-250.46159357097238</v>
      </c>
      <c r="K38" s="517">
        <v>517.74557358724076</v>
      </c>
      <c r="L38" s="516">
        <v>105.06212416661675</v>
      </c>
      <c r="M38" s="518">
        <v>1.0459976318758197</v>
      </c>
      <c r="N38" s="518">
        <v>2.1489381603370709E-2</v>
      </c>
      <c r="O38" s="518">
        <v>5.5880117132621109E-2</v>
      </c>
      <c r="P38" s="518">
        <v>4.1993494008933506E-2</v>
      </c>
      <c r="Q38" s="516"/>
      <c r="R38" s="519">
        <v>81.884973819999999</v>
      </c>
      <c r="S38" s="519">
        <v>89.915293450000007</v>
      </c>
      <c r="T38" s="520">
        <v>80.215050200000007</v>
      </c>
      <c r="U38" s="520">
        <v>83.904752550000012</v>
      </c>
      <c r="V38" s="520">
        <v>14.28807585</v>
      </c>
      <c r="W38" s="519">
        <v>98.19282840000001</v>
      </c>
      <c r="X38" s="519">
        <v>1.7596574500000002</v>
      </c>
      <c r="Y38" s="520">
        <v>16.600000000000001</v>
      </c>
      <c r="Z38" s="519">
        <v>3.36851023</v>
      </c>
      <c r="AA38" s="519">
        <v>15.866686849999999</v>
      </c>
      <c r="AB38" s="520">
        <v>16.043010040000002</v>
      </c>
      <c r="AC38" s="585">
        <v>0</v>
      </c>
      <c r="AD38" s="585">
        <v>-12.674499810000002</v>
      </c>
    </row>
    <row r="39" spans="1:30" ht="14" thickBot="1">
      <c r="A39" s="70">
        <v>774</v>
      </c>
      <c r="B39" s="71" t="s">
        <v>536</v>
      </c>
      <c r="C39" s="515">
        <v>24845.5</v>
      </c>
      <c r="D39" s="516">
        <v>2134.1047392888045</v>
      </c>
      <c r="E39" s="516">
        <v>1539.3311505101524</v>
      </c>
      <c r="F39" s="516">
        <v>372.54398502746983</v>
      </c>
      <c r="G39" s="516">
        <v>1911.8751355376223</v>
      </c>
      <c r="H39" s="516">
        <v>488.79632126542032</v>
      </c>
      <c r="I39" s="517">
        <v>113.89684127910488</v>
      </c>
      <c r="J39" s="516">
        <v>-34.473056690346333</v>
      </c>
      <c r="K39" s="517">
        <v>402.48737195870484</v>
      </c>
      <c r="L39" s="516">
        <v>287.00507737819726</v>
      </c>
      <c r="M39" s="518">
        <v>0.72130065697859713</v>
      </c>
      <c r="N39" s="518">
        <v>0.22522450407858899</v>
      </c>
      <c r="O39" s="518">
        <v>5.166008910856501E-2</v>
      </c>
      <c r="P39" s="518">
        <v>0.13448500070987254</v>
      </c>
      <c r="Q39" s="516"/>
      <c r="R39" s="519">
        <v>53.921259810000002</v>
      </c>
      <c r="S39" s="519">
        <v>54.777760139999991</v>
      </c>
      <c r="T39" s="520">
        <v>53.022899299999999</v>
      </c>
      <c r="U39" s="520">
        <v>38.245452099999994</v>
      </c>
      <c r="V39" s="520">
        <v>9.2560415800000015</v>
      </c>
      <c r="W39" s="519">
        <v>47.501493679999996</v>
      </c>
      <c r="X39" s="519">
        <v>12.144389</v>
      </c>
      <c r="Y39" s="520">
        <v>10</v>
      </c>
      <c r="Z39" s="519">
        <v>7.1307846500000007</v>
      </c>
      <c r="AA39" s="519">
        <v>1.2619483</v>
      </c>
      <c r="AB39" s="520">
        <v>10.604579859999999</v>
      </c>
      <c r="AC39" s="585">
        <v>0</v>
      </c>
      <c r="AD39" s="585">
        <v>-3.4737952099999987</v>
      </c>
    </row>
    <row r="40" spans="1:30" ht="14" thickBot="1">
      <c r="A40" s="70">
        <v>780</v>
      </c>
      <c r="B40" s="71" t="s">
        <v>537</v>
      </c>
      <c r="C40" s="515">
        <v>4244.41</v>
      </c>
      <c r="D40" s="516">
        <v>1770.1608468550401</v>
      </c>
      <c r="E40" s="516">
        <v>1302.1855452230109</v>
      </c>
      <c r="F40" s="516">
        <v>340.80115964291861</v>
      </c>
      <c r="G40" s="516">
        <v>1642.9867048659294</v>
      </c>
      <c r="H40" s="516">
        <v>420.89948897491053</v>
      </c>
      <c r="I40" s="517">
        <v>54.40490904507341</v>
      </c>
      <c r="J40" s="516">
        <v>4.4423088250192242</v>
      </c>
      <c r="K40" s="517">
        <v>327.48956863262504</v>
      </c>
      <c r="L40" s="516">
        <v>505.00200970217304</v>
      </c>
      <c r="M40" s="518">
        <v>0.73563119845100033</v>
      </c>
      <c r="N40" s="518">
        <v>0.23636261649260693</v>
      </c>
      <c r="O40" s="518">
        <v>3.0628324814134366E-2</v>
      </c>
      <c r="P40" s="518">
        <v>0.2852859448334234</v>
      </c>
      <c r="Q40" s="516"/>
      <c r="R40" s="519">
        <v>7.5581749199999999</v>
      </c>
      <c r="S40" s="519">
        <v>7.5393199400000004</v>
      </c>
      <c r="T40" s="520">
        <v>7.5132884000000004</v>
      </c>
      <c r="U40" s="520">
        <v>5.5270093499999993</v>
      </c>
      <c r="V40" s="520">
        <v>1.4464998500000001</v>
      </c>
      <c r="W40" s="519">
        <v>6.9735091999999996</v>
      </c>
      <c r="X40" s="519">
        <v>1.78647</v>
      </c>
      <c r="Y40" s="520">
        <v>1.39</v>
      </c>
      <c r="Z40" s="519">
        <v>2.1434355800000002</v>
      </c>
      <c r="AA40" s="519">
        <v>1.1101968</v>
      </c>
      <c r="AB40" s="520">
        <v>1.5026576800000002</v>
      </c>
      <c r="AC40" s="585">
        <v>0.64077790000000001</v>
      </c>
      <c r="AD40" s="585">
        <v>0</v>
      </c>
    </row>
    <row r="41" spans="1:30" ht="14" thickBot="1">
      <c r="A41" s="70">
        <v>790</v>
      </c>
      <c r="B41" s="71" t="s">
        <v>538</v>
      </c>
      <c r="C41" s="515">
        <v>3938.91</v>
      </c>
      <c r="D41" s="516">
        <v>2121.8747572297921</v>
      </c>
      <c r="E41" s="516">
        <v>1880.9049203967593</v>
      </c>
      <c r="F41" s="516">
        <v>356.16188234816235</v>
      </c>
      <c r="G41" s="516">
        <v>2237.0668027449215</v>
      </c>
      <c r="H41" s="516">
        <v>422.32597342919735</v>
      </c>
      <c r="I41" s="517">
        <v>199.6121287361224</v>
      </c>
      <c r="J41" s="516">
        <v>-629.12667209964172</v>
      </c>
      <c r="K41" s="517">
        <v>421.43638722387664</v>
      </c>
      <c r="L41" s="516">
        <v>577.23455727599764</v>
      </c>
      <c r="M41" s="518">
        <v>0.88643541000146953</v>
      </c>
      <c r="N41" s="518">
        <v>0.20020602383924119</v>
      </c>
      <c r="O41" s="518">
        <v>7.2888822011068236E-2</v>
      </c>
      <c r="P41" s="518">
        <v>0.27203988138753521</v>
      </c>
      <c r="Q41" s="516"/>
      <c r="R41" s="519">
        <v>8.3089607799999996</v>
      </c>
      <c r="S41" s="519">
        <v>10.78703412</v>
      </c>
      <c r="T41" s="520">
        <v>8.3578737000000007</v>
      </c>
      <c r="U41" s="520">
        <v>7.4087151999999996</v>
      </c>
      <c r="V41" s="520">
        <v>1.4028896000000002</v>
      </c>
      <c r="W41" s="519">
        <v>8.8116047999999996</v>
      </c>
      <c r="X41" s="519">
        <v>1.6635039999999999</v>
      </c>
      <c r="Y41" s="520">
        <v>1.66</v>
      </c>
      <c r="Z41" s="519">
        <v>2.2736749700000001</v>
      </c>
      <c r="AA41" s="519" t="s">
        <v>744</v>
      </c>
      <c r="AB41" s="520">
        <v>1.6715747400000003</v>
      </c>
      <c r="AC41" s="585">
        <v>0.60210022999999979</v>
      </c>
      <c r="AD41" s="585">
        <v>0</v>
      </c>
    </row>
    <row r="42" spans="1:30" ht="14" thickBot="1">
      <c r="A42" s="70">
        <v>820</v>
      </c>
      <c r="B42" s="71" t="s">
        <v>539</v>
      </c>
      <c r="C42" s="515">
        <v>2596.08</v>
      </c>
      <c r="D42" s="516">
        <v>2046.9740724476903</v>
      </c>
      <c r="E42" s="516">
        <v>2196.1523335182274</v>
      </c>
      <c r="F42" s="516">
        <v>353.07103402052331</v>
      </c>
      <c r="G42" s="516">
        <v>2549.2233675387511</v>
      </c>
      <c r="H42" s="516">
        <v>-58.937783119164287</v>
      </c>
      <c r="I42" s="517">
        <v>95.427868170472408</v>
      </c>
      <c r="J42" s="516">
        <v>-19.823414532680022</v>
      </c>
      <c r="K42" s="517">
        <v>982.25016178237968</v>
      </c>
      <c r="L42" s="516">
        <v>441.74959169208967</v>
      </c>
      <c r="M42" s="518">
        <v>1.0728774551072626</v>
      </c>
      <c r="N42" s="518">
        <v>-2.6608126395716414E-2</v>
      </c>
      <c r="O42" s="518">
        <v>4.2699844100598433E-2</v>
      </c>
      <c r="P42" s="518">
        <v>0.21580614900698911</v>
      </c>
      <c r="Q42" s="516"/>
      <c r="R42" s="519">
        <v>5.7503936100000006</v>
      </c>
      <c r="S42" s="519">
        <v>5.8018567800000005</v>
      </c>
      <c r="T42" s="520">
        <v>5.31410845</v>
      </c>
      <c r="U42" s="520">
        <v>5.7013871499999995</v>
      </c>
      <c r="V42" s="520">
        <v>0.91660065000000013</v>
      </c>
      <c r="W42" s="519">
        <v>6.6179877999999999</v>
      </c>
      <c r="X42" s="519">
        <v>-0.15300720000000001</v>
      </c>
      <c r="Y42" s="520">
        <v>2.5499999999999998</v>
      </c>
      <c r="Z42" s="519">
        <v>1.14681728</v>
      </c>
      <c r="AA42" s="519">
        <v>0.70765398000000002</v>
      </c>
      <c r="AB42" s="520">
        <v>1.0628216900000003</v>
      </c>
      <c r="AC42" s="585">
        <v>8.3995589999999787E-2</v>
      </c>
      <c r="AD42" s="585">
        <v>0</v>
      </c>
    </row>
    <row r="43" spans="1:30" ht="14" thickBot="1">
      <c r="A43" s="70">
        <v>829</v>
      </c>
      <c r="B43" s="71" t="s">
        <v>540</v>
      </c>
      <c r="C43" s="515">
        <v>19228.080000000002</v>
      </c>
      <c r="D43" s="516">
        <v>1683.3208463871588</v>
      </c>
      <c r="E43" s="516">
        <v>1698.6809291411309</v>
      </c>
      <c r="F43" s="516">
        <v>323.11404206764274</v>
      </c>
      <c r="G43" s="516">
        <v>2021.7949712087734</v>
      </c>
      <c r="H43" s="516">
        <v>107.3943602273342</v>
      </c>
      <c r="I43" s="517">
        <v>96.623128258255619</v>
      </c>
      <c r="J43" s="516">
        <v>-157.78998215110403</v>
      </c>
      <c r="K43" s="517">
        <v>390.05454522760459</v>
      </c>
      <c r="L43" s="516">
        <v>195.11577703025989</v>
      </c>
      <c r="M43" s="518">
        <v>1.0091248693241925</v>
      </c>
      <c r="N43" s="518">
        <v>6.1281723575884302E-2</v>
      </c>
      <c r="O43" s="518">
        <v>5.0581149805208225E-2</v>
      </c>
      <c r="P43" s="518">
        <v>0.11591122242027047</v>
      </c>
      <c r="Q43" s="516"/>
      <c r="R43" s="519">
        <v>33.69662649</v>
      </c>
      <c r="S43" s="519">
        <v>36.730624890000001</v>
      </c>
      <c r="T43" s="520">
        <v>32.367027900000004</v>
      </c>
      <c r="U43" s="520">
        <v>32.6623728</v>
      </c>
      <c r="V43" s="520">
        <v>6.2128626499999999</v>
      </c>
      <c r="W43" s="519">
        <v>38.875235449999998</v>
      </c>
      <c r="X43" s="519">
        <v>2.0649873500000004</v>
      </c>
      <c r="Y43" s="520">
        <v>7.5</v>
      </c>
      <c r="Z43" s="519">
        <v>3.7517017699999999</v>
      </c>
      <c r="AA43" s="519" t="s">
        <v>744</v>
      </c>
      <c r="AB43" s="520">
        <v>6.4734055800000023</v>
      </c>
      <c r="AC43" s="585"/>
      <c r="AD43" s="585">
        <v>-2.7217038100000024</v>
      </c>
    </row>
    <row r="44" spans="1:30" ht="14" thickBot="1">
      <c r="A44" s="70">
        <v>881</v>
      </c>
      <c r="B44" s="71" t="s">
        <v>541</v>
      </c>
      <c r="C44" s="515">
        <v>125638.67</v>
      </c>
      <c r="D44" s="516">
        <v>2430.2914242088045</v>
      </c>
      <c r="E44" s="516">
        <v>2490.1013135525868</v>
      </c>
      <c r="F44" s="516">
        <v>437.523345320354</v>
      </c>
      <c r="G44" s="516">
        <v>2927.6246588729414</v>
      </c>
      <c r="H44" s="516">
        <v>-56.456141329735502</v>
      </c>
      <c r="I44" s="517">
        <v>232.04360186238839</v>
      </c>
      <c r="J44" s="516">
        <v>-35.949711581633203</v>
      </c>
      <c r="K44" s="517">
        <v>485.19351223632026</v>
      </c>
      <c r="L44" s="516">
        <v>363.18810761049917</v>
      </c>
      <c r="M44" s="518">
        <v>1.0246101717464826</v>
      </c>
      <c r="N44" s="518">
        <v>-2.2334280752617976E-2</v>
      </c>
      <c r="O44" s="518">
        <v>9.0510176895594749E-2</v>
      </c>
      <c r="P44" s="518">
        <v>0.14944220433511887</v>
      </c>
      <c r="Q44" s="516"/>
      <c r="R44" s="519">
        <v>317.58687859999992</v>
      </c>
      <c r="S44" s="519">
        <v>322.10355255000002</v>
      </c>
      <c r="T44" s="520">
        <v>305.33858225</v>
      </c>
      <c r="U44" s="520">
        <v>312.85301720000001</v>
      </c>
      <c r="V44" s="520">
        <v>54.969851200000001</v>
      </c>
      <c r="W44" s="519">
        <v>367.8228684</v>
      </c>
      <c r="X44" s="519">
        <v>-7.0930745100000001</v>
      </c>
      <c r="Y44" s="520">
        <v>60.959067570000002</v>
      </c>
      <c r="Z44" s="519">
        <v>45.630470799999998</v>
      </c>
      <c r="AA44" s="519" t="s">
        <v>744</v>
      </c>
      <c r="AB44" s="520">
        <v>45.800787337499997</v>
      </c>
      <c r="AC44" s="585"/>
      <c r="AD44" s="585">
        <v>-0.17031653749999975</v>
      </c>
    </row>
    <row r="45" spans="1:30" ht="14" thickBot="1">
      <c r="A45" s="70">
        <v>901</v>
      </c>
      <c r="B45" s="71" t="s">
        <v>542</v>
      </c>
      <c r="C45" s="515">
        <v>2384.17</v>
      </c>
      <c r="D45" s="516">
        <v>1873.401770846878</v>
      </c>
      <c r="E45" s="516">
        <v>1979.7350021181376</v>
      </c>
      <c r="F45" s="516">
        <v>343.1963115046326</v>
      </c>
      <c r="G45" s="516">
        <v>2322.9313136227702</v>
      </c>
      <c r="H45" s="516">
        <v>35.441684108096318</v>
      </c>
      <c r="I45" s="517">
        <v>76.986821409547133</v>
      </c>
      <c r="J45" s="516">
        <v>-96.091964918608966</v>
      </c>
      <c r="K45" s="517">
        <v>754.97972040584352</v>
      </c>
      <c r="L45" s="516">
        <v>1397.7766728043721</v>
      </c>
      <c r="M45" s="518">
        <v>1.0567594377917082</v>
      </c>
      <c r="N45" s="518">
        <v>1.77212390067693E-2</v>
      </c>
      <c r="O45" s="518">
        <v>3.672952721937707E-2</v>
      </c>
      <c r="P45" s="518">
        <v>0.74611687389005832</v>
      </c>
      <c r="Q45" s="516"/>
      <c r="R45" s="519">
        <v>4.7682331899999992</v>
      </c>
      <c r="S45" s="519">
        <v>4.9973327699999999</v>
      </c>
      <c r="T45" s="520">
        <v>4.466508300000001</v>
      </c>
      <c r="U45" s="520">
        <v>4.7200248</v>
      </c>
      <c r="V45" s="520">
        <v>0.81823835</v>
      </c>
      <c r="W45" s="519">
        <v>5.5382631499999997</v>
      </c>
      <c r="X45" s="519">
        <v>8.4499000000000005E-2</v>
      </c>
      <c r="Y45" s="520">
        <v>1.8</v>
      </c>
      <c r="Z45" s="519">
        <v>3.3325372099999999</v>
      </c>
      <c r="AA45" s="519">
        <v>1.4259434000000002</v>
      </c>
      <c r="AB45" s="520">
        <v>0.89330166000000011</v>
      </c>
      <c r="AC45" s="585">
        <v>2.4392355499999998</v>
      </c>
      <c r="AD45" s="585"/>
    </row>
    <row r="46" spans="1:30" ht="14" thickBot="1">
      <c r="A46" s="70">
        <v>923</v>
      </c>
      <c r="B46" s="71" t="s">
        <v>543</v>
      </c>
      <c r="C46" s="515">
        <v>14680</v>
      </c>
      <c r="D46" s="516">
        <v>2219.6475613079015</v>
      </c>
      <c r="E46" s="516">
        <v>2551.0005040871933</v>
      </c>
      <c r="F46" s="516">
        <v>434.24818801089918</v>
      </c>
      <c r="G46" s="516">
        <v>2985.2486920980923</v>
      </c>
      <c r="H46" s="516">
        <v>-301.77111716621249</v>
      </c>
      <c r="I46" s="517">
        <v>142.45085694822887</v>
      </c>
      <c r="J46" s="516">
        <v>-67.770730245231562</v>
      </c>
      <c r="K46" s="517">
        <v>834.46866485013618</v>
      </c>
      <c r="L46" s="516">
        <v>1242.0710258855584</v>
      </c>
      <c r="M46" s="518">
        <v>1.1492817817365772</v>
      </c>
      <c r="N46" s="518">
        <v>-0.13347064906189729</v>
      </c>
      <c r="O46" s="518">
        <v>6.1171163953990269E-2</v>
      </c>
      <c r="P46" s="518">
        <v>0.55958028992390241</v>
      </c>
      <c r="Q46" s="516"/>
      <c r="R46" s="519">
        <v>33.190817840000001</v>
      </c>
      <c r="S46" s="519">
        <v>34.185692160000002</v>
      </c>
      <c r="T46" s="520">
        <v>32.584426199999996</v>
      </c>
      <c r="U46" s="520">
        <v>37.448687399999997</v>
      </c>
      <c r="V46" s="520">
        <v>6.3747634</v>
      </c>
      <c r="W46" s="519">
        <v>43.823450799999996</v>
      </c>
      <c r="X46" s="519">
        <v>-4.43</v>
      </c>
      <c r="Y46" s="520">
        <v>12.25</v>
      </c>
      <c r="Z46" s="519">
        <v>18.233602659999999</v>
      </c>
      <c r="AA46" s="519" t="s">
        <v>744</v>
      </c>
      <c r="AB46" s="520">
        <v>6.5168852399999997</v>
      </c>
      <c r="AC46" s="585">
        <v>11.716717419999998</v>
      </c>
      <c r="AD46" s="585"/>
    </row>
    <row r="47" spans="1:30" ht="14" thickBot="1">
      <c r="A47" s="70">
        <v>941</v>
      </c>
      <c r="B47" s="71" t="s">
        <v>701</v>
      </c>
      <c r="C47" s="515">
        <v>36954.49</v>
      </c>
      <c r="D47" s="516">
        <v>2114.5473873404831</v>
      </c>
      <c r="E47" s="516">
        <v>1909.8686522260216</v>
      </c>
      <c r="F47" s="516">
        <v>334.80494386473748</v>
      </c>
      <c r="G47" s="516">
        <v>2244.673596090759</v>
      </c>
      <c r="H47" s="516">
        <v>239.22688149667331</v>
      </c>
      <c r="I47" s="517">
        <v>56.503525011439756</v>
      </c>
      <c r="J47" s="516">
        <v>-62.986630041437472</v>
      </c>
      <c r="K47" s="517">
        <v>515.31903159805472</v>
      </c>
      <c r="L47" s="516">
        <v>622.07460717222739</v>
      </c>
      <c r="M47" s="518">
        <v>0.90320446997790349</v>
      </c>
      <c r="N47" s="518">
        <v>0.11065111198332307</v>
      </c>
      <c r="O47" s="518">
        <v>2.5395080151338303E-2</v>
      </c>
      <c r="P47" s="518">
        <v>0.29418806639023848</v>
      </c>
      <c r="Q47" s="516"/>
      <c r="R47" s="519">
        <v>79.89533265</v>
      </c>
      <c r="S47" s="519">
        <v>82.222971439999995</v>
      </c>
      <c r="T47" s="520">
        <v>78.142020279999997</v>
      </c>
      <c r="U47" s="520">
        <v>70.57822200999999</v>
      </c>
      <c r="V47" s="520">
        <v>12.372545950000001</v>
      </c>
      <c r="W47" s="519">
        <v>82.950767959999993</v>
      </c>
      <c r="X47" s="519">
        <v>8.8405073999999981</v>
      </c>
      <c r="Y47" s="520">
        <v>19.043351999999999</v>
      </c>
      <c r="Z47" s="519">
        <v>22.988449850000002</v>
      </c>
      <c r="AA47" s="519">
        <v>12.7619726</v>
      </c>
      <c r="AB47" s="520">
        <v>15.628404056000003</v>
      </c>
      <c r="AC47" s="585">
        <v>7.3600457939999995</v>
      </c>
      <c r="AD47" s="585"/>
    </row>
    <row r="48" spans="1:30" ht="14" thickBot="1">
      <c r="A48" s="70">
        <v>966</v>
      </c>
      <c r="B48" s="71" t="s">
        <v>544</v>
      </c>
      <c r="C48" s="515">
        <v>6355</v>
      </c>
      <c r="D48" s="516">
        <v>1809.5370574350904</v>
      </c>
      <c r="E48" s="516">
        <v>1746.3123603461845</v>
      </c>
      <c r="F48" s="516">
        <v>335.2007238394965</v>
      </c>
      <c r="G48" s="516">
        <v>2081.5130841856808</v>
      </c>
      <c r="H48" s="516">
        <v>208.68999213217938</v>
      </c>
      <c r="I48" s="517">
        <v>61.352657749803313</v>
      </c>
      <c r="J48" s="516">
        <v>-44.78094885916601</v>
      </c>
      <c r="K48" s="517">
        <v>324.94099134539732</v>
      </c>
      <c r="L48" s="516">
        <v>295.08212273800154</v>
      </c>
      <c r="M48" s="518">
        <v>0.96506029162037543</v>
      </c>
      <c r="N48" s="518">
        <v>0.11002150123384738</v>
      </c>
      <c r="O48" s="518">
        <v>3.159915154068494E-2</v>
      </c>
      <c r="P48" s="518">
        <v>0.16307050553375388</v>
      </c>
      <c r="Q48" s="516"/>
      <c r="R48" s="519">
        <v>12.054233810000001</v>
      </c>
      <c r="S48" s="519">
        <v>12.338816739999999</v>
      </c>
      <c r="T48" s="520">
        <v>11.499608</v>
      </c>
      <c r="U48" s="520">
        <v>11.097815050000001</v>
      </c>
      <c r="V48" s="520">
        <v>2.1302006000000002</v>
      </c>
      <c r="W48" s="519">
        <v>13.228015650000001</v>
      </c>
      <c r="X48" s="519">
        <v>1.3262248999999999</v>
      </c>
      <c r="Y48" s="520">
        <v>2.0649999999999999</v>
      </c>
      <c r="Z48" s="519">
        <v>1.8752468900000001</v>
      </c>
      <c r="AA48" s="519">
        <v>2.2540529999999999</v>
      </c>
      <c r="AB48" s="520">
        <v>2.2999216000000002</v>
      </c>
      <c r="AC48" s="585"/>
      <c r="AD48" s="585">
        <v>-0.42467471000000012</v>
      </c>
    </row>
    <row r="49" spans="1:30" ht="14" thickBot="1">
      <c r="A49" s="70">
        <v>994</v>
      </c>
      <c r="B49" s="71" t="s">
        <v>545</v>
      </c>
      <c r="C49" s="515">
        <v>218550.17</v>
      </c>
      <c r="D49" s="516">
        <v>2489.8912062159461</v>
      </c>
      <c r="E49" s="516">
        <v>1877.7217697428464</v>
      </c>
      <c r="F49" s="516">
        <v>416.26648883411991</v>
      </c>
      <c r="G49" s="516">
        <v>2293.988258576966</v>
      </c>
      <c r="H49" s="516">
        <v>628.80237924317328</v>
      </c>
      <c r="I49" s="517">
        <v>153.16483913053005</v>
      </c>
      <c r="J49" s="516">
        <v>-43.015419937673826</v>
      </c>
      <c r="K49" s="517">
        <v>425.28500435392016</v>
      </c>
      <c r="L49" s="516">
        <v>254.29956064550305</v>
      </c>
      <c r="M49" s="518">
        <v>0.75413807842493874</v>
      </c>
      <c r="N49" s="518">
        <v>0.24458891632405502</v>
      </c>
      <c r="O49" s="518">
        <v>5.8596975606585208E-2</v>
      </c>
      <c r="P49" s="518">
        <v>0.1021328000238127</v>
      </c>
      <c r="Q49" s="516"/>
      <c r="R49" s="519">
        <v>561.86056566000013</v>
      </c>
      <c r="S49" s="519">
        <v>571.26159299999983</v>
      </c>
      <c r="T49" s="520">
        <v>544.16614640000012</v>
      </c>
      <c r="U49" s="520">
        <v>410.37641198999995</v>
      </c>
      <c r="V49" s="520">
        <v>90.975111900000016</v>
      </c>
      <c r="W49" s="519">
        <v>501.35152388999995</v>
      </c>
      <c r="X49" s="519">
        <v>137.42486688</v>
      </c>
      <c r="Y49" s="520">
        <v>92.946110000000004</v>
      </c>
      <c r="Z49" s="519">
        <v>55.577212209999999</v>
      </c>
      <c r="AA49" s="519">
        <v>6.2387999999999999E-2</v>
      </c>
      <c r="AB49" s="520">
        <v>54.416614640000013</v>
      </c>
      <c r="AC49" s="585">
        <v>1.160597569999986</v>
      </c>
      <c r="AD49" s="585"/>
    </row>
    <row r="50" spans="1:30" ht="14" thickBot="1">
      <c r="A50" s="70">
        <v>1003</v>
      </c>
      <c r="B50" s="71" t="s">
        <v>546</v>
      </c>
      <c r="C50" s="515">
        <v>174.84</v>
      </c>
      <c r="D50" s="516">
        <v>1929.0265385495309</v>
      </c>
      <c r="E50" s="516">
        <v>1991.568862960421</v>
      </c>
      <c r="F50" s="516">
        <v>344.94108899565316</v>
      </c>
      <c r="G50" s="516">
        <v>2336.5099519560745</v>
      </c>
      <c r="H50" s="516">
        <v>-367.34185541066125</v>
      </c>
      <c r="I50" s="517">
        <v>272.49313658201788</v>
      </c>
      <c r="J50" s="516">
        <v>181.79964539007091</v>
      </c>
      <c r="K50" s="517">
        <v>1944.6350949439488</v>
      </c>
      <c r="L50" s="516">
        <v>7137.1575726378396</v>
      </c>
      <c r="M50" s="518">
        <v>1.0324217024292039</v>
      </c>
      <c r="N50" s="518">
        <v>-0.14543922721119493</v>
      </c>
      <c r="O50" s="518">
        <v>0.11625423438273026</v>
      </c>
      <c r="P50" s="518">
        <v>3.6998752635121317</v>
      </c>
      <c r="Q50" s="516"/>
      <c r="R50" s="519">
        <v>0.44160060000000001</v>
      </c>
      <c r="S50" s="519">
        <v>0.40981475000000001</v>
      </c>
      <c r="T50" s="520">
        <v>0.33727099999999999</v>
      </c>
      <c r="U50" s="520">
        <v>0.34820590000000001</v>
      </c>
      <c r="V50" s="520">
        <v>6.0309500000000002E-2</v>
      </c>
      <c r="W50" s="519">
        <v>0.40851540000000003</v>
      </c>
      <c r="X50" s="519">
        <v>-6.4226050000000007E-2</v>
      </c>
      <c r="Y50" s="520">
        <v>0.34</v>
      </c>
      <c r="Z50" s="519">
        <v>1.2478606299999999</v>
      </c>
      <c r="AA50" s="519" t="s">
        <v>744</v>
      </c>
      <c r="AB50" s="520">
        <v>6.7454199999999992E-2</v>
      </c>
      <c r="AC50" s="585">
        <v>1.1804064299999999</v>
      </c>
      <c r="AD50" s="585"/>
    </row>
    <row r="51" spans="1:30" ht="14" thickBot="1">
      <c r="A51" s="70">
        <v>1040</v>
      </c>
      <c r="B51" s="71" t="s">
        <v>547</v>
      </c>
      <c r="C51" s="515">
        <v>3389</v>
      </c>
      <c r="D51" s="516">
        <v>1742.4240778990852</v>
      </c>
      <c r="E51" s="516">
        <v>1397.0081144880496</v>
      </c>
      <c r="F51" s="516">
        <v>300.09696075538511</v>
      </c>
      <c r="G51" s="516">
        <v>1697.1050752434346</v>
      </c>
      <c r="H51" s="516">
        <v>297.58483328415463</v>
      </c>
      <c r="I51" s="517">
        <v>104.28951017999411</v>
      </c>
      <c r="J51" s="516">
        <v>-56.666845677190921</v>
      </c>
      <c r="K51" s="517">
        <v>398.34759516081442</v>
      </c>
      <c r="L51" s="516">
        <v>776.77111242254341</v>
      </c>
      <c r="M51" s="518">
        <v>0.80176125445447344</v>
      </c>
      <c r="N51" s="518">
        <v>0.16617411480266792</v>
      </c>
      <c r="O51" s="518">
        <v>5.6449961634352001E-2</v>
      </c>
      <c r="P51" s="518">
        <v>0.44579911531016569</v>
      </c>
      <c r="Q51" s="516"/>
      <c r="R51" s="519">
        <v>6.0690258599999982</v>
      </c>
      <c r="S51" s="519">
        <v>6.2610698000000005</v>
      </c>
      <c r="T51" s="520">
        <v>5.9050751999999997</v>
      </c>
      <c r="U51" s="520">
        <v>4.7344605</v>
      </c>
      <c r="V51" s="520">
        <v>1.0170286000000002</v>
      </c>
      <c r="W51" s="519">
        <v>5.7514891000000006</v>
      </c>
      <c r="X51" s="519">
        <v>1.0085150000000001</v>
      </c>
      <c r="Y51" s="520">
        <v>1.35</v>
      </c>
      <c r="Z51" s="519">
        <v>2.6324772999999997</v>
      </c>
      <c r="AA51" s="519" t="s">
        <v>744</v>
      </c>
      <c r="AB51" s="520">
        <v>1.1810150400000001</v>
      </c>
      <c r="AC51" s="585">
        <v>1.4514622599999996</v>
      </c>
      <c r="AD51" s="585"/>
    </row>
    <row r="52" spans="1:30" ht="14" thickBot="1">
      <c r="A52" s="70">
        <v>1058</v>
      </c>
      <c r="B52" s="71" t="s">
        <v>548</v>
      </c>
      <c r="C52" s="515">
        <v>79</v>
      </c>
      <c r="D52" s="516">
        <v>1597.0050632911393</v>
      </c>
      <c r="E52" s="516">
        <v>2529.4202531645569</v>
      </c>
      <c r="F52" s="516">
        <v>344.32721518987347</v>
      </c>
      <c r="G52" s="516">
        <v>2873.7474683544306</v>
      </c>
      <c r="H52" s="516">
        <v>192.74683544303795</v>
      </c>
      <c r="I52" s="517">
        <v>135.04240506329114</v>
      </c>
      <c r="J52" s="516">
        <v>-899.89810126582279</v>
      </c>
      <c r="K52" s="517">
        <v>759.49367088607596</v>
      </c>
      <c r="L52" s="516">
        <v>4324.8946835443039</v>
      </c>
      <c r="M52" s="518">
        <v>1.5838523692291107</v>
      </c>
      <c r="N52" s="518">
        <v>0.12494968820018534</v>
      </c>
      <c r="O52" s="518">
        <v>5.5288743087838217E-2</v>
      </c>
      <c r="P52" s="518">
        <v>2.7081283478409741</v>
      </c>
      <c r="Q52" s="516"/>
      <c r="R52" s="519">
        <v>0.12186505</v>
      </c>
      <c r="S52" s="519">
        <v>0.19295700000000002</v>
      </c>
      <c r="T52" s="520">
        <v>0.12616340000000001</v>
      </c>
      <c r="U52" s="520">
        <v>0.19982420000000001</v>
      </c>
      <c r="V52" s="520">
        <v>2.7201850000000003E-2</v>
      </c>
      <c r="W52" s="519">
        <v>0.22702605000000001</v>
      </c>
      <c r="X52" s="519">
        <v>1.5226999999999999E-2</v>
      </c>
      <c r="Y52" s="520">
        <v>0.06</v>
      </c>
      <c r="Z52" s="519">
        <v>0.34166668</v>
      </c>
      <c r="AA52" s="519" t="s">
        <v>744</v>
      </c>
      <c r="AB52" s="520">
        <v>2.5232680000000004E-2</v>
      </c>
      <c r="AC52" s="585">
        <v>0.31643399999999999</v>
      </c>
      <c r="AD52" s="585"/>
    </row>
    <row r="53" spans="1:30" ht="14" thickBot="1">
      <c r="A53" s="70">
        <v>1060</v>
      </c>
      <c r="B53" s="71" t="s">
        <v>549</v>
      </c>
      <c r="C53" s="515">
        <v>232402.25</v>
      </c>
      <c r="D53" s="516">
        <v>2830.2336365073916</v>
      </c>
      <c r="E53" s="516">
        <v>3639.7015351615569</v>
      </c>
      <c r="F53" s="516">
        <v>505.05841096633094</v>
      </c>
      <c r="G53" s="516">
        <v>4144.7599461278878</v>
      </c>
      <c r="H53" s="516">
        <v>-659.49503931222705</v>
      </c>
      <c r="I53" s="517">
        <v>169.74301466530554</v>
      </c>
      <c r="J53" s="516">
        <v>-250.84694524256975</v>
      </c>
      <c r="K53" s="517">
        <v>751.81727371400245</v>
      </c>
      <c r="L53" s="516">
        <v>200.40814406917315</v>
      </c>
      <c r="M53" s="518">
        <v>1.2860074476583061</v>
      </c>
      <c r="N53" s="518">
        <v>-0.2257168388078408</v>
      </c>
      <c r="O53" s="518">
        <v>5.3502348466759567E-2</v>
      </c>
      <c r="P53" s="518">
        <v>7.0809752765317244E-2</v>
      </c>
      <c r="Q53" s="516"/>
      <c r="R53" s="519">
        <v>679.02834280999991</v>
      </c>
      <c r="S53" s="519">
        <v>737.32573729000012</v>
      </c>
      <c r="T53" s="520">
        <v>657.75266514999998</v>
      </c>
      <c r="U53" s="520">
        <v>845.87482609999995</v>
      </c>
      <c r="V53" s="520">
        <v>117.37671108999999</v>
      </c>
      <c r="W53" s="519">
        <v>963.25153718999991</v>
      </c>
      <c r="X53" s="519">
        <v>-153.26813100000001</v>
      </c>
      <c r="Y53" s="520">
        <v>174.72402600000001</v>
      </c>
      <c r="Z53" s="519">
        <v>46.575303599999998</v>
      </c>
      <c r="AA53" s="519" t="s">
        <v>744</v>
      </c>
      <c r="AB53" s="520">
        <v>65.775266514999998</v>
      </c>
      <c r="AC53" s="585"/>
      <c r="AD53" s="585">
        <v>-19.199962915</v>
      </c>
    </row>
    <row r="54" spans="1:30" ht="14" thickBot="1">
      <c r="A54" s="70">
        <v>1097</v>
      </c>
      <c r="B54" s="71" t="s">
        <v>550</v>
      </c>
      <c r="C54" s="515">
        <v>13545.5</v>
      </c>
      <c r="D54" s="516">
        <v>2019.2063858846111</v>
      </c>
      <c r="E54" s="516">
        <v>1397.4570078623897</v>
      </c>
      <c r="F54" s="516">
        <v>366.88373260492409</v>
      </c>
      <c r="G54" s="516">
        <v>1764.3407404673137</v>
      </c>
      <c r="H54" s="516">
        <v>527.86039644162281</v>
      </c>
      <c r="I54" s="517">
        <v>99.657531283452073</v>
      </c>
      <c r="J54" s="516">
        <v>-44.308631648887086</v>
      </c>
      <c r="K54" s="517">
        <v>366.17326787494</v>
      </c>
      <c r="L54" s="516">
        <v>242.39807537558599</v>
      </c>
      <c r="M54" s="518">
        <v>0.69208230403360471</v>
      </c>
      <c r="N54" s="518">
        <v>0.26015743449762074</v>
      </c>
      <c r="O54" s="518">
        <v>4.8066820371575197E-2</v>
      </c>
      <c r="P54" s="518">
        <v>0.1200462107638352</v>
      </c>
      <c r="Q54" s="516"/>
      <c r="R54" s="519">
        <v>27.48386958</v>
      </c>
      <c r="S54" s="519">
        <v>28.084052149999998</v>
      </c>
      <c r="T54" s="520">
        <v>27.351160100000001</v>
      </c>
      <c r="U54" s="520">
        <v>18.929253899999999</v>
      </c>
      <c r="V54" s="520">
        <v>4.9696235999999994</v>
      </c>
      <c r="W54" s="519">
        <v>23.898877499999998</v>
      </c>
      <c r="X54" s="519">
        <v>7.1501330000000012</v>
      </c>
      <c r="Y54" s="520">
        <v>4.96</v>
      </c>
      <c r="Z54" s="519">
        <v>3.2834031299999999</v>
      </c>
      <c r="AA54" s="519">
        <v>0.38576140000000003</v>
      </c>
      <c r="AB54" s="520">
        <v>5.4702320200000001</v>
      </c>
      <c r="AC54" s="585"/>
      <c r="AD54" s="585">
        <v>-2.1868288900000001</v>
      </c>
    </row>
    <row r="55" spans="1:30" ht="14" thickBot="1">
      <c r="A55" s="70">
        <v>1113</v>
      </c>
      <c r="B55" s="71" t="s">
        <v>551</v>
      </c>
      <c r="C55" s="515">
        <v>5007.42</v>
      </c>
      <c r="D55" s="516">
        <v>1968.0840932056824</v>
      </c>
      <c r="E55" s="516">
        <v>1698.5054878560215</v>
      </c>
      <c r="F55" s="516">
        <v>334.96653965515173</v>
      </c>
      <c r="G55" s="516">
        <v>2033.4720275111731</v>
      </c>
      <c r="H55" s="516">
        <v>84.423815058453258</v>
      </c>
      <c r="I55" s="517">
        <v>47.017751656541691</v>
      </c>
      <c r="J55" s="516">
        <v>-9.2917230829449302</v>
      </c>
      <c r="K55" s="517">
        <v>254.82184438293572</v>
      </c>
      <c r="L55" s="516">
        <v>655.37558263536903</v>
      </c>
      <c r="M55" s="518">
        <v>0.86302485433406351</v>
      </c>
      <c r="N55" s="518">
        <v>8.3633849290401144E-2</v>
      </c>
      <c r="O55" s="518">
        <v>4.6152971887679951E-2</v>
      </c>
      <c r="P55" s="518">
        <v>0.33300181882364127</v>
      </c>
      <c r="Q55" s="516"/>
      <c r="R55" s="519">
        <v>5.0547177199999993</v>
      </c>
      <c r="S55" s="519">
        <v>5.1012452799999997</v>
      </c>
      <c r="T55" s="521">
        <v>9.8550236499999997</v>
      </c>
      <c r="U55" s="521">
        <v>8.50513035</v>
      </c>
      <c r="V55" s="521">
        <v>1.6773181500000001</v>
      </c>
      <c r="W55" s="519">
        <v>10.1824485</v>
      </c>
      <c r="X55" s="519">
        <v>0.4227455</v>
      </c>
      <c r="Y55" s="521">
        <v>1.276</v>
      </c>
      <c r="Z55" s="519">
        <v>3.2817407999999997</v>
      </c>
      <c r="AA55" s="519" t="s">
        <v>744</v>
      </c>
      <c r="AB55" s="521">
        <v>1.9710047300000002</v>
      </c>
      <c r="AC55" s="586">
        <v>1.3107360699999995</v>
      </c>
      <c r="AD55" s="586"/>
    </row>
    <row r="56" spans="1:30" ht="14" thickBot="1">
      <c r="A56" s="70">
        <v>1142</v>
      </c>
      <c r="B56" s="71" t="s">
        <v>552</v>
      </c>
      <c r="C56" s="515">
        <v>909.25</v>
      </c>
      <c r="D56" s="516">
        <v>3468.1852625790484</v>
      </c>
      <c r="E56" s="516">
        <v>7963.0896893043719</v>
      </c>
      <c r="F56" s="516">
        <v>699.62320593896072</v>
      </c>
      <c r="G56" s="516">
        <v>8662.7128952433322</v>
      </c>
      <c r="H56" s="516">
        <v>-4584.9620016497111</v>
      </c>
      <c r="I56" s="517">
        <v>213.95743744844651</v>
      </c>
      <c r="J56" s="516">
        <v>44.579983502886968</v>
      </c>
      <c r="K56" s="517">
        <v>2199.6150673632114</v>
      </c>
      <c r="L56" s="516">
        <v>16423.861083310418</v>
      </c>
      <c r="M56" s="518">
        <v>2.2960393077106773</v>
      </c>
      <c r="N56" s="518">
        <v>-1.2602301162400933</v>
      </c>
      <c r="O56" s="518">
        <v>5.9538230799397379E-2</v>
      </c>
      <c r="P56" s="518">
        <v>4.7355777848779441</v>
      </c>
      <c r="Q56" s="516"/>
      <c r="R56" s="519">
        <v>3.3080281499999997</v>
      </c>
      <c r="S56" s="519">
        <v>3.2674938000000004</v>
      </c>
      <c r="T56" s="520">
        <v>3.1534474499999998</v>
      </c>
      <c r="U56" s="520">
        <v>7.2404393000000002</v>
      </c>
      <c r="V56" s="520">
        <v>0.63613240000000004</v>
      </c>
      <c r="W56" s="519">
        <v>7.8765717000000004</v>
      </c>
      <c r="X56" s="519">
        <v>-4.1688767000000002</v>
      </c>
      <c r="Y56" s="520">
        <v>2</v>
      </c>
      <c r="Z56" s="519">
        <v>14.933395689999999</v>
      </c>
      <c r="AA56" s="519" t="s">
        <v>744</v>
      </c>
      <c r="AB56" s="520">
        <v>0.63068948999999996</v>
      </c>
      <c r="AC56" s="585">
        <v>14.302706199999999</v>
      </c>
      <c r="AD56" s="585"/>
    </row>
    <row r="57" spans="1:30" ht="14" thickBot="1">
      <c r="A57" s="70">
        <v>1147</v>
      </c>
      <c r="B57" s="71" t="s">
        <v>553</v>
      </c>
      <c r="C57" s="515">
        <v>386</v>
      </c>
      <c r="D57" s="516">
        <v>2363.1943005181352</v>
      </c>
      <c r="E57" s="516">
        <v>2103.7348445595858</v>
      </c>
      <c r="F57" s="516">
        <v>329.54248704663217</v>
      </c>
      <c r="G57" s="516">
        <v>2433.2773316062176</v>
      </c>
      <c r="H57" s="516">
        <v>-186.60362694300517</v>
      </c>
      <c r="I57" s="517">
        <v>239.09404145077721</v>
      </c>
      <c r="J57" s="516">
        <v>286.41606217616584</v>
      </c>
      <c r="K57" s="517">
        <v>1515.5440414507771</v>
      </c>
      <c r="L57" s="516">
        <v>3061.4703367875645</v>
      </c>
      <c r="M57" s="518">
        <v>0.89020815770346839</v>
      </c>
      <c r="N57" s="518">
        <v>-7.8395425901335442E-2</v>
      </c>
      <c r="O57" s="518">
        <v>0.11418756381581206</v>
      </c>
      <c r="P57" s="518">
        <v>1.2954797394849553</v>
      </c>
      <c r="Q57" s="516"/>
      <c r="R57" s="519">
        <v>0.91879084999999994</v>
      </c>
      <c r="S57" s="519">
        <v>0.80823425000000004</v>
      </c>
      <c r="T57" s="520">
        <v>0.91219300000000003</v>
      </c>
      <c r="U57" s="520">
        <v>0.81204165000000006</v>
      </c>
      <c r="V57" s="520">
        <v>0.12720340000000002</v>
      </c>
      <c r="W57" s="519">
        <v>0.93924505000000003</v>
      </c>
      <c r="X57" s="519">
        <v>-7.2028999999999996E-2</v>
      </c>
      <c r="Y57" s="520">
        <v>0.58499999999999996</v>
      </c>
      <c r="Z57" s="519">
        <v>1.18172755</v>
      </c>
      <c r="AA57" s="519" t="s">
        <v>744</v>
      </c>
      <c r="AB57" s="520">
        <v>0.18243860000000001</v>
      </c>
      <c r="AC57" s="585">
        <v>0.99928894999999995</v>
      </c>
      <c r="AD57" s="585"/>
    </row>
    <row r="58" spans="1:30" ht="14" thickBot="1">
      <c r="A58" s="70">
        <v>1159</v>
      </c>
      <c r="B58" s="71" t="s">
        <v>554</v>
      </c>
      <c r="C58" s="515">
        <v>22949.25</v>
      </c>
      <c r="D58" s="516">
        <v>3045.2160314607236</v>
      </c>
      <c r="E58" s="516">
        <v>3269.4913820713091</v>
      </c>
      <c r="F58" s="516">
        <v>474.07961262350625</v>
      </c>
      <c r="G58" s="516">
        <v>3743.5709946948155</v>
      </c>
      <c r="H58" s="516">
        <v>318.43585302351931</v>
      </c>
      <c r="I58" s="517">
        <v>169.89929344096211</v>
      </c>
      <c r="J58" s="516">
        <v>5.3300194995478902</v>
      </c>
      <c r="K58" s="517">
        <v>915.06258374456684</v>
      </c>
      <c r="L58" s="516">
        <v>460.81516432998899</v>
      </c>
      <c r="M58" s="518">
        <v>1.0736484204383376</v>
      </c>
      <c r="N58" s="518">
        <v>7.9879677490394124E-2</v>
      </c>
      <c r="O58" s="518">
        <v>4.2676320889886037E-2</v>
      </c>
      <c r="P58" s="518">
        <v>0.15132429343902609</v>
      </c>
      <c r="Q58" s="516"/>
      <c r="R58" s="519">
        <v>91.485897659999978</v>
      </c>
      <c r="S58" s="519">
        <v>91.363577710000001</v>
      </c>
      <c r="T58" s="520">
        <v>69.885424010000008</v>
      </c>
      <c r="U58" s="520">
        <v>75.032375099999996</v>
      </c>
      <c r="V58" s="520">
        <v>10.879771550000001</v>
      </c>
      <c r="W58" s="519">
        <v>85.912146649999997</v>
      </c>
      <c r="X58" s="519">
        <v>7.3078640000000004</v>
      </c>
      <c r="Y58" s="520">
        <v>21</v>
      </c>
      <c r="Z58" s="519">
        <v>10.57536241</v>
      </c>
      <c r="AA58" s="519" t="s">
        <v>744</v>
      </c>
      <c r="AB58" s="520">
        <v>13.977084802</v>
      </c>
      <c r="AC58" s="585"/>
      <c r="AD58" s="585">
        <v>-3.4017223919999999</v>
      </c>
    </row>
    <row r="59" spans="1:30" ht="14" thickBot="1">
      <c r="A59" s="70">
        <v>1215</v>
      </c>
      <c r="B59" s="71" t="s">
        <v>555</v>
      </c>
      <c r="C59" s="515">
        <v>10495.33</v>
      </c>
      <c r="D59" s="516">
        <v>2502.241816122028</v>
      </c>
      <c r="E59" s="516">
        <v>2051.9282671435776</v>
      </c>
      <c r="F59" s="516">
        <v>406.49786905223561</v>
      </c>
      <c r="G59" s="516">
        <v>2458.4261361958129</v>
      </c>
      <c r="H59" s="516">
        <v>335.54819143371384</v>
      </c>
      <c r="I59" s="517">
        <v>151.01721908696535</v>
      </c>
      <c r="J59" s="516">
        <v>-97.948902988281404</v>
      </c>
      <c r="K59" s="517">
        <v>562.15478693857176</v>
      </c>
      <c r="L59" s="516">
        <v>787.05431272766089</v>
      </c>
      <c r="M59" s="518">
        <v>0.82003595892408754</v>
      </c>
      <c r="N59" s="518">
        <v>0.13268489829726915</v>
      </c>
      <c r="O59" s="518">
        <v>5.7489653502717911E-2</v>
      </c>
      <c r="P59" s="518">
        <v>0.3145396690506263</v>
      </c>
      <c r="Q59" s="516"/>
      <c r="R59" s="519">
        <v>26.54174699</v>
      </c>
      <c r="S59" s="519">
        <v>27.569753049999996</v>
      </c>
      <c r="T59" s="520">
        <v>26.261853600000006</v>
      </c>
      <c r="U59" s="520">
        <v>21.535664300000001</v>
      </c>
      <c r="V59" s="520">
        <v>4.2663292799999999</v>
      </c>
      <c r="W59" s="519">
        <v>25.801993580000001</v>
      </c>
      <c r="X59" s="519">
        <v>3.5216889999999998</v>
      </c>
      <c r="Y59" s="520">
        <v>5.9</v>
      </c>
      <c r="Z59" s="519">
        <v>8.2603947400000006</v>
      </c>
      <c r="AA59" s="519">
        <v>0.94703090000000001</v>
      </c>
      <c r="AB59" s="520">
        <v>5.2523707200000018</v>
      </c>
      <c r="AC59" s="585">
        <v>3.0080240199999988</v>
      </c>
      <c r="AD59" s="585"/>
    </row>
    <row r="60" spans="1:30" ht="14" thickBot="1">
      <c r="A60" s="70">
        <v>1318</v>
      </c>
      <c r="B60" s="71" t="s">
        <v>556</v>
      </c>
      <c r="C60" s="515">
        <v>4296.67</v>
      </c>
      <c r="D60" s="516">
        <v>2393.1120612008831</v>
      </c>
      <c r="E60" s="516">
        <v>2580.830224336521</v>
      </c>
      <c r="F60" s="516">
        <v>465.60215236450557</v>
      </c>
      <c r="G60" s="516">
        <v>3046.4323767010264</v>
      </c>
      <c r="H60" s="516">
        <v>-411.19843972192416</v>
      </c>
      <c r="I60" s="517">
        <v>183.07031259091346</v>
      </c>
      <c r="J60" s="516">
        <v>86.640880030349066</v>
      </c>
      <c r="K60" s="517">
        <v>1035.685775263169</v>
      </c>
      <c r="L60" s="516">
        <v>2379.5262633620919</v>
      </c>
      <c r="M60" s="518">
        <v>1.0784410250481289</v>
      </c>
      <c r="N60" s="518">
        <v>-0.16833212076514856</v>
      </c>
      <c r="O60" s="518">
        <v>7.7699259805562748E-2</v>
      </c>
      <c r="P60" s="518">
        <v>0.9943229579345424</v>
      </c>
      <c r="Q60" s="516"/>
      <c r="R60" s="519">
        <v>10.495822140000001</v>
      </c>
      <c r="S60" s="519">
        <v>10.123554870000001</v>
      </c>
      <c r="T60" s="520">
        <v>10.282412799999999</v>
      </c>
      <c r="U60" s="520">
        <v>11.0889758</v>
      </c>
      <c r="V60" s="520">
        <v>2.0005388000000002</v>
      </c>
      <c r="W60" s="519">
        <v>13.089514600000001</v>
      </c>
      <c r="X60" s="519">
        <v>-1.7667839999999999</v>
      </c>
      <c r="Y60" s="520">
        <v>4.45</v>
      </c>
      <c r="Z60" s="519">
        <v>10.22403911</v>
      </c>
      <c r="AA60" s="519">
        <v>0.91508580000000006</v>
      </c>
      <c r="AB60" s="520">
        <v>2.0564825599999996</v>
      </c>
      <c r="AC60" s="585">
        <v>8.1675565500000005</v>
      </c>
      <c r="AD60" s="585"/>
    </row>
    <row r="61" spans="1:30" ht="14" thickBot="1">
      <c r="A61" s="70">
        <v>1322</v>
      </c>
      <c r="B61" s="71" t="s">
        <v>557</v>
      </c>
      <c r="C61" s="515">
        <v>5401.41</v>
      </c>
      <c r="D61" s="516">
        <v>2136.9880086866206</v>
      </c>
      <c r="E61" s="516">
        <v>2137.8626506782484</v>
      </c>
      <c r="F61" s="516">
        <v>420.5164114555273</v>
      </c>
      <c r="G61" s="516">
        <v>2558.3790621337757</v>
      </c>
      <c r="H61" s="516">
        <v>-155.45088226962963</v>
      </c>
      <c r="I61" s="517">
        <v>162.31707091296536</v>
      </c>
      <c r="J61" s="516">
        <v>-70.510126059677063</v>
      </c>
      <c r="K61" s="517">
        <v>641.36512132943062</v>
      </c>
      <c r="L61" s="516">
        <v>590.43231859829189</v>
      </c>
      <c r="M61" s="518">
        <v>1.0004092872716517</v>
      </c>
      <c r="N61" s="518">
        <v>-7.4900106639712694E-2</v>
      </c>
      <c r="O61" s="518">
        <v>7.5638693544450908E-2</v>
      </c>
      <c r="P61" s="518">
        <v>0.27629182578388345</v>
      </c>
      <c r="Q61" s="516"/>
      <c r="R61" s="519">
        <v>11.21031715</v>
      </c>
      <c r="S61" s="519">
        <v>11.591171250000002</v>
      </c>
      <c r="T61" s="520">
        <v>11.542748400000001</v>
      </c>
      <c r="U61" s="520">
        <v>11.547472699999998</v>
      </c>
      <c r="V61" s="520">
        <v>2.2713815499999996</v>
      </c>
      <c r="W61" s="519">
        <v>13.818854249999998</v>
      </c>
      <c r="X61" s="519">
        <v>-0.83965395000000009</v>
      </c>
      <c r="Y61" s="520">
        <v>3.46427598</v>
      </c>
      <c r="Z61" s="519">
        <v>3.1891670299999997</v>
      </c>
      <c r="AA61" s="519">
        <v>1.1268756000000002</v>
      </c>
      <c r="AB61" s="520">
        <v>2.30854968</v>
      </c>
      <c r="AC61" s="585">
        <v>0.88061734999999963</v>
      </c>
      <c r="AD61" s="585"/>
    </row>
    <row r="62" spans="1:30" ht="14" thickBot="1">
      <c r="A62" s="70">
        <v>1328</v>
      </c>
      <c r="B62" s="71" t="s">
        <v>558</v>
      </c>
      <c r="C62" s="515">
        <v>7456.11</v>
      </c>
      <c r="D62" s="516">
        <v>2288.8929951408977</v>
      </c>
      <c r="E62" s="516">
        <v>2728.8893082317722</v>
      </c>
      <c r="F62" s="516">
        <v>430.87021114227122</v>
      </c>
      <c r="G62" s="516">
        <v>3159.7595193740431</v>
      </c>
      <c r="H62" s="516">
        <v>-182.02816213816587</v>
      </c>
      <c r="I62" s="517">
        <v>203.91437626322565</v>
      </c>
      <c r="J62" s="516">
        <v>-291.41782779492246</v>
      </c>
      <c r="K62" s="517">
        <v>818.66154066933018</v>
      </c>
      <c r="L62" s="516">
        <v>695.19705315506337</v>
      </c>
      <c r="M62" s="518">
        <v>1.1922310540619176</v>
      </c>
      <c r="N62" s="518">
        <v>-7.4018496788354732E-2</v>
      </c>
      <c r="O62" s="518">
        <v>7.4133344319026934E-2</v>
      </c>
      <c r="P62" s="518">
        <v>0.30372632300020169</v>
      </c>
      <c r="Q62" s="516"/>
      <c r="R62" s="519">
        <v>18.336254570000001</v>
      </c>
      <c r="S62" s="519">
        <v>20.509097950000005</v>
      </c>
      <c r="T62" s="520">
        <v>17.066237950000001</v>
      </c>
      <c r="U62" s="520">
        <v>20.34689886</v>
      </c>
      <c r="V62" s="520">
        <v>3.2126156900000002</v>
      </c>
      <c r="W62" s="519">
        <v>23.559514549999999</v>
      </c>
      <c r="X62" s="519">
        <v>-1.3572219999999999</v>
      </c>
      <c r="Y62" s="520">
        <v>6.1040305000000004</v>
      </c>
      <c r="Z62" s="519">
        <v>5.1834657000000002</v>
      </c>
      <c r="AA62" s="519">
        <v>5.9683295999999997</v>
      </c>
      <c r="AB62" s="520">
        <v>3.413247590000001</v>
      </c>
      <c r="AC62" s="585">
        <v>1.7702181099999992</v>
      </c>
      <c r="AD62" s="585"/>
    </row>
    <row r="63" spans="1:30" ht="14" thickBot="1">
      <c r="A63" s="70">
        <v>1331</v>
      </c>
      <c r="B63" s="71" t="s">
        <v>559</v>
      </c>
      <c r="C63" s="515">
        <v>1261.3399999999999</v>
      </c>
      <c r="D63" s="516">
        <v>1890.0727797421791</v>
      </c>
      <c r="E63" s="516">
        <v>1836.7018805397438</v>
      </c>
      <c r="F63" s="516">
        <v>354.53898235210175</v>
      </c>
      <c r="G63" s="516">
        <v>2191.2408628918452</v>
      </c>
      <c r="H63" s="516">
        <v>100.30911570234831</v>
      </c>
      <c r="I63" s="517">
        <v>182.61755751819493</v>
      </c>
      <c r="J63" s="516">
        <v>-246.78054291467799</v>
      </c>
      <c r="K63" s="517">
        <v>467.75651291483661</v>
      </c>
      <c r="L63" s="516">
        <v>594.36038657300981</v>
      </c>
      <c r="M63" s="518">
        <v>0.97176251635679578</v>
      </c>
      <c r="N63" s="518">
        <v>5.516798873833334E-2</v>
      </c>
      <c r="O63" s="518">
        <v>8.8433406516318674E-2</v>
      </c>
      <c r="P63" s="518">
        <v>0.31446428568432444</v>
      </c>
      <c r="Q63" s="516"/>
      <c r="R63" s="519">
        <v>2.2934296299999999</v>
      </c>
      <c r="S63" s="519">
        <v>2.6047037999999998</v>
      </c>
      <c r="T63" s="520">
        <v>2.3840243999999999</v>
      </c>
      <c r="U63" s="520">
        <v>2.3167055500000004</v>
      </c>
      <c r="V63" s="520">
        <v>0.44719419999999999</v>
      </c>
      <c r="W63" s="519">
        <v>2.7638997500000002</v>
      </c>
      <c r="X63" s="519">
        <v>0.12652389999999999</v>
      </c>
      <c r="Y63" s="520">
        <v>0.59</v>
      </c>
      <c r="Z63" s="519">
        <v>0.74969053000000008</v>
      </c>
      <c r="AA63" s="519" t="s">
        <v>744</v>
      </c>
      <c r="AB63" s="520">
        <v>0.47680487999999999</v>
      </c>
      <c r="AC63" s="585">
        <v>0.27288565000000009</v>
      </c>
      <c r="AD63" s="585"/>
    </row>
    <row r="64" spans="1:30" ht="14" thickBot="1">
      <c r="A64" s="70">
        <v>1362</v>
      </c>
      <c r="B64" s="71" t="s">
        <v>560</v>
      </c>
      <c r="C64" s="515">
        <v>662.75</v>
      </c>
      <c r="D64" s="516">
        <v>1767.1152018106375</v>
      </c>
      <c r="E64" s="516">
        <v>1747.4138815541307</v>
      </c>
      <c r="F64" s="516">
        <v>296.12478310071674</v>
      </c>
      <c r="G64" s="516">
        <v>2043.5386646548473</v>
      </c>
      <c r="H64" s="516">
        <v>199.17465107506604</v>
      </c>
      <c r="I64" s="517">
        <v>81.787446246699361</v>
      </c>
      <c r="J64" s="516">
        <v>-400.53923802338738</v>
      </c>
      <c r="K64" s="517">
        <v>558.2798943794794</v>
      </c>
      <c r="L64" s="516">
        <v>1743.7153376084498</v>
      </c>
      <c r="M64" s="518">
        <v>0.98885113984853945</v>
      </c>
      <c r="N64" s="518">
        <v>0.11056927811964129</v>
      </c>
      <c r="O64" s="518">
        <v>3.7144110497770937E-2</v>
      </c>
      <c r="P64" s="518">
        <v>0.986758155790742</v>
      </c>
      <c r="Q64" s="516"/>
      <c r="R64" s="519">
        <v>1.1938488</v>
      </c>
      <c r="S64" s="519">
        <v>1.45930618</v>
      </c>
      <c r="T64" s="520">
        <v>1.1711556000000001</v>
      </c>
      <c r="U64" s="520">
        <v>1.1580985500000001</v>
      </c>
      <c r="V64" s="520">
        <v>0.19625670000000001</v>
      </c>
      <c r="W64" s="519">
        <v>1.35435525</v>
      </c>
      <c r="X64" s="519">
        <v>0.13200300000000001</v>
      </c>
      <c r="Y64" s="520">
        <v>0.37</v>
      </c>
      <c r="Z64" s="519">
        <v>1.15564734</v>
      </c>
      <c r="AA64" s="519" t="s">
        <v>744</v>
      </c>
      <c r="AB64" s="520">
        <v>0.23423112000000001</v>
      </c>
      <c r="AC64" s="585">
        <v>0.92141622000000001</v>
      </c>
      <c r="AD64" s="585"/>
    </row>
    <row r="65" spans="1:30" ht="14" thickBot="1">
      <c r="A65" s="70">
        <v>1384</v>
      </c>
      <c r="B65" s="71" t="s">
        <v>561</v>
      </c>
      <c r="C65" s="515">
        <v>598669.07999999996</v>
      </c>
      <c r="D65" s="516">
        <v>2455.5612852930376</v>
      </c>
      <c r="E65" s="516">
        <v>2349.5932724803492</v>
      </c>
      <c r="F65" s="516">
        <v>433.23511127382761</v>
      </c>
      <c r="G65" s="516">
        <v>2782.8283837541767</v>
      </c>
      <c r="H65" s="516">
        <v>97.056509916964501</v>
      </c>
      <c r="I65" s="517">
        <v>72.12764465804716</v>
      </c>
      <c r="J65" s="516">
        <v>-0.33943627086939293</v>
      </c>
      <c r="K65" s="517">
        <v>442.15703252955711</v>
      </c>
      <c r="L65" s="516">
        <v>284.4290344675893</v>
      </c>
      <c r="M65" s="518">
        <v>0.95684570633713895</v>
      </c>
      <c r="N65" s="518">
        <v>3.8499673389554491E-2</v>
      </c>
      <c r="O65" s="518">
        <v>2.8607219851529368E-2</v>
      </c>
      <c r="P65" s="518">
        <v>0.1158305582398228</v>
      </c>
      <c r="Q65" s="516"/>
      <c r="R65" s="519">
        <v>1509.22660855</v>
      </c>
      <c r="S65" s="519">
        <v>1509.4298185599998</v>
      </c>
      <c r="T65" s="520">
        <v>1470.0686155500002</v>
      </c>
      <c r="U65" s="520">
        <v>1406.6288428099999</v>
      </c>
      <c r="V65" s="520">
        <v>259.36446548999999</v>
      </c>
      <c r="W65" s="519">
        <v>1665.9933082999999</v>
      </c>
      <c r="X65" s="519">
        <v>58.104731500000007</v>
      </c>
      <c r="Y65" s="520">
        <v>264.70574388</v>
      </c>
      <c r="Z65" s="519">
        <v>170.27886838999999</v>
      </c>
      <c r="AA65" s="519">
        <v>922.59102022000002</v>
      </c>
      <c r="AB65" s="520">
        <v>147.00686155500003</v>
      </c>
      <c r="AC65" s="585">
        <v>23.272006834999956</v>
      </c>
      <c r="AD65" s="585"/>
    </row>
    <row r="66" spans="1:30" ht="14" thickBot="1">
      <c r="A66" s="70">
        <v>1386</v>
      </c>
      <c r="B66" s="71" t="s">
        <v>562</v>
      </c>
      <c r="C66" s="515">
        <v>11069</v>
      </c>
      <c r="D66" s="516">
        <v>2928.5534872165504</v>
      </c>
      <c r="E66" s="516">
        <v>3912.1778543680548</v>
      </c>
      <c r="F66" s="516">
        <v>541.06537446923846</v>
      </c>
      <c r="G66" s="516">
        <v>4453.2432288372938</v>
      </c>
      <c r="H66" s="516">
        <v>-1143.2637998012467</v>
      </c>
      <c r="I66" s="517">
        <v>256.90887614057277</v>
      </c>
      <c r="J66" s="516">
        <v>0.42301833950671042</v>
      </c>
      <c r="K66" s="517">
        <v>1058.8129008943897</v>
      </c>
      <c r="L66" s="516">
        <v>735.28763844972445</v>
      </c>
      <c r="M66" s="518">
        <v>1.3358737927939954</v>
      </c>
      <c r="N66" s="518">
        <v>-0.36677473676586941</v>
      </c>
      <c r="O66" s="518">
        <v>8.2431084426488332E-2</v>
      </c>
      <c r="P66" s="518">
        <v>0.25107536593042734</v>
      </c>
      <c r="Q66" s="516"/>
      <c r="R66" s="519">
        <v>34.502886189999998</v>
      </c>
      <c r="S66" s="519">
        <v>34.498203799999999</v>
      </c>
      <c r="T66" s="520">
        <v>32.416158549999999</v>
      </c>
      <c r="U66" s="520">
        <v>43.30389667</v>
      </c>
      <c r="V66" s="520">
        <v>5.9890526300000007</v>
      </c>
      <c r="W66" s="519">
        <v>49.292949300000004</v>
      </c>
      <c r="X66" s="519">
        <v>-12.654787000000001</v>
      </c>
      <c r="Y66" s="520">
        <v>11.72</v>
      </c>
      <c r="Z66" s="519">
        <v>8.1388988700000002</v>
      </c>
      <c r="AA66" s="519">
        <v>14.364967999999999</v>
      </c>
      <c r="AB66" s="520">
        <v>6.4832317100000001</v>
      </c>
      <c r="AC66" s="585">
        <v>1.6556671600000001</v>
      </c>
      <c r="AD66" s="585"/>
    </row>
    <row r="67" spans="1:30" ht="14" thickBot="1">
      <c r="A67" s="70">
        <v>1395</v>
      </c>
      <c r="B67" s="71" t="s">
        <v>563</v>
      </c>
      <c r="C67" s="515">
        <v>18110.580000000002</v>
      </c>
      <c r="D67" s="516">
        <v>2611.5201942731819</v>
      </c>
      <c r="E67" s="516">
        <v>1937.6701232097475</v>
      </c>
      <c r="F67" s="516">
        <v>324.64373587151812</v>
      </c>
      <c r="G67" s="516">
        <v>2262.3138590812659</v>
      </c>
      <c r="H67" s="516">
        <v>616.4369020760239</v>
      </c>
      <c r="I67" s="517">
        <v>272.74528921768376</v>
      </c>
      <c r="J67" s="516">
        <v>-84.597755013920022</v>
      </c>
      <c r="K67" s="517">
        <v>582.44349435523327</v>
      </c>
      <c r="L67" s="516">
        <v>265.7536130814143</v>
      </c>
      <c r="M67" s="518">
        <v>0.74197018558725902</v>
      </c>
      <c r="N67" s="518">
        <v>0.22917155100829284</v>
      </c>
      <c r="O67" s="518">
        <v>9.8306184398970126E-2</v>
      </c>
      <c r="P67" s="518">
        <v>0.101762036404768</v>
      </c>
      <c r="Q67" s="516"/>
      <c r="R67" s="519">
        <v>48.71472825</v>
      </c>
      <c r="S67" s="519">
        <v>50.246842660000013</v>
      </c>
      <c r="T67" s="520">
        <v>47.2961454</v>
      </c>
      <c r="U67" s="520">
        <v>35.092329779999993</v>
      </c>
      <c r="V67" s="520">
        <v>5.8794863499999996</v>
      </c>
      <c r="W67" s="519">
        <v>40.971816129999993</v>
      </c>
      <c r="X67" s="519">
        <v>11.164029829999999</v>
      </c>
      <c r="Y67" s="520">
        <v>10.548389500000001</v>
      </c>
      <c r="Z67" s="519">
        <v>4.8129520700000006</v>
      </c>
      <c r="AA67" s="519" t="s">
        <v>744</v>
      </c>
      <c r="AB67" s="520">
        <v>9.4592290800000001</v>
      </c>
      <c r="AC67" s="585"/>
      <c r="AD67" s="585">
        <v>-4.6462770099999995</v>
      </c>
    </row>
    <row r="68" spans="1:30" ht="14" thickBot="1">
      <c r="A68" s="70">
        <v>1401</v>
      </c>
      <c r="B68" s="71" t="s">
        <v>564</v>
      </c>
      <c r="C68" s="515">
        <v>8938.3700000000008</v>
      </c>
      <c r="D68" s="516">
        <v>2271.8523847189135</v>
      </c>
      <c r="E68" s="516">
        <v>2210.914199121316</v>
      </c>
      <c r="F68" s="516">
        <v>395.7848354901397</v>
      </c>
      <c r="G68" s="516">
        <v>2606.6990346114558</v>
      </c>
      <c r="H68" s="516">
        <v>4.1095859759665361</v>
      </c>
      <c r="I68" s="517">
        <v>136.91780492416405</v>
      </c>
      <c r="J68" s="516">
        <v>-48.125996126810598</v>
      </c>
      <c r="K68" s="517">
        <v>637.70016233384831</v>
      </c>
      <c r="L68" s="516">
        <v>473.38001559568465</v>
      </c>
      <c r="M68" s="518">
        <v>0.97317687275481268</v>
      </c>
      <c r="N68" s="518">
        <v>1.7875574473275742E-3</v>
      </c>
      <c r="O68" s="518">
        <v>5.8334356847423614E-2</v>
      </c>
      <c r="P68" s="518">
        <v>0.20836741805047074</v>
      </c>
      <c r="Q68" s="516"/>
      <c r="R68" s="519">
        <v>20.549269650000006</v>
      </c>
      <c r="S68" s="519">
        <v>20.979437610000002</v>
      </c>
      <c r="T68" s="520">
        <v>20.306657199999997</v>
      </c>
      <c r="U68" s="520">
        <v>19.761969149999999</v>
      </c>
      <c r="V68" s="520">
        <v>3.5376713</v>
      </c>
      <c r="W68" s="519">
        <v>23.299640449999998</v>
      </c>
      <c r="X68" s="519">
        <v>3.6733000000000009E-2</v>
      </c>
      <c r="Y68" s="520">
        <v>5.7</v>
      </c>
      <c r="Z68" s="519">
        <v>4.2312457300000004</v>
      </c>
      <c r="AA68" s="519">
        <v>12.61206</v>
      </c>
      <c r="AB68" s="520">
        <v>4.0613314399999991</v>
      </c>
      <c r="AC68" s="585">
        <v>0.16991429000000124</v>
      </c>
      <c r="AD68" s="585"/>
    </row>
    <row r="69" spans="1:30" ht="14" thickBot="1">
      <c r="A69" s="70">
        <v>1423</v>
      </c>
      <c r="B69" s="71" t="s">
        <v>565</v>
      </c>
      <c r="C69" s="515">
        <v>4839.2299999999996</v>
      </c>
      <c r="D69" s="516">
        <v>2303.6405791830516</v>
      </c>
      <c r="E69" s="516">
        <v>2260.608609220888</v>
      </c>
      <c r="F69" s="516">
        <v>397.27155973161018</v>
      </c>
      <c r="G69" s="516">
        <v>2657.880168952498</v>
      </c>
      <c r="H69" s="516">
        <v>315.413164904334</v>
      </c>
      <c r="I69" s="517">
        <v>103.44224391070478</v>
      </c>
      <c r="J69" s="516">
        <v>-2.6688956714187939</v>
      </c>
      <c r="K69" s="517">
        <v>475.28222465144239</v>
      </c>
      <c r="L69" s="516">
        <v>449.61957997450008</v>
      </c>
      <c r="M69" s="518">
        <v>0.98132001565217075</v>
      </c>
      <c r="N69" s="518">
        <v>0.1203338972801367</v>
      </c>
      <c r="O69" s="518">
        <v>3.9424311599476167E-2</v>
      </c>
      <c r="P69" s="518">
        <v>0.19517783461426533</v>
      </c>
      <c r="Q69" s="516"/>
      <c r="R69" s="519">
        <v>12.684346509999999</v>
      </c>
      <c r="S69" s="519">
        <v>12.69726191</v>
      </c>
      <c r="T69" s="520">
        <v>11.147846600000001</v>
      </c>
      <c r="U69" s="520">
        <v>10.939604999999998</v>
      </c>
      <c r="V69" s="520">
        <v>1.9224884500000001</v>
      </c>
      <c r="W69" s="519">
        <v>12.862093449999998</v>
      </c>
      <c r="X69" s="519">
        <v>1.5263568500000004</v>
      </c>
      <c r="Y69" s="520">
        <v>2.2999999999999998</v>
      </c>
      <c r="Z69" s="519">
        <v>2.1758125600000002</v>
      </c>
      <c r="AA69" s="519">
        <v>3.0604540499999997</v>
      </c>
      <c r="AB69" s="520">
        <v>2.2295693200000004</v>
      </c>
      <c r="AC69" s="585"/>
      <c r="AD69" s="585">
        <v>-5.3756760000000181E-2</v>
      </c>
    </row>
    <row r="70" spans="1:30" ht="14" thickBot="1">
      <c r="A70" s="70">
        <v>1442</v>
      </c>
      <c r="B70" s="71" t="s">
        <v>566</v>
      </c>
      <c r="C70" s="515">
        <v>2330.08</v>
      </c>
      <c r="D70" s="516">
        <v>2469.4260282908745</v>
      </c>
      <c r="E70" s="516">
        <v>1327.8083928448807</v>
      </c>
      <c r="F70" s="516">
        <v>327.58941753072855</v>
      </c>
      <c r="G70" s="516">
        <v>1655.3978103756094</v>
      </c>
      <c r="H70" s="516">
        <v>818.17877497768313</v>
      </c>
      <c r="I70" s="517">
        <v>159.08228043672321</v>
      </c>
      <c r="J70" s="516">
        <v>-60.770737485408226</v>
      </c>
      <c r="K70" s="517">
        <v>442.04490832932777</v>
      </c>
      <c r="L70" s="516">
        <v>220.48539964293073</v>
      </c>
      <c r="M70" s="518">
        <v>0.53769919715468295</v>
      </c>
      <c r="N70" s="518">
        <v>0.33797283629633201</v>
      </c>
      <c r="O70" s="518">
        <v>6.4104398640098897E-2</v>
      </c>
      <c r="P70" s="518">
        <v>8.9286092037967169E-2</v>
      </c>
      <c r="Q70" s="516"/>
      <c r="R70" s="519">
        <v>5.6407551000000007</v>
      </c>
      <c r="S70" s="519">
        <v>5.7823557800000005</v>
      </c>
      <c r="T70" s="520">
        <v>5.7539602000000007</v>
      </c>
      <c r="U70" s="520">
        <v>3.0938997799999997</v>
      </c>
      <c r="V70" s="520">
        <v>0.76330955</v>
      </c>
      <c r="W70" s="519">
        <v>3.8572093299999999</v>
      </c>
      <c r="X70" s="519">
        <v>1.9064220000000001</v>
      </c>
      <c r="Y70" s="520">
        <v>1.03</v>
      </c>
      <c r="Z70" s="519">
        <v>0.51374861999999999</v>
      </c>
      <c r="AA70" s="519" t="s">
        <v>744</v>
      </c>
      <c r="AB70" s="520">
        <v>1.1507920400000002</v>
      </c>
      <c r="AC70" s="585"/>
      <c r="AD70" s="585">
        <v>-0.63704342000000025</v>
      </c>
    </row>
    <row r="71" spans="1:30" ht="14" thickBot="1">
      <c r="A71" s="70">
        <v>1479</v>
      </c>
      <c r="B71" s="71" t="s">
        <v>567</v>
      </c>
      <c r="C71" s="515">
        <v>286725.58</v>
      </c>
      <c r="D71" s="516">
        <v>2928.0482222758087</v>
      </c>
      <c r="E71" s="516">
        <v>2525.3355802436604</v>
      </c>
      <c r="F71" s="516">
        <v>476.15273924984302</v>
      </c>
      <c r="G71" s="516">
        <v>3001.4883194935037</v>
      </c>
      <c r="H71" s="516">
        <v>253.66734317879838</v>
      </c>
      <c r="I71" s="517">
        <v>152.83395258978987</v>
      </c>
      <c r="J71" s="516">
        <v>51.170396516418236</v>
      </c>
      <c r="K71" s="517">
        <v>624.84867935396619</v>
      </c>
      <c r="L71" s="516">
        <v>511.86113823538176</v>
      </c>
      <c r="M71" s="518">
        <v>0.86246379449340416</v>
      </c>
      <c r="N71" s="518">
        <v>8.5281190066046064E-2</v>
      </c>
      <c r="O71" s="518">
        <v>5.2281106692936244E-2</v>
      </c>
      <c r="P71" s="518">
        <v>0.1748130834530931</v>
      </c>
      <c r="Q71" s="516"/>
      <c r="R71" s="519">
        <v>852.86000399000022</v>
      </c>
      <c r="S71" s="519">
        <v>838.18814237000004</v>
      </c>
      <c r="T71" s="520">
        <v>839.54632480000021</v>
      </c>
      <c r="U71" s="520">
        <v>724.07830894000017</v>
      </c>
      <c r="V71" s="520">
        <v>136.52517033000001</v>
      </c>
      <c r="W71" s="519">
        <v>860.60347927000021</v>
      </c>
      <c r="X71" s="519">
        <v>72.732916100000011</v>
      </c>
      <c r="Y71" s="520">
        <v>179.1601</v>
      </c>
      <c r="Z71" s="519">
        <v>146.76368174000001</v>
      </c>
      <c r="AA71" s="519">
        <v>125.2048285</v>
      </c>
      <c r="AB71" s="520">
        <v>83.954632480000015</v>
      </c>
      <c r="AC71" s="585">
        <v>62.809049259999995</v>
      </c>
      <c r="AD71" s="585"/>
    </row>
    <row r="72" spans="1:30" ht="14" thickBot="1">
      <c r="A72" s="70">
        <v>1507</v>
      </c>
      <c r="B72" s="71" t="s">
        <v>568</v>
      </c>
      <c r="C72" s="515">
        <v>8520.33</v>
      </c>
      <c r="D72" s="516">
        <v>2028.1094511597555</v>
      </c>
      <c r="E72" s="516">
        <v>1710.4423995314739</v>
      </c>
      <c r="F72" s="516">
        <v>327.71900266773696</v>
      </c>
      <c r="G72" s="516">
        <v>2038.1614021992107</v>
      </c>
      <c r="H72" s="516">
        <v>272.20271984770545</v>
      </c>
      <c r="I72" s="517">
        <v>183.94148818179576</v>
      </c>
      <c r="J72" s="516">
        <v>-71.29182320403082</v>
      </c>
      <c r="K72" s="517">
        <v>545.75350954716544</v>
      </c>
      <c r="L72" s="516">
        <v>549.18064089066968</v>
      </c>
      <c r="M72" s="518">
        <v>0.84336789543255342</v>
      </c>
      <c r="N72" s="518">
        <v>0.12711548467079306</v>
      </c>
      <c r="O72" s="518">
        <v>8.3130891562359158E-2</v>
      </c>
      <c r="P72" s="518">
        <v>0.27078451834866502</v>
      </c>
      <c r="Q72" s="516"/>
      <c r="R72" s="519">
        <v>18.245275199999998</v>
      </c>
      <c r="S72" s="519">
        <v>18.852705059999998</v>
      </c>
      <c r="T72" s="520">
        <v>17.280161799999998</v>
      </c>
      <c r="U72" s="520">
        <v>14.573533690000001</v>
      </c>
      <c r="V72" s="520">
        <v>2.7922740499999996</v>
      </c>
      <c r="W72" s="519">
        <v>17.365807740000001</v>
      </c>
      <c r="X72" s="519">
        <v>2.3192570000000003</v>
      </c>
      <c r="Y72" s="520">
        <v>4.6500000000000004</v>
      </c>
      <c r="Z72" s="519">
        <v>4.6792002899999998</v>
      </c>
      <c r="AA72" s="519" t="s">
        <v>744</v>
      </c>
      <c r="AB72" s="520">
        <v>3.4560323599999996</v>
      </c>
      <c r="AC72" s="585">
        <v>1.2231679300000002</v>
      </c>
      <c r="AD72" s="585"/>
    </row>
    <row r="73" spans="1:30" ht="14" thickBot="1">
      <c r="A73" s="70">
        <v>1509</v>
      </c>
      <c r="B73" s="71" t="s">
        <v>569</v>
      </c>
      <c r="C73" s="515">
        <v>347175.08</v>
      </c>
      <c r="D73" s="516">
        <v>2618.6031301555399</v>
      </c>
      <c r="E73" s="516">
        <v>2230.9345277892639</v>
      </c>
      <c r="F73" s="516">
        <v>440.54211679017982</v>
      </c>
      <c r="G73" s="516">
        <v>2671.4766445794439</v>
      </c>
      <c r="H73" s="516">
        <v>402.61636578293582</v>
      </c>
      <c r="I73" s="517">
        <v>160.92460875936138</v>
      </c>
      <c r="J73" s="516">
        <v>-95.077434273220305</v>
      </c>
      <c r="K73" s="517">
        <v>480.61888255343672</v>
      </c>
      <c r="L73" s="516">
        <v>142.38320892732278</v>
      </c>
      <c r="M73" s="518">
        <v>0.85195595395807489</v>
      </c>
      <c r="N73" s="518">
        <v>0.15047237713282538</v>
      </c>
      <c r="O73" s="518">
        <v>5.8079584514542759E-2</v>
      </c>
      <c r="P73" s="518">
        <v>5.4373725933362607E-2</v>
      </c>
      <c r="Q73" s="516"/>
      <c r="R73" s="519">
        <v>928.93042340000022</v>
      </c>
      <c r="S73" s="519">
        <v>961.93893924999998</v>
      </c>
      <c r="T73" s="520">
        <v>909.11375120000002</v>
      </c>
      <c r="U73" s="520">
        <v>774.52487315999997</v>
      </c>
      <c r="V73" s="520">
        <v>152.94524464000003</v>
      </c>
      <c r="W73" s="519">
        <v>927.47011780000003</v>
      </c>
      <c r="X73" s="519">
        <v>139.778369</v>
      </c>
      <c r="Y73" s="520">
        <v>166.85889900000001</v>
      </c>
      <c r="Z73" s="519">
        <v>49.431901950000004</v>
      </c>
      <c r="AA73" s="519" t="s">
        <v>744</v>
      </c>
      <c r="AB73" s="520">
        <v>90.911375120000002</v>
      </c>
      <c r="AC73" s="585"/>
      <c r="AD73" s="585">
        <v>-41.479473169999999</v>
      </c>
    </row>
    <row r="74" spans="1:30" ht="14" thickBot="1">
      <c r="A74" s="70">
        <v>1520</v>
      </c>
      <c r="B74" s="71" t="s">
        <v>570</v>
      </c>
      <c r="C74" s="515">
        <v>5999.81</v>
      </c>
      <c r="D74" s="516">
        <v>3675.6052274988706</v>
      </c>
      <c r="E74" s="516">
        <v>3792.6587441935662</v>
      </c>
      <c r="F74" s="516">
        <v>422.77657125808975</v>
      </c>
      <c r="G74" s="516">
        <v>4215.4353154516557</v>
      </c>
      <c r="H74" s="516">
        <v>-157.2721969529035</v>
      </c>
      <c r="I74" s="517">
        <v>307.32243021028995</v>
      </c>
      <c r="J74" s="516">
        <v>-87.410691338559076</v>
      </c>
      <c r="K74" s="517">
        <v>966.69727874716023</v>
      </c>
      <c r="L74" s="516">
        <v>748.16801032032686</v>
      </c>
      <c r="M74" s="518">
        <v>1.0318460524049116</v>
      </c>
      <c r="N74" s="518">
        <v>-4.321862917050933E-2</v>
      </c>
      <c r="O74" s="518">
        <v>8.2471635215755304E-2</v>
      </c>
      <c r="P74" s="518">
        <v>0.2035496099317039</v>
      </c>
      <c r="Q74" s="516"/>
      <c r="R74" s="519">
        <v>21.833253810000002</v>
      </c>
      <c r="S74" s="519">
        <v>22.357701350000003</v>
      </c>
      <c r="T74" s="520">
        <v>22.052932999999999</v>
      </c>
      <c r="U74" s="520">
        <v>22.755231860000002</v>
      </c>
      <c r="V74" s="520">
        <v>2.5365790999999995</v>
      </c>
      <c r="W74" s="519">
        <v>25.291810960000003</v>
      </c>
      <c r="X74" s="519">
        <v>-0.94360330000000003</v>
      </c>
      <c r="Y74" s="520">
        <v>5.8</v>
      </c>
      <c r="Z74" s="519">
        <v>4.4888659100000003</v>
      </c>
      <c r="AA74" s="519">
        <v>7.116030000000001E-2</v>
      </c>
      <c r="AB74" s="520">
        <v>4.4105866000000002</v>
      </c>
      <c r="AC74" s="585">
        <v>7.8279310000000102E-2</v>
      </c>
      <c r="AD74" s="585"/>
    </row>
    <row r="75" spans="1:30" ht="14" thickBot="1">
      <c r="A75" s="70">
        <v>1529</v>
      </c>
      <c r="B75" s="71" t="s">
        <v>571</v>
      </c>
      <c r="C75" s="515">
        <v>306881.18</v>
      </c>
      <c r="D75" s="516">
        <v>2941.5296793371299</v>
      </c>
      <c r="E75" s="516">
        <v>2906.4862913717939</v>
      </c>
      <c r="F75" s="516">
        <v>491.1950858309396</v>
      </c>
      <c r="G75" s="516">
        <v>3397.6813772027335</v>
      </c>
      <c r="H75" s="516">
        <v>142.02387800385807</v>
      </c>
      <c r="I75" s="517">
        <v>131.08579372641881</v>
      </c>
      <c r="J75" s="516">
        <v>-211.49772195219001</v>
      </c>
      <c r="K75" s="517">
        <v>629.15354079386691</v>
      </c>
      <c r="L75" s="516">
        <v>179.49393902226265</v>
      </c>
      <c r="M75" s="518">
        <v>0.9880866787741428</v>
      </c>
      <c r="N75" s="518">
        <v>4.6875579988026154E-2</v>
      </c>
      <c r="O75" s="518">
        <v>4.0442314450282263E-2</v>
      </c>
      <c r="P75" s="518">
        <v>6.1020611242892979E-2</v>
      </c>
      <c r="Q75" s="516"/>
      <c r="R75" s="519">
        <v>929.79020805999994</v>
      </c>
      <c r="S75" s="519">
        <v>994.69487853999988</v>
      </c>
      <c r="T75" s="520">
        <v>902.70009900000002</v>
      </c>
      <c r="U75" s="520">
        <v>891.94594274999986</v>
      </c>
      <c r="V75" s="520">
        <v>150.73852755000001</v>
      </c>
      <c r="W75" s="519">
        <v>1042.6844702999999</v>
      </c>
      <c r="X75" s="519">
        <v>43.584455270000007</v>
      </c>
      <c r="Y75" s="520">
        <v>193.07538099999999</v>
      </c>
      <c r="Z75" s="519">
        <v>55.083311810000005</v>
      </c>
      <c r="AA75" s="519" t="s">
        <v>744</v>
      </c>
      <c r="AB75" s="520">
        <v>90.270009900000005</v>
      </c>
      <c r="AC75" s="585"/>
      <c r="AD75" s="585">
        <v>-35.18669809</v>
      </c>
    </row>
    <row r="76" spans="1:30" ht="14" thickBot="1">
      <c r="A76" s="70">
        <v>1535</v>
      </c>
      <c r="B76" s="71" t="s">
        <v>572</v>
      </c>
      <c r="C76" s="515">
        <v>102469.5</v>
      </c>
      <c r="D76" s="516">
        <v>3045.5750159803647</v>
      </c>
      <c r="E76" s="516">
        <v>3175.6871551046893</v>
      </c>
      <c r="F76" s="516">
        <v>494.81538623688039</v>
      </c>
      <c r="G76" s="516">
        <v>3670.5025413415701</v>
      </c>
      <c r="H76" s="516">
        <v>-177.75990367865558</v>
      </c>
      <c r="I76" s="517">
        <v>153.30976388095968</v>
      </c>
      <c r="J76" s="516">
        <v>1.1428169357711249</v>
      </c>
      <c r="K76" s="517">
        <v>789.84478308179507</v>
      </c>
      <c r="L76" s="516">
        <v>664.88024065697584</v>
      </c>
      <c r="M76" s="518">
        <v>1.042721699003182</v>
      </c>
      <c r="N76" s="518">
        <v>-5.5906246194800675E-2</v>
      </c>
      <c r="O76" s="518">
        <v>4.82339094464736E-2</v>
      </c>
      <c r="P76" s="518">
        <v>0.21831024918719735</v>
      </c>
      <c r="Q76" s="516"/>
      <c r="R76" s="519">
        <v>325.81276135999997</v>
      </c>
      <c r="S76" s="519">
        <v>325.69565747999991</v>
      </c>
      <c r="T76" s="520">
        <v>312.07854909999998</v>
      </c>
      <c r="U76" s="520">
        <v>325.41107493999999</v>
      </c>
      <c r="V76" s="520">
        <v>50.703485220000012</v>
      </c>
      <c r="W76" s="519">
        <v>376.11456016</v>
      </c>
      <c r="X76" s="519">
        <v>-18.214968449999997</v>
      </c>
      <c r="Y76" s="520">
        <v>80.935000000000002</v>
      </c>
      <c r="Z76" s="519">
        <v>68.129945819999989</v>
      </c>
      <c r="AA76" s="519">
        <v>27.26222795</v>
      </c>
      <c r="AB76" s="520">
        <v>46.811782364999992</v>
      </c>
      <c r="AC76" s="585">
        <v>21.318163454999997</v>
      </c>
      <c r="AD76" s="585"/>
    </row>
    <row r="77" spans="1:30" ht="14" thickBot="1">
      <c r="A77" s="70">
        <v>1542</v>
      </c>
      <c r="B77" s="71" t="s">
        <v>618</v>
      </c>
      <c r="C77" s="515">
        <v>474168.58</v>
      </c>
      <c r="D77" s="516">
        <v>2300.9689783747381</v>
      </c>
      <c r="E77" s="516">
        <v>1494.7339632457297</v>
      </c>
      <c r="F77" s="516">
        <v>327.07928245688493</v>
      </c>
      <c r="G77" s="516">
        <v>1821.8132457026145</v>
      </c>
      <c r="H77" s="516">
        <v>639.83595897475959</v>
      </c>
      <c r="I77" s="517">
        <v>142.05863336621755</v>
      </c>
      <c r="J77" s="516">
        <v>-34.409549131239366</v>
      </c>
      <c r="K77" s="517">
        <v>772.35823385851506</v>
      </c>
      <c r="L77" s="516">
        <v>650.31661342892005</v>
      </c>
      <c r="M77" s="518">
        <v>0.64961065416080366</v>
      </c>
      <c r="N77" s="518">
        <v>0.27313106442851265</v>
      </c>
      <c r="O77" s="518">
        <v>5.9763674210552974E-2</v>
      </c>
      <c r="P77" s="518">
        <v>0.28262728421843542</v>
      </c>
      <c r="Q77" s="516"/>
      <c r="R77" s="519">
        <v>1110.7858007100001</v>
      </c>
      <c r="S77" s="519">
        <v>1127.1017277599997</v>
      </c>
      <c r="T77" s="520">
        <v>1091.0471931000002</v>
      </c>
      <c r="U77" s="520">
        <v>708.75588082999991</v>
      </c>
      <c r="V77" s="520">
        <v>155.09071891000002</v>
      </c>
      <c r="W77" s="519">
        <v>863.84659973999987</v>
      </c>
      <c r="X77" s="519">
        <v>303.39010810000002</v>
      </c>
      <c r="Y77" s="520">
        <v>366.22800699999999</v>
      </c>
      <c r="Z77" s="519">
        <v>308.35970513999996</v>
      </c>
      <c r="AA77" s="519" t="s">
        <v>744</v>
      </c>
      <c r="AB77" s="520">
        <v>109.10471931000002</v>
      </c>
      <c r="AC77" s="585">
        <v>199.25498582999995</v>
      </c>
      <c r="AD77" s="585"/>
    </row>
    <row r="78" spans="1:30" ht="14" thickBot="1">
      <c r="A78" s="70">
        <v>1551</v>
      </c>
      <c r="B78" s="71" t="s">
        <v>619</v>
      </c>
      <c r="C78" s="515">
        <v>67163.42</v>
      </c>
      <c r="D78" s="516">
        <v>2725.2337745755062</v>
      </c>
      <c r="E78" s="516">
        <v>2530.4669254484065</v>
      </c>
      <c r="F78" s="516">
        <v>453.31242542443493</v>
      </c>
      <c r="G78" s="516">
        <v>2983.7793508728414</v>
      </c>
      <c r="H78" s="516">
        <v>201.72527024383214</v>
      </c>
      <c r="I78" s="517">
        <v>124.34256623620416</v>
      </c>
      <c r="J78" s="516">
        <v>-104.62679863532857</v>
      </c>
      <c r="K78" s="517">
        <v>667.14142906957386</v>
      </c>
      <c r="L78" s="516">
        <v>453.297220570364</v>
      </c>
      <c r="M78" s="518">
        <v>0.92853205807731576</v>
      </c>
      <c r="N78" s="518">
        <v>7.2269178449604607E-2</v>
      </c>
      <c r="O78" s="518">
        <v>4.2936990212466511E-2</v>
      </c>
      <c r="P78" s="518">
        <v>0.16633333433605033</v>
      </c>
      <c r="Q78" s="516"/>
      <c r="R78" s="519">
        <v>187.47354461</v>
      </c>
      <c r="S78" s="519">
        <v>194.50063823000002</v>
      </c>
      <c r="T78" s="520">
        <v>183.03602060000006</v>
      </c>
      <c r="U78" s="520">
        <v>169.95481291000002</v>
      </c>
      <c r="V78" s="520">
        <v>30.44601282</v>
      </c>
      <c r="W78" s="519">
        <v>200.40082573000001</v>
      </c>
      <c r="X78" s="519">
        <v>13.548559050000001</v>
      </c>
      <c r="Y78" s="520">
        <v>44.807499999999997</v>
      </c>
      <c r="Z78" s="519">
        <v>30.444991609999999</v>
      </c>
      <c r="AA78" s="519">
        <v>29.445709300000001</v>
      </c>
      <c r="AB78" s="520">
        <v>27.455403090000008</v>
      </c>
      <c r="AC78" s="585">
        <v>2.989588519999991</v>
      </c>
      <c r="AD78" s="585"/>
    </row>
    <row r="79" spans="1:30" ht="14" thickBot="1">
      <c r="A79" s="70">
        <v>1552</v>
      </c>
      <c r="B79" s="71" t="s">
        <v>620</v>
      </c>
      <c r="C79" s="515">
        <v>117536.17</v>
      </c>
      <c r="D79" s="516">
        <v>2116.8239444930014</v>
      </c>
      <c r="E79" s="516">
        <v>1791.9793450816035</v>
      </c>
      <c r="F79" s="516">
        <v>340.85197756571449</v>
      </c>
      <c r="G79" s="516">
        <v>2132.8313226473183</v>
      </c>
      <c r="H79" s="516">
        <v>687.21184108687567</v>
      </c>
      <c r="I79" s="517">
        <v>90.316089847065811</v>
      </c>
      <c r="J79" s="516">
        <v>-58.135992860750875</v>
      </c>
      <c r="K79" s="517">
        <v>456.24134255863532</v>
      </c>
      <c r="L79" s="516">
        <v>44.134115225976821</v>
      </c>
      <c r="M79" s="518">
        <v>0.8465415131681151</v>
      </c>
      <c r="N79" s="518">
        <v>0.26131373955513804</v>
      </c>
      <c r="O79" s="518">
        <v>3.360010687400606E-2</v>
      </c>
      <c r="P79" s="518">
        <v>2.0849213908786982E-2</v>
      </c>
      <c r="Q79" s="516"/>
      <c r="R79" s="519">
        <v>309.10065393999997</v>
      </c>
      <c r="S79" s="519">
        <v>315.93373586000001</v>
      </c>
      <c r="T79" s="520">
        <v>248.80337900000001</v>
      </c>
      <c r="U79" s="520">
        <v>210.62238894000001</v>
      </c>
      <c r="V79" s="520">
        <v>40.062435980000004</v>
      </c>
      <c r="W79" s="519">
        <v>250.68482492000001</v>
      </c>
      <c r="X79" s="519">
        <v>80.772247780000001</v>
      </c>
      <c r="Y79" s="520">
        <v>53.624859999999998</v>
      </c>
      <c r="Z79" s="519">
        <v>5.1873548700000001</v>
      </c>
      <c r="AA79" s="519" t="s">
        <v>744</v>
      </c>
      <c r="AB79" s="520">
        <v>37.320506850000001</v>
      </c>
      <c r="AC79" s="585"/>
      <c r="AD79" s="585">
        <v>-32.133151980000001</v>
      </c>
    </row>
    <row r="80" spans="1:30" ht="14" thickBot="1">
      <c r="A80" s="70">
        <v>1555</v>
      </c>
      <c r="B80" s="71" t="s">
        <v>1580</v>
      </c>
      <c r="C80" s="515">
        <v>416164.58</v>
      </c>
      <c r="D80" s="516">
        <v>3050.0352042213681</v>
      </c>
      <c r="E80" s="516">
        <v>3988.8990138228487</v>
      </c>
      <c r="F80" s="516">
        <v>546.67592126653335</v>
      </c>
      <c r="G80" s="516">
        <v>4535.5749350893821</v>
      </c>
      <c r="H80" s="516">
        <v>-861.51995438919869</v>
      </c>
      <c r="I80" s="517">
        <v>153.7372403485179</v>
      </c>
      <c r="J80" s="516">
        <v>-3.3411639693123365</v>
      </c>
      <c r="K80" s="517">
        <v>1051.1416264449992</v>
      </c>
      <c r="L80" s="516">
        <v>597.21512294486956</v>
      </c>
      <c r="M80" s="518">
        <v>1.3078206468902576</v>
      </c>
      <c r="N80" s="518">
        <v>-0.27955937908297507</v>
      </c>
      <c r="O80" s="518">
        <v>4.9833019557475454E-2</v>
      </c>
      <c r="P80" s="518">
        <v>0.19580597696652827</v>
      </c>
      <c r="Q80" s="516"/>
      <c r="R80" s="519">
        <v>1282.4970893700001</v>
      </c>
      <c r="S80" s="519">
        <v>1283.88756347</v>
      </c>
      <c r="T80" s="520">
        <v>1269.31661975</v>
      </c>
      <c r="U80" s="520">
        <v>1660.0384827500002</v>
      </c>
      <c r="V80" s="520">
        <v>227.50715516999995</v>
      </c>
      <c r="W80" s="519">
        <v>1887.5456379200002</v>
      </c>
      <c r="X80" s="519">
        <v>-358.53408998000003</v>
      </c>
      <c r="Y80" s="520">
        <v>437.44791349000002</v>
      </c>
      <c r="Z80" s="519">
        <v>248.53978081</v>
      </c>
      <c r="AA80" s="519" t="s">
        <v>744</v>
      </c>
      <c r="AB80" s="520">
        <v>126.93166197500001</v>
      </c>
      <c r="AC80" s="585">
        <v>121.60811883499998</v>
      </c>
      <c r="AD80" s="585"/>
    </row>
    <row r="81" spans="1:30" ht="14" thickBot="1">
      <c r="A81" s="70">
        <v>1560</v>
      </c>
      <c r="B81" s="71" t="s">
        <v>621</v>
      </c>
      <c r="C81" s="515">
        <v>94272</v>
      </c>
      <c r="D81" s="516">
        <v>1899.7548205193482</v>
      </c>
      <c r="E81" s="516">
        <v>1460.3097388408007</v>
      </c>
      <c r="F81" s="516">
        <v>321.54881990410729</v>
      </c>
      <c r="G81" s="516">
        <v>1781.8585587449081</v>
      </c>
      <c r="H81" s="516">
        <v>375.92551340801089</v>
      </c>
      <c r="I81" s="517">
        <v>130.61600899524782</v>
      </c>
      <c r="J81" s="516">
        <v>-70.184227130006775</v>
      </c>
      <c r="K81" s="517">
        <v>390.12824592668028</v>
      </c>
      <c r="L81" s="516">
        <v>651.78465334351677</v>
      </c>
      <c r="M81" s="518">
        <v>0.76868326537083687</v>
      </c>
      <c r="N81" s="518">
        <v>0.19759489210707501</v>
      </c>
      <c r="O81" s="518">
        <v>6.621211577831157E-2</v>
      </c>
      <c r="P81" s="518">
        <v>0.34308882720209871</v>
      </c>
      <c r="Q81" s="516"/>
      <c r="R81" s="519">
        <v>179.35306739000001</v>
      </c>
      <c r="S81" s="519">
        <v>185.96947484999998</v>
      </c>
      <c r="T81" s="520">
        <v>179.09368644</v>
      </c>
      <c r="U81" s="520">
        <v>137.66631969999997</v>
      </c>
      <c r="V81" s="520">
        <v>30.313050350000001</v>
      </c>
      <c r="W81" s="519">
        <v>167.97937004999997</v>
      </c>
      <c r="X81" s="519">
        <v>35.439250000000001</v>
      </c>
      <c r="Y81" s="520">
        <v>36.778170000000003</v>
      </c>
      <c r="Z81" s="519">
        <v>61.445042840000006</v>
      </c>
      <c r="AA81" s="519">
        <v>12.834102300000001</v>
      </c>
      <c r="AB81" s="520">
        <v>26.864052965999999</v>
      </c>
      <c r="AC81" s="585">
        <v>34.580989874000011</v>
      </c>
      <c r="AD81" s="585"/>
    </row>
    <row r="82" spans="1:30" ht="14" thickBot="1">
      <c r="A82" s="70">
        <v>1562</v>
      </c>
      <c r="B82" s="71" t="s">
        <v>622</v>
      </c>
      <c r="C82" s="515">
        <v>658490.57999999996</v>
      </c>
      <c r="D82" s="516">
        <v>3228.2316314988134</v>
      </c>
      <c r="E82" s="516">
        <v>4132.0644319923294</v>
      </c>
      <c r="F82" s="516">
        <v>552.64477712042594</v>
      </c>
      <c r="G82" s="516">
        <v>4684.7092091127552</v>
      </c>
      <c r="H82" s="516">
        <v>-941.70883861391019</v>
      </c>
      <c r="I82" s="517">
        <v>240.64921496675021</v>
      </c>
      <c r="J82" s="516">
        <v>-49.389597342455538</v>
      </c>
      <c r="K82" s="517">
        <v>937.78087151983254</v>
      </c>
      <c r="L82" s="516">
        <v>373.5270622246411</v>
      </c>
      <c r="M82" s="518">
        <v>1.2799776793197091</v>
      </c>
      <c r="N82" s="518">
        <v>-0.28728126707884799</v>
      </c>
      <c r="O82" s="518">
        <v>7.2323662488137361E-2</v>
      </c>
      <c r="P82" s="518">
        <v>0.11570640055069989</v>
      </c>
      <c r="Q82" s="516"/>
      <c r="R82" s="519">
        <v>2158.5340584</v>
      </c>
      <c r="S82" s="519">
        <v>2191.0566429899995</v>
      </c>
      <c r="T82" s="520">
        <v>2125.7601193999999</v>
      </c>
      <c r="U82" s="520">
        <v>2720.9255044199995</v>
      </c>
      <c r="V82" s="520">
        <v>363.91137982000004</v>
      </c>
      <c r="W82" s="519">
        <v>3084.8368842399996</v>
      </c>
      <c r="X82" s="519">
        <v>-620.10639933000004</v>
      </c>
      <c r="Y82" s="520">
        <v>617.51986999999997</v>
      </c>
      <c r="Z82" s="519">
        <v>245.96405185</v>
      </c>
      <c r="AA82" s="519" t="s">
        <v>744</v>
      </c>
      <c r="AB82" s="520">
        <v>212.57601194000003</v>
      </c>
      <c r="AC82" s="585">
        <v>33.388039909999975</v>
      </c>
      <c r="AD82" s="585"/>
    </row>
    <row r="83" spans="1:30" ht="14" thickBot="1">
      <c r="A83" s="70">
        <v>1563</v>
      </c>
      <c r="B83" s="71" t="s">
        <v>623</v>
      </c>
      <c r="C83" s="515">
        <v>37004</v>
      </c>
      <c r="D83" s="516">
        <v>2679.9700518862824</v>
      </c>
      <c r="E83" s="516">
        <v>2679.0837801318771</v>
      </c>
      <c r="F83" s="516">
        <v>440.1740784780024</v>
      </c>
      <c r="G83" s="516">
        <v>3119.2578586098793</v>
      </c>
      <c r="H83" s="516">
        <v>-99.668197762404063</v>
      </c>
      <c r="I83" s="517">
        <v>176.09446897632691</v>
      </c>
      <c r="J83" s="516">
        <v>-100.22297562425683</v>
      </c>
      <c r="K83" s="517">
        <v>596.15176737649972</v>
      </c>
      <c r="L83" s="516">
        <v>650.56786833855801</v>
      </c>
      <c r="M83" s="518">
        <v>0.99966929788869041</v>
      </c>
      <c r="N83" s="518">
        <v>-3.7468329503227024E-2</v>
      </c>
      <c r="O83" s="518">
        <v>6.3795683850305207E-2</v>
      </c>
      <c r="P83" s="518">
        <v>0.24275191727633647</v>
      </c>
      <c r="Q83" s="516"/>
      <c r="R83" s="519">
        <v>98.433051030000001</v>
      </c>
      <c r="S83" s="519">
        <v>102.14170202</v>
      </c>
      <c r="T83" s="520">
        <v>99.169611799999998</v>
      </c>
      <c r="U83" s="520">
        <v>99.136816199999984</v>
      </c>
      <c r="V83" s="520">
        <v>16.288201600000001</v>
      </c>
      <c r="W83" s="519">
        <v>115.42501779999998</v>
      </c>
      <c r="X83" s="519">
        <v>-3.68812199</v>
      </c>
      <c r="Y83" s="520">
        <v>22.06</v>
      </c>
      <c r="Z83" s="519">
        <v>24.073613399999999</v>
      </c>
      <c r="AA83" s="519" t="s">
        <v>744</v>
      </c>
      <c r="AB83" s="520">
        <v>19.833922359999999</v>
      </c>
      <c r="AC83" s="585">
        <v>4.2396910400000003</v>
      </c>
      <c r="AD83" s="585"/>
    </row>
    <row r="84" spans="1:30" ht="14" thickBot="1">
      <c r="A84" s="70">
        <v>1565</v>
      </c>
      <c r="B84" s="71" t="s">
        <v>624</v>
      </c>
      <c r="C84" s="515">
        <v>206406.42</v>
      </c>
      <c r="D84" s="516">
        <v>2064.6931890490614</v>
      </c>
      <c r="E84" s="516">
        <v>1436.3398078896962</v>
      </c>
      <c r="F84" s="516">
        <v>362.85482830427463</v>
      </c>
      <c r="G84" s="516">
        <v>1799.1946361939708</v>
      </c>
      <c r="H84" s="516">
        <v>792.1673091854409</v>
      </c>
      <c r="I84" s="517">
        <v>85.287577828247777</v>
      </c>
      <c r="J84" s="516">
        <v>-69.859972960143395</v>
      </c>
      <c r="K84" s="517">
        <v>351.38592103869638</v>
      </c>
      <c r="L84" s="516">
        <v>43.242427052414357</v>
      </c>
      <c r="M84" s="518">
        <v>0.69566743161061773</v>
      </c>
      <c r="N84" s="518">
        <v>0.34142487865654225</v>
      </c>
      <c r="O84" s="518">
        <v>3.5684576310230406E-2</v>
      </c>
      <c r="P84" s="518">
        <v>2.0943754394971668E-2</v>
      </c>
      <c r="Q84" s="516"/>
      <c r="R84" s="519">
        <v>478.90012870000004</v>
      </c>
      <c r="S84" s="519">
        <v>493.31967562</v>
      </c>
      <c r="T84" s="520">
        <v>426.16592954999999</v>
      </c>
      <c r="U84" s="520">
        <v>296.46975764999996</v>
      </c>
      <c r="V84" s="520">
        <v>74.895566090000003</v>
      </c>
      <c r="W84" s="519">
        <v>371.36532373999995</v>
      </c>
      <c r="X84" s="519">
        <v>163.50841832999998</v>
      </c>
      <c r="Y84" s="520">
        <v>72.528310000000005</v>
      </c>
      <c r="Z84" s="519">
        <v>8.9255145599999999</v>
      </c>
      <c r="AA84" s="519" t="s">
        <v>744</v>
      </c>
      <c r="AB84" s="520">
        <v>42.616592955000009</v>
      </c>
      <c r="AC84" s="585"/>
      <c r="AD84" s="585">
        <v>-33.691078395000005</v>
      </c>
    </row>
    <row r="85" spans="1:30" ht="14" thickBot="1">
      <c r="A85" s="70">
        <v>1566</v>
      </c>
      <c r="B85" s="71" t="s">
        <v>625</v>
      </c>
      <c r="C85" s="515">
        <v>149790.07999999999</v>
      </c>
      <c r="D85" s="516">
        <v>2023.0737058822583</v>
      </c>
      <c r="E85" s="516">
        <v>1489.7581486704591</v>
      </c>
      <c r="F85" s="516">
        <v>355.02383715930978</v>
      </c>
      <c r="G85" s="516">
        <v>1844.7819858297692</v>
      </c>
      <c r="H85" s="516">
        <v>617.75940789937476</v>
      </c>
      <c r="I85" s="517">
        <v>85.894973619080787</v>
      </c>
      <c r="J85" s="516">
        <v>-91.878488014693659</v>
      </c>
      <c r="K85" s="517">
        <v>340.4543879007208</v>
      </c>
      <c r="L85" s="516">
        <v>56.234989927236832</v>
      </c>
      <c r="M85" s="518">
        <v>0.73638352588878053</v>
      </c>
      <c r="N85" s="518">
        <v>0.29546704579688388</v>
      </c>
      <c r="O85" s="518">
        <v>3.9353201047647585E-2</v>
      </c>
      <c r="P85" s="518">
        <v>2.779680728573004E-2</v>
      </c>
      <c r="Q85" s="516"/>
      <c r="R85" s="519">
        <v>313.17953201999995</v>
      </c>
      <c r="S85" s="519">
        <v>326.94201812000006</v>
      </c>
      <c r="T85" s="520">
        <v>303.03637225</v>
      </c>
      <c r="U85" s="520">
        <v>223.15099226999999</v>
      </c>
      <c r="V85" s="520">
        <v>53.179048969999997</v>
      </c>
      <c r="W85" s="519">
        <v>276.33004124000001</v>
      </c>
      <c r="X85" s="519">
        <v>92.534231129999995</v>
      </c>
      <c r="Y85" s="520">
        <v>50.996690000000001</v>
      </c>
      <c r="Z85" s="519">
        <v>8.4234436400000003</v>
      </c>
      <c r="AA85" s="519" t="s">
        <v>744</v>
      </c>
      <c r="AB85" s="520">
        <v>45.455455837499997</v>
      </c>
      <c r="AC85" s="585"/>
      <c r="AD85" s="585">
        <v>-37.032012197499995</v>
      </c>
    </row>
    <row r="86" spans="1:30" ht="14" thickBot="1">
      <c r="A86" s="70">
        <v>1568</v>
      </c>
      <c r="B86" s="71" t="s">
        <v>626</v>
      </c>
      <c r="C86" s="515">
        <v>98819.25</v>
      </c>
      <c r="D86" s="516">
        <v>1863.213605648697</v>
      </c>
      <c r="E86" s="516">
        <v>1136.1492377244313</v>
      </c>
      <c r="F86" s="516">
        <v>311.47152300791595</v>
      </c>
      <c r="G86" s="516">
        <v>1447.620760732347</v>
      </c>
      <c r="H86" s="516">
        <v>940.80055242273136</v>
      </c>
      <c r="I86" s="517">
        <v>71.380563807152967</v>
      </c>
      <c r="J86" s="516">
        <v>-135.60239093091675</v>
      </c>
      <c r="K86" s="517">
        <v>270.80756026786275</v>
      </c>
      <c r="L86" s="516">
        <v>36.197491177073296</v>
      </c>
      <c r="M86" s="518">
        <v>0.60977938024924905</v>
      </c>
      <c r="N86" s="518">
        <v>0.42867751189073117</v>
      </c>
      <c r="O86" s="518">
        <v>3.0632011144879207E-2</v>
      </c>
      <c r="P86" s="518">
        <v>1.9427451080935385E-2</v>
      </c>
      <c r="Q86" s="516"/>
      <c r="R86" s="519">
        <v>216.87446252999996</v>
      </c>
      <c r="S86" s="519">
        <v>230.27458911000002</v>
      </c>
      <c r="T86" s="520">
        <v>184.1213711</v>
      </c>
      <c r="U86" s="520">
        <v>112.27341556</v>
      </c>
      <c r="V86" s="520">
        <v>30.779382300000002</v>
      </c>
      <c r="W86" s="519">
        <v>143.05279786</v>
      </c>
      <c r="X86" s="519">
        <v>92.969204989999994</v>
      </c>
      <c r="Y86" s="520">
        <v>26.760999999999999</v>
      </c>
      <c r="Z86" s="519">
        <v>3.5770089300000003</v>
      </c>
      <c r="AA86" s="519" t="s">
        <v>744</v>
      </c>
      <c r="AB86" s="520">
        <v>27.618205664999998</v>
      </c>
      <c r="AC86" s="585"/>
      <c r="AD86" s="585">
        <v>-24.041196734999996</v>
      </c>
    </row>
    <row r="87" spans="1:30" ht="14" thickBot="1">
      <c r="A87" s="70">
        <v>1569</v>
      </c>
      <c r="B87" s="71" t="s">
        <v>627</v>
      </c>
      <c r="C87" s="515">
        <v>102794.82</v>
      </c>
      <c r="D87" s="516">
        <v>2194.2134462612025</v>
      </c>
      <c r="E87" s="516">
        <v>1649.348591300612</v>
      </c>
      <c r="F87" s="516">
        <v>364.43626536823552</v>
      </c>
      <c r="G87" s="516">
        <v>2013.7848566688481</v>
      </c>
      <c r="H87" s="516">
        <v>648.69279405324119</v>
      </c>
      <c r="I87" s="517">
        <v>116.7222450508693</v>
      </c>
      <c r="J87" s="516">
        <v>-21.571893019512075</v>
      </c>
      <c r="K87" s="517">
        <v>544.77453241320916</v>
      </c>
      <c r="L87" s="516">
        <v>203.45557013475971</v>
      </c>
      <c r="M87" s="518">
        <v>0.75168101540485732</v>
      </c>
      <c r="N87" s="518">
        <v>0.24406937868787257</v>
      </c>
      <c r="O87" s="518">
        <v>4.3562940006710321E-2</v>
      </c>
      <c r="P87" s="518">
        <v>9.2723691253207285E-2</v>
      </c>
      <c r="Q87" s="516"/>
      <c r="R87" s="519">
        <v>273.21026241999994</v>
      </c>
      <c r="S87" s="519">
        <v>275.42774129000003</v>
      </c>
      <c r="T87" s="520">
        <v>225.55377625</v>
      </c>
      <c r="U87" s="520">
        <v>169.54449156000001</v>
      </c>
      <c r="V87" s="520">
        <v>37.462160300000008</v>
      </c>
      <c r="W87" s="519">
        <v>207.00665186000003</v>
      </c>
      <c r="X87" s="519">
        <v>66.682259000000002</v>
      </c>
      <c r="Y87" s="520">
        <v>56</v>
      </c>
      <c r="Z87" s="519">
        <v>20.914178710000002</v>
      </c>
      <c r="AA87" s="519" t="s">
        <v>744</v>
      </c>
      <c r="AB87" s="520">
        <v>33.833066437500001</v>
      </c>
      <c r="AC87" s="585"/>
      <c r="AD87" s="585">
        <v>-12.9188877275</v>
      </c>
    </row>
    <row r="88" spans="1:30" ht="14" thickBot="1">
      <c r="A88" s="70">
        <v>1570</v>
      </c>
      <c r="B88" s="71" t="s">
        <v>628</v>
      </c>
      <c r="C88" s="515">
        <v>19978.080000000002</v>
      </c>
      <c r="D88" s="516">
        <v>2270.4016847464823</v>
      </c>
      <c r="E88" s="516">
        <v>1072.6748100918603</v>
      </c>
      <c r="F88" s="516">
        <v>305.88031983053418</v>
      </c>
      <c r="G88" s="516">
        <v>1378.5551299223948</v>
      </c>
      <c r="H88" s="516">
        <v>1256.2740758871721</v>
      </c>
      <c r="I88" s="517">
        <v>79.987514816238587</v>
      </c>
      <c r="J88" s="516">
        <v>-200.80742293553732</v>
      </c>
      <c r="K88" s="517">
        <v>375.41145095024143</v>
      </c>
      <c r="L88" s="516">
        <v>420.54283194381037</v>
      </c>
      <c r="M88" s="518">
        <v>0.47246036562540578</v>
      </c>
      <c r="N88" s="518">
        <v>0.49126770738795</v>
      </c>
      <c r="O88" s="518">
        <v>2.9001829590240912E-2</v>
      </c>
      <c r="P88" s="518">
        <v>0.18522838261140961</v>
      </c>
      <c r="Q88" s="516"/>
      <c r="R88" s="519">
        <v>51.08812082</v>
      </c>
      <c r="S88" s="519">
        <v>55.099867580000009</v>
      </c>
      <c r="T88" s="520">
        <v>45.358266490000005</v>
      </c>
      <c r="U88" s="520">
        <v>21.429983169999996</v>
      </c>
      <c r="V88" s="520">
        <v>6.1109014999999998</v>
      </c>
      <c r="W88" s="519">
        <v>27.540884669999997</v>
      </c>
      <c r="X88" s="519">
        <v>25.097943989999997</v>
      </c>
      <c r="Y88" s="520">
        <v>7.5</v>
      </c>
      <c r="Z88" s="519">
        <v>8.4016383399999999</v>
      </c>
      <c r="AA88" s="519" t="s">
        <v>744</v>
      </c>
      <c r="AB88" s="520">
        <v>9.0716532980000011</v>
      </c>
      <c r="AC88" s="585"/>
      <c r="AD88" s="585">
        <v>-0.67001495800000122</v>
      </c>
    </row>
    <row r="89" spans="1:30" ht="14" thickBot="1">
      <c r="A89" s="70">
        <v>1571</v>
      </c>
      <c r="B89" s="71" t="s">
        <v>629</v>
      </c>
      <c r="C89" s="515">
        <v>9506.67</v>
      </c>
      <c r="D89" s="516">
        <v>2237.1979462840295</v>
      </c>
      <c r="E89" s="516">
        <v>1781.7706652276768</v>
      </c>
      <c r="F89" s="516">
        <v>333.6779703092671</v>
      </c>
      <c r="G89" s="516">
        <v>2115.448635536944</v>
      </c>
      <c r="H89" s="516">
        <v>596.31375655197883</v>
      </c>
      <c r="I89" s="517">
        <v>186.67631778530233</v>
      </c>
      <c r="J89" s="516">
        <v>-358.45949422878891</v>
      </c>
      <c r="K89" s="517">
        <v>509.44726176463473</v>
      </c>
      <c r="L89" s="516">
        <v>11.556551347632768</v>
      </c>
      <c r="M89" s="518">
        <v>0.796429599887299</v>
      </c>
      <c r="N89" s="518">
        <v>0.25235677091470754</v>
      </c>
      <c r="O89" s="518">
        <v>6.8594721669796466E-2</v>
      </c>
      <c r="P89" s="518">
        <v>5.1656364904268384E-3</v>
      </c>
      <c r="Q89" s="516"/>
      <c r="R89" s="519">
        <v>22.464061809999997</v>
      </c>
      <c r="S89" s="519">
        <v>25.871817930000002</v>
      </c>
      <c r="T89" s="520">
        <v>21.268302599999998</v>
      </c>
      <c r="U89" s="520">
        <v>16.938705729999999</v>
      </c>
      <c r="V89" s="520">
        <v>3.1721663500000004</v>
      </c>
      <c r="W89" s="519">
        <v>20.11087208</v>
      </c>
      <c r="X89" s="519">
        <v>5.6689581000000002</v>
      </c>
      <c r="Y89" s="520">
        <v>4.8431470000000001</v>
      </c>
      <c r="Z89" s="519">
        <v>0.10986432</v>
      </c>
      <c r="AA89" s="519" t="s">
        <v>744</v>
      </c>
      <c r="AB89" s="520">
        <v>4.2536605199999995</v>
      </c>
      <c r="AC89" s="585"/>
      <c r="AD89" s="585">
        <v>-4.1437961999999997</v>
      </c>
    </row>
    <row r="90" spans="1:30" ht="14" thickBot="1">
      <c r="A90" s="70">
        <v>1574</v>
      </c>
      <c r="B90" s="71" t="s">
        <v>630</v>
      </c>
      <c r="C90" s="515">
        <v>3.75</v>
      </c>
      <c r="D90" s="516">
        <v>6296.050666666667</v>
      </c>
      <c r="E90" s="516">
        <v>0</v>
      </c>
      <c r="F90" s="516">
        <v>0</v>
      </c>
      <c r="G90" s="516">
        <v>0</v>
      </c>
      <c r="H90" s="516">
        <v>2666.6666666666665</v>
      </c>
      <c r="I90" s="517">
        <v>369.11200000000002</v>
      </c>
      <c r="J90" s="516">
        <v>58113.797333333328</v>
      </c>
      <c r="K90" s="517">
        <v>1866.6666666666667</v>
      </c>
      <c r="L90" s="516">
        <v>2341454.0933333333</v>
      </c>
      <c r="M90" s="518">
        <v>0</v>
      </c>
      <c r="N90" s="518">
        <v>4.2313925148866741E-2</v>
      </c>
      <c r="O90" s="518">
        <v>7.5218127516019945E-2</v>
      </c>
      <c r="P90" s="518">
        <v>371.8925112419679</v>
      </c>
      <c r="Q90" s="516"/>
      <c r="R90" s="519">
        <v>0.23632881999999997</v>
      </c>
      <c r="S90" s="519">
        <v>1.8402079999999998E-2</v>
      </c>
      <c r="T90" s="520">
        <v>2.3610190000000003E-2</v>
      </c>
      <c r="U90" s="520">
        <v>0</v>
      </c>
      <c r="V90" s="520">
        <v>0</v>
      </c>
      <c r="W90" s="519">
        <v>0</v>
      </c>
      <c r="X90" s="519">
        <v>0.01</v>
      </c>
      <c r="Y90" s="520">
        <v>7.0000000000000001E-3</v>
      </c>
      <c r="Z90" s="519">
        <v>8.7804528499999996</v>
      </c>
      <c r="AA90" s="519" t="s">
        <v>744</v>
      </c>
      <c r="AB90" s="520">
        <v>4.7220380000000005E-3</v>
      </c>
      <c r="AC90" s="585">
        <v>8.775730811999999</v>
      </c>
      <c r="AD90" s="585"/>
    </row>
    <row r="91" spans="1:30" ht="14" thickBot="1">
      <c r="A91" s="70">
        <v>1575</v>
      </c>
      <c r="B91" s="71" t="s">
        <v>708</v>
      </c>
      <c r="C91" s="515">
        <v>1625.33</v>
      </c>
      <c r="D91" s="516">
        <v>1391.4772384684957</v>
      </c>
      <c r="E91" s="516">
        <v>724.06603582041816</v>
      </c>
      <c r="F91" s="516">
        <v>189.27199399506566</v>
      </c>
      <c r="G91" s="516">
        <v>913.33802981548388</v>
      </c>
      <c r="H91" s="516">
        <v>481.50498667962819</v>
      </c>
      <c r="I91" s="517">
        <v>498.47588489722091</v>
      </c>
      <c r="J91" s="516">
        <v>-350.4486288938246</v>
      </c>
      <c r="K91" s="517">
        <v>203.57896550239028</v>
      </c>
      <c r="L91" s="516">
        <v>3956.3690635132557</v>
      </c>
      <c r="M91" s="518">
        <v>0.52035780090614225</v>
      </c>
      <c r="N91" s="518">
        <v>0.36232525343558963</v>
      </c>
      <c r="O91" s="518">
        <v>0.2968215770595542</v>
      </c>
      <c r="P91" s="518">
        <v>2.8432869429238834</v>
      </c>
      <c r="Q91" s="516"/>
      <c r="R91" s="519">
        <v>2.15995019</v>
      </c>
      <c r="S91" s="519">
        <v>2.7295448599999999</v>
      </c>
      <c r="T91" s="520">
        <v>2.2616097000000002</v>
      </c>
      <c r="U91" s="520">
        <v>1.1768462500000001</v>
      </c>
      <c r="V91" s="520">
        <v>0.30762945000000003</v>
      </c>
      <c r="W91" s="519">
        <v>1.4844757000000002</v>
      </c>
      <c r="X91" s="519">
        <v>0.78260450000000004</v>
      </c>
      <c r="Y91" s="520">
        <v>0.33088299999999998</v>
      </c>
      <c r="Z91" s="519">
        <v>6.4304053300000001</v>
      </c>
      <c r="AA91" s="519" t="s">
        <v>744</v>
      </c>
      <c r="AB91" s="520">
        <v>0.45232194000000003</v>
      </c>
      <c r="AC91" s="585">
        <v>5.9780833900000001</v>
      </c>
      <c r="AD91" s="585"/>
    </row>
    <row r="92" spans="1:30" ht="14" thickBot="1">
      <c r="A92" s="70"/>
      <c r="B92" s="71"/>
      <c r="C92" s="515"/>
      <c r="D92" s="516"/>
      <c r="E92" s="516"/>
      <c r="F92" s="516"/>
      <c r="G92" s="516"/>
      <c r="H92" s="516"/>
      <c r="I92" s="517"/>
      <c r="J92" s="516"/>
      <c r="K92" s="517"/>
      <c r="L92" s="516"/>
      <c r="M92" s="518"/>
      <c r="N92" s="518"/>
      <c r="O92" s="518"/>
      <c r="P92" s="518"/>
      <c r="Q92" s="516"/>
      <c r="R92" s="519"/>
      <c r="S92" s="519"/>
      <c r="T92" s="520"/>
      <c r="U92" s="520"/>
      <c r="V92" s="520"/>
      <c r="W92" s="519"/>
      <c r="X92" s="519"/>
      <c r="Y92" s="520"/>
      <c r="Z92" s="519"/>
      <c r="AA92" s="519"/>
      <c r="AB92" s="520"/>
      <c r="AC92" s="520"/>
      <c r="AD92" s="520"/>
    </row>
    <row r="93" spans="1:30" ht="14" thickBot="1">
      <c r="A93" s="70"/>
      <c r="B93" s="71"/>
      <c r="C93" s="515"/>
      <c r="D93" s="516"/>
      <c r="E93" s="516"/>
      <c r="F93" s="516"/>
      <c r="G93" s="516"/>
      <c r="H93" s="516"/>
      <c r="I93" s="517"/>
      <c r="J93" s="516"/>
      <c r="K93" s="517"/>
      <c r="L93" s="516"/>
      <c r="M93" s="518"/>
      <c r="N93" s="518"/>
      <c r="O93" s="518"/>
      <c r="P93" s="518"/>
      <c r="Q93" s="516"/>
      <c r="R93" s="519"/>
      <c r="S93" s="519"/>
      <c r="T93" s="520"/>
      <c r="U93" s="520"/>
      <c r="V93" s="520"/>
      <c r="W93" s="519"/>
      <c r="X93" s="519"/>
      <c r="Y93" s="520"/>
      <c r="Z93" s="519"/>
      <c r="AA93" s="519"/>
      <c r="AB93" s="520"/>
      <c r="AC93" s="520"/>
      <c r="AD93" s="520"/>
    </row>
    <row r="94" spans="1:30" ht="14" thickBot="1">
      <c r="A94" s="70"/>
      <c r="B94" s="71"/>
      <c r="C94" s="515"/>
      <c r="D94" s="516"/>
      <c r="E94" s="516"/>
      <c r="F94" s="516"/>
      <c r="G94" s="516"/>
      <c r="H94" s="516"/>
      <c r="I94" s="517"/>
      <c r="J94" s="516"/>
      <c r="K94" s="517"/>
      <c r="L94" s="516"/>
      <c r="M94" s="518"/>
      <c r="N94" s="518"/>
      <c r="O94" s="518"/>
      <c r="P94" s="518"/>
      <c r="Q94" s="516"/>
      <c r="R94" s="519"/>
      <c r="S94" s="519"/>
      <c r="T94" s="520"/>
      <c r="U94" s="520"/>
      <c r="V94" s="520"/>
      <c r="W94" s="519"/>
      <c r="X94" s="519"/>
      <c r="Y94" s="520"/>
      <c r="Z94" s="519"/>
      <c r="AA94" s="519"/>
      <c r="AB94" s="520"/>
      <c r="AC94" s="520"/>
      <c r="AD94" s="520"/>
    </row>
    <row r="95" spans="1:30" ht="14" thickBot="1">
      <c r="A95" s="70"/>
      <c r="B95" s="71"/>
      <c r="C95" s="515"/>
      <c r="D95" s="516"/>
      <c r="E95" s="516"/>
      <c r="F95" s="516"/>
      <c r="G95" s="516"/>
      <c r="H95" s="516"/>
      <c r="I95" s="517"/>
      <c r="J95" s="516"/>
      <c r="K95" s="517"/>
      <c r="L95" s="516"/>
      <c r="M95" s="518"/>
      <c r="N95" s="518"/>
      <c r="O95" s="518"/>
      <c r="P95" s="518"/>
      <c r="Q95" s="516"/>
      <c r="R95" s="519"/>
      <c r="S95" s="519"/>
      <c r="T95" s="520"/>
      <c r="U95" s="520"/>
      <c r="V95" s="520"/>
      <c r="W95" s="519"/>
      <c r="X95" s="519"/>
      <c r="Y95" s="520"/>
      <c r="Z95" s="519"/>
      <c r="AA95" s="519"/>
      <c r="AB95" s="520"/>
      <c r="AC95" s="520"/>
      <c r="AD95" s="520"/>
    </row>
    <row r="96" spans="1:30" ht="14" thickBot="1">
      <c r="A96" s="70"/>
      <c r="B96" s="71"/>
      <c r="C96" s="515"/>
      <c r="D96" s="516"/>
      <c r="E96" s="516"/>
      <c r="F96" s="516"/>
      <c r="G96" s="516"/>
      <c r="H96" s="516"/>
      <c r="I96" s="517"/>
      <c r="J96" s="516"/>
      <c r="K96" s="517"/>
      <c r="L96" s="516"/>
      <c r="M96" s="518"/>
      <c r="N96" s="518"/>
      <c r="O96" s="518"/>
      <c r="P96" s="518"/>
      <c r="Q96" s="516"/>
      <c r="R96" s="519"/>
      <c r="S96" s="519"/>
      <c r="T96" s="520"/>
      <c r="U96" s="520"/>
      <c r="V96" s="520"/>
      <c r="W96" s="519"/>
      <c r="X96" s="519"/>
      <c r="Y96" s="520"/>
      <c r="Z96" s="519"/>
      <c r="AA96" s="519"/>
      <c r="AB96" s="520"/>
      <c r="AC96" s="520"/>
      <c r="AD96" s="520"/>
    </row>
    <row r="97" spans="1:30" ht="14" thickBot="1">
      <c r="A97" s="70"/>
      <c r="B97" s="71"/>
      <c r="C97" s="515"/>
      <c r="D97" s="516"/>
      <c r="E97" s="516"/>
      <c r="F97" s="516"/>
      <c r="G97" s="516"/>
      <c r="H97" s="516"/>
      <c r="I97" s="517"/>
      <c r="J97" s="516"/>
      <c r="K97" s="517"/>
      <c r="L97" s="516"/>
      <c r="M97" s="518"/>
      <c r="N97" s="518"/>
      <c r="O97" s="518"/>
      <c r="P97" s="518"/>
      <c r="Q97" s="516"/>
      <c r="R97" s="519"/>
      <c r="S97" s="519"/>
      <c r="T97" s="520"/>
      <c r="U97" s="520"/>
      <c r="V97" s="520"/>
      <c r="W97" s="519"/>
      <c r="X97" s="519"/>
      <c r="Y97" s="520"/>
      <c r="Z97" s="519"/>
      <c r="AA97" s="519"/>
      <c r="AB97" s="520"/>
      <c r="AC97" s="520"/>
      <c r="AD97" s="520"/>
    </row>
    <row r="98" spans="1:30" ht="14" thickBot="1">
      <c r="A98" s="70"/>
      <c r="B98" s="71"/>
      <c r="C98" s="515"/>
      <c r="D98" s="516"/>
      <c r="E98" s="516"/>
      <c r="F98" s="516"/>
      <c r="G98" s="516"/>
      <c r="H98" s="516"/>
      <c r="I98" s="517"/>
      <c r="J98" s="516"/>
      <c r="K98" s="517"/>
      <c r="L98" s="516"/>
      <c r="M98" s="518"/>
      <c r="N98" s="518"/>
      <c r="O98" s="518"/>
      <c r="P98" s="518"/>
      <c r="Q98" s="516"/>
      <c r="R98" s="519"/>
      <c r="S98" s="519"/>
      <c r="T98" s="520"/>
      <c r="U98" s="520"/>
      <c r="V98" s="520"/>
      <c r="W98" s="519"/>
      <c r="X98" s="519"/>
      <c r="Y98" s="520"/>
      <c r="Z98" s="519"/>
      <c r="AA98" s="519"/>
      <c r="AB98" s="520"/>
      <c r="AC98" s="520"/>
      <c r="AD98" s="520"/>
    </row>
    <row r="99" spans="1:30" ht="14" thickBot="1">
      <c r="A99" s="70"/>
      <c r="B99" s="71"/>
      <c r="C99" s="515"/>
      <c r="D99" s="516"/>
      <c r="E99" s="516"/>
      <c r="F99" s="516"/>
      <c r="G99" s="516"/>
      <c r="H99" s="516"/>
      <c r="I99" s="517"/>
      <c r="J99" s="516"/>
      <c r="K99" s="517"/>
      <c r="L99" s="516"/>
      <c r="M99" s="518"/>
      <c r="N99" s="518"/>
      <c r="O99" s="518"/>
      <c r="P99" s="518"/>
      <c r="Q99" s="516"/>
      <c r="R99" s="519"/>
      <c r="S99" s="519"/>
      <c r="T99" s="520"/>
      <c r="U99" s="520"/>
      <c r="V99" s="520"/>
      <c r="W99" s="519"/>
      <c r="X99" s="519"/>
      <c r="Y99" s="520"/>
      <c r="Z99" s="519"/>
      <c r="AA99" s="519"/>
      <c r="AB99" s="520"/>
      <c r="AC99" s="520"/>
      <c r="AD99" s="520"/>
    </row>
    <row r="100" spans="1:30" ht="14" thickBot="1">
      <c r="A100" s="70"/>
      <c r="B100" s="71"/>
      <c r="C100" s="515"/>
      <c r="D100" s="516"/>
      <c r="E100" s="516"/>
      <c r="F100" s="516"/>
      <c r="G100" s="516"/>
      <c r="H100" s="516"/>
      <c r="I100" s="517"/>
      <c r="J100" s="516"/>
      <c r="K100" s="517"/>
      <c r="L100" s="516"/>
      <c r="M100" s="518"/>
      <c r="N100" s="518"/>
      <c r="O100" s="518"/>
      <c r="P100" s="518"/>
      <c r="Q100" s="516"/>
      <c r="R100" s="519"/>
      <c r="S100" s="519"/>
      <c r="T100" s="520"/>
      <c r="U100" s="520"/>
      <c r="V100" s="520"/>
      <c r="W100" s="519"/>
      <c r="X100" s="519"/>
      <c r="Y100" s="520"/>
      <c r="Z100" s="519"/>
      <c r="AA100" s="519"/>
      <c r="AB100" s="520"/>
      <c r="AC100" s="520"/>
      <c r="AD100" s="520"/>
    </row>
    <row r="101" spans="1:30" ht="14" thickBot="1">
      <c r="A101" s="70"/>
      <c r="B101" s="71"/>
      <c r="C101" s="515"/>
      <c r="D101" s="516"/>
      <c r="E101" s="516"/>
      <c r="F101" s="516"/>
      <c r="G101" s="516"/>
      <c r="H101" s="516"/>
      <c r="I101" s="517"/>
      <c r="J101" s="516"/>
      <c r="K101" s="517"/>
      <c r="L101" s="516"/>
      <c r="M101" s="518"/>
      <c r="N101" s="518"/>
      <c r="O101" s="518"/>
      <c r="P101" s="518"/>
      <c r="Q101" s="516"/>
      <c r="R101" s="519"/>
      <c r="S101" s="519"/>
      <c r="T101" s="520"/>
      <c r="U101" s="520"/>
      <c r="V101" s="520"/>
      <c r="W101" s="519"/>
      <c r="X101" s="519"/>
      <c r="Y101" s="520"/>
      <c r="Z101" s="519"/>
      <c r="AA101" s="519"/>
      <c r="AB101" s="520"/>
      <c r="AC101" s="520"/>
      <c r="AD101" s="520"/>
    </row>
    <row r="102" spans="1:30" ht="14" thickBot="1">
      <c r="A102" s="70"/>
      <c r="B102" s="71"/>
      <c r="C102" s="515"/>
      <c r="D102" s="516"/>
      <c r="E102" s="516"/>
      <c r="F102" s="516"/>
      <c r="G102" s="516"/>
      <c r="H102" s="516"/>
      <c r="I102" s="517"/>
      <c r="J102" s="516"/>
      <c r="K102" s="517"/>
      <c r="L102" s="516"/>
      <c r="M102" s="518"/>
      <c r="N102" s="518"/>
      <c r="O102" s="518"/>
      <c r="P102" s="518"/>
      <c r="Q102" s="516"/>
      <c r="R102" s="519"/>
      <c r="S102" s="519"/>
      <c r="T102" s="520"/>
      <c r="U102" s="520"/>
      <c r="V102" s="520"/>
      <c r="W102" s="519"/>
      <c r="X102" s="519"/>
      <c r="Y102" s="520"/>
      <c r="Z102" s="519"/>
      <c r="AA102" s="519"/>
      <c r="AB102" s="520"/>
      <c r="AC102" s="520"/>
      <c r="AD102" s="520"/>
    </row>
    <row r="103" spans="1:30" s="277" customFormat="1" ht="14" thickBot="1">
      <c r="A103" s="522" t="s">
        <v>631</v>
      </c>
      <c r="B103" s="523">
        <v>81</v>
      </c>
      <c r="C103" s="524">
        <v>7708851.5100000007</v>
      </c>
      <c r="D103" s="525">
        <v>2610.6051062163992</v>
      </c>
      <c r="E103" s="525">
        <v>2629.9443655933128</v>
      </c>
      <c r="F103" s="525">
        <v>438.77766276367146</v>
      </c>
      <c r="G103" s="525">
        <v>3068.7220283569836</v>
      </c>
      <c r="H103" s="526">
        <v>-4.4217034205138201</v>
      </c>
      <c r="I103" s="527">
        <v>147.13788275057851</v>
      </c>
      <c r="J103" s="525">
        <v>-61.177624373517041</v>
      </c>
      <c r="K103" s="527">
        <v>660.95738811681952</v>
      </c>
      <c r="L103" s="525">
        <v>371.28245783787304</v>
      </c>
      <c r="M103" s="528">
        <v>1.0074079604498061</v>
      </c>
      <c r="N103" s="528" t="s">
        <v>744</v>
      </c>
      <c r="O103" s="528">
        <v>5.3220919384584765E-2</v>
      </c>
      <c r="P103" s="528">
        <v>0.14222084257545178</v>
      </c>
      <c r="Q103" s="525"/>
      <c r="R103" s="529">
        <v>20840.763858659997</v>
      </c>
      <c r="S103" s="529">
        <v>21312.373080660011</v>
      </c>
      <c r="T103" s="529">
        <v>20124.767115070001</v>
      </c>
      <c r="U103" s="529">
        <v>20273.850593920004</v>
      </c>
      <c r="V103" s="529">
        <v>3382.4718481499999</v>
      </c>
      <c r="W103" s="529">
        <v>23656.322442069999</v>
      </c>
      <c r="X103" s="529">
        <v>-34.08625509000013</v>
      </c>
      <c r="Y103" s="529">
        <v>5095.2223594300003</v>
      </c>
      <c r="Z103" s="529">
        <v>2862.1613357399992</v>
      </c>
      <c r="AA103" s="529">
        <v>2029.3998639000001</v>
      </c>
      <c r="AB103" s="529">
        <v>2328.5735168639999</v>
      </c>
      <c r="AC103" s="529">
        <v>872.31776096199997</v>
      </c>
      <c r="AD103" s="529">
        <v>-338.72994208599999</v>
      </c>
    </row>
    <row r="104" spans="1:30" ht="15.75" customHeight="1" thickBot="1">
      <c r="A104" s="89" t="s">
        <v>1837</v>
      </c>
      <c r="C104" s="530"/>
      <c r="D104" s="531"/>
      <c r="E104" s="531"/>
      <c r="F104" s="531"/>
      <c r="G104" s="531"/>
      <c r="H104" s="532"/>
      <c r="I104" s="531"/>
      <c r="J104" s="533"/>
      <c r="K104" s="534"/>
      <c r="L104" s="535"/>
      <c r="M104" s="535"/>
      <c r="N104" s="531"/>
      <c r="O104" s="535"/>
      <c r="P104" s="531"/>
      <c r="Q104" s="535"/>
      <c r="R104" s="532"/>
    </row>
    <row r="106" spans="1:30">
      <c r="A106" s="93" t="s">
        <v>1005</v>
      </c>
    </row>
    <row r="108" spans="1:30" ht="7.5" customHeight="1"/>
    <row r="109" spans="1:30" ht="24.75" customHeight="1">
      <c r="A109" s="2024" t="s">
        <v>710</v>
      </c>
      <c r="B109" s="2017"/>
    </row>
  </sheetData>
  <mergeCells count="2">
    <mergeCell ref="A109:B109"/>
    <mergeCell ref="A2:B2"/>
  </mergeCells>
  <phoneticPr fontId="0" type="noConversion"/>
  <pageMargins left="0.36" right="0.43" top="0.43307086614173229" bottom="0.43307086614173229" header="0.31496062992125984" footer="0.27559055118110237"/>
  <pageSetup paperSize="9" scale="46" fitToHeight="2" pageOrder="overThenDown" orientation="portrait"/>
  <headerFooter alignWithMargins="0">
    <oddFooter>&amp;R&amp;P/&amp;N</oddFooter>
  </headerFooter>
  <colBreaks count="1" manualBreakCount="1">
    <brk id="17" max="1048575" man="1"/>
  </colBreak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DBBD-8FE2-734A-9C89-012BC06E906C}">
  <sheetPr>
    <pageSetUpPr fitToPage="1"/>
  </sheetPr>
  <dimension ref="A1:K97"/>
  <sheetViews>
    <sheetView zoomScale="75" workbookViewId="0">
      <selection activeCell="A5" sqref="A5"/>
    </sheetView>
  </sheetViews>
  <sheetFormatPr baseColWidth="10" defaultColWidth="11.3984375" defaultRowHeight="13"/>
  <cols>
    <col min="1" max="1" width="14" style="562" customWidth="1"/>
    <col min="2" max="2" width="11.796875" style="2" customWidth="1"/>
    <col min="3" max="3" width="12.796875" style="87" customWidth="1"/>
    <col min="4" max="4" width="12.19921875" style="2" customWidth="1"/>
    <col min="5" max="5" width="12.3984375" style="87" customWidth="1"/>
    <col min="6" max="6" width="9.59765625" style="2" customWidth="1"/>
    <col min="7" max="7" width="11.19921875" style="87" customWidth="1"/>
    <col min="8" max="8" width="11.3984375" style="2"/>
    <col min="9" max="9" width="11.59765625" style="2" customWidth="1"/>
    <col min="10" max="10" width="10.796875" style="2" customWidth="1"/>
    <col min="11" max="11" width="18" style="2" customWidth="1"/>
    <col min="12" max="16384" width="11.3984375" style="2"/>
  </cols>
  <sheetData>
    <row r="1" spans="1:11" s="1" customFormat="1" ht="21" customHeight="1">
      <c r="A1" s="2026" t="s">
        <v>1006</v>
      </c>
      <c r="B1" s="2027"/>
      <c r="C1" s="2027"/>
      <c r="D1" s="2027"/>
      <c r="E1" s="2027"/>
      <c r="F1" s="2027"/>
      <c r="G1" s="2027"/>
      <c r="H1" s="2027"/>
      <c r="I1" s="537"/>
      <c r="K1" s="538">
        <v>2009</v>
      </c>
    </row>
    <row r="2" spans="1:11" s="1" customFormat="1" ht="9.75" customHeight="1">
      <c r="A2" s="539"/>
      <c r="B2" s="23"/>
      <c r="C2"/>
      <c r="D2"/>
      <c r="E2"/>
      <c r="F2"/>
      <c r="G2"/>
      <c r="H2"/>
      <c r="I2"/>
      <c r="J2"/>
    </row>
    <row r="3" spans="1:11" s="1" customFormat="1" ht="13.5" customHeight="1">
      <c r="A3" s="540" t="s">
        <v>1007</v>
      </c>
      <c r="B3" s="23"/>
      <c r="C3"/>
      <c r="D3"/>
      <c r="E3"/>
      <c r="F3"/>
      <c r="G3"/>
      <c r="H3"/>
      <c r="I3"/>
      <c r="J3"/>
    </row>
    <row r="4" spans="1:11" s="1" customFormat="1" ht="13.5" customHeight="1">
      <c r="A4" s="541" t="s">
        <v>1008</v>
      </c>
      <c r="B4" s="23"/>
      <c r="C4"/>
      <c r="D4"/>
      <c r="E4"/>
      <c r="F4"/>
      <c r="G4"/>
      <c r="H4"/>
      <c r="I4"/>
      <c r="J4"/>
    </row>
    <row r="5" spans="1:11" s="1" customFormat="1" ht="10.5" customHeight="1">
      <c r="A5" s="539"/>
      <c r="B5" s="23"/>
      <c r="C5"/>
      <c r="D5"/>
      <c r="E5"/>
      <c r="F5"/>
      <c r="G5"/>
      <c r="H5"/>
      <c r="I5"/>
      <c r="J5"/>
    </row>
    <row r="6" spans="1:11" ht="14.25" customHeight="1">
      <c r="A6" s="540" t="s">
        <v>1009</v>
      </c>
      <c r="B6"/>
      <c r="C6"/>
      <c r="D6"/>
      <c r="E6"/>
      <c r="F6"/>
      <c r="G6"/>
      <c r="H6"/>
      <c r="I6"/>
      <c r="J6"/>
    </row>
    <row r="7" spans="1:11" ht="15" customHeight="1">
      <c r="A7" s="542" t="s">
        <v>1010</v>
      </c>
      <c r="B7"/>
      <c r="C7"/>
      <c r="D7"/>
      <c r="E7"/>
      <c r="F7"/>
      <c r="G7"/>
      <c r="H7"/>
      <c r="I7"/>
      <c r="J7"/>
    </row>
    <row r="8" spans="1:11" ht="11.25" customHeight="1">
      <c r="A8" s="542"/>
      <c r="B8"/>
      <c r="C8"/>
      <c r="D8"/>
      <c r="E8"/>
      <c r="F8"/>
      <c r="G8"/>
      <c r="H8"/>
      <c r="I8"/>
      <c r="J8"/>
    </row>
    <row r="9" spans="1:11" ht="13.5" customHeight="1">
      <c r="A9" s="540" t="s">
        <v>1011</v>
      </c>
      <c r="B9"/>
      <c r="C9"/>
      <c r="D9"/>
      <c r="E9"/>
      <c r="F9"/>
      <c r="G9"/>
      <c r="H9"/>
      <c r="I9"/>
      <c r="J9"/>
    </row>
    <row r="10" spans="1:11" ht="17.25" customHeight="1">
      <c r="A10" s="542" t="s">
        <v>274</v>
      </c>
      <c r="B10" s="543"/>
      <c r="C10" s="543"/>
      <c r="D10" s="543"/>
      <c r="E10" s="543"/>
      <c r="F10" s="543"/>
      <c r="G10" s="543"/>
      <c r="H10" s="543"/>
      <c r="I10" s="543"/>
      <c r="J10" s="543"/>
    </row>
    <row r="11" spans="1:11" ht="8.25" customHeight="1">
      <c r="A11" s="542"/>
      <c r="B11"/>
      <c r="C11"/>
      <c r="D11"/>
      <c r="E11"/>
      <c r="F11"/>
      <c r="G11"/>
      <c r="H11"/>
      <c r="I11"/>
      <c r="J11"/>
    </row>
    <row r="12" spans="1:11" ht="15.75" customHeight="1">
      <c r="A12" s="540" t="s">
        <v>275</v>
      </c>
      <c r="B12"/>
      <c r="C12"/>
      <c r="D12"/>
      <c r="E12"/>
      <c r="F12"/>
      <c r="G12"/>
      <c r="H12"/>
      <c r="I12"/>
      <c r="J12"/>
      <c r="K12" s="8"/>
    </row>
    <row r="13" spans="1:11" ht="14.25" customHeight="1">
      <c r="A13" s="542" t="s">
        <v>276</v>
      </c>
      <c r="B13"/>
      <c r="C13"/>
      <c r="D13"/>
      <c r="E13"/>
      <c r="F13"/>
      <c r="G13"/>
      <c r="H13"/>
      <c r="I13"/>
      <c r="J13"/>
    </row>
    <row r="14" spans="1:11" ht="9.75" customHeight="1">
      <c r="A14" s="542"/>
      <c r="B14"/>
      <c r="C14"/>
      <c r="D14"/>
      <c r="E14"/>
      <c r="F14"/>
      <c r="G14"/>
      <c r="H14"/>
      <c r="I14"/>
      <c r="J14"/>
    </row>
    <row r="15" spans="1:11" ht="16.5" customHeight="1">
      <c r="A15" s="540" t="s">
        <v>277</v>
      </c>
      <c r="B15"/>
      <c r="C15"/>
      <c r="D15"/>
      <c r="E15"/>
      <c r="F15"/>
      <c r="G15"/>
      <c r="H15"/>
      <c r="I15"/>
      <c r="J15"/>
    </row>
    <row r="16" spans="1:11" ht="15.75" customHeight="1">
      <c r="A16" s="542" t="s">
        <v>278</v>
      </c>
      <c r="B16" s="543"/>
      <c r="C16" s="543"/>
      <c r="D16" s="543"/>
      <c r="E16" s="543"/>
      <c r="F16" s="543"/>
      <c r="G16" s="543"/>
      <c r="H16" s="543"/>
      <c r="I16" s="543"/>
      <c r="J16" s="543"/>
    </row>
    <row r="17" spans="1:10" ht="12.75" customHeight="1">
      <c r="A17" s="542" t="s">
        <v>281</v>
      </c>
      <c r="B17" s="543"/>
      <c r="C17" s="543"/>
      <c r="D17" s="543"/>
      <c r="E17" s="543"/>
      <c r="F17" s="543"/>
      <c r="G17" s="543"/>
      <c r="H17" s="543"/>
      <c r="I17" s="543"/>
      <c r="J17" s="543"/>
    </row>
    <row r="18" spans="1:10" ht="15.75" customHeight="1">
      <c r="A18" s="542" t="s">
        <v>282</v>
      </c>
      <c r="B18" s="543"/>
      <c r="C18" s="543"/>
      <c r="D18" s="543"/>
      <c r="E18" s="543"/>
      <c r="F18" s="543"/>
      <c r="G18" s="543"/>
      <c r="H18" s="543"/>
      <c r="I18" s="543"/>
      <c r="J18" s="543"/>
    </row>
    <row r="19" spans="1:10" ht="15.75" customHeight="1">
      <c r="A19" s="542" t="s">
        <v>283</v>
      </c>
      <c r="B19" s="543"/>
      <c r="C19" s="543"/>
      <c r="D19" s="543"/>
      <c r="E19" s="543"/>
      <c r="F19" s="543"/>
      <c r="G19" s="543"/>
      <c r="H19" s="543"/>
      <c r="I19" s="543"/>
      <c r="J19" s="543"/>
    </row>
    <row r="20" spans="1:10" ht="12" customHeight="1">
      <c r="A20" s="542"/>
      <c r="B20"/>
      <c r="C20"/>
      <c r="D20"/>
      <c r="E20"/>
      <c r="F20"/>
      <c r="G20"/>
      <c r="H20"/>
      <c r="I20"/>
      <c r="J20"/>
    </row>
    <row r="21" spans="1:10" ht="14.25" customHeight="1">
      <c r="A21" s="540" t="s">
        <v>284</v>
      </c>
      <c r="B21"/>
      <c r="C21"/>
      <c r="D21"/>
      <c r="E21"/>
      <c r="F21"/>
      <c r="G21"/>
      <c r="H21"/>
      <c r="I21"/>
      <c r="J21"/>
    </row>
    <row r="22" spans="1:10" ht="17.25" customHeight="1">
      <c r="A22" s="542" t="s">
        <v>285</v>
      </c>
      <c r="B22" s="543"/>
      <c r="C22" s="543"/>
      <c r="D22" s="543"/>
      <c r="E22" s="543"/>
      <c r="F22" s="543"/>
      <c r="G22" s="543"/>
      <c r="H22" s="543"/>
      <c r="I22" s="543"/>
      <c r="J22" s="543"/>
    </row>
    <row r="23" spans="1:10" ht="13.5" customHeight="1">
      <c r="A23" s="542" t="s">
        <v>286</v>
      </c>
      <c r="B23" s="543"/>
      <c r="C23" s="543"/>
      <c r="D23" s="543"/>
      <c r="E23" s="543"/>
      <c r="F23" s="543"/>
      <c r="G23" s="543"/>
      <c r="H23" s="543"/>
      <c r="I23" s="543"/>
      <c r="J23" s="543"/>
    </row>
    <row r="24" spans="1:10" ht="13.5" customHeight="1">
      <c r="A24" s="542"/>
      <c r="B24"/>
      <c r="C24"/>
      <c r="D24"/>
      <c r="E24"/>
      <c r="F24"/>
      <c r="G24"/>
      <c r="H24"/>
      <c r="I24"/>
      <c r="J24"/>
    </row>
    <row r="25" spans="1:10" ht="15.75" customHeight="1">
      <c r="A25" s="540" t="s">
        <v>287</v>
      </c>
      <c r="B25"/>
      <c r="C25"/>
      <c r="D25"/>
      <c r="E25"/>
      <c r="F25"/>
      <c r="G25"/>
      <c r="H25"/>
      <c r="I25"/>
      <c r="J25"/>
    </row>
    <row r="26" spans="1:10" ht="15.75" customHeight="1">
      <c r="A26" s="542" t="s">
        <v>288</v>
      </c>
      <c r="B26" s="543"/>
      <c r="C26" s="543"/>
      <c r="D26" s="543"/>
      <c r="E26" s="543"/>
      <c r="F26" s="543"/>
      <c r="G26" s="543"/>
      <c r="H26" s="543"/>
      <c r="I26" s="543"/>
      <c r="J26" s="543"/>
    </row>
    <row r="27" spans="1:10" ht="14.25" customHeight="1">
      <c r="A27" s="542" t="s">
        <v>289</v>
      </c>
      <c r="B27" s="543"/>
      <c r="C27" s="543"/>
      <c r="D27" s="543"/>
      <c r="E27" s="543"/>
      <c r="F27" s="543"/>
      <c r="G27" s="543"/>
      <c r="H27" s="543"/>
      <c r="I27" s="543"/>
      <c r="J27" s="543"/>
    </row>
    <row r="28" spans="1:10" ht="9.75" customHeight="1">
      <c r="A28" s="542"/>
      <c r="B28"/>
      <c r="C28"/>
      <c r="D28"/>
      <c r="E28"/>
      <c r="F28"/>
      <c r="G28"/>
      <c r="H28"/>
      <c r="I28"/>
      <c r="J28"/>
    </row>
    <row r="29" spans="1:10">
      <c r="A29" s="540" t="s">
        <v>171</v>
      </c>
      <c r="B29"/>
      <c r="C29"/>
      <c r="D29"/>
      <c r="E29"/>
      <c r="F29"/>
      <c r="G29"/>
      <c r="H29"/>
      <c r="I29"/>
      <c r="J29"/>
    </row>
    <row r="30" spans="1:10" ht="18" customHeight="1">
      <c r="A30" s="542" t="s">
        <v>172</v>
      </c>
      <c r="B30" s="543"/>
      <c r="C30" s="543"/>
      <c r="D30" s="543"/>
      <c r="E30" s="543"/>
      <c r="F30" s="543"/>
      <c r="G30" s="543"/>
      <c r="H30" s="543"/>
      <c r="I30" s="543"/>
      <c r="J30" s="543"/>
    </row>
    <row r="31" spans="1:10" ht="10.5" customHeight="1">
      <c r="A31" s="542"/>
      <c r="B31"/>
      <c r="C31"/>
      <c r="D31"/>
      <c r="E31"/>
      <c r="F31"/>
      <c r="G31"/>
      <c r="H31"/>
      <c r="I31"/>
      <c r="J31"/>
    </row>
    <row r="32" spans="1:10">
      <c r="A32" s="540" t="s">
        <v>173</v>
      </c>
      <c r="B32"/>
      <c r="C32"/>
      <c r="D32"/>
      <c r="E32"/>
      <c r="F32"/>
      <c r="G32"/>
      <c r="H32"/>
      <c r="I32"/>
      <c r="J32"/>
    </row>
    <row r="33" spans="1:11" ht="17.25" customHeight="1">
      <c r="A33" s="542" t="s">
        <v>174</v>
      </c>
      <c r="B33" s="543"/>
      <c r="C33" s="543"/>
      <c r="D33" s="543"/>
      <c r="E33" s="543"/>
      <c r="F33" s="543"/>
      <c r="G33" s="543"/>
      <c r="H33" s="543"/>
      <c r="I33" s="543"/>
      <c r="J33" s="543"/>
    </row>
    <row r="34" spans="1:11" ht="14.25" customHeight="1">
      <c r="A34" s="542" t="s">
        <v>175</v>
      </c>
      <c r="B34" s="543"/>
      <c r="C34" s="543"/>
      <c r="D34" s="543"/>
      <c r="E34" s="543"/>
      <c r="F34" s="543"/>
      <c r="G34" s="543"/>
      <c r="H34" s="543"/>
      <c r="I34" s="543"/>
      <c r="J34" s="543"/>
    </row>
    <row r="35" spans="1:11" ht="14.25" customHeight="1">
      <c r="A35" s="542" t="s">
        <v>176</v>
      </c>
      <c r="B35" s="543"/>
      <c r="C35" s="543"/>
      <c r="D35" s="543"/>
      <c r="E35" s="543"/>
      <c r="F35" s="543"/>
      <c r="G35" s="543"/>
      <c r="H35" s="543"/>
      <c r="I35" s="543"/>
      <c r="J35" s="543"/>
      <c r="K35" s="3"/>
    </row>
    <row r="36" spans="1:11" ht="10.5" customHeight="1">
      <c r="A36" s="542"/>
      <c r="B36"/>
      <c r="C36"/>
      <c r="D36"/>
      <c r="E36"/>
      <c r="F36"/>
      <c r="G36"/>
      <c r="H36"/>
      <c r="I36"/>
      <c r="J36"/>
    </row>
    <row r="37" spans="1:11">
      <c r="A37" s="540" t="s">
        <v>177</v>
      </c>
      <c r="B37"/>
      <c r="C37"/>
      <c r="D37"/>
      <c r="E37"/>
      <c r="F37"/>
      <c r="G37"/>
      <c r="H37"/>
      <c r="I37"/>
      <c r="J37"/>
    </row>
    <row r="38" spans="1:11" ht="16.5" customHeight="1">
      <c r="A38" s="542" t="s">
        <v>178</v>
      </c>
      <c r="B38" s="543"/>
      <c r="C38" s="543"/>
      <c r="D38" s="543"/>
      <c r="E38" s="543"/>
      <c r="F38" s="543"/>
      <c r="G38" s="543"/>
      <c r="H38" s="543"/>
      <c r="I38" s="543"/>
      <c r="J38" s="543"/>
    </row>
    <row r="39" spans="1:11" ht="13.5" customHeight="1">
      <c r="A39" s="542" t="s">
        <v>179</v>
      </c>
      <c r="B39" s="543"/>
      <c r="C39" s="543"/>
      <c r="D39" s="543"/>
      <c r="E39" s="543"/>
      <c r="F39" s="543"/>
      <c r="G39" s="543"/>
      <c r="H39" s="543"/>
      <c r="I39" s="543"/>
      <c r="J39" s="543"/>
    </row>
    <row r="40" spans="1:11" ht="9.75" customHeight="1">
      <c r="A40" s="542"/>
      <c r="B40"/>
      <c r="C40"/>
      <c r="D40"/>
      <c r="E40"/>
      <c r="F40"/>
      <c r="G40"/>
      <c r="H40"/>
      <c r="I40"/>
      <c r="J40"/>
    </row>
    <row r="41" spans="1:11" ht="18" customHeight="1">
      <c r="A41" s="544" t="s">
        <v>2365</v>
      </c>
      <c r="B41" s="545" t="s">
        <v>180</v>
      </c>
      <c r="C41" s="545" t="s">
        <v>181</v>
      </c>
      <c r="D41" s="545" t="s">
        <v>182</v>
      </c>
      <c r="E41" s="545" t="s">
        <v>183</v>
      </c>
      <c r="F41" s="545" t="s">
        <v>184</v>
      </c>
      <c r="G41" s="545" t="s">
        <v>185</v>
      </c>
      <c r="H41" s="545" t="s">
        <v>186</v>
      </c>
      <c r="I41" s="546" t="s">
        <v>1766</v>
      </c>
      <c r="J41" s="546" t="s">
        <v>1767</v>
      </c>
    </row>
    <row r="42" spans="1:11" ht="16.5" customHeight="1">
      <c r="A42" s="547" t="s">
        <v>187</v>
      </c>
      <c r="B42" s="548">
        <v>1.82</v>
      </c>
      <c r="C42" s="548">
        <v>0.96</v>
      </c>
      <c r="D42" s="548">
        <v>0.73</v>
      </c>
      <c r="E42" s="548">
        <v>0.52</v>
      </c>
      <c r="F42" s="548">
        <v>0.42</v>
      </c>
      <c r="G42" s="548">
        <v>0.34</v>
      </c>
      <c r="H42" s="548">
        <v>0.24</v>
      </c>
      <c r="I42" s="548">
        <v>0.2</v>
      </c>
      <c r="J42" s="548">
        <v>0.15</v>
      </c>
    </row>
    <row r="43" spans="1:11" ht="12.75" customHeight="1">
      <c r="A43" s="542"/>
      <c r="B43"/>
      <c r="C43"/>
      <c r="D43"/>
      <c r="E43"/>
      <c r="F43"/>
      <c r="G43"/>
      <c r="H43"/>
      <c r="I43"/>
      <c r="J43"/>
    </row>
    <row r="44" spans="1:11" ht="16.5" customHeight="1">
      <c r="A44" s="544" t="s">
        <v>2365</v>
      </c>
      <c r="B44" s="549" t="s">
        <v>188</v>
      </c>
      <c r="C44" s="549" t="s">
        <v>189</v>
      </c>
      <c r="D44" s="549" t="s">
        <v>190</v>
      </c>
      <c r="E44" s="549" t="s">
        <v>191</v>
      </c>
      <c r="G44" s="2"/>
    </row>
    <row r="45" spans="1:11" ht="15.75" customHeight="1">
      <c r="A45" s="550" t="s">
        <v>192</v>
      </c>
      <c r="B45" s="551" t="s">
        <v>193</v>
      </c>
      <c r="C45" s="552">
        <v>0.2</v>
      </c>
      <c r="D45" s="552">
        <v>0.2</v>
      </c>
      <c r="E45" s="552">
        <v>0.15</v>
      </c>
      <c r="G45" s="2"/>
    </row>
    <row r="46" spans="1:11" ht="14.25" customHeight="1">
      <c r="A46" s="553">
        <v>2007</v>
      </c>
      <c r="B46" s="554" t="s">
        <v>193</v>
      </c>
      <c r="C46" s="555">
        <v>0.18</v>
      </c>
      <c r="D46" s="555">
        <v>0.16</v>
      </c>
      <c r="E46" s="555">
        <v>0.13</v>
      </c>
      <c r="F46"/>
      <c r="G46"/>
      <c r="H46"/>
      <c r="I46"/>
      <c r="J46"/>
    </row>
    <row r="47" spans="1:11" ht="14.25" customHeight="1">
      <c r="A47" s="553">
        <v>2008</v>
      </c>
      <c r="B47" s="554" t="s">
        <v>193</v>
      </c>
      <c r="C47" s="555">
        <v>0.16</v>
      </c>
      <c r="D47" s="555">
        <v>0.12</v>
      </c>
      <c r="E47" s="555">
        <v>0.11</v>
      </c>
      <c r="G47" s="2"/>
    </row>
    <row r="48" spans="1:11" ht="14.25" customHeight="1">
      <c r="A48" s="556">
        <v>2009</v>
      </c>
      <c r="B48" s="557" t="s">
        <v>193</v>
      </c>
      <c r="C48" s="558">
        <v>0.15</v>
      </c>
      <c r="D48" s="558">
        <v>0.1</v>
      </c>
      <c r="E48" s="558">
        <v>0.1</v>
      </c>
      <c r="G48" s="2"/>
    </row>
    <row r="49" spans="1:7" ht="9" customHeight="1">
      <c r="A49" s="559"/>
      <c r="C49" s="2"/>
      <c r="E49" s="2"/>
      <c r="G49" s="2"/>
    </row>
    <row r="50" spans="1:7" ht="15" customHeight="1">
      <c r="A50" s="559" t="s">
        <v>194</v>
      </c>
      <c r="C50" s="2"/>
      <c r="E50" s="2"/>
      <c r="G50" s="2"/>
    </row>
    <row r="51" spans="1:7" ht="15" customHeight="1">
      <c r="A51" s="542" t="s">
        <v>195</v>
      </c>
      <c r="C51" s="2"/>
      <c r="E51" s="2"/>
      <c r="G51" s="2"/>
    </row>
    <row r="52" spans="1:7" ht="11.25" customHeight="1">
      <c r="A52" s="559"/>
      <c r="C52" s="2"/>
      <c r="E52" s="2"/>
      <c r="G52" s="2"/>
    </row>
    <row r="53" spans="1:7" ht="14.25" customHeight="1">
      <c r="A53" s="560" t="s">
        <v>196</v>
      </c>
      <c r="C53" s="2"/>
      <c r="E53" s="2"/>
      <c r="G53" s="2"/>
    </row>
    <row r="54" spans="1:7" ht="16.5" customHeight="1">
      <c r="A54" s="559" t="s">
        <v>197</v>
      </c>
      <c r="C54" s="2"/>
      <c r="E54" s="2"/>
      <c r="G54" s="2"/>
    </row>
    <row r="55" spans="1:7" ht="11.25" customHeight="1">
      <c r="A55" s="559"/>
      <c r="C55" s="2"/>
      <c r="E55" s="2"/>
      <c r="G55" s="2"/>
    </row>
    <row r="56" spans="1:7" ht="13.5" customHeight="1">
      <c r="A56" s="560" t="s">
        <v>198</v>
      </c>
      <c r="C56" s="2"/>
      <c r="E56" s="2"/>
      <c r="G56" s="2"/>
    </row>
    <row r="57" spans="1:7" ht="13.5" customHeight="1">
      <c r="A57" s="559" t="s">
        <v>199</v>
      </c>
      <c r="C57" s="2"/>
      <c r="E57" s="2"/>
      <c r="G57" s="2"/>
    </row>
    <row r="58" spans="1:7" ht="16.5" customHeight="1">
      <c r="A58" s="559" t="s">
        <v>200</v>
      </c>
      <c r="C58" s="2"/>
      <c r="E58" s="2"/>
      <c r="G58" s="2"/>
    </row>
    <row r="59" spans="1:7" ht="11.25" customHeight="1">
      <c r="A59" s="559"/>
      <c r="C59" s="2"/>
      <c r="E59" s="2"/>
      <c r="G59" s="2"/>
    </row>
    <row r="60" spans="1:7" ht="17.25" customHeight="1">
      <c r="A60" s="540" t="s">
        <v>201</v>
      </c>
      <c r="C60" s="2"/>
      <c r="E60" s="2"/>
      <c r="G60" s="2"/>
    </row>
    <row r="61" spans="1:7" ht="16.5" customHeight="1">
      <c r="A61" s="542" t="s">
        <v>202</v>
      </c>
      <c r="C61" s="2"/>
      <c r="E61" s="2"/>
      <c r="G61" s="2"/>
    </row>
    <row r="62" spans="1:7" ht="16.5" customHeight="1">
      <c r="A62" s="540" t="s">
        <v>1768</v>
      </c>
      <c r="C62" s="2"/>
      <c r="E62" s="2"/>
      <c r="G62" s="2"/>
    </row>
    <row r="63" spans="1:7" ht="10.5" customHeight="1">
      <c r="A63" s="561"/>
      <c r="C63" s="2"/>
      <c r="E63" s="2"/>
      <c r="G63" s="2"/>
    </row>
    <row r="64" spans="1:7" ht="17.25" customHeight="1">
      <c r="A64" s="540" t="s">
        <v>203</v>
      </c>
      <c r="C64" s="2"/>
      <c r="E64" s="2"/>
      <c r="G64" s="2"/>
    </row>
    <row r="65" spans="1:10" ht="17.25" customHeight="1">
      <c r="A65" s="542" t="s">
        <v>204</v>
      </c>
      <c r="C65" s="2"/>
      <c r="E65" s="2"/>
      <c r="G65" s="2"/>
    </row>
    <row r="66" spans="1:10" ht="16.5" customHeight="1">
      <c r="A66" s="418" t="s">
        <v>205</v>
      </c>
      <c r="C66" s="2"/>
      <c r="E66" s="2"/>
      <c r="G66" s="2"/>
    </row>
    <row r="67" spans="1:10" ht="10.5" customHeight="1">
      <c r="A67" s="418"/>
      <c r="C67" s="2"/>
      <c r="E67" s="2"/>
      <c r="G67" s="2"/>
    </row>
    <row r="68" spans="1:10" ht="14.25" customHeight="1">
      <c r="A68" s="540" t="s">
        <v>206</v>
      </c>
      <c r="C68" s="2"/>
      <c r="E68" s="2"/>
      <c r="G68" s="2"/>
    </row>
    <row r="69" spans="1:10" ht="17.25" customHeight="1">
      <c r="A69" s="562" t="s">
        <v>207</v>
      </c>
      <c r="C69" s="2"/>
      <c r="E69" s="2"/>
      <c r="G69" s="2"/>
    </row>
    <row r="70" spans="1:10" ht="9.75" customHeight="1">
      <c r="C70" s="2"/>
      <c r="E70" s="2"/>
      <c r="G70" s="2"/>
    </row>
    <row r="71" spans="1:10" ht="18" customHeight="1">
      <c r="A71" s="540" t="s">
        <v>208</v>
      </c>
      <c r="C71" s="2"/>
      <c r="E71" s="2"/>
      <c r="G71" s="2"/>
    </row>
    <row r="72" spans="1:10" ht="12" customHeight="1">
      <c r="A72" s="559"/>
      <c r="C72" s="2"/>
      <c r="E72" s="2"/>
      <c r="G72" s="2"/>
    </row>
    <row r="73" spans="1:10" ht="15" customHeight="1">
      <c r="B73" s="563" t="s">
        <v>209</v>
      </c>
      <c r="C73" s="2"/>
      <c r="E73" s="2"/>
      <c r="G73" s="2"/>
    </row>
    <row r="74" spans="1:10">
      <c r="A74" s="564">
        <v>0</v>
      </c>
      <c r="B74" s="565" t="s">
        <v>210</v>
      </c>
      <c r="C74" s="141"/>
      <c r="D74" s="141"/>
      <c r="E74" s="141"/>
      <c r="G74" s="2"/>
    </row>
    <row r="75" spans="1:10">
      <c r="A75" s="564">
        <v>1</v>
      </c>
      <c r="B75" s="565" t="s">
        <v>211</v>
      </c>
      <c r="C75" s="141"/>
      <c r="D75" s="141"/>
      <c r="E75" s="141"/>
      <c r="G75" s="566" t="s">
        <v>14</v>
      </c>
      <c r="H75" s="567" t="s">
        <v>212</v>
      </c>
      <c r="I75" s="141"/>
      <c r="J75" s="141"/>
    </row>
    <row r="76" spans="1:10">
      <c r="A76" s="564">
        <v>2</v>
      </c>
      <c r="B76" s="565" t="s">
        <v>213</v>
      </c>
      <c r="C76" s="141"/>
      <c r="D76" s="141"/>
      <c r="E76" s="141"/>
      <c r="G76" s="564" t="s">
        <v>28</v>
      </c>
      <c r="H76" s="565" t="s">
        <v>214</v>
      </c>
      <c r="I76" s="141"/>
      <c r="J76" s="141"/>
    </row>
    <row r="77" spans="1:10">
      <c r="A77" s="564" t="s">
        <v>1</v>
      </c>
      <c r="B77" s="565" t="s">
        <v>2204</v>
      </c>
      <c r="C77" s="141"/>
      <c r="D77" s="141"/>
      <c r="E77" s="141"/>
      <c r="G77" s="568" t="s">
        <v>16</v>
      </c>
      <c r="H77" s="567" t="s">
        <v>2205</v>
      </c>
      <c r="I77" s="141"/>
      <c r="J77" s="141"/>
    </row>
    <row r="78" spans="1:10">
      <c r="A78" s="564" t="s">
        <v>3</v>
      </c>
      <c r="B78" s="567" t="s">
        <v>2206</v>
      </c>
      <c r="C78" s="141"/>
      <c r="D78" s="141"/>
      <c r="E78" s="141"/>
      <c r="G78" s="566" t="s">
        <v>999</v>
      </c>
      <c r="H78" s="567" t="s">
        <v>2207</v>
      </c>
      <c r="I78" s="141"/>
      <c r="J78" s="141"/>
    </row>
    <row r="79" spans="1:10">
      <c r="A79" s="564" t="s">
        <v>1001</v>
      </c>
      <c r="B79" s="565" t="s">
        <v>2138</v>
      </c>
      <c r="C79" s="141"/>
      <c r="D79" s="141"/>
      <c r="E79" s="141"/>
      <c r="G79" s="569">
        <v>10</v>
      </c>
      <c r="H79" s="570" t="s">
        <v>2139</v>
      </c>
      <c r="I79" s="141"/>
      <c r="J79" s="141"/>
    </row>
    <row r="80" spans="1:10">
      <c r="A80" s="564" t="s">
        <v>997</v>
      </c>
      <c r="B80" s="565" t="s">
        <v>2140</v>
      </c>
      <c r="C80" s="141"/>
      <c r="D80" s="141"/>
      <c r="E80" s="141"/>
      <c r="G80" s="569" t="s">
        <v>1002</v>
      </c>
      <c r="H80" s="570" t="s">
        <v>2141</v>
      </c>
      <c r="I80" s="141"/>
      <c r="J80" s="141"/>
    </row>
    <row r="81" spans="1:10">
      <c r="A81" s="564" t="s">
        <v>998</v>
      </c>
      <c r="B81" s="565" t="s">
        <v>2142</v>
      </c>
      <c r="C81" s="141"/>
      <c r="D81" s="141"/>
      <c r="E81" s="141"/>
      <c r="G81" s="569" t="s">
        <v>1003</v>
      </c>
      <c r="H81" s="570" t="s">
        <v>2143</v>
      </c>
      <c r="I81" s="141"/>
      <c r="J81" s="141"/>
    </row>
    <row r="82" spans="1:10">
      <c r="A82" s="564" t="s">
        <v>1000</v>
      </c>
      <c r="B82" s="565" t="s">
        <v>2144</v>
      </c>
      <c r="C82" s="141"/>
      <c r="D82" s="141"/>
      <c r="E82" s="141"/>
      <c r="G82" s="569" t="s">
        <v>1004</v>
      </c>
      <c r="H82" s="570" t="s">
        <v>2145</v>
      </c>
      <c r="I82" s="141"/>
      <c r="J82" s="141"/>
    </row>
    <row r="83" spans="1:10">
      <c r="A83" s="568" t="s">
        <v>996</v>
      </c>
      <c r="B83" s="567" t="s">
        <v>2146</v>
      </c>
      <c r="C83" s="141"/>
      <c r="D83" s="141"/>
      <c r="E83" s="141"/>
      <c r="G83" s="569" t="s">
        <v>32</v>
      </c>
      <c r="H83" s="567" t="s">
        <v>2147</v>
      </c>
      <c r="I83" s="141"/>
      <c r="J83" s="141"/>
    </row>
    <row r="84" spans="1:10">
      <c r="A84" s="571" t="s">
        <v>23</v>
      </c>
      <c r="B84" s="565" t="s">
        <v>2148</v>
      </c>
      <c r="C84" s="141"/>
      <c r="D84" s="141"/>
      <c r="E84" s="141"/>
      <c r="G84" s="569" t="s">
        <v>19</v>
      </c>
      <c r="H84" s="567" t="s">
        <v>2149</v>
      </c>
      <c r="I84" s="141"/>
      <c r="J84" s="141"/>
    </row>
    <row r="85" spans="1:10">
      <c r="A85" s="566" t="s">
        <v>7</v>
      </c>
      <c r="B85" s="565" t="s">
        <v>2150</v>
      </c>
      <c r="C85" s="141"/>
      <c r="D85" s="141"/>
      <c r="E85" s="141"/>
      <c r="G85" s="569" t="s">
        <v>35</v>
      </c>
      <c r="H85" s="567" t="s">
        <v>1758</v>
      </c>
      <c r="I85" s="141"/>
      <c r="J85" s="141"/>
    </row>
    <row r="86" spans="1:10">
      <c r="A86" s="564">
        <v>7</v>
      </c>
      <c r="B86" s="565" t="s">
        <v>1759</v>
      </c>
      <c r="C86" s="141"/>
      <c r="D86" s="141"/>
      <c r="E86" s="141"/>
      <c r="G86" s="569" t="s">
        <v>21</v>
      </c>
      <c r="H86" s="567" t="s">
        <v>1760</v>
      </c>
      <c r="I86" s="141"/>
      <c r="J86" s="141"/>
    </row>
    <row r="87" spans="1:10">
      <c r="A87" s="564"/>
      <c r="B87" s="565" t="s">
        <v>1761</v>
      </c>
      <c r="C87" s="141"/>
      <c r="D87" s="141"/>
      <c r="E87" s="141"/>
      <c r="G87" s="569">
        <v>14</v>
      </c>
      <c r="H87" s="570" t="s">
        <v>1762</v>
      </c>
      <c r="I87" s="141"/>
      <c r="J87" s="141"/>
    </row>
    <row r="88" spans="1:10">
      <c r="A88" s="564" t="s">
        <v>26</v>
      </c>
      <c r="B88" s="565" t="s">
        <v>1763</v>
      </c>
      <c r="C88" s="141"/>
      <c r="D88" s="141"/>
      <c r="E88" s="141"/>
      <c r="G88" s="569">
        <v>15</v>
      </c>
      <c r="H88" s="567" t="s">
        <v>1764</v>
      </c>
      <c r="I88" s="141"/>
      <c r="J88" s="141"/>
    </row>
    <row r="89" spans="1:10">
      <c r="E89" s="141"/>
      <c r="G89" s="2"/>
    </row>
    <row r="90" spans="1:10" ht="6.75" customHeight="1">
      <c r="E90" s="141"/>
      <c r="G90" s="2"/>
    </row>
    <row r="91" spans="1:10">
      <c r="A91" s="572" t="s">
        <v>1837</v>
      </c>
      <c r="B91" s="570"/>
      <c r="C91" s="141"/>
      <c r="D91" s="141"/>
      <c r="E91" s="141"/>
      <c r="G91" s="2"/>
    </row>
    <row r="92" spans="1:10">
      <c r="A92" s="572"/>
      <c r="B92" s="570"/>
      <c r="C92" s="141"/>
      <c r="D92" s="141"/>
      <c r="E92" s="141"/>
      <c r="G92" s="2"/>
    </row>
    <row r="93" spans="1:10">
      <c r="A93" s="572" t="s">
        <v>1765</v>
      </c>
      <c r="B93" s="570"/>
      <c r="C93" s="141"/>
      <c r="D93" s="141"/>
      <c r="E93" s="141"/>
      <c r="G93" s="2"/>
    </row>
    <row r="94" spans="1:10">
      <c r="A94" s="569"/>
      <c r="B94" s="570"/>
      <c r="C94" s="141"/>
      <c r="D94" s="141"/>
      <c r="E94" s="141"/>
      <c r="G94" s="2"/>
    </row>
    <row r="95" spans="1:10" ht="7.5" customHeight="1">
      <c r="A95" s="569"/>
      <c r="B95" s="570"/>
      <c r="C95" s="141"/>
      <c r="D95" s="141"/>
      <c r="E95" s="141"/>
      <c r="G95" s="2"/>
    </row>
    <row r="96" spans="1:10">
      <c r="A96" s="573" t="s">
        <v>710</v>
      </c>
      <c r="B96" s="570"/>
      <c r="C96" s="141"/>
      <c r="D96" s="141"/>
      <c r="E96" s="141"/>
      <c r="G96" s="2"/>
    </row>
    <row r="97" spans="3:7">
      <c r="C97" s="2"/>
      <c r="E97" s="2"/>
      <c r="G97" s="2"/>
    </row>
  </sheetData>
  <mergeCells count="1">
    <mergeCell ref="A1:H1"/>
  </mergeCells>
  <phoneticPr fontId="0" type="noConversion"/>
  <pageMargins left="0.51181102362204722" right="0.51181102362204722" top="0.3" bottom="0.25" header="0.23622047244094491" footer="0.3"/>
  <pageSetup paperSize="9" scale="61" orientation="portrait"/>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0B25D-0A47-5744-A076-51B0F1FDDD99}">
  <sheetPr>
    <pageSetUpPr fitToPage="1"/>
  </sheetPr>
  <dimension ref="A1:I120"/>
  <sheetViews>
    <sheetView zoomScale="75" workbookViewId="0">
      <selection activeCell="F2" sqref="F2"/>
    </sheetView>
  </sheetViews>
  <sheetFormatPr baseColWidth="10" defaultColWidth="11.3984375" defaultRowHeight="13"/>
  <cols>
    <col min="1" max="1" width="5.796875" style="2" customWidth="1"/>
    <col min="2" max="2" width="52.59765625" style="87" customWidth="1"/>
    <col min="3" max="3" width="12.796875" style="87" customWidth="1"/>
    <col min="4" max="4" width="10.59765625" style="87" customWidth="1"/>
    <col min="5" max="5" width="10.59765625" style="2" customWidth="1"/>
    <col min="6" max="7" width="10.59765625" style="7" customWidth="1"/>
    <col min="8" max="9" width="10.59765625" style="2" customWidth="1"/>
    <col min="10" max="10" width="6.19921875" style="2" customWidth="1"/>
    <col min="11" max="16384" width="11.3984375" style="2"/>
  </cols>
  <sheetData>
    <row r="1" spans="1:9" s="1" customFormat="1" ht="14" customHeight="1">
      <c r="B1" s="289"/>
      <c r="C1" s="289"/>
      <c r="D1" s="289"/>
      <c r="F1" s="144"/>
      <c r="G1" s="144"/>
    </row>
    <row r="2" spans="1:9" s="1" customFormat="1" ht="19.5" customHeight="1">
      <c r="A2" s="48" t="s">
        <v>233</v>
      </c>
      <c r="C2" s="289"/>
      <c r="D2" s="289"/>
      <c r="F2" s="144"/>
      <c r="G2" s="144"/>
      <c r="H2" s="16"/>
      <c r="I2" s="772">
        <v>2009</v>
      </c>
    </row>
    <row r="3" spans="1:9" s="1" customFormat="1" ht="14.25" customHeight="1" thickBot="1">
      <c r="A3" s="815"/>
      <c r="B3" s="816"/>
      <c r="C3" s="816"/>
      <c r="D3" s="816"/>
      <c r="E3" s="815"/>
      <c r="F3" s="817"/>
      <c r="G3" s="817"/>
      <c r="H3" s="815"/>
      <c r="I3" s="815"/>
    </row>
    <row r="4" spans="1:9" ht="18" customHeight="1">
      <c r="A4" s="56" t="s">
        <v>844</v>
      </c>
      <c r="B4" s="56" t="s">
        <v>1927</v>
      </c>
      <c r="C4" s="57" t="s">
        <v>234</v>
      </c>
      <c r="D4" s="58" t="s">
        <v>2529</v>
      </c>
      <c r="E4" s="59" t="s">
        <v>2541</v>
      </c>
      <c r="F4" s="60" t="s">
        <v>873</v>
      </c>
      <c r="G4" s="59" t="s">
        <v>2323</v>
      </c>
      <c r="H4" s="60" t="s">
        <v>875</v>
      </c>
      <c r="I4" s="57" t="s">
        <v>875</v>
      </c>
    </row>
    <row r="5" spans="1:9" ht="15" customHeight="1">
      <c r="A5" s="56" t="s">
        <v>1561</v>
      </c>
      <c r="B5" s="56"/>
      <c r="C5" s="57" t="s">
        <v>235</v>
      </c>
      <c r="D5" s="58"/>
      <c r="E5" s="57"/>
      <c r="F5" s="60" t="s">
        <v>888</v>
      </c>
      <c r="G5" s="59" t="s">
        <v>2328</v>
      </c>
      <c r="H5" s="60" t="s">
        <v>890</v>
      </c>
      <c r="I5" s="57" t="s">
        <v>2088</v>
      </c>
    </row>
    <row r="6" spans="1:9" ht="15" customHeight="1">
      <c r="A6" s="56"/>
      <c r="B6" s="56"/>
      <c r="C6" s="57" t="s">
        <v>236</v>
      </c>
      <c r="D6" s="58"/>
      <c r="E6" s="57"/>
      <c r="F6" s="60" t="s">
        <v>899</v>
      </c>
      <c r="G6" s="59"/>
      <c r="H6" s="60" t="s">
        <v>904</v>
      </c>
      <c r="I6" s="57"/>
    </row>
    <row r="7" spans="1:9" ht="15" customHeight="1">
      <c r="A7" s="56"/>
      <c r="B7" s="56"/>
      <c r="C7" s="57" t="s">
        <v>237</v>
      </c>
      <c r="D7" s="58" t="s">
        <v>238</v>
      </c>
      <c r="E7" s="57" t="s">
        <v>238</v>
      </c>
      <c r="F7" s="58" t="s">
        <v>990</v>
      </c>
      <c r="G7" s="57" t="s">
        <v>238</v>
      </c>
      <c r="H7" s="58" t="s">
        <v>238</v>
      </c>
      <c r="I7" s="57" t="s">
        <v>238</v>
      </c>
    </row>
    <row r="8" spans="1:9" ht="15" customHeight="1">
      <c r="A8" s="56"/>
      <c r="B8" s="56"/>
      <c r="C8" s="57" t="s">
        <v>239</v>
      </c>
      <c r="D8" s="58" t="s">
        <v>240</v>
      </c>
      <c r="E8" s="57" t="s">
        <v>240</v>
      </c>
      <c r="F8" s="58" t="s">
        <v>238</v>
      </c>
      <c r="G8" s="57" t="s">
        <v>240</v>
      </c>
      <c r="H8" s="58" t="s">
        <v>240</v>
      </c>
      <c r="I8" s="57" t="s">
        <v>240</v>
      </c>
    </row>
    <row r="9" spans="1:9" ht="15" customHeight="1">
      <c r="A9" s="56"/>
      <c r="B9" s="56"/>
      <c r="C9" s="57"/>
      <c r="D9" s="58"/>
      <c r="E9" s="57"/>
      <c r="F9" s="58" t="s">
        <v>240</v>
      </c>
      <c r="G9" s="59"/>
      <c r="H9" s="58"/>
      <c r="I9" s="57"/>
    </row>
    <row r="10" spans="1:9" ht="18" customHeight="1">
      <c r="A10" s="64">
        <v>0</v>
      </c>
      <c r="B10" s="64"/>
      <c r="C10" s="65">
        <v>1</v>
      </c>
      <c r="D10" s="66">
        <v>2</v>
      </c>
      <c r="E10" s="65">
        <v>3</v>
      </c>
      <c r="F10" s="68">
        <v>4</v>
      </c>
      <c r="G10" s="67">
        <v>5</v>
      </c>
      <c r="H10" s="66">
        <v>6</v>
      </c>
      <c r="I10" s="65">
        <v>7</v>
      </c>
    </row>
    <row r="11" spans="1:9" ht="16.5" customHeight="1" thickBot="1">
      <c r="A11" s="70">
        <v>8</v>
      </c>
      <c r="B11" s="71" t="s">
        <v>1769</v>
      </c>
      <c r="C11" s="818" t="s">
        <v>2317</v>
      </c>
      <c r="D11" s="519">
        <v>1025.3</v>
      </c>
      <c r="E11" s="819">
        <v>953.52959999999996</v>
      </c>
      <c r="F11" s="519">
        <v>58</v>
      </c>
      <c r="G11" s="820">
        <v>34.793399999999998</v>
      </c>
      <c r="H11" s="519">
        <v>2000</v>
      </c>
      <c r="I11" s="820">
        <v>9522.2436199999993</v>
      </c>
    </row>
    <row r="12" spans="1:9" ht="16.5" customHeight="1" thickBot="1">
      <c r="A12" s="70">
        <v>32</v>
      </c>
      <c r="B12" s="821" t="s">
        <v>1770</v>
      </c>
      <c r="C12" s="818" t="s">
        <v>2317</v>
      </c>
      <c r="D12" s="519">
        <v>1538.4</v>
      </c>
      <c r="E12" s="819">
        <v>497.43135000000001</v>
      </c>
      <c r="F12" s="519">
        <v>127.79774999999999</v>
      </c>
      <c r="G12" s="820">
        <v>141.90450000000001</v>
      </c>
      <c r="H12" s="519">
        <v>2400</v>
      </c>
      <c r="I12" s="820">
        <v>1037.8071299999999</v>
      </c>
    </row>
    <row r="13" spans="1:9" ht="16.5" customHeight="1" thickBot="1">
      <c r="A13" s="822">
        <v>57</v>
      </c>
      <c r="B13" s="823" t="s">
        <v>1771</v>
      </c>
      <c r="C13" s="818" t="s">
        <v>2317</v>
      </c>
      <c r="D13" s="519">
        <v>29465.7</v>
      </c>
      <c r="E13" s="819">
        <v>20270.208549999999</v>
      </c>
      <c r="F13" s="519">
        <v>7992.6502099999989</v>
      </c>
      <c r="G13" s="820">
        <v>1584.9380000000001</v>
      </c>
      <c r="H13" s="519">
        <v>2314.9769999999999</v>
      </c>
      <c r="I13" s="820">
        <v>35961.987280000001</v>
      </c>
    </row>
    <row r="14" spans="1:9" ht="16.5" customHeight="1" thickBot="1">
      <c r="A14" s="822">
        <v>97</v>
      </c>
      <c r="B14" s="823" t="s">
        <v>1773</v>
      </c>
      <c r="C14" s="818" t="s">
        <v>2317</v>
      </c>
      <c r="D14" s="519">
        <v>50.5</v>
      </c>
      <c r="E14" s="819">
        <v>26.652000000000001</v>
      </c>
      <c r="F14" s="519">
        <v>15</v>
      </c>
      <c r="G14" s="820">
        <v>12.378300000000001</v>
      </c>
      <c r="H14" s="519">
        <v>35</v>
      </c>
      <c r="I14" s="820">
        <v>49.5901</v>
      </c>
    </row>
    <row r="15" spans="1:9" ht="16.5" customHeight="1" thickBot="1">
      <c r="A15" s="822">
        <v>134</v>
      </c>
      <c r="B15" s="823" t="s">
        <v>1774</v>
      </c>
      <c r="C15" s="818" t="s">
        <v>2317</v>
      </c>
      <c r="D15" s="519">
        <v>107.4</v>
      </c>
      <c r="E15" s="819">
        <v>142.45500000000001</v>
      </c>
      <c r="F15" s="519">
        <v>18.824300000000001</v>
      </c>
      <c r="G15" s="820">
        <v>-44.086800000000004</v>
      </c>
      <c r="H15" s="519">
        <v>100</v>
      </c>
      <c r="I15" s="820">
        <v>300.09090000000003</v>
      </c>
    </row>
    <row r="16" spans="1:9" ht="16.5" customHeight="1" thickBot="1">
      <c r="A16" s="822">
        <v>160</v>
      </c>
      <c r="B16" s="823" t="s">
        <v>1775</v>
      </c>
      <c r="C16" s="818" t="s">
        <v>2317</v>
      </c>
      <c r="D16" s="519">
        <v>1119.2</v>
      </c>
      <c r="E16" s="819">
        <v>619.12783999999999</v>
      </c>
      <c r="F16" s="519">
        <v>184.07657000000003</v>
      </c>
      <c r="G16" s="820">
        <v>417.35742999999997</v>
      </c>
      <c r="H16" s="519">
        <v>80</v>
      </c>
      <c r="I16" s="820">
        <v>2660.1886300000001</v>
      </c>
    </row>
    <row r="17" spans="1:9" ht="16.5" customHeight="1" thickBot="1">
      <c r="A17" s="822">
        <v>182</v>
      </c>
      <c r="B17" s="823" t="s">
        <v>1387</v>
      </c>
      <c r="C17" s="818" t="s">
        <v>2317</v>
      </c>
      <c r="D17" s="519">
        <v>4.4000000000000004</v>
      </c>
      <c r="E17" s="819">
        <v>1E-3</v>
      </c>
      <c r="F17" s="519">
        <v>7.6369199999999999</v>
      </c>
      <c r="G17" s="820">
        <v>-0.18987000000000001</v>
      </c>
      <c r="H17" s="519">
        <v>0</v>
      </c>
      <c r="I17" s="820">
        <v>370.57092999999998</v>
      </c>
    </row>
    <row r="18" spans="1:9" ht="16.5" customHeight="1" thickBot="1">
      <c r="A18" s="822">
        <v>194</v>
      </c>
      <c r="B18" s="823" t="s">
        <v>1777</v>
      </c>
      <c r="C18" s="818" t="s">
        <v>2317</v>
      </c>
      <c r="D18" s="519">
        <v>1287.8</v>
      </c>
      <c r="E18" s="819">
        <v>815.99024999999995</v>
      </c>
      <c r="F18" s="519">
        <v>221.40805000000006</v>
      </c>
      <c r="G18" s="820">
        <v>476.17208999999997</v>
      </c>
      <c r="H18" s="519">
        <v>550</v>
      </c>
      <c r="I18" s="820">
        <v>1922.9038999999998</v>
      </c>
    </row>
    <row r="19" spans="1:9" ht="16.5" customHeight="1" thickBot="1">
      <c r="A19" s="822">
        <v>216</v>
      </c>
      <c r="B19" s="823" t="s">
        <v>1778</v>
      </c>
      <c r="C19" s="818" t="s">
        <v>2317</v>
      </c>
      <c r="D19" s="519">
        <v>116.8</v>
      </c>
      <c r="E19" s="819">
        <v>128.35612</v>
      </c>
      <c r="F19" s="519">
        <v>17.834949999999996</v>
      </c>
      <c r="G19" s="820">
        <v>-17.654630000000001</v>
      </c>
      <c r="H19" s="519">
        <v>10</v>
      </c>
      <c r="I19" s="820">
        <v>238.34935000000002</v>
      </c>
    </row>
    <row r="20" spans="1:9" ht="16.5" customHeight="1" thickBot="1">
      <c r="A20" s="822">
        <v>246</v>
      </c>
      <c r="B20" s="823" t="s">
        <v>1779</v>
      </c>
      <c r="C20" s="818" t="s">
        <v>2317</v>
      </c>
      <c r="D20" s="519">
        <v>32.4</v>
      </c>
      <c r="E20" s="819">
        <v>22.983000000000001</v>
      </c>
      <c r="F20" s="519">
        <v>32.025449999999999</v>
      </c>
      <c r="G20" s="820">
        <v>-23.063700000000001</v>
      </c>
      <c r="H20" s="519">
        <v>28.349450000000001</v>
      </c>
      <c r="I20" s="820">
        <v>206.25450000000001</v>
      </c>
    </row>
    <row r="21" spans="1:9" ht="16.5" customHeight="1" thickBot="1">
      <c r="A21" s="822">
        <v>261</v>
      </c>
      <c r="B21" s="823" t="s">
        <v>1780</v>
      </c>
      <c r="C21" s="818" t="s">
        <v>2317</v>
      </c>
      <c r="D21" s="519">
        <v>221.8</v>
      </c>
      <c r="E21" s="819">
        <v>115.92869999999999</v>
      </c>
      <c r="F21" s="519">
        <v>148.26436999999999</v>
      </c>
      <c r="G21" s="820">
        <v>-39.6935</v>
      </c>
      <c r="H21" s="519">
        <v>100</v>
      </c>
      <c r="I21" s="820">
        <v>1148.8241</v>
      </c>
    </row>
    <row r="22" spans="1:9" ht="16.5" customHeight="1" thickBot="1">
      <c r="A22" s="822">
        <v>263</v>
      </c>
      <c r="B22" s="823" t="s">
        <v>1781</v>
      </c>
      <c r="C22" s="818" t="s">
        <v>2317</v>
      </c>
      <c r="D22" s="519">
        <v>7284.1</v>
      </c>
      <c r="E22" s="819">
        <v>4905.0703300000005</v>
      </c>
      <c r="F22" s="519">
        <v>1691.7015900000001</v>
      </c>
      <c r="G22" s="820">
        <v>2570.8523</v>
      </c>
      <c r="H22" s="519">
        <v>1000</v>
      </c>
      <c r="I22" s="820">
        <v>20601.10397</v>
      </c>
    </row>
    <row r="23" spans="1:9" ht="16.5" customHeight="1" thickBot="1">
      <c r="A23" s="822">
        <v>290</v>
      </c>
      <c r="B23" s="823" t="s">
        <v>1782</v>
      </c>
      <c r="C23" s="818" t="s">
        <v>2317</v>
      </c>
      <c r="D23" s="519">
        <v>5385.4</v>
      </c>
      <c r="E23" s="819">
        <v>4598.8239000000003</v>
      </c>
      <c r="F23" s="519">
        <v>1913.1573100000003</v>
      </c>
      <c r="G23" s="820">
        <v>-396.96701999999999</v>
      </c>
      <c r="H23" s="519">
        <v>739.11599999999999</v>
      </c>
      <c r="I23" s="820">
        <v>3897.5943500000003</v>
      </c>
    </row>
    <row r="24" spans="1:9" ht="16.5" customHeight="1" thickBot="1">
      <c r="A24" s="822">
        <v>294</v>
      </c>
      <c r="B24" s="823" t="s">
        <v>1783</v>
      </c>
      <c r="C24" s="818" t="s">
        <v>2317</v>
      </c>
      <c r="D24" s="519">
        <v>63.8</v>
      </c>
      <c r="E24" s="819">
        <v>9.9888999999999992</v>
      </c>
      <c r="F24" s="519">
        <v>26.00882</v>
      </c>
      <c r="G24" s="820">
        <v>27.788900000000002</v>
      </c>
      <c r="H24" s="519">
        <v>51</v>
      </c>
      <c r="I24" s="820">
        <v>156.3229</v>
      </c>
    </row>
    <row r="25" spans="1:9" ht="16.5" customHeight="1" thickBot="1">
      <c r="A25" s="822">
        <v>312</v>
      </c>
      <c r="B25" s="823" t="s">
        <v>1784</v>
      </c>
      <c r="C25" s="818" t="s">
        <v>2317</v>
      </c>
      <c r="D25" s="519">
        <v>523.6</v>
      </c>
      <c r="E25" s="819">
        <v>347.91379999999998</v>
      </c>
      <c r="F25" s="519">
        <v>21.901130000000002</v>
      </c>
      <c r="G25" s="820">
        <v>198.98041000000001</v>
      </c>
      <c r="H25" s="519">
        <v>115</v>
      </c>
      <c r="I25" s="820">
        <v>3111.3960899999997</v>
      </c>
    </row>
    <row r="26" spans="1:9" ht="16.5" customHeight="1" thickBot="1">
      <c r="A26" s="822">
        <v>343</v>
      </c>
      <c r="B26" s="823" t="s">
        <v>1785</v>
      </c>
      <c r="C26" s="818" t="s">
        <v>2317</v>
      </c>
      <c r="D26" s="519">
        <v>1140.8</v>
      </c>
      <c r="E26" s="819">
        <v>642.11395999999991</v>
      </c>
      <c r="F26" s="519">
        <v>165.07033000000001</v>
      </c>
      <c r="G26" s="820">
        <v>598.97892000000002</v>
      </c>
      <c r="H26" s="519">
        <v>115</v>
      </c>
      <c r="I26" s="820">
        <v>8747.2095200000003</v>
      </c>
    </row>
    <row r="27" spans="1:9" ht="16.5" customHeight="1" thickBot="1">
      <c r="A27" s="822">
        <v>360</v>
      </c>
      <c r="B27" s="823" t="s">
        <v>1786</v>
      </c>
      <c r="C27" s="818" t="s">
        <v>2317</v>
      </c>
      <c r="D27" s="519">
        <v>1120.2</v>
      </c>
      <c r="E27" s="819">
        <v>858.69799999999998</v>
      </c>
      <c r="F27" s="519">
        <v>42.016500000000001</v>
      </c>
      <c r="G27" s="820">
        <v>212.47405000000001</v>
      </c>
      <c r="H27" s="519">
        <v>523.55430000000001</v>
      </c>
      <c r="I27" s="820">
        <v>2330.0470499999997</v>
      </c>
    </row>
    <row r="28" spans="1:9" ht="16.5" customHeight="1" thickBot="1">
      <c r="A28" s="822">
        <v>376</v>
      </c>
      <c r="B28" s="823" t="s">
        <v>1787</v>
      </c>
      <c r="C28" s="818" t="s">
        <v>2317</v>
      </c>
      <c r="D28" s="519">
        <v>840.5</v>
      </c>
      <c r="E28" s="819">
        <v>521.74</v>
      </c>
      <c r="F28" s="519">
        <v>39.819019999999995</v>
      </c>
      <c r="G28" s="820">
        <v>290.59327000000002</v>
      </c>
      <c r="H28" s="519">
        <v>180</v>
      </c>
      <c r="I28" s="820">
        <v>4729.4910600000003</v>
      </c>
    </row>
    <row r="29" spans="1:9" ht="16.5" customHeight="1" thickBot="1">
      <c r="A29" s="822">
        <v>411</v>
      </c>
      <c r="B29" s="823" t="s">
        <v>1788</v>
      </c>
      <c r="C29" s="818" t="s">
        <v>2317</v>
      </c>
      <c r="D29" s="519">
        <v>5104.1000000000004</v>
      </c>
      <c r="E29" s="819">
        <v>3320.0942999999997</v>
      </c>
      <c r="F29" s="519">
        <v>1976.6375799999998</v>
      </c>
      <c r="G29" s="820">
        <v>22.037889999999869</v>
      </c>
      <c r="H29" s="519">
        <v>470</v>
      </c>
      <c r="I29" s="820">
        <v>648.89332999999999</v>
      </c>
    </row>
    <row r="30" spans="1:9" ht="16.5" customHeight="1" thickBot="1">
      <c r="A30" s="822">
        <v>445</v>
      </c>
      <c r="B30" s="823" t="s">
        <v>1789</v>
      </c>
      <c r="C30" s="818" t="s">
        <v>2317</v>
      </c>
      <c r="D30" s="519">
        <v>1695.5</v>
      </c>
      <c r="E30" s="819">
        <v>1120.17</v>
      </c>
      <c r="F30" s="519">
        <v>393.11572999999999</v>
      </c>
      <c r="G30" s="820">
        <v>315.51380999999998</v>
      </c>
      <c r="H30" s="519">
        <v>150</v>
      </c>
      <c r="I30" s="820">
        <v>1479.0590300000001</v>
      </c>
    </row>
    <row r="31" spans="1:9" ht="16.5" customHeight="1" thickBot="1">
      <c r="A31" s="822">
        <v>455</v>
      </c>
      <c r="B31" s="823" t="s">
        <v>1790</v>
      </c>
      <c r="C31" s="818" t="s">
        <v>2317</v>
      </c>
      <c r="D31" s="519">
        <v>2837.8</v>
      </c>
      <c r="E31" s="819">
        <v>1799.3621000000001</v>
      </c>
      <c r="F31" s="519">
        <v>254.21730000000002</v>
      </c>
      <c r="G31" s="820">
        <v>1327.7338999999999</v>
      </c>
      <c r="H31" s="519">
        <v>630.846</v>
      </c>
      <c r="I31" s="820">
        <v>13660.798570000001</v>
      </c>
    </row>
    <row r="32" spans="1:9" ht="16.5" customHeight="1" thickBot="1">
      <c r="A32" s="822">
        <v>484</v>
      </c>
      <c r="B32" s="823" t="s">
        <v>1791</v>
      </c>
      <c r="C32" s="818" t="s">
        <v>2317</v>
      </c>
      <c r="D32" s="519">
        <v>14.5</v>
      </c>
      <c r="E32" s="819">
        <v>7.54</v>
      </c>
      <c r="F32" s="519">
        <v>3.1362700000000006</v>
      </c>
      <c r="G32" s="820">
        <v>32.060580000000002</v>
      </c>
      <c r="H32" s="519">
        <v>10</v>
      </c>
      <c r="I32" s="820">
        <v>337.70314000000002</v>
      </c>
    </row>
    <row r="33" spans="1:9" ht="16.5" customHeight="1" thickBot="1">
      <c r="A33" s="822">
        <v>509</v>
      </c>
      <c r="B33" s="823" t="s">
        <v>760</v>
      </c>
      <c r="C33" s="818" t="s">
        <v>2317</v>
      </c>
      <c r="D33" s="519">
        <v>-3.7</v>
      </c>
      <c r="E33" s="819" t="s">
        <v>2317</v>
      </c>
      <c r="F33" s="519">
        <v>149.74188000000004</v>
      </c>
      <c r="G33" s="820">
        <v>-158.51798000000002</v>
      </c>
      <c r="H33" s="519">
        <v>127.06477000000001</v>
      </c>
      <c r="I33" s="820">
        <v>4413.9897199999996</v>
      </c>
    </row>
    <row r="34" spans="1:9" ht="16.5" customHeight="1" thickBot="1">
      <c r="A34" s="822">
        <v>556</v>
      </c>
      <c r="B34" s="823" t="s">
        <v>1792</v>
      </c>
      <c r="C34" s="818" t="s">
        <v>2317</v>
      </c>
      <c r="D34" s="519">
        <v>383.5</v>
      </c>
      <c r="E34" s="819">
        <v>218.60905000000002</v>
      </c>
      <c r="F34" s="519">
        <v>76.39058</v>
      </c>
      <c r="G34" s="820">
        <v>135.68203</v>
      </c>
      <c r="H34" s="519">
        <v>30</v>
      </c>
      <c r="I34" s="820">
        <v>1391.59312</v>
      </c>
    </row>
    <row r="35" spans="1:9" ht="16.5" customHeight="1" thickBot="1">
      <c r="A35" s="822">
        <v>558</v>
      </c>
      <c r="B35" s="823" t="s">
        <v>699</v>
      </c>
      <c r="C35" s="818" t="s">
        <v>2317</v>
      </c>
      <c r="D35" s="519">
        <v>10.199999999999999</v>
      </c>
      <c r="E35" s="819">
        <v>4.03</v>
      </c>
      <c r="F35" s="519">
        <v>0.73053999999999997</v>
      </c>
      <c r="G35" s="820">
        <v>9.0506999999999991</v>
      </c>
      <c r="H35" s="519">
        <v>24.6</v>
      </c>
      <c r="I35" s="820">
        <v>148.02678</v>
      </c>
    </row>
    <row r="36" spans="1:9" ht="16.5" customHeight="1" thickBot="1">
      <c r="A36" s="822">
        <v>749</v>
      </c>
      <c r="B36" s="823" t="s">
        <v>534</v>
      </c>
      <c r="C36" s="818" t="s">
        <v>2317</v>
      </c>
      <c r="D36" s="519">
        <v>5109.8999999999996</v>
      </c>
      <c r="E36" s="819">
        <v>3159.21819</v>
      </c>
      <c r="F36" s="519">
        <v>961.39334000000008</v>
      </c>
      <c r="G36" s="820">
        <v>1191.6235399999998</v>
      </c>
      <c r="H36" s="519">
        <v>500</v>
      </c>
      <c r="I36" s="820">
        <v>5183.5886900000005</v>
      </c>
    </row>
    <row r="37" spans="1:9" ht="16.5" customHeight="1" thickBot="1">
      <c r="A37" s="822">
        <v>762</v>
      </c>
      <c r="B37" s="823" t="s">
        <v>535</v>
      </c>
      <c r="C37" s="818" t="s">
        <v>2317</v>
      </c>
      <c r="D37" s="519">
        <v>264.3</v>
      </c>
      <c r="E37" s="819">
        <v>107.18725000000001</v>
      </c>
      <c r="F37" s="519">
        <v>85.160629999999983</v>
      </c>
      <c r="G37" s="820">
        <v>84.584410000000005</v>
      </c>
      <c r="H37" s="519">
        <v>200</v>
      </c>
      <c r="I37" s="820">
        <v>1447.7553500000001</v>
      </c>
    </row>
    <row r="38" spans="1:9" ht="16.5" customHeight="1" thickBot="1">
      <c r="A38" s="822">
        <v>774</v>
      </c>
      <c r="B38" s="823" t="s">
        <v>536</v>
      </c>
      <c r="C38" s="818" t="s">
        <v>2317</v>
      </c>
      <c r="D38" s="519">
        <v>677.3</v>
      </c>
      <c r="E38" s="819">
        <v>482.50751000000002</v>
      </c>
      <c r="F38" s="519">
        <v>151.26316</v>
      </c>
      <c r="G38" s="820">
        <v>119.02704000000001</v>
      </c>
      <c r="H38" s="519">
        <v>85</v>
      </c>
      <c r="I38" s="820">
        <v>881.15574000000004</v>
      </c>
    </row>
    <row r="39" spans="1:9" ht="16.5" customHeight="1" thickBot="1">
      <c r="A39" s="822">
        <v>780</v>
      </c>
      <c r="B39" s="823" t="s">
        <v>537</v>
      </c>
      <c r="C39" s="818" t="s">
        <v>2317</v>
      </c>
      <c r="D39" s="519">
        <v>146</v>
      </c>
      <c r="E39" s="819">
        <v>118.48044999999999</v>
      </c>
      <c r="F39" s="519">
        <v>36.94314</v>
      </c>
      <c r="G39" s="820">
        <v>-10.936689999999997</v>
      </c>
      <c r="H39" s="519">
        <v>18</v>
      </c>
      <c r="I39" s="820">
        <v>144.00244000000001</v>
      </c>
    </row>
    <row r="40" spans="1:9" ht="16.5" customHeight="1" thickBot="1">
      <c r="A40" s="822">
        <v>790</v>
      </c>
      <c r="B40" s="823" t="s">
        <v>538</v>
      </c>
      <c r="C40" s="818" t="s">
        <v>2317</v>
      </c>
      <c r="D40" s="519">
        <v>39.9</v>
      </c>
      <c r="E40" s="819">
        <v>21.837600000000002</v>
      </c>
      <c r="F40" s="519">
        <v>4.7839799999999997</v>
      </c>
      <c r="G40" s="820">
        <v>-1.17818</v>
      </c>
      <c r="H40" s="519">
        <v>2</v>
      </c>
      <c r="I40" s="820">
        <v>24.07338</v>
      </c>
    </row>
    <row r="41" spans="1:9" ht="16.5" customHeight="1" thickBot="1">
      <c r="A41" s="822">
        <v>820</v>
      </c>
      <c r="B41" s="823" t="s">
        <v>539</v>
      </c>
      <c r="C41" s="818" t="s">
        <v>2317</v>
      </c>
      <c r="D41" s="519">
        <v>357.2</v>
      </c>
      <c r="E41" s="819">
        <v>270.19150000000002</v>
      </c>
      <c r="F41" s="519">
        <v>20</v>
      </c>
      <c r="G41" s="820">
        <v>60.566050000000004</v>
      </c>
      <c r="H41" s="519">
        <v>240</v>
      </c>
      <c r="I41" s="820">
        <v>186.61635000000001</v>
      </c>
    </row>
    <row r="42" spans="1:9" ht="16.5" customHeight="1" thickBot="1">
      <c r="A42" s="822">
        <v>829</v>
      </c>
      <c r="B42" s="823" t="s">
        <v>540</v>
      </c>
      <c r="C42" s="818" t="s">
        <v>2317</v>
      </c>
      <c r="D42" s="519">
        <v>671.5</v>
      </c>
      <c r="E42" s="819">
        <v>278.03179999999998</v>
      </c>
      <c r="F42" s="519">
        <v>275.72606999999999</v>
      </c>
      <c r="G42" s="820">
        <v>125.51992</v>
      </c>
      <c r="H42" s="519">
        <v>390</v>
      </c>
      <c r="I42" s="820">
        <v>2171.5418999999997</v>
      </c>
    </row>
    <row r="43" spans="1:9" ht="16.5" customHeight="1" thickBot="1">
      <c r="A43" s="822">
        <v>881</v>
      </c>
      <c r="B43" s="823" t="s">
        <v>541</v>
      </c>
      <c r="C43" s="818" t="s">
        <v>2317</v>
      </c>
      <c r="D43" s="519">
        <v>395.2</v>
      </c>
      <c r="E43" s="819">
        <v>276.14640000000003</v>
      </c>
      <c r="F43" s="519">
        <v>318.19873999999999</v>
      </c>
      <c r="G43" s="820">
        <v>-82.058840000000004</v>
      </c>
      <c r="H43" s="519">
        <v>77.064759999999993</v>
      </c>
      <c r="I43" s="820">
        <v>5098.4994299999998</v>
      </c>
    </row>
    <row r="44" spans="1:9" ht="16.5" customHeight="1" thickBot="1">
      <c r="A44" s="822">
        <v>901</v>
      </c>
      <c r="B44" s="823" t="s">
        <v>542</v>
      </c>
      <c r="C44" s="818" t="s">
        <v>2317</v>
      </c>
      <c r="D44" s="519">
        <v>266.10000000000002</v>
      </c>
      <c r="E44" s="819">
        <v>118.11160000000001</v>
      </c>
      <c r="F44" s="519">
        <v>22.621849999999998</v>
      </c>
      <c r="G44" s="820">
        <v>125.4058</v>
      </c>
      <c r="H44" s="519">
        <v>50</v>
      </c>
      <c r="I44" s="820">
        <v>730.0467000000001</v>
      </c>
    </row>
    <row r="45" spans="1:9" ht="16.5" customHeight="1" thickBot="1">
      <c r="A45" s="822">
        <v>923</v>
      </c>
      <c r="B45" s="823" t="s">
        <v>543</v>
      </c>
      <c r="C45" s="818" t="s">
        <v>2317</v>
      </c>
      <c r="D45" s="519">
        <v>131.30000000000001</v>
      </c>
      <c r="E45" s="819">
        <v>21.093</v>
      </c>
      <c r="F45" s="519">
        <v>1.0065200000000001</v>
      </c>
      <c r="G45" s="820">
        <v>107.80002999999999</v>
      </c>
      <c r="H45" s="519">
        <v>10</v>
      </c>
      <c r="I45" s="820">
        <v>4063.5211899999999</v>
      </c>
    </row>
    <row r="46" spans="1:9" ht="16.5" customHeight="1" thickBot="1">
      <c r="A46" s="822">
        <v>941</v>
      </c>
      <c r="B46" s="823" t="s">
        <v>701</v>
      </c>
      <c r="C46" s="818" t="s">
        <v>2317</v>
      </c>
      <c r="D46" s="519">
        <v>3686.3</v>
      </c>
      <c r="E46" s="819">
        <v>2667.08295</v>
      </c>
      <c r="F46" s="519">
        <v>629.67999999999995</v>
      </c>
      <c r="G46" s="820">
        <v>390</v>
      </c>
      <c r="H46" s="519">
        <v>4611.2484800000002</v>
      </c>
      <c r="I46" s="820">
        <v>3970.6680700000002</v>
      </c>
    </row>
    <row r="47" spans="1:9" ht="16.5" customHeight="1" thickBot="1">
      <c r="A47" s="822">
        <v>966</v>
      </c>
      <c r="B47" s="823" t="s">
        <v>544</v>
      </c>
      <c r="C47" s="818" t="s">
        <v>2317</v>
      </c>
      <c r="D47" s="519">
        <v>1000.7</v>
      </c>
      <c r="E47" s="819">
        <v>651.54770000000008</v>
      </c>
      <c r="F47" s="519">
        <v>427.96744999999999</v>
      </c>
      <c r="G47" s="820">
        <v>139.10114999999999</v>
      </c>
      <c r="H47" s="519">
        <v>160</v>
      </c>
      <c r="I47" s="820">
        <v>889.85481000000004</v>
      </c>
    </row>
    <row r="48" spans="1:9" ht="16.5" customHeight="1" thickBot="1">
      <c r="A48" s="822">
        <v>994</v>
      </c>
      <c r="B48" s="823" t="s">
        <v>545</v>
      </c>
      <c r="C48" s="818" t="s">
        <v>2317</v>
      </c>
      <c r="D48" s="519">
        <v>643.20000000000005</v>
      </c>
      <c r="E48" s="819">
        <v>304.17690000000005</v>
      </c>
      <c r="F48" s="519">
        <v>94.239820000000009</v>
      </c>
      <c r="G48" s="820">
        <v>318.67611999999997</v>
      </c>
      <c r="H48" s="519">
        <v>393.5</v>
      </c>
      <c r="I48" s="820">
        <v>1869.4801600000001</v>
      </c>
    </row>
    <row r="49" spans="1:9" ht="16.5" customHeight="1" thickBot="1">
      <c r="A49" s="822">
        <v>1040</v>
      </c>
      <c r="B49" s="823" t="s">
        <v>547</v>
      </c>
      <c r="C49" s="818" t="s">
        <v>2317</v>
      </c>
      <c r="D49" s="519">
        <v>145.5</v>
      </c>
      <c r="E49" s="819">
        <v>98.47775</v>
      </c>
      <c r="F49" s="519">
        <v>7.3980000000000006</v>
      </c>
      <c r="G49" s="820">
        <v>34.826250000000002</v>
      </c>
      <c r="H49" s="519">
        <v>0</v>
      </c>
      <c r="I49" s="820">
        <v>626.98302999999999</v>
      </c>
    </row>
    <row r="50" spans="1:9" ht="16.5" customHeight="1" thickBot="1">
      <c r="A50" s="822">
        <v>1060</v>
      </c>
      <c r="B50" s="823" t="s">
        <v>549</v>
      </c>
      <c r="C50" s="818" t="s">
        <v>2317</v>
      </c>
      <c r="D50" s="519">
        <v>5182.5</v>
      </c>
      <c r="E50" s="819">
        <v>2740.2525499999997</v>
      </c>
      <c r="F50" s="519">
        <v>316.16542000000004</v>
      </c>
      <c r="G50" s="820">
        <v>1428.15543</v>
      </c>
      <c r="H50" s="519">
        <v>1358.8920000000001</v>
      </c>
      <c r="I50" s="820">
        <v>12182.970529999999</v>
      </c>
    </row>
    <row r="51" spans="1:9" ht="16.5" customHeight="1" thickBot="1">
      <c r="A51" s="822">
        <v>1097</v>
      </c>
      <c r="B51" s="823" t="s">
        <v>550</v>
      </c>
      <c r="C51" s="818" t="s">
        <v>2317</v>
      </c>
      <c r="D51" s="519">
        <v>70.2</v>
      </c>
      <c r="E51" s="819">
        <v>19.72</v>
      </c>
      <c r="F51" s="519">
        <v>11.44284</v>
      </c>
      <c r="G51" s="820">
        <v>51.755309999999994</v>
      </c>
      <c r="H51" s="519">
        <v>10</v>
      </c>
      <c r="I51" s="820">
        <v>416.255</v>
      </c>
    </row>
    <row r="52" spans="1:9" ht="16.5" customHeight="1" thickBot="1">
      <c r="A52" s="822">
        <v>1147</v>
      </c>
      <c r="B52" s="823" t="s">
        <v>553</v>
      </c>
      <c r="C52" s="818" t="s">
        <v>2317</v>
      </c>
      <c r="D52" s="519">
        <v>11.6</v>
      </c>
      <c r="E52" s="819" t="s">
        <v>2317</v>
      </c>
      <c r="F52" s="519">
        <v>1</v>
      </c>
      <c r="G52" s="820">
        <v>16.614699999999999</v>
      </c>
      <c r="H52" s="519">
        <v>31</v>
      </c>
      <c r="I52" s="820">
        <v>162.61195000000001</v>
      </c>
    </row>
    <row r="53" spans="1:9" ht="16.5" customHeight="1" thickBot="1">
      <c r="A53" s="822">
        <v>1179</v>
      </c>
      <c r="B53" s="823" t="s">
        <v>1911</v>
      </c>
      <c r="C53" s="818" t="s">
        <v>1929</v>
      </c>
      <c r="D53" s="519">
        <v>939.4</v>
      </c>
      <c r="E53" s="819">
        <v>1029.99514</v>
      </c>
      <c r="F53" s="519">
        <v>93.005900000000011</v>
      </c>
      <c r="G53" s="820">
        <v>-32.857779999999998</v>
      </c>
      <c r="H53" s="519">
        <v>60</v>
      </c>
      <c r="I53" s="820">
        <v>1572.1558200000002</v>
      </c>
    </row>
    <row r="54" spans="1:9" ht="16.5" customHeight="1" thickBot="1">
      <c r="A54" s="822">
        <v>1215</v>
      </c>
      <c r="B54" s="823" t="s">
        <v>555</v>
      </c>
      <c r="C54" s="818" t="s">
        <v>2317</v>
      </c>
      <c r="D54" s="519">
        <v>81.5</v>
      </c>
      <c r="E54" s="819">
        <v>65.45196</v>
      </c>
      <c r="F54" s="519">
        <v>13.335869999999998</v>
      </c>
      <c r="G54" s="820">
        <v>23.970080000000003</v>
      </c>
      <c r="H54" s="519">
        <v>10</v>
      </c>
      <c r="I54" s="820">
        <v>293.33153999999996</v>
      </c>
    </row>
    <row r="55" spans="1:9" ht="16.5" customHeight="1" thickBot="1">
      <c r="A55" s="822">
        <v>1318</v>
      </c>
      <c r="B55" s="823" t="s">
        <v>556</v>
      </c>
      <c r="C55" s="818" t="s">
        <v>2317</v>
      </c>
      <c r="D55" s="519">
        <v>36.799999999999997</v>
      </c>
      <c r="E55" s="819">
        <v>0</v>
      </c>
      <c r="F55" s="519">
        <v>3.48041</v>
      </c>
      <c r="G55" s="820">
        <v>35.689670000000007</v>
      </c>
      <c r="H55" s="519">
        <v>20</v>
      </c>
      <c r="I55" s="820">
        <v>268.40815000000003</v>
      </c>
    </row>
    <row r="56" spans="1:9" ht="16.5" customHeight="1" thickBot="1">
      <c r="A56" s="822">
        <v>1322</v>
      </c>
      <c r="B56" s="823" t="s">
        <v>557</v>
      </c>
      <c r="C56" s="818" t="s">
        <v>2317</v>
      </c>
      <c r="D56" s="519">
        <v>87.5</v>
      </c>
      <c r="E56" s="819">
        <v>39.902500000000003</v>
      </c>
      <c r="F56" s="519">
        <v>13.092250000000002</v>
      </c>
      <c r="G56" s="820">
        <v>34.148499999999999</v>
      </c>
      <c r="H56" s="519">
        <v>34.549999999999997</v>
      </c>
      <c r="I56" s="820">
        <v>307.41358000000002</v>
      </c>
    </row>
    <row r="57" spans="1:9" ht="16.5" customHeight="1" thickBot="1">
      <c r="A57" s="822">
        <v>1328</v>
      </c>
      <c r="B57" s="823" t="s">
        <v>558</v>
      </c>
      <c r="C57" s="818" t="s">
        <v>2317</v>
      </c>
      <c r="D57" s="519">
        <v>67.599999999999994</v>
      </c>
      <c r="E57" s="819">
        <v>22.706499999999998</v>
      </c>
      <c r="F57" s="519">
        <v>3.6700699999999999</v>
      </c>
      <c r="G57" s="820">
        <v>45.332070000000002</v>
      </c>
      <c r="H57" s="519">
        <v>255.46148000000002</v>
      </c>
      <c r="I57" s="820">
        <v>373.27838000000003</v>
      </c>
    </row>
    <row r="58" spans="1:9" ht="16.5" customHeight="1" thickBot="1">
      <c r="A58" s="822">
        <v>1331</v>
      </c>
      <c r="B58" s="823" t="s">
        <v>559</v>
      </c>
      <c r="C58" s="818" t="s">
        <v>2317</v>
      </c>
      <c r="D58" s="519">
        <v>1.5</v>
      </c>
      <c r="E58" s="819">
        <v>0</v>
      </c>
      <c r="F58" s="519">
        <v>5.9062300000000008</v>
      </c>
      <c r="G58" s="820">
        <v>11.763290000000001</v>
      </c>
      <c r="H58" s="519">
        <v>4</v>
      </c>
      <c r="I58" s="820">
        <v>676.22812999999996</v>
      </c>
    </row>
    <row r="59" spans="1:9" ht="16.5" customHeight="1" thickBot="1">
      <c r="A59" s="822">
        <v>1362</v>
      </c>
      <c r="B59" s="823" t="s">
        <v>560</v>
      </c>
      <c r="C59" s="818" t="s">
        <v>2317</v>
      </c>
      <c r="D59" s="519">
        <v>15.8</v>
      </c>
      <c r="E59" s="819">
        <v>10.17</v>
      </c>
      <c r="F59" s="519">
        <v>4.0585000000000004</v>
      </c>
      <c r="G59" s="820">
        <v>-3.4964</v>
      </c>
      <c r="H59" s="519">
        <v>1.5</v>
      </c>
      <c r="I59" s="820">
        <v>12.554500000000001</v>
      </c>
    </row>
    <row r="60" spans="1:9" ht="16.5" customHeight="1" thickBot="1">
      <c r="A60" s="822">
        <v>1384</v>
      </c>
      <c r="B60" s="823" t="s">
        <v>561</v>
      </c>
      <c r="C60" s="818" t="s">
        <v>2317</v>
      </c>
      <c r="D60" s="519">
        <v>5038.6000000000004</v>
      </c>
      <c r="E60" s="819">
        <v>3616.9131600000001</v>
      </c>
      <c r="F60" s="519">
        <v>1602.5126300000004</v>
      </c>
      <c r="G60" s="820">
        <v>-23.930639999999975</v>
      </c>
      <c r="H60" s="519">
        <v>1093.5889999999999</v>
      </c>
      <c r="I60" s="820">
        <v>5742.3940499999999</v>
      </c>
    </row>
    <row r="61" spans="1:9" ht="16.5" customHeight="1" thickBot="1">
      <c r="A61" s="822">
        <v>1386</v>
      </c>
      <c r="B61" s="823" t="s">
        <v>562</v>
      </c>
      <c r="C61" s="818" t="s">
        <v>2317</v>
      </c>
      <c r="D61" s="519">
        <v>999.2</v>
      </c>
      <c r="E61" s="819">
        <v>505.572</v>
      </c>
      <c r="F61" s="519">
        <v>150.59299999999999</v>
      </c>
      <c r="G61" s="820">
        <v>371.48518999999999</v>
      </c>
      <c r="H61" s="519">
        <v>100</v>
      </c>
      <c r="I61" s="820">
        <v>655.69772999999998</v>
      </c>
    </row>
    <row r="62" spans="1:9" ht="16.5" customHeight="1" thickBot="1">
      <c r="A62" s="822">
        <v>1395</v>
      </c>
      <c r="B62" s="823" t="s">
        <v>563</v>
      </c>
      <c r="C62" s="818" t="s">
        <v>2317</v>
      </c>
      <c r="D62" s="519">
        <v>2.1</v>
      </c>
      <c r="E62" s="819">
        <v>-23.24005</v>
      </c>
      <c r="F62" s="519">
        <v>0.14661000000000002</v>
      </c>
      <c r="G62" s="820">
        <v>25.187840000000001</v>
      </c>
      <c r="H62" s="519">
        <v>16.870999999999999</v>
      </c>
      <c r="I62" s="820">
        <v>106.45795</v>
      </c>
    </row>
    <row r="63" spans="1:9" ht="16.5" customHeight="1" thickBot="1">
      <c r="A63" s="822">
        <v>1401</v>
      </c>
      <c r="B63" s="823" t="s">
        <v>564</v>
      </c>
      <c r="C63" s="818" t="s">
        <v>2317</v>
      </c>
      <c r="D63" s="519">
        <v>34.5</v>
      </c>
      <c r="E63" s="819">
        <v>39.367450000000005</v>
      </c>
      <c r="F63" s="519">
        <v>25.293309999999998</v>
      </c>
      <c r="G63" s="820">
        <v>-30.161100000000001</v>
      </c>
      <c r="H63" s="519">
        <v>110</v>
      </c>
      <c r="I63" s="820">
        <v>170.32892999999999</v>
      </c>
    </row>
    <row r="64" spans="1:9" ht="16.5" customHeight="1" thickBot="1">
      <c r="A64" s="822">
        <v>1402</v>
      </c>
      <c r="B64" s="823" t="s">
        <v>1912</v>
      </c>
      <c r="C64" s="818" t="s">
        <v>1929</v>
      </c>
      <c r="D64" s="519" t="s">
        <v>2317</v>
      </c>
      <c r="E64" s="819">
        <v>115.87285</v>
      </c>
      <c r="F64" s="519">
        <v>1.6039700000000001</v>
      </c>
      <c r="G64" s="820">
        <v>69.831720000000004</v>
      </c>
      <c r="H64" s="519">
        <v>20</v>
      </c>
      <c r="I64" s="820">
        <v>1478.8834199999999</v>
      </c>
    </row>
    <row r="65" spans="1:9" ht="16.5" customHeight="1" thickBot="1">
      <c r="A65" s="822">
        <v>1423</v>
      </c>
      <c r="B65" s="823" t="s">
        <v>565</v>
      </c>
      <c r="C65" s="818" t="s">
        <v>2317</v>
      </c>
      <c r="D65" s="519">
        <v>59.2</v>
      </c>
      <c r="E65" s="819">
        <v>1E-3</v>
      </c>
      <c r="F65" s="519">
        <v>1.2344000000000002</v>
      </c>
      <c r="G65" s="820">
        <v>40.248350000000009</v>
      </c>
      <c r="H65" s="519">
        <v>120</v>
      </c>
      <c r="I65" s="820">
        <v>387.14413000000002</v>
      </c>
    </row>
    <row r="66" spans="1:9" ht="16.5" customHeight="1" thickBot="1">
      <c r="A66" s="822">
        <v>1442</v>
      </c>
      <c r="B66" s="823" t="s">
        <v>566</v>
      </c>
      <c r="C66" s="818" t="s">
        <v>2317</v>
      </c>
      <c r="D66" s="519">
        <v>47.5</v>
      </c>
      <c r="E66" s="819">
        <v>11.643079999999999</v>
      </c>
      <c r="F66" s="519">
        <v>9.3579499999999989</v>
      </c>
      <c r="G66" s="820">
        <v>25.57105</v>
      </c>
      <c r="H66" s="519">
        <v>10</v>
      </c>
      <c r="I66" s="820">
        <v>329.83465000000001</v>
      </c>
    </row>
    <row r="67" spans="1:9" ht="16.5" customHeight="1" thickBot="1">
      <c r="A67" s="822">
        <v>1479</v>
      </c>
      <c r="B67" s="823" t="s">
        <v>567</v>
      </c>
      <c r="C67" s="818" t="s">
        <v>2317</v>
      </c>
      <c r="D67" s="519">
        <v>12863.9</v>
      </c>
      <c r="E67" s="819">
        <v>8916.4010600000001</v>
      </c>
      <c r="F67" s="519">
        <v>3017.5711200000001</v>
      </c>
      <c r="G67" s="820">
        <v>3085.1811300000004</v>
      </c>
      <c r="H67" s="519">
        <v>1300</v>
      </c>
      <c r="I67" s="820">
        <v>32974.134640000004</v>
      </c>
    </row>
    <row r="68" spans="1:9" ht="16.5" customHeight="1" thickBot="1">
      <c r="A68" s="822">
        <v>1491</v>
      </c>
      <c r="B68" s="823" t="s">
        <v>1913</v>
      </c>
      <c r="C68" s="818" t="s">
        <v>1929</v>
      </c>
      <c r="D68" s="519">
        <v>1556.4</v>
      </c>
      <c r="E68" s="819">
        <v>1595.6136000000001</v>
      </c>
      <c r="F68" s="519">
        <v>149.72353000000001</v>
      </c>
      <c r="G68" s="820">
        <v>21.207639999999998</v>
      </c>
      <c r="H68" s="519">
        <v>0</v>
      </c>
      <c r="I68" s="820">
        <v>2405.9216699999997</v>
      </c>
    </row>
    <row r="69" spans="1:9" ht="16.5" customHeight="1" thickBot="1">
      <c r="A69" s="822">
        <v>1507</v>
      </c>
      <c r="B69" s="823" t="s">
        <v>568</v>
      </c>
      <c r="C69" s="818" t="s">
        <v>2317</v>
      </c>
      <c r="D69" s="519">
        <v>301.3</v>
      </c>
      <c r="E69" s="819">
        <v>149.78458000000001</v>
      </c>
      <c r="F69" s="519">
        <v>80.7607</v>
      </c>
      <c r="G69" s="820">
        <v>243.41782000000001</v>
      </c>
      <c r="H69" s="519">
        <v>60</v>
      </c>
      <c r="I69" s="820">
        <v>2076.5849600000001</v>
      </c>
    </row>
    <row r="70" spans="1:9" ht="16.5" customHeight="1" thickBot="1">
      <c r="A70" s="822">
        <v>1509</v>
      </c>
      <c r="B70" s="823" t="s">
        <v>569</v>
      </c>
      <c r="C70" s="818" t="s">
        <v>2317</v>
      </c>
      <c r="D70" s="519">
        <v>4850.1000000000004</v>
      </c>
      <c r="E70" s="819">
        <v>2660.6211499999999</v>
      </c>
      <c r="F70" s="519">
        <v>312.47907999999995</v>
      </c>
      <c r="G70" s="820">
        <v>1942.80449</v>
      </c>
      <c r="H70" s="519">
        <v>855.80100000000004</v>
      </c>
      <c r="I70" s="820">
        <v>21893.231059999998</v>
      </c>
    </row>
    <row r="71" spans="1:9" ht="16.5" customHeight="1" thickBot="1">
      <c r="A71" s="822">
        <v>1520</v>
      </c>
      <c r="B71" s="823" t="s">
        <v>570</v>
      </c>
      <c r="C71" s="818" t="s">
        <v>2317</v>
      </c>
      <c r="D71" s="519">
        <v>20096.400000000001</v>
      </c>
      <c r="E71" s="819">
        <v>16632.054250000001</v>
      </c>
      <c r="F71" s="519">
        <v>2312.6067499999999</v>
      </c>
      <c r="G71" s="820">
        <v>924.83033000000012</v>
      </c>
      <c r="H71" s="519">
        <v>3500</v>
      </c>
      <c r="I71" s="820">
        <v>20492.834320000002</v>
      </c>
    </row>
    <row r="72" spans="1:9" ht="16.5" customHeight="1" thickBot="1">
      <c r="A72" s="822">
        <v>1522</v>
      </c>
      <c r="B72" s="823" t="s">
        <v>1914</v>
      </c>
      <c r="C72" s="818" t="s">
        <v>1929</v>
      </c>
      <c r="D72" s="519">
        <v>2821.1</v>
      </c>
      <c r="E72" s="819">
        <v>2622.4459999999999</v>
      </c>
      <c r="F72" s="519">
        <v>341.81150000000008</v>
      </c>
      <c r="G72" s="820">
        <v>-14.840190000000002</v>
      </c>
      <c r="H72" s="519">
        <v>350</v>
      </c>
      <c r="I72" s="820">
        <v>5372.5537999999997</v>
      </c>
    </row>
    <row r="73" spans="1:9" ht="16.5" customHeight="1" thickBot="1">
      <c r="A73" s="822">
        <v>1529</v>
      </c>
      <c r="B73" s="823" t="s">
        <v>571</v>
      </c>
      <c r="C73" s="818" t="s">
        <v>2317</v>
      </c>
      <c r="D73" s="519">
        <v>676.4</v>
      </c>
      <c r="E73" s="819">
        <v>467.02385000000004</v>
      </c>
      <c r="F73" s="519">
        <v>30.176820000000006</v>
      </c>
      <c r="G73" s="820">
        <v>243.83952000000002</v>
      </c>
      <c r="H73" s="519">
        <v>148.45400000000001</v>
      </c>
      <c r="I73" s="820">
        <v>7445.3076300000002</v>
      </c>
    </row>
    <row r="74" spans="1:9" ht="16.5" customHeight="1" thickBot="1">
      <c r="A74" s="822">
        <v>1535</v>
      </c>
      <c r="B74" s="823" t="s">
        <v>572</v>
      </c>
      <c r="C74" s="818" t="s">
        <v>2317</v>
      </c>
      <c r="D74" s="519">
        <v>21779.8</v>
      </c>
      <c r="E74" s="819">
        <v>15440.62701</v>
      </c>
      <c r="F74" s="519">
        <v>4469.8671799999993</v>
      </c>
      <c r="G74" s="820">
        <v>2991.92065</v>
      </c>
      <c r="H74" s="519">
        <v>1950</v>
      </c>
      <c r="I74" s="820">
        <v>37123.30313</v>
      </c>
    </row>
    <row r="75" spans="1:9" ht="16.5" customHeight="1" thickBot="1">
      <c r="A75" s="822">
        <v>1540</v>
      </c>
      <c r="B75" s="823" t="s">
        <v>1915</v>
      </c>
      <c r="C75" s="818" t="s">
        <v>1929</v>
      </c>
      <c r="D75" s="519">
        <v>1845.9</v>
      </c>
      <c r="E75" s="819">
        <v>1989.0869</v>
      </c>
      <c r="F75" s="519">
        <v>130.49701000000002</v>
      </c>
      <c r="G75" s="820">
        <v>-165.82307</v>
      </c>
      <c r="H75" s="519">
        <v>18.46</v>
      </c>
      <c r="I75" s="820">
        <v>2386.83995</v>
      </c>
    </row>
    <row r="76" spans="1:9" ht="16.5" customHeight="1" thickBot="1">
      <c r="A76" s="822">
        <v>1551</v>
      </c>
      <c r="B76" s="823" t="s">
        <v>619</v>
      </c>
      <c r="C76" s="818" t="s">
        <v>2317</v>
      </c>
      <c r="D76" s="519">
        <v>647.20000000000005</v>
      </c>
      <c r="E76" s="819">
        <v>353.80633</v>
      </c>
      <c r="F76" s="519">
        <v>109.83883</v>
      </c>
      <c r="G76" s="820">
        <v>209.51795999999996</v>
      </c>
      <c r="H76" s="519">
        <v>120</v>
      </c>
      <c r="I76" s="820">
        <v>1908.21353</v>
      </c>
    </row>
    <row r="77" spans="1:9" ht="16.5" customHeight="1" thickBot="1">
      <c r="A77" s="822">
        <v>1552</v>
      </c>
      <c r="B77" s="823" t="s">
        <v>620</v>
      </c>
      <c r="C77" s="818" t="s">
        <v>2317</v>
      </c>
      <c r="D77" s="519">
        <v>94.1</v>
      </c>
      <c r="E77" s="819">
        <v>69.884</v>
      </c>
      <c r="F77" s="519">
        <v>7.6495999999999995</v>
      </c>
      <c r="G77" s="820">
        <v>-15.100620000000001</v>
      </c>
      <c r="H77" s="519">
        <v>64</v>
      </c>
      <c r="I77" s="820">
        <v>-60.943280000000001</v>
      </c>
    </row>
    <row r="78" spans="1:9" ht="16.5" customHeight="1" thickBot="1">
      <c r="A78" s="822">
        <v>1555</v>
      </c>
      <c r="B78" s="823" t="s">
        <v>1580</v>
      </c>
      <c r="C78" s="818" t="s">
        <v>2317</v>
      </c>
      <c r="D78" s="519">
        <v>2604.5</v>
      </c>
      <c r="E78" s="819">
        <v>1473.6611</v>
      </c>
      <c r="F78" s="519">
        <v>91.331530000000015</v>
      </c>
      <c r="G78" s="820">
        <v>1129.9081000000001</v>
      </c>
      <c r="H78" s="519">
        <v>420</v>
      </c>
      <c r="I78" s="820">
        <v>49494.090600000003</v>
      </c>
    </row>
    <row r="79" spans="1:9" ht="16.5" customHeight="1" thickBot="1">
      <c r="A79" s="822">
        <v>1560</v>
      </c>
      <c r="B79" s="823" t="s">
        <v>621</v>
      </c>
      <c r="C79" s="818" t="s">
        <v>2317</v>
      </c>
      <c r="D79" s="519">
        <v>17265.900000000001</v>
      </c>
      <c r="E79" s="819">
        <v>13440.648999999999</v>
      </c>
      <c r="F79" s="519">
        <v>2089.7651500000002</v>
      </c>
      <c r="G79" s="820">
        <v>2218.1446999999998</v>
      </c>
      <c r="H79" s="519">
        <v>3051.3</v>
      </c>
      <c r="I79" s="820">
        <v>31904.04506</v>
      </c>
    </row>
    <row r="80" spans="1:9" ht="16.5" customHeight="1" thickBot="1">
      <c r="A80" s="822">
        <v>1562</v>
      </c>
      <c r="B80" s="823" t="s">
        <v>622</v>
      </c>
      <c r="C80" s="818" t="s">
        <v>2317</v>
      </c>
      <c r="D80" s="519">
        <v>91275.6</v>
      </c>
      <c r="E80" s="819">
        <v>71713.767900000006</v>
      </c>
      <c r="F80" s="519">
        <v>15185.918019999999</v>
      </c>
      <c r="G80" s="820">
        <v>1312.0100900000002</v>
      </c>
      <c r="H80" s="519">
        <v>69519</v>
      </c>
      <c r="I80" s="820">
        <v>100797.0788</v>
      </c>
    </row>
    <row r="81" spans="1:9" ht="16.5" customHeight="1" thickBot="1">
      <c r="A81" s="822">
        <v>1563</v>
      </c>
      <c r="B81" s="823" t="s">
        <v>623</v>
      </c>
      <c r="C81" s="818" t="s">
        <v>2317</v>
      </c>
      <c r="D81" s="519">
        <v>1056.2</v>
      </c>
      <c r="E81" s="819">
        <v>790.86155000000008</v>
      </c>
      <c r="F81" s="519">
        <v>666.596</v>
      </c>
      <c r="G81" s="820">
        <v>-382.63802000000004</v>
      </c>
      <c r="H81" s="519">
        <v>130.70495</v>
      </c>
      <c r="I81" s="820">
        <v>1862.8323799999998</v>
      </c>
    </row>
    <row r="82" spans="1:9" ht="16.5" customHeight="1" thickBot="1">
      <c r="A82" s="822">
        <v>1565</v>
      </c>
      <c r="B82" s="823" t="s">
        <v>624</v>
      </c>
      <c r="C82" s="818" t="s">
        <v>2317</v>
      </c>
      <c r="D82" s="519">
        <v>192.7</v>
      </c>
      <c r="E82" s="819">
        <v>75.378900000000016</v>
      </c>
      <c r="F82" s="519">
        <v>31.350680000000001</v>
      </c>
      <c r="G82" s="820">
        <v>67.474299999999999</v>
      </c>
      <c r="H82" s="519">
        <v>69</v>
      </c>
      <c r="I82" s="820">
        <v>102.03757</v>
      </c>
    </row>
    <row r="83" spans="1:9" ht="16.5" customHeight="1" thickBot="1">
      <c r="A83" s="822">
        <v>1566</v>
      </c>
      <c r="B83" s="823" t="s">
        <v>625</v>
      </c>
      <c r="C83" s="818" t="s">
        <v>2317</v>
      </c>
      <c r="D83" s="519">
        <v>211.9</v>
      </c>
      <c r="E83" s="819">
        <v>90.190699999999993</v>
      </c>
      <c r="F83" s="519">
        <v>34.471609999999998</v>
      </c>
      <c r="G83" s="820">
        <v>80.655600000000007</v>
      </c>
      <c r="H83" s="519">
        <v>83.4</v>
      </c>
      <c r="I83" s="820">
        <v>370.09803999999997</v>
      </c>
    </row>
    <row r="84" spans="1:9" ht="16.5" customHeight="1" thickBot="1">
      <c r="A84" s="822">
        <v>1575</v>
      </c>
      <c r="B84" s="823" t="s">
        <v>708</v>
      </c>
      <c r="C84" s="818" t="s">
        <v>2317</v>
      </c>
      <c r="D84" s="519">
        <v>3.9</v>
      </c>
      <c r="E84" s="819">
        <v>1.0000000000000001E-5</v>
      </c>
      <c r="F84" s="519">
        <v>1.3954600000000001</v>
      </c>
      <c r="G84" s="820">
        <v>0.68976000000000004</v>
      </c>
      <c r="H84" s="519">
        <v>1.792</v>
      </c>
      <c r="I84" s="820">
        <v>134.93960000000001</v>
      </c>
    </row>
    <row r="85" spans="1:9" ht="14" thickBot="1">
      <c r="A85" s="822"/>
      <c r="B85" s="823"/>
      <c r="C85" s="818" t="s">
        <v>2317</v>
      </c>
      <c r="D85" s="519" t="s">
        <v>2317</v>
      </c>
      <c r="E85" s="819" t="s">
        <v>2317</v>
      </c>
      <c r="F85" s="519" t="s">
        <v>2317</v>
      </c>
      <c r="G85" s="820" t="s">
        <v>2317</v>
      </c>
      <c r="H85" s="519" t="s">
        <v>2317</v>
      </c>
      <c r="I85" s="820" t="s">
        <v>2317</v>
      </c>
    </row>
    <row r="86" spans="1:9" ht="14" thickBot="1">
      <c r="A86" s="822"/>
      <c r="B86" s="823"/>
      <c r="C86" s="818" t="s">
        <v>2317</v>
      </c>
      <c r="D86" s="519" t="s">
        <v>2317</v>
      </c>
      <c r="E86" s="819" t="s">
        <v>2317</v>
      </c>
      <c r="F86" s="519" t="s">
        <v>2317</v>
      </c>
      <c r="G86" s="820" t="s">
        <v>2317</v>
      </c>
      <c r="H86" s="519" t="s">
        <v>2317</v>
      </c>
      <c r="I86" s="820" t="s">
        <v>2317</v>
      </c>
    </row>
    <row r="87" spans="1:9" ht="14" thickBot="1">
      <c r="A87" s="822"/>
      <c r="B87" s="823"/>
      <c r="C87" s="818" t="s">
        <v>2317</v>
      </c>
      <c r="D87" s="519" t="s">
        <v>2317</v>
      </c>
      <c r="E87" s="819" t="s">
        <v>2317</v>
      </c>
      <c r="F87" s="519" t="s">
        <v>2317</v>
      </c>
      <c r="G87" s="820" t="s">
        <v>2317</v>
      </c>
      <c r="H87" s="519" t="s">
        <v>2317</v>
      </c>
      <c r="I87" s="820" t="s">
        <v>2317</v>
      </c>
    </row>
    <row r="88" spans="1:9" ht="14" thickBot="1">
      <c r="A88" s="822"/>
      <c r="B88" s="823"/>
      <c r="C88" s="818" t="s">
        <v>2317</v>
      </c>
      <c r="D88" s="519" t="s">
        <v>2317</v>
      </c>
      <c r="E88" s="819" t="s">
        <v>2317</v>
      </c>
      <c r="F88" s="519" t="s">
        <v>2317</v>
      </c>
      <c r="G88" s="820" t="s">
        <v>2317</v>
      </c>
      <c r="H88" s="519" t="s">
        <v>2317</v>
      </c>
      <c r="I88" s="820" t="s">
        <v>2317</v>
      </c>
    </row>
    <row r="89" spans="1:9" ht="14" thickBot="1">
      <c r="A89" s="822"/>
      <c r="B89" s="823"/>
      <c r="C89" s="818" t="s">
        <v>2317</v>
      </c>
      <c r="D89" s="519" t="s">
        <v>2317</v>
      </c>
      <c r="E89" s="819" t="s">
        <v>2317</v>
      </c>
      <c r="F89" s="519" t="s">
        <v>2317</v>
      </c>
      <c r="G89" s="820" t="s">
        <v>2317</v>
      </c>
      <c r="H89" s="519" t="s">
        <v>2317</v>
      </c>
      <c r="I89" s="820" t="s">
        <v>2317</v>
      </c>
    </row>
    <row r="90" spans="1:9" ht="14" thickBot="1">
      <c r="A90" s="822"/>
      <c r="B90" s="823"/>
      <c r="C90" s="818" t="s">
        <v>2317</v>
      </c>
      <c r="D90" s="519" t="s">
        <v>2317</v>
      </c>
      <c r="E90" s="819" t="s">
        <v>2317</v>
      </c>
      <c r="F90" s="519" t="s">
        <v>2317</v>
      </c>
      <c r="G90" s="820" t="s">
        <v>2317</v>
      </c>
      <c r="H90" s="519" t="s">
        <v>2317</v>
      </c>
      <c r="I90" s="820" t="s">
        <v>2317</v>
      </c>
    </row>
    <row r="91" spans="1:9" ht="14" thickBot="1">
      <c r="A91" s="822"/>
      <c r="B91" s="823"/>
      <c r="C91" s="818" t="s">
        <v>2317</v>
      </c>
      <c r="D91" s="519" t="s">
        <v>2317</v>
      </c>
      <c r="E91" s="819" t="s">
        <v>2317</v>
      </c>
      <c r="F91" s="519" t="s">
        <v>2317</v>
      </c>
      <c r="G91" s="820" t="s">
        <v>2317</v>
      </c>
      <c r="H91" s="519" t="s">
        <v>2317</v>
      </c>
      <c r="I91" s="820" t="s">
        <v>2317</v>
      </c>
    </row>
    <row r="92" spans="1:9" ht="14" thickBot="1">
      <c r="A92" s="822"/>
      <c r="B92" s="823"/>
      <c r="C92" s="818" t="s">
        <v>2317</v>
      </c>
      <c r="D92" s="519" t="s">
        <v>2317</v>
      </c>
      <c r="E92" s="819" t="s">
        <v>2317</v>
      </c>
      <c r="F92" s="519" t="s">
        <v>2317</v>
      </c>
      <c r="G92" s="820" t="s">
        <v>2317</v>
      </c>
      <c r="H92" s="519" t="s">
        <v>2317</v>
      </c>
      <c r="I92" s="820" t="s">
        <v>2317</v>
      </c>
    </row>
    <row r="93" spans="1:9" ht="14" thickBot="1">
      <c r="A93" s="822"/>
      <c r="B93" s="823"/>
      <c r="C93" s="818" t="s">
        <v>2317</v>
      </c>
      <c r="D93" s="519" t="s">
        <v>2317</v>
      </c>
      <c r="E93" s="819" t="s">
        <v>2317</v>
      </c>
      <c r="F93" s="519" t="s">
        <v>2317</v>
      </c>
      <c r="G93" s="820" t="s">
        <v>2317</v>
      </c>
      <c r="H93" s="519" t="s">
        <v>2317</v>
      </c>
      <c r="I93" s="820" t="s">
        <v>2317</v>
      </c>
    </row>
    <row r="94" spans="1:9" ht="14" thickBot="1">
      <c r="A94" s="822"/>
      <c r="B94" s="823"/>
      <c r="C94" s="818" t="s">
        <v>2317</v>
      </c>
      <c r="D94" s="519" t="s">
        <v>2317</v>
      </c>
      <c r="E94" s="819" t="s">
        <v>2317</v>
      </c>
      <c r="F94" s="519" t="s">
        <v>2317</v>
      </c>
      <c r="G94" s="820" t="s">
        <v>2317</v>
      </c>
      <c r="H94" s="519" t="s">
        <v>2317</v>
      </c>
      <c r="I94" s="820" t="s">
        <v>2317</v>
      </c>
    </row>
    <row r="95" spans="1:9" ht="14" thickBot="1">
      <c r="A95" s="822"/>
      <c r="B95" s="823"/>
      <c r="C95" s="818" t="s">
        <v>2317</v>
      </c>
      <c r="D95" s="519" t="s">
        <v>2317</v>
      </c>
      <c r="E95" s="819" t="s">
        <v>2317</v>
      </c>
      <c r="F95" s="519" t="s">
        <v>2317</v>
      </c>
      <c r="G95" s="820" t="s">
        <v>2317</v>
      </c>
      <c r="H95" s="519" t="s">
        <v>2317</v>
      </c>
      <c r="I95" s="820" t="s">
        <v>2317</v>
      </c>
    </row>
    <row r="96" spans="1:9" ht="14" thickBot="1">
      <c r="A96" s="822"/>
      <c r="B96" s="823"/>
      <c r="C96" s="818" t="s">
        <v>2317</v>
      </c>
      <c r="D96" s="519" t="s">
        <v>2317</v>
      </c>
      <c r="E96" s="819" t="s">
        <v>2317</v>
      </c>
      <c r="F96" s="519" t="s">
        <v>2317</v>
      </c>
      <c r="G96" s="820" t="s">
        <v>2317</v>
      </c>
      <c r="H96" s="519" t="s">
        <v>2317</v>
      </c>
      <c r="I96" s="820" t="s">
        <v>2317</v>
      </c>
    </row>
    <row r="97" spans="1:9" ht="14" thickBot="1">
      <c r="A97" s="822"/>
      <c r="B97" s="823"/>
      <c r="C97" s="818" t="s">
        <v>2317</v>
      </c>
      <c r="D97" s="519" t="s">
        <v>2317</v>
      </c>
      <c r="E97" s="819" t="s">
        <v>2317</v>
      </c>
      <c r="F97" s="519" t="s">
        <v>2317</v>
      </c>
      <c r="G97" s="820" t="s">
        <v>2317</v>
      </c>
      <c r="H97" s="519" t="s">
        <v>2317</v>
      </c>
      <c r="I97" s="820" t="s">
        <v>2317</v>
      </c>
    </row>
    <row r="98" spans="1:9" ht="14" thickBot="1">
      <c r="A98" s="822"/>
      <c r="B98" s="823"/>
      <c r="C98" s="818" t="s">
        <v>2317</v>
      </c>
      <c r="D98" s="519" t="s">
        <v>2317</v>
      </c>
      <c r="E98" s="819" t="s">
        <v>2317</v>
      </c>
      <c r="F98" s="519" t="s">
        <v>2317</v>
      </c>
      <c r="G98" s="820" t="s">
        <v>2317</v>
      </c>
      <c r="H98" s="519" t="s">
        <v>2317</v>
      </c>
      <c r="I98" s="820" t="s">
        <v>2317</v>
      </c>
    </row>
    <row r="99" spans="1:9" ht="14" thickBot="1">
      <c r="A99" s="822"/>
      <c r="B99" s="823"/>
      <c r="C99" s="818" t="s">
        <v>2317</v>
      </c>
      <c r="D99" s="519" t="s">
        <v>2317</v>
      </c>
      <c r="E99" s="819" t="s">
        <v>2317</v>
      </c>
      <c r="F99" s="519" t="s">
        <v>2317</v>
      </c>
      <c r="G99" s="820" t="s">
        <v>2317</v>
      </c>
      <c r="H99" s="519" t="s">
        <v>2317</v>
      </c>
      <c r="I99" s="820" t="s">
        <v>2317</v>
      </c>
    </row>
    <row r="100" spans="1:9" ht="14" thickBot="1">
      <c r="A100" s="822"/>
      <c r="B100" s="823"/>
      <c r="C100" s="818" t="s">
        <v>2317</v>
      </c>
      <c r="D100" s="519" t="s">
        <v>2317</v>
      </c>
      <c r="E100" s="819" t="s">
        <v>2317</v>
      </c>
      <c r="F100" s="519" t="s">
        <v>2317</v>
      </c>
      <c r="G100" s="820" t="s">
        <v>2317</v>
      </c>
      <c r="H100" s="519" t="s">
        <v>2317</v>
      </c>
      <c r="I100" s="820" t="s">
        <v>2317</v>
      </c>
    </row>
    <row r="101" spans="1:9" ht="14" thickBot="1">
      <c r="A101" s="822"/>
      <c r="B101" s="823"/>
      <c r="C101" s="818" t="s">
        <v>2317</v>
      </c>
      <c r="D101" s="519" t="s">
        <v>2317</v>
      </c>
      <c r="E101" s="819" t="s">
        <v>2317</v>
      </c>
      <c r="F101" s="519" t="s">
        <v>2317</v>
      </c>
      <c r="G101" s="820" t="s">
        <v>2317</v>
      </c>
      <c r="H101" s="519" t="s">
        <v>2317</v>
      </c>
      <c r="I101" s="820" t="s">
        <v>2317</v>
      </c>
    </row>
    <row r="102" spans="1:9" ht="14" thickBot="1">
      <c r="A102" s="822"/>
      <c r="B102" s="823"/>
      <c r="C102" s="818" t="s">
        <v>2317</v>
      </c>
      <c r="D102" s="519" t="s">
        <v>2317</v>
      </c>
      <c r="E102" s="819" t="s">
        <v>2317</v>
      </c>
      <c r="F102" s="519" t="s">
        <v>2317</v>
      </c>
      <c r="G102" s="820" t="s">
        <v>2317</v>
      </c>
      <c r="H102" s="519" t="s">
        <v>2317</v>
      </c>
      <c r="I102" s="820" t="s">
        <v>2317</v>
      </c>
    </row>
    <row r="103" spans="1:9" ht="14" thickBot="1">
      <c r="A103" s="822"/>
      <c r="B103" s="823"/>
      <c r="C103" s="818" t="s">
        <v>2317</v>
      </c>
      <c r="D103" s="519" t="s">
        <v>2317</v>
      </c>
      <c r="E103" s="819" t="s">
        <v>2317</v>
      </c>
      <c r="F103" s="519" t="s">
        <v>2317</v>
      </c>
      <c r="G103" s="820" t="s">
        <v>2317</v>
      </c>
      <c r="H103" s="519" t="s">
        <v>2317</v>
      </c>
      <c r="I103" s="820" t="s">
        <v>2317</v>
      </c>
    </row>
    <row r="104" spans="1:9" s="277" customFormat="1" ht="18.75" customHeight="1" thickBot="1">
      <c r="A104" s="824" t="s">
        <v>1567</v>
      </c>
      <c r="B104" s="825">
        <v>74</v>
      </c>
      <c r="C104" s="826">
        <v>5</v>
      </c>
      <c r="D104" s="529">
        <v>267723.3</v>
      </c>
      <c r="E104" s="827">
        <v>197197.09437999999</v>
      </c>
      <c r="F104" s="529">
        <v>49933.255780000007</v>
      </c>
      <c r="G104" s="827">
        <v>26314.581050000001</v>
      </c>
      <c r="H104" s="529">
        <v>103419.09619</v>
      </c>
      <c r="I104" s="828">
        <v>490178.87821</v>
      </c>
    </row>
    <row r="105" spans="1:9" ht="16.5" customHeight="1" thickBot="1">
      <c r="A105" s="90" t="s">
        <v>1837</v>
      </c>
      <c r="C105" s="829"/>
      <c r="D105" s="531"/>
      <c r="E105" s="531"/>
      <c r="F105" s="532"/>
      <c r="G105" s="531"/>
      <c r="H105" s="533"/>
      <c r="I105" s="534"/>
    </row>
    <row r="107" spans="1:9">
      <c r="A107" s="2" t="s">
        <v>1916</v>
      </c>
    </row>
    <row r="109" spans="1:9">
      <c r="A109" s="93" t="s">
        <v>1917</v>
      </c>
    </row>
    <row r="110" spans="1:9">
      <c r="A110" s="87">
        <v>0</v>
      </c>
      <c r="B110" s="93" t="s">
        <v>1918</v>
      </c>
    </row>
    <row r="111" spans="1:9">
      <c r="A111" s="87">
        <v>1</v>
      </c>
      <c r="B111" s="93" t="s">
        <v>1919</v>
      </c>
    </row>
    <row r="112" spans="1:9">
      <c r="A112" s="87">
        <v>2</v>
      </c>
      <c r="B112" s="93" t="s">
        <v>1920</v>
      </c>
    </row>
    <row r="113" spans="1:2">
      <c r="A113" s="87">
        <v>3</v>
      </c>
      <c r="B113" s="93" t="s">
        <v>1921</v>
      </c>
    </row>
    <row r="114" spans="1:2">
      <c r="A114" s="87" t="s">
        <v>1922</v>
      </c>
      <c r="B114" s="93" t="s">
        <v>1923</v>
      </c>
    </row>
    <row r="115" spans="1:2">
      <c r="A115" s="87">
        <v>5</v>
      </c>
      <c r="B115" s="93" t="s">
        <v>1924</v>
      </c>
    </row>
    <row r="116" spans="1:2">
      <c r="A116" s="87">
        <v>6</v>
      </c>
      <c r="B116" s="93" t="s">
        <v>1925</v>
      </c>
    </row>
    <row r="117" spans="1:2">
      <c r="A117" s="87">
        <v>7</v>
      </c>
      <c r="B117" s="93" t="s">
        <v>1926</v>
      </c>
    </row>
    <row r="120" spans="1:2">
      <c r="A120" s="2" t="s">
        <v>710</v>
      </c>
    </row>
  </sheetData>
  <phoneticPr fontId="0" type="noConversion"/>
  <pageMargins left="0.51" right="0.35" top="0.55000000000000004" bottom="0.53" header="0.36" footer="0.28000000000000003"/>
  <pageSetup paperSize="9" scale="67" fitToHeight="2" pageOrder="overThenDown" orientation="portrait" horizontalDpi="1200" verticalDpi="1200"/>
  <headerFooter alignWithMargins="0">
    <oddFooter>&amp;R&amp;P/&amp;N</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4C70A-1DCF-384F-9802-10A93C50AE55}">
  <sheetPr>
    <pageSetUpPr fitToPage="1"/>
  </sheetPr>
  <dimension ref="A1:O38"/>
  <sheetViews>
    <sheetView topLeftCell="A24" zoomScale="75" zoomScaleNormal="75" workbookViewId="0">
      <selection activeCell="I35" sqref="I35"/>
    </sheetView>
  </sheetViews>
  <sheetFormatPr baseColWidth="10" defaultColWidth="11.3984375" defaultRowHeight="13"/>
  <cols>
    <col min="1" max="1" width="7.3984375" style="2" customWidth="1"/>
    <col min="2" max="2" width="41.59765625" style="87" customWidth="1"/>
    <col min="3" max="3" width="10.59765625" style="87" customWidth="1"/>
    <col min="4" max="4" width="11.3984375" style="87" customWidth="1"/>
    <col min="5" max="5" width="10.19921875" style="7" customWidth="1"/>
    <col min="6" max="6" width="20.796875" style="7" customWidth="1"/>
    <col min="7" max="7" width="15.19921875" style="2" customWidth="1"/>
    <col min="8" max="8" width="7.59765625" style="88" customWidth="1"/>
    <col min="9" max="9" width="26.19921875" style="2" customWidth="1"/>
    <col min="10" max="16384" width="11.3984375" style="2"/>
  </cols>
  <sheetData>
    <row r="1" spans="1:9" s="1" customFormat="1" ht="14" customHeight="1">
      <c r="A1" s="44"/>
      <c r="B1" s="45"/>
      <c r="C1" s="45"/>
      <c r="D1" s="45"/>
      <c r="E1" s="44"/>
      <c r="F1" s="46"/>
      <c r="G1" s="44"/>
      <c r="H1" s="47"/>
      <c r="I1" s="44"/>
    </row>
    <row r="2" spans="1:9" s="1" customFormat="1" ht="19.5" customHeight="1">
      <c r="A2" s="48" t="s">
        <v>843</v>
      </c>
      <c r="C2" s="45"/>
      <c r="D2" s="45"/>
      <c r="E2" s="46"/>
      <c r="F2" s="46"/>
      <c r="G2" s="49"/>
      <c r="H2" s="47"/>
      <c r="I2" s="48">
        <v>2009</v>
      </c>
    </row>
    <row r="3" spans="1:9" s="1" customFormat="1" ht="11.25" customHeight="1">
      <c r="A3" s="44"/>
      <c r="B3" s="44"/>
      <c r="C3" s="45"/>
      <c r="D3" s="45"/>
      <c r="E3" s="46"/>
      <c r="F3" s="46"/>
      <c r="G3" s="44"/>
      <c r="H3" s="47"/>
      <c r="I3" s="44"/>
    </row>
    <row r="4" spans="1:9" ht="18" customHeight="1">
      <c r="A4" s="50" t="s">
        <v>844</v>
      </c>
      <c r="B4" s="50" t="s">
        <v>845</v>
      </c>
      <c r="C4" s="51" t="s">
        <v>846</v>
      </c>
      <c r="D4" s="52" t="s">
        <v>1556</v>
      </c>
      <c r="E4" s="53" t="s">
        <v>1557</v>
      </c>
      <c r="F4" s="54" t="s">
        <v>1558</v>
      </c>
      <c r="G4" s="51" t="s">
        <v>1559</v>
      </c>
      <c r="H4" s="55" t="s">
        <v>1560</v>
      </c>
      <c r="I4" s="52"/>
    </row>
    <row r="5" spans="1:9" ht="15" customHeight="1">
      <c r="A5" s="56" t="s">
        <v>1561</v>
      </c>
      <c r="B5" s="56"/>
      <c r="C5" s="57"/>
      <c r="D5" s="58" t="s">
        <v>1562</v>
      </c>
      <c r="E5" s="59" t="s">
        <v>1563</v>
      </c>
      <c r="F5" s="60" t="s">
        <v>1564</v>
      </c>
      <c r="G5" s="57" t="s">
        <v>1581</v>
      </c>
      <c r="H5" s="61" t="s">
        <v>1565</v>
      </c>
      <c r="I5" s="58"/>
    </row>
    <row r="6" spans="1:9" ht="15" customHeight="1">
      <c r="A6" s="56"/>
      <c r="B6" s="56"/>
      <c r="C6" s="57"/>
      <c r="D6" s="58" t="s">
        <v>1568</v>
      </c>
      <c r="E6" s="59"/>
      <c r="F6" s="60"/>
      <c r="G6" s="57" t="s">
        <v>1566</v>
      </c>
      <c r="H6" s="62"/>
      <c r="I6" s="58"/>
    </row>
    <row r="7" spans="1:9" ht="18" customHeight="1">
      <c r="A7" s="63"/>
      <c r="B7" s="64"/>
      <c r="C7" s="65"/>
      <c r="D7" s="66"/>
      <c r="E7" s="67"/>
      <c r="F7" s="68"/>
      <c r="G7" s="65"/>
      <c r="H7" s="69"/>
      <c r="I7" s="66"/>
    </row>
    <row r="8" spans="1:9" ht="44.25" customHeight="1" thickBot="1">
      <c r="A8" s="70">
        <v>294</v>
      </c>
      <c r="B8" s="71" t="s">
        <v>692</v>
      </c>
      <c r="C8" s="72" t="s">
        <v>693</v>
      </c>
      <c r="D8" s="73"/>
      <c r="E8" s="74"/>
      <c r="F8" s="79" t="s">
        <v>694</v>
      </c>
      <c r="G8" s="74"/>
      <c r="H8" s="70"/>
      <c r="I8" s="78"/>
    </row>
    <row r="9" spans="1:9" ht="44.25" customHeight="1" thickBot="1">
      <c r="A9" s="70">
        <v>509</v>
      </c>
      <c r="B9" s="71" t="s">
        <v>695</v>
      </c>
      <c r="C9" s="72" t="s">
        <v>696</v>
      </c>
      <c r="D9" s="73"/>
      <c r="E9" s="74"/>
      <c r="F9" s="78" t="s">
        <v>760</v>
      </c>
      <c r="G9" s="74"/>
      <c r="H9" s="76"/>
      <c r="I9" s="77"/>
    </row>
    <row r="10" spans="1:9" ht="44.25" customHeight="1" thickBot="1">
      <c r="A10" s="70">
        <v>556</v>
      </c>
      <c r="B10" s="71" t="s">
        <v>697</v>
      </c>
      <c r="C10" s="72" t="s">
        <v>693</v>
      </c>
      <c r="D10" s="73"/>
      <c r="E10" s="74"/>
      <c r="F10" s="77" t="s">
        <v>698</v>
      </c>
      <c r="G10" s="74"/>
      <c r="H10" s="76"/>
      <c r="I10" s="77"/>
    </row>
    <row r="11" spans="1:9" ht="44.25" customHeight="1" thickBot="1">
      <c r="A11" s="70">
        <v>558</v>
      </c>
      <c r="B11" s="71" t="s">
        <v>761</v>
      </c>
      <c r="C11" s="72" t="s">
        <v>693</v>
      </c>
      <c r="D11" s="73"/>
      <c r="E11" s="74"/>
      <c r="F11" s="75" t="s">
        <v>699</v>
      </c>
      <c r="G11" s="74"/>
      <c r="H11" s="76"/>
      <c r="I11" s="77"/>
    </row>
    <row r="12" spans="1:9" ht="44.25" customHeight="1" thickBot="1">
      <c r="A12" s="70">
        <v>591</v>
      </c>
      <c r="B12" s="71" t="s">
        <v>700</v>
      </c>
      <c r="C12" s="72" t="s">
        <v>693</v>
      </c>
      <c r="D12" s="73"/>
      <c r="E12" s="74"/>
      <c r="F12" s="75"/>
      <c r="G12" s="74"/>
      <c r="H12" s="76">
        <v>941</v>
      </c>
      <c r="I12" s="77" t="s">
        <v>701</v>
      </c>
    </row>
    <row r="13" spans="1:9" ht="44.25" customHeight="1" thickBot="1">
      <c r="A13" s="70">
        <v>623</v>
      </c>
      <c r="B13" s="71" t="s">
        <v>1575</v>
      </c>
      <c r="C13" s="72" t="s">
        <v>702</v>
      </c>
      <c r="D13" s="73" t="s">
        <v>721</v>
      </c>
      <c r="E13" s="74"/>
      <c r="F13" s="75"/>
      <c r="G13" s="74"/>
      <c r="H13" s="76"/>
      <c r="I13" s="77"/>
    </row>
    <row r="14" spans="1:9" ht="44.25" customHeight="1" thickBot="1">
      <c r="A14" s="70">
        <v>627</v>
      </c>
      <c r="B14" s="71" t="s">
        <v>1576</v>
      </c>
      <c r="C14" s="72" t="s">
        <v>693</v>
      </c>
      <c r="D14" s="73"/>
      <c r="E14" s="74"/>
      <c r="F14" s="75"/>
      <c r="G14" s="74"/>
      <c r="H14" s="76">
        <v>941</v>
      </c>
      <c r="I14" s="77" t="s">
        <v>701</v>
      </c>
    </row>
    <row r="15" spans="1:9" ht="44.25" customHeight="1" thickBot="1">
      <c r="A15" s="70">
        <v>758</v>
      </c>
      <c r="B15" s="71" t="s">
        <v>1577</v>
      </c>
      <c r="C15" s="72" t="s">
        <v>693</v>
      </c>
      <c r="D15" s="73"/>
      <c r="E15" s="74"/>
      <c r="F15" s="75"/>
      <c r="G15" s="74"/>
      <c r="H15" s="76">
        <v>941</v>
      </c>
      <c r="I15" s="77" t="s">
        <v>701</v>
      </c>
    </row>
    <row r="16" spans="1:9" ht="44.25" customHeight="1" thickBot="1">
      <c r="A16" s="70">
        <v>790</v>
      </c>
      <c r="B16" s="71" t="s">
        <v>762</v>
      </c>
      <c r="C16" s="72" t="s">
        <v>693</v>
      </c>
      <c r="D16" s="73"/>
      <c r="E16" s="74"/>
      <c r="F16" s="75" t="s">
        <v>703</v>
      </c>
      <c r="G16" s="74"/>
      <c r="H16" s="76"/>
      <c r="I16" s="77"/>
    </row>
    <row r="17" spans="1:15" ht="44.25" customHeight="1" thickBot="1">
      <c r="A17" s="70">
        <v>895</v>
      </c>
      <c r="B17" s="71" t="s">
        <v>1578</v>
      </c>
      <c r="C17" s="72" t="s">
        <v>693</v>
      </c>
      <c r="D17" s="73"/>
      <c r="E17" s="74"/>
      <c r="F17" s="75"/>
      <c r="G17" s="74"/>
      <c r="H17" s="76">
        <v>941</v>
      </c>
      <c r="I17" s="77" t="s">
        <v>701</v>
      </c>
    </row>
    <row r="18" spans="1:15" ht="44.25" customHeight="1" thickBot="1">
      <c r="A18" s="70">
        <v>979</v>
      </c>
      <c r="B18" s="71" t="s">
        <v>704</v>
      </c>
      <c r="C18" s="72" t="s">
        <v>693</v>
      </c>
      <c r="D18" s="73"/>
      <c r="E18" s="74"/>
      <c r="F18" s="75"/>
      <c r="G18" s="74"/>
      <c r="H18" s="76">
        <v>941</v>
      </c>
      <c r="I18" s="77" t="s">
        <v>701</v>
      </c>
    </row>
    <row r="19" spans="1:15" ht="44.25" customHeight="1" thickBot="1">
      <c r="A19" s="70">
        <v>1454</v>
      </c>
      <c r="B19" s="71" t="s">
        <v>1579</v>
      </c>
      <c r="C19" s="72" t="s">
        <v>693</v>
      </c>
      <c r="D19" s="73"/>
      <c r="E19" s="74"/>
      <c r="F19" s="75"/>
      <c r="G19" s="74"/>
      <c r="H19" s="76">
        <v>941</v>
      </c>
      <c r="I19" s="77" t="s">
        <v>701</v>
      </c>
    </row>
    <row r="20" spans="1:15" ht="44.25" customHeight="1" thickBot="1">
      <c r="A20" s="70">
        <v>1555</v>
      </c>
      <c r="B20" s="71" t="s">
        <v>1580</v>
      </c>
      <c r="C20" s="72" t="s">
        <v>693</v>
      </c>
      <c r="D20" s="73"/>
      <c r="E20" s="74"/>
      <c r="F20" s="73"/>
      <c r="G20" s="74" t="s">
        <v>1222</v>
      </c>
      <c r="H20" s="76"/>
      <c r="I20" s="77"/>
    </row>
    <row r="21" spans="1:15" s="80" customFormat="1" ht="44.25" customHeight="1" thickBot="1">
      <c r="A21" s="70">
        <v>1568</v>
      </c>
      <c r="B21" s="71" t="s">
        <v>705</v>
      </c>
      <c r="C21" s="72" t="s">
        <v>693</v>
      </c>
      <c r="D21" s="73"/>
      <c r="E21" s="74"/>
      <c r="F21" s="73"/>
      <c r="G21" s="74" t="s">
        <v>1222</v>
      </c>
      <c r="H21" s="76"/>
      <c r="I21" s="73"/>
    </row>
    <row r="22" spans="1:15" ht="44.25" customHeight="1" thickBot="1">
      <c r="A22" s="70">
        <v>1570</v>
      </c>
      <c r="B22" s="71" t="s">
        <v>706</v>
      </c>
      <c r="C22" s="72" t="s">
        <v>693</v>
      </c>
      <c r="D22" s="73"/>
      <c r="E22" s="74"/>
      <c r="F22" s="73"/>
      <c r="G22" s="74" t="s">
        <v>1222</v>
      </c>
      <c r="H22" s="76"/>
      <c r="I22" s="73"/>
    </row>
    <row r="23" spans="1:15" ht="44.25" customHeight="1" thickBot="1">
      <c r="A23" s="70">
        <v>1574</v>
      </c>
      <c r="B23" s="71" t="s">
        <v>707</v>
      </c>
      <c r="C23" s="72" t="s">
        <v>693</v>
      </c>
      <c r="D23" s="73"/>
      <c r="E23" s="74" t="s">
        <v>721</v>
      </c>
      <c r="F23" s="78"/>
      <c r="G23" s="74"/>
      <c r="H23" s="76"/>
      <c r="I23" s="78"/>
      <c r="J23"/>
      <c r="K23"/>
      <c r="L23"/>
      <c r="M23"/>
      <c r="N23"/>
      <c r="O23"/>
    </row>
    <row r="24" spans="1:15" ht="44.25" customHeight="1" thickBot="1">
      <c r="A24" s="70">
        <v>1575</v>
      </c>
      <c r="B24" s="71" t="s">
        <v>708</v>
      </c>
      <c r="C24" s="72" t="s">
        <v>693</v>
      </c>
      <c r="D24" s="73"/>
      <c r="E24" s="74" t="s">
        <v>721</v>
      </c>
      <c r="F24" s="79"/>
      <c r="G24" s="74"/>
      <c r="H24" s="76"/>
      <c r="I24" s="73"/>
      <c r="J24"/>
      <c r="K24"/>
      <c r="L24"/>
      <c r="M24"/>
      <c r="N24"/>
      <c r="O24"/>
    </row>
    <row r="25" spans="1:15" ht="27.75" customHeight="1" thickBot="1">
      <c r="A25" s="70"/>
      <c r="B25" s="71"/>
      <c r="C25" s="72"/>
      <c r="D25" s="73"/>
      <c r="E25" s="74"/>
      <c r="F25" s="73"/>
      <c r="G25" s="74"/>
      <c r="H25" s="76"/>
      <c r="I25" s="77"/>
    </row>
    <row r="26" spans="1:15" ht="27.75" customHeight="1" thickBot="1">
      <c r="A26" s="70"/>
      <c r="B26" s="71"/>
      <c r="C26" s="72"/>
      <c r="D26" s="73"/>
      <c r="E26" s="74"/>
      <c r="F26" s="73"/>
      <c r="G26" s="74"/>
      <c r="H26" s="76"/>
      <c r="I26" s="71"/>
    </row>
    <row r="27" spans="1:15" ht="27.75" customHeight="1" thickBot="1">
      <c r="A27" s="70"/>
      <c r="B27" s="71"/>
      <c r="C27" s="72"/>
      <c r="D27" s="73"/>
      <c r="E27" s="74"/>
      <c r="F27" s="78"/>
      <c r="G27" s="74"/>
      <c r="H27" s="76"/>
      <c r="I27" s="73"/>
    </row>
    <row r="28" spans="1:15" ht="27.75" customHeight="1" thickBot="1">
      <c r="A28" s="70"/>
      <c r="B28" s="71"/>
      <c r="C28" s="81"/>
      <c r="D28" s="73"/>
      <c r="E28" s="74"/>
      <c r="F28" s="73"/>
      <c r="G28" s="74"/>
      <c r="H28" s="76"/>
      <c r="I28" s="73"/>
    </row>
    <row r="29" spans="1:15" s="80" customFormat="1" ht="27.75" customHeight="1" thickBot="1">
      <c r="A29" s="82"/>
      <c r="B29" s="83" t="s">
        <v>1567</v>
      </c>
      <c r="C29" s="84"/>
      <c r="D29" s="82">
        <v>1</v>
      </c>
      <c r="E29" s="85">
        <v>2</v>
      </c>
      <c r="F29" s="82">
        <v>5</v>
      </c>
      <c r="G29" s="84">
        <v>3</v>
      </c>
      <c r="H29" s="82"/>
      <c r="I29" s="82">
        <v>6</v>
      </c>
    </row>
    <row r="30" spans="1:15">
      <c r="B30" s="86"/>
    </row>
    <row r="31" spans="1:15">
      <c r="A31" s="89" t="s">
        <v>711</v>
      </c>
      <c r="G31" s="90"/>
      <c r="I31" s="90"/>
    </row>
    <row r="32" spans="1:15">
      <c r="A32" s="89"/>
      <c r="G32" s="90"/>
      <c r="I32" s="90"/>
    </row>
    <row r="33" spans="1:9">
      <c r="A33" s="91" t="s">
        <v>1928</v>
      </c>
      <c r="G33" s="90"/>
      <c r="I33" s="90"/>
    </row>
    <row r="34" spans="1:9">
      <c r="A34" s="92"/>
    </row>
    <row r="35" spans="1:9">
      <c r="A35" s="93" t="s">
        <v>709</v>
      </c>
    </row>
    <row r="36" spans="1:9">
      <c r="A36" s="93"/>
    </row>
    <row r="37" spans="1:9">
      <c r="A37" s="93"/>
    </row>
    <row r="38" spans="1:9">
      <c r="A38" s="93" t="s">
        <v>710</v>
      </c>
    </row>
  </sheetData>
  <phoneticPr fontId="0" type="noConversion"/>
  <pageMargins left="0.6" right="0.55000000000000004" top="0.62992125984251968" bottom="0.74803149606299213" header="0.31496062992125984" footer="0.27559055118110237"/>
  <pageSetup paperSize="9" scale="57" pageOrder="overThenDown" orientation="portrait" horizontalDpi="1200" verticalDpi="1200"/>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2F60-A510-EB4E-BDAA-188137CC8B43}">
  <dimension ref="A1:AE111"/>
  <sheetViews>
    <sheetView zoomScale="75" workbookViewId="0"/>
  </sheetViews>
  <sheetFormatPr baseColWidth="10" defaultColWidth="11.3984375" defaultRowHeight="13"/>
  <cols>
    <col min="1" max="1" width="7.59765625" style="87" customWidth="1"/>
    <col min="2" max="2" width="40.796875" style="87" customWidth="1"/>
    <col min="3" max="3" width="10.59765625" style="87" customWidth="1"/>
    <col min="4" max="4" width="11.59765625" style="87" customWidth="1"/>
    <col min="5" max="5" width="11.3984375" style="2" customWidth="1"/>
    <col min="6" max="6" width="10.59765625" style="2" customWidth="1"/>
    <col min="7" max="7" width="11.3984375" style="2" customWidth="1"/>
    <col min="8" max="8" width="11.3984375" style="7" customWidth="1"/>
    <col min="9" max="9" width="11.19921875" style="7" customWidth="1"/>
    <col min="10" max="14" width="10.59765625" style="2" customWidth="1"/>
    <col min="15" max="15" width="10.796875" style="2" customWidth="1"/>
    <col min="16" max="16" width="10.59765625" style="2" customWidth="1"/>
    <col min="17" max="17" width="0.796875" style="2" customWidth="1"/>
    <col min="18" max="18" width="10.59765625" style="2" customWidth="1"/>
    <col min="19" max="19" width="11.796875" style="536" customWidth="1"/>
    <col min="20" max="20" width="11.3984375" style="2"/>
    <col min="21" max="22" width="12.19921875" style="2" customWidth="1"/>
    <col min="23" max="28" width="11.3984375" style="2"/>
    <col min="29" max="29" width="11.796875" style="2" customWidth="1"/>
    <col min="30" max="30" width="12.3984375" style="2" customWidth="1"/>
    <col min="31" max="16384" width="11.3984375" style="2"/>
  </cols>
  <sheetData>
    <row r="1" spans="1:31" s="1" customFormat="1" ht="14" customHeight="1">
      <c r="A1" s="289"/>
      <c r="B1" s="289"/>
      <c r="C1" s="289"/>
      <c r="D1" s="289"/>
      <c r="H1" s="144"/>
      <c r="I1" s="144"/>
      <c r="S1" s="504"/>
    </row>
    <row r="2" spans="1:31" s="1" customFormat="1" ht="50.25" customHeight="1">
      <c r="A2" s="2025" t="s">
        <v>968</v>
      </c>
      <c r="B2" s="2017"/>
      <c r="C2" s="45"/>
      <c r="D2" s="45"/>
      <c r="E2" s="44"/>
      <c r="F2" s="44"/>
      <c r="G2" s="44"/>
      <c r="H2" s="46"/>
      <c r="I2" s="144"/>
      <c r="J2" s="16"/>
      <c r="P2" s="830">
        <v>2009</v>
      </c>
      <c r="Q2" s="830"/>
      <c r="V2" s="505"/>
      <c r="AE2" s="505">
        <v>2009</v>
      </c>
    </row>
    <row r="3" spans="1:31" s="1" customFormat="1" ht="12" customHeight="1">
      <c r="A3" s="289"/>
      <c r="B3" s="289"/>
      <c r="C3" s="289"/>
      <c r="D3" s="289"/>
      <c r="H3" s="144"/>
      <c r="I3" s="144"/>
      <c r="S3" s="506"/>
      <c r="U3" s="507"/>
      <c r="W3" s="507"/>
      <c r="X3" s="507"/>
      <c r="Y3" s="507"/>
      <c r="Z3" s="507"/>
      <c r="AA3" s="507"/>
      <c r="AB3" s="507"/>
      <c r="AC3" s="507"/>
      <c r="AD3" s="507"/>
      <c r="AE3" s="507"/>
    </row>
    <row r="4" spans="1:31" ht="18" customHeight="1">
      <c r="A4" s="50" t="s">
        <v>844</v>
      </c>
      <c r="B4" s="50" t="s">
        <v>1958</v>
      </c>
      <c r="C4" s="51"/>
      <c r="D4" s="52"/>
      <c r="E4" s="51"/>
      <c r="F4" s="52"/>
      <c r="G4" s="51"/>
      <c r="H4" s="54"/>
      <c r="I4" s="53"/>
      <c r="J4" s="52"/>
      <c r="K4" s="51"/>
      <c r="L4" s="52"/>
      <c r="M4" s="51"/>
      <c r="N4" s="54"/>
      <c r="O4" s="53"/>
      <c r="P4" s="54"/>
      <c r="Q4" s="52"/>
      <c r="R4" s="53"/>
      <c r="S4" s="58"/>
      <c r="T4" s="53"/>
      <c r="U4" s="15"/>
      <c r="V4" s="53"/>
      <c r="W4" s="15"/>
      <c r="X4" s="728"/>
      <c r="Y4" s="15"/>
      <c r="Z4" s="728"/>
      <c r="AA4" s="15"/>
      <c r="AB4" s="728"/>
      <c r="AC4" s="15"/>
      <c r="AD4" s="728"/>
      <c r="AE4" s="15"/>
    </row>
    <row r="5" spans="1:31" ht="15" customHeight="1">
      <c r="A5" s="56" t="s">
        <v>1561</v>
      </c>
      <c r="B5" s="56"/>
      <c r="C5" s="57" t="s">
        <v>1222</v>
      </c>
      <c r="D5" s="58" t="s">
        <v>1807</v>
      </c>
      <c r="E5" s="57" t="s">
        <v>1808</v>
      </c>
      <c r="F5" s="58" t="s">
        <v>1809</v>
      </c>
      <c r="G5" s="57" t="s">
        <v>1810</v>
      </c>
      <c r="H5" s="60" t="s">
        <v>1811</v>
      </c>
      <c r="I5" s="59" t="s">
        <v>1812</v>
      </c>
      <c r="J5" s="58" t="s">
        <v>1813</v>
      </c>
      <c r="K5" s="57" t="s">
        <v>1814</v>
      </c>
      <c r="L5" s="58" t="s">
        <v>1815</v>
      </c>
      <c r="M5" s="57" t="s">
        <v>1816</v>
      </c>
      <c r="N5" s="60" t="s">
        <v>1817</v>
      </c>
      <c r="O5" s="59" t="s">
        <v>1818</v>
      </c>
      <c r="P5" s="60" t="s">
        <v>1819</v>
      </c>
      <c r="Q5" s="58"/>
      <c r="R5" s="59" t="s">
        <v>1820</v>
      </c>
      <c r="S5" s="58" t="s">
        <v>1821</v>
      </c>
      <c r="T5" s="59" t="s">
        <v>1822</v>
      </c>
      <c r="U5" s="58" t="s">
        <v>1823</v>
      </c>
      <c r="V5" s="59" t="s">
        <v>1824</v>
      </c>
      <c r="W5" s="831" t="s">
        <v>1825</v>
      </c>
      <c r="X5" s="1008" t="s">
        <v>1826</v>
      </c>
      <c r="Y5" s="831" t="s">
        <v>1827</v>
      </c>
      <c r="Z5" s="1008" t="s">
        <v>1828</v>
      </c>
      <c r="AA5" s="831" t="s">
        <v>1829</v>
      </c>
      <c r="AB5" s="1008" t="s">
        <v>1830</v>
      </c>
      <c r="AC5" s="831" t="s">
        <v>1831</v>
      </c>
      <c r="AD5" s="1008" t="s">
        <v>1832</v>
      </c>
      <c r="AE5" s="831" t="s">
        <v>1959</v>
      </c>
    </row>
    <row r="6" spans="1:31" ht="15" customHeight="1">
      <c r="A6" s="56"/>
      <c r="B6" s="56"/>
      <c r="C6" s="57"/>
      <c r="D6" s="58"/>
      <c r="E6" s="57"/>
      <c r="F6" s="58"/>
      <c r="G6" s="57"/>
      <c r="H6" s="60"/>
      <c r="I6" s="59"/>
      <c r="J6" s="58"/>
      <c r="K6" s="57"/>
      <c r="L6" s="58"/>
      <c r="M6" s="57"/>
      <c r="N6" s="60"/>
      <c r="O6" s="59"/>
      <c r="P6" s="60"/>
      <c r="Q6" s="58"/>
      <c r="R6" s="59"/>
      <c r="S6" s="58"/>
      <c r="T6" s="59"/>
      <c r="U6" s="58"/>
      <c r="V6" s="59"/>
      <c r="W6" s="831"/>
      <c r="X6" s="1008"/>
      <c r="Y6" s="831"/>
      <c r="Z6" s="1008"/>
      <c r="AA6" s="831"/>
      <c r="AB6" s="1008"/>
      <c r="AC6" s="831"/>
      <c r="AD6" s="1008"/>
      <c r="AE6" s="831"/>
    </row>
    <row r="7" spans="1:31" ht="15" customHeight="1">
      <c r="A7" s="56"/>
      <c r="B7" s="56"/>
      <c r="C7" s="57"/>
      <c r="D7" s="58" t="s">
        <v>1930</v>
      </c>
      <c r="E7" s="57" t="s">
        <v>1931</v>
      </c>
      <c r="F7" s="58" t="s">
        <v>1932</v>
      </c>
      <c r="G7" s="57" t="s">
        <v>1922</v>
      </c>
      <c r="H7" s="60" t="s">
        <v>1933</v>
      </c>
      <c r="I7" s="59" t="s">
        <v>1934</v>
      </c>
      <c r="J7" s="58" t="s">
        <v>1935</v>
      </c>
      <c r="K7" s="57" t="s">
        <v>1936</v>
      </c>
      <c r="L7" s="58" t="s">
        <v>1937</v>
      </c>
      <c r="M7" s="57" t="s">
        <v>1938</v>
      </c>
      <c r="N7" s="60" t="s">
        <v>1939</v>
      </c>
      <c r="O7" s="59" t="s">
        <v>1940</v>
      </c>
      <c r="P7" s="60" t="s">
        <v>1941</v>
      </c>
      <c r="Q7" s="58"/>
      <c r="R7" s="59" t="s">
        <v>1942</v>
      </c>
      <c r="S7" s="58" t="s">
        <v>1943</v>
      </c>
      <c r="T7" s="59" t="s">
        <v>1944</v>
      </c>
      <c r="U7" s="58" t="s">
        <v>1945</v>
      </c>
      <c r="V7" s="59" t="s">
        <v>1946</v>
      </c>
      <c r="W7" s="831" t="s">
        <v>1947</v>
      </c>
      <c r="X7" s="1008" t="s">
        <v>1948</v>
      </c>
      <c r="Y7" s="831" t="s">
        <v>1949</v>
      </c>
      <c r="Z7" s="1008" t="s">
        <v>1950</v>
      </c>
      <c r="AA7" s="831" t="s">
        <v>1951</v>
      </c>
      <c r="AB7" s="1008" t="s">
        <v>1952</v>
      </c>
      <c r="AC7" s="831" t="s">
        <v>1953</v>
      </c>
      <c r="AD7" s="1008" t="s">
        <v>1954</v>
      </c>
      <c r="AE7" s="831" t="s">
        <v>1955</v>
      </c>
    </row>
    <row r="8" spans="1:31" ht="21" customHeight="1">
      <c r="A8" s="510"/>
      <c r="B8" s="510"/>
      <c r="C8" s="511"/>
      <c r="D8" s="512"/>
      <c r="E8" s="511"/>
      <c r="F8" s="512"/>
      <c r="G8" s="511"/>
      <c r="H8" s="513"/>
      <c r="I8" s="514"/>
      <c r="J8" s="512"/>
      <c r="K8" s="511"/>
      <c r="L8" s="512"/>
      <c r="M8" s="511"/>
      <c r="N8" s="513"/>
      <c r="O8" s="514"/>
      <c r="P8" s="513"/>
      <c r="Q8" s="510"/>
      <c r="R8" s="514"/>
      <c r="S8" s="512"/>
      <c r="T8" s="514"/>
      <c r="U8" s="512"/>
      <c r="V8" s="514"/>
      <c r="W8" s="512"/>
      <c r="X8" s="511"/>
      <c r="Y8" s="512"/>
      <c r="Z8" s="511"/>
      <c r="AA8" s="512"/>
      <c r="AB8" s="511"/>
      <c r="AC8" s="512"/>
      <c r="AD8" s="511"/>
      <c r="AE8" s="512"/>
    </row>
    <row r="9" spans="1:31" ht="14" thickBot="1">
      <c r="A9" s="70">
        <v>8</v>
      </c>
      <c r="B9" s="71" t="s">
        <v>1769</v>
      </c>
      <c r="C9" s="515">
        <v>890418.42</v>
      </c>
      <c r="D9" s="516">
        <v>98461.25</v>
      </c>
      <c r="E9" s="832">
        <v>31868.58</v>
      </c>
      <c r="F9" s="516">
        <v>104621.35</v>
      </c>
      <c r="G9" s="832">
        <v>6331.97</v>
      </c>
      <c r="H9" s="516">
        <v>44434.92</v>
      </c>
      <c r="I9" s="515">
        <v>11099.14</v>
      </c>
      <c r="J9" s="516">
        <v>9004.0499999999993</v>
      </c>
      <c r="K9" s="515">
        <v>2175.9499999999998</v>
      </c>
      <c r="L9" s="516">
        <v>22549.84</v>
      </c>
      <c r="M9" s="832">
        <v>78087.960000000006</v>
      </c>
      <c r="N9" s="516">
        <v>42007.14</v>
      </c>
      <c r="O9" s="832">
        <v>5852.82</v>
      </c>
      <c r="P9" s="516">
        <v>30017.85</v>
      </c>
      <c r="Q9" s="516" t="s">
        <v>2317</v>
      </c>
      <c r="R9" s="832">
        <v>3015.41</v>
      </c>
      <c r="S9" s="516">
        <v>4226.16</v>
      </c>
      <c r="T9" s="832">
        <v>2951.38</v>
      </c>
      <c r="U9" s="516">
        <v>87171.67</v>
      </c>
      <c r="V9" s="832">
        <v>9430.74</v>
      </c>
      <c r="W9" s="516">
        <v>96611.01</v>
      </c>
      <c r="X9" s="832">
        <v>20649.72</v>
      </c>
      <c r="Y9" s="516">
        <v>22622.82</v>
      </c>
      <c r="Z9" s="832">
        <v>44445.1</v>
      </c>
      <c r="AA9" s="516">
        <v>53648.959999999999</v>
      </c>
      <c r="AB9" s="832">
        <v>16866.79</v>
      </c>
      <c r="AC9" s="516">
        <v>31380.22</v>
      </c>
      <c r="AD9" s="832">
        <v>10885.62</v>
      </c>
      <c r="AE9" s="516" t="s">
        <v>2317</v>
      </c>
    </row>
    <row r="10" spans="1:31" ht="14" thickBot="1">
      <c r="A10" s="70">
        <v>32</v>
      </c>
      <c r="B10" s="71" t="s">
        <v>1770</v>
      </c>
      <c r="C10" s="515">
        <v>31886.81</v>
      </c>
      <c r="D10" s="516">
        <v>7612.42</v>
      </c>
      <c r="E10" s="832">
        <v>488.16</v>
      </c>
      <c r="F10" s="516">
        <v>181.33</v>
      </c>
      <c r="G10" s="832">
        <v>9.58</v>
      </c>
      <c r="H10" s="516">
        <v>182.67</v>
      </c>
      <c r="I10" s="515">
        <v>73.92</v>
      </c>
      <c r="J10" s="516">
        <v>57.5</v>
      </c>
      <c r="K10" s="515">
        <v>30.83</v>
      </c>
      <c r="L10" s="516">
        <v>214.58</v>
      </c>
      <c r="M10" s="832">
        <v>137.5</v>
      </c>
      <c r="N10" s="516">
        <v>324</v>
      </c>
      <c r="O10" s="832">
        <v>146</v>
      </c>
      <c r="P10" s="516">
        <v>365.83</v>
      </c>
      <c r="Q10" s="516" t="s">
        <v>2317</v>
      </c>
      <c r="R10" s="832">
        <v>116.75</v>
      </c>
      <c r="S10" s="516">
        <v>35.409999999999997</v>
      </c>
      <c r="T10" s="1006">
        <v>6</v>
      </c>
      <c r="U10" s="833">
        <v>304.92</v>
      </c>
      <c r="V10" s="1006">
        <v>1920.66</v>
      </c>
      <c r="W10" s="516">
        <v>17545.080000000002</v>
      </c>
      <c r="X10" s="832">
        <v>855.01</v>
      </c>
      <c r="Y10" s="833">
        <v>412.5</v>
      </c>
      <c r="Z10" s="832">
        <v>418.84</v>
      </c>
      <c r="AA10" s="516">
        <v>102.59</v>
      </c>
      <c r="AB10" s="1006">
        <v>37.33</v>
      </c>
      <c r="AC10" s="833">
        <v>293.91000000000003</v>
      </c>
      <c r="AD10" s="1006">
        <v>13.42</v>
      </c>
      <c r="AE10" s="833" t="s">
        <v>2317</v>
      </c>
    </row>
    <row r="11" spans="1:31" ht="14" thickBot="1">
      <c r="A11" s="70">
        <v>57</v>
      </c>
      <c r="B11" s="71" t="s">
        <v>1771</v>
      </c>
      <c r="C11" s="515">
        <v>8928.67</v>
      </c>
      <c r="D11" s="516">
        <v>513.66</v>
      </c>
      <c r="E11" s="832">
        <v>1081.8399999999999</v>
      </c>
      <c r="F11" s="516">
        <v>26.59</v>
      </c>
      <c r="G11" s="832">
        <v>3</v>
      </c>
      <c r="H11" s="516">
        <v>12.5</v>
      </c>
      <c r="I11" s="515">
        <v>7</v>
      </c>
      <c r="J11" s="516">
        <v>0.25</v>
      </c>
      <c r="K11" s="515">
        <v>10</v>
      </c>
      <c r="L11" s="516">
        <v>3.67</v>
      </c>
      <c r="M11" s="832">
        <v>112.99</v>
      </c>
      <c r="N11" s="516">
        <v>559.75</v>
      </c>
      <c r="O11" s="832">
        <v>94.58</v>
      </c>
      <c r="P11" s="516">
        <v>367.33</v>
      </c>
      <c r="Q11" s="516" t="s">
        <v>2317</v>
      </c>
      <c r="R11" s="832">
        <v>9.5</v>
      </c>
      <c r="S11" s="516">
        <v>3</v>
      </c>
      <c r="T11" s="1006" t="s">
        <v>2317</v>
      </c>
      <c r="U11" s="833">
        <v>79.67</v>
      </c>
      <c r="V11" s="1006">
        <v>43.92</v>
      </c>
      <c r="W11" s="516">
        <v>557.49</v>
      </c>
      <c r="X11" s="832">
        <v>69.42</v>
      </c>
      <c r="Y11" s="833">
        <v>258.83</v>
      </c>
      <c r="Z11" s="832">
        <v>2496.83</v>
      </c>
      <c r="AA11" s="516">
        <v>805.25</v>
      </c>
      <c r="AB11" s="1006">
        <v>55.75</v>
      </c>
      <c r="AC11" s="833">
        <v>1744.51</v>
      </c>
      <c r="AD11" s="1006">
        <v>11.33</v>
      </c>
      <c r="AE11" s="833" t="s">
        <v>2317</v>
      </c>
    </row>
    <row r="12" spans="1:31" ht="14" thickBot="1">
      <c r="A12" s="70">
        <v>62</v>
      </c>
      <c r="B12" s="71" t="s">
        <v>1772</v>
      </c>
      <c r="C12" s="515">
        <v>39046.25</v>
      </c>
      <c r="D12" s="516">
        <v>1725.83</v>
      </c>
      <c r="E12" s="832">
        <v>1232.17</v>
      </c>
      <c r="F12" s="516">
        <v>147.91999999999999</v>
      </c>
      <c r="G12" s="832">
        <v>28.67</v>
      </c>
      <c r="H12" s="516">
        <v>78.33</v>
      </c>
      <c r="I12" s="515">
        <v>13.08</v>
      </c>
      <c r="J12" s="516">
        <v>30.58</v>
      </c>
      <c r="K12" s="515">
        <v>28</v>
      </c>
      <c r="L12" s="516">
        <v>68.08</v>
      </c>
      <c r="M12" s="832">
        <v>941.17</v>
      </c>
      <c r="N12" s="516">
        <v>176.5</v>
      </c>
      <c r="O12" s="832">
        <v>226.58</v>
      </c>
      <c r="P12" s="516">
        <v>324.08</v>
      </c>
      <c r="Q12" s="516" t="s">
        <v>2317</v>
      </c>
      <c r="R12" s="832">
        <v>53.83</v>
      </c>
      <c r="S12" s="516">
        <v>45</v>
      </c>
      <c r="T12" s="1006">
        <v>6</v>
      </c>
      <c r="U12" s="833">
        <v>188</v>
      </c>
      <c r="V12" s="1006">
        <v>153.33000000000001</v>
      </c>
      <c r="W12" s="516">
        <v>214.67</v>
      </c>
      <c r="X12" s="832">
        <v>135.41999999999999</v>
      </c>
      <c r="Y12" s="833">
        <v>9924.33</v>
      </c>
      <c r="Z12" s="832">
        <v>16773.919999999998</v>
      </c>
      <c r="AA12" s="516">
        <v>1475.08</v>
      </c>
      <c r="AB12" s="1006">
        <v>1327.58</v>
      </c>
      <c r="AC12" s="833">
        <v>3602.75</v>
      </c>
      <c r="AD12" s="1006">
        <v>125.33</v>
      </c>
      <c r="AE12" s="833" t="s">
        <v>2317</v>
      </c>
    </row>
    <row r="13" spans="1:31" ht="14" thickBot="1">
      <c r="A13" s="70">
        <v>97</v>
      </c>
      <c r="B13" s="71" t="s">
        <v>1773</v>
      </c>
      <c r="C13" s="515">
        <v>969.82</v>
      </c>
      <c r="D13" s="516">
        <v>48.92</v>
      </c>
      <c r="E13" s="832">
        <v>8.33</v>
      </c>
      <c r="F13" s="516">
        <v>4.25</v>
      </c>
      <c r="G13" s="832" t="s">
        <v>2317</v>
      </c>
      <c r="H13" s="516">
        <v>3.75</v>
      </c>
      <c r="I13" s="515" t="s">
        <v>2317</v>
      </c>
      <c r="J13" s="516">
        <v>2</v>
      </c>
      <c r="K13" s="515">
        <v>833.5</v>
      </c>
      <c r="L13" s="516" t="s">
        <v>2317</v>
      </c>
      <c r="M13" s="832">
        <v>2</v>
      </c>
      <c r="N13" s="516">
        <v>1</v>
      </c>
      <c r="O13" s="832" t="s">
        <v>2317</v>
      </c>
      <c r="P13" s="516">
        <v>12.67</v>
      </c>
      <c r="Q13" s="516" t="s">
        <v>2317</v>
      </c>
      <c r="R13" s="832">
        <v>1</v>
      </c>
      <c r="S13" s="516" t="s">
        <v>2317</v>
      </c>
      <c r="T13" s="1006" t="s">
        <v>2317</v>
      </c>
      <c r="U13" s="833">
        <v>25.75</v>
      </c>
      <c r="V13" s="1006">
        <v>4</v>
      </c>
      <c r="W13" s="516">
        <v>7.33</v>
      </c>
      <c r="X13" s="832">
        <v>11.33</v>
      </c>
      <c r="Y13" s="833">
        <v>1</v>
      </c>
      <c r="Z13" s="832" t="s">
        <v>2317</v>
      </c>
      <c r="AA13" s="516">
        <v>1</v>
      </c>
      <c r="AB13" s="1006" t="s">
        <v>2317</v>
      </c>
      <c r="AC13" s="833">
        <v>2</v>
      </c>
      <c r="AD13" s="1006" t="s">
        <v>2317</v>
      </c>
      <c r="AE13" s="833" t="s">
        <v>2317</v>
      </c>
    </row>
    <row r="14" spans="1:31" ht="14" thickBot="1">
      <c r="A14" s="70">
        <v>134</v>
      </c>
      <c r="B14" s="71" t="s">
        <v>1774</v>
      </c>
      <c r="C14" s="515">
        <v>3709.42</v>
      </c>
      <c r="D14" s="516">
        <v>113.91</v>
      </c>
      <c r="E14" s="832" t="s">
        <v>2317</v>
      </c>
      <c r="F14" s="516">
        <v>10.92</v>
      </c>
      <c r="G14" s="832">
        <v>2.92</v>
      </c>
      <c r="H14" s="516">
        <v>3524.25</v>
      </c>
      <c r="I14" s="515" t="s">
        <v>2317</v>
      </c>
      <c r="J14" s="516" t="s">
        <v>2317</v>
      </c>
      <c r="K14" s="515">
        <v>4</v>
      </c>
      <c r="L14" s="516">
        <v>23.25</v>
      </c>
      <c r="M14" s="832" t="s">
        <v>2317</v>
      </c>
      <c r="N14" s="516" t="s">
        <v>2317</v>
      </c>
      <c r="O14" s="832" t="s">
        <v>2317</v>
      </c>
      <c r="P14" s="516" t="s">
        <v>2317</v>
      </c>
      <c r="Q14" s="516" t="s">
        <v>2317</v>
      </c>
      <c r="R14" s="832" t="s">
        <v>2317</v>
      </c>
      <c r="S14" s="516" t="s">
        <v>2317</v>
      </c>
      <c r="T14" s="1006" t="s">
        <v>2317</v>
      </c>
      <c r="U14" s="833">
        <v>30.17</v>
      </c>
      <c r="V14" s="1006" t="s">
        <v>2317</v>
      </c>
      <c r="W14" s="516" t="s">
        <v>2317</v>
      </c>
      <c r="X14" s="832" t="s">
        <v>2317</v>
      </c>
      <c r="Y14" s="833" t="s">
        <v>2317</v>
      </c>
      <c r="Z14" s="832" t="s">
        <v>2317</v>
      </c>
      <c r="AA14" s="516" t="s">
        <v>2317</v>
      </c>
      <c r="AB14" s="1006" t="s">
        <v>2317</v>
      </c>
      <c r="AC14" s="833" t="s">
        <v>2317</v>
      </c>
      <c r="AD14" s="1006" t="s">
        <v>2317</v>
      </c>
      <c r="AE14" s="833" t="s">
        <v>2317</v>
      </c>
    </row>
    <row r="15" spans="1:31" ht="14" thickBot="1">
      <c r="A15" s="70">
        <v>160</v>
      </c>
      <c r="B15" s="71" t="s">
        <v>1775</v>
      </c>
      <c r="C15" s="515">
        <v>35579.17</v>
      </c>
      <c r="D15" s="516">
        <v>362.75</v>
      </c>
      <c r="E15" s="832">
        <v>9791.27</v>
      </c>
      <c r="F15" s="516">
        <v>74.25</v>
      </c>
      <c r="G15" s="832">
        <v>0.5</v>
      </c>
      <c r="H15" s="516">
        <v>13.75</v>
      </c>
      <c r="I15" s="515">
        <v>13.83</v>
      </c>
      <c r="J15" s="516">
        <v>19.75</v>
      </c>
      <c r="K15" s="515">
        <v>12.08</v>
      </c>
      <c r="L15" s="516">
        <v>14.75</v>
      </c>
      <c r="M15" s="832">
        <v>12963.59</v>
      </c>
      <c r="N15" s="516">
        <v>167.5</v>
      </c>
      <c r="O15" s="832">
        <v>20.170000000000002</v>
      </c>
      <c r="P15" s="516">
        <v>44.92</v>
      </c>
      <c r="Q15" s="516" t="s">
        <v>2317</v>
      </c>
      <c r="R15" s="832">
        <v>1.34</v>
      </c>
      <c r="S15" s="516">
        <v>10.5</v>
      </c>
      <c r="T15" s="1006">
        <v>0.92</v>
      </c>
      <c r="U15" s="833">
        <v>799.59</v>
      </c>
      <c r="V15" s="1006">
        <v>27.08</v>
      </c>
      <c r="W15" s="516">
        <v>1329.34</v>
      </c>
      <c r="X15" s="832">
        <v>40.409999999999997</v>
      </c>
      <c r="Y15" s="833">
        <v>18.829999999999998</v>
      </c>
      <c r="Z15" s="832">
        <v>845.76</v>
      </c>
      <c r="AA15" s="516">
        <v>134.75</v>
      </c>
      <c r="AB15" s="1006">
        <v>7443.78</v>
      </c>
      <c r="AC15" s="833">
        <v>1140.08</v>
      </c>
      <c r="AD15" s="1006">
        <v>287.5</v>
      </c>
      <c r="AE15" s="833" t="s">
        <v>2317</v>
      </c>
    </row>
    <row r="16" spans="1:31" ht="14" thickBot="1">
      <c r="A16" s="70">
        <v>182</v>
      </c>
      <c r="B16" s="71" t="s">
        <v>1387</v>
      </c>
      <c r="C16" s="515">
        <v>60737.25</v>
      </c>
      <c r="D16" s="516">
        <v>39612.33</v>
      </c>
      <c r="E16" s="832">
        <v>2166.17</v>
      </c>
      <c r="F16" s="516">
        <v>377.58</v>
      </c>
      <c r="G16" s="832">
        <v>17.920000000000002</v>
      </c>
      <c r="H16" s="516">
        <v>303.42</v>
      </c>
      <c r="I16" s="515">
        <v>70</v>
      </c>
      <c r="J16" s="516">
        <v>37</v>
      </c>
      <c r="K16" s="515">
        <v>43.25</v>
      </c>
      <c r="L16" s="516">
        <v>144.25</v>
      </c>
      <c r="M16" s="832">
        <v>174.5</v>
      </c>
      <c r="N16" s="516">
        <v>1905.17</v>
      </c>
      <c r="O16" s="832">
        <v>145</v>
      </c>
      <c r="P16" s="516">
        <v>475.5</v>
      </c>
      <c r="Q16" s="516" t="s">
        <v>2317</v>
      </c>
      <c r="R16" s="832">
        <v>887.25</v>
      </c>
      <c r="S16" s="516">
        <v>130.41999999999999</v>
      </c>
      <c r="T16" s="1006">
        <v>21.33</v>
      </c>
      <c r="U16" s="833">
        <v>5912.75</v>
      </c>
      <c r="V16" s="1006">
        <v>209.75</v>
      </c>
      <c r="W16" s="516">
        <v>2667.67</v>
      </c>
      <c r="X16" s="832">
        <v>3900.42</v>
      </c>
      <c r="Y16" s="833">
        <v>89</v>
      </c>
      <c r="Z16" s="832">
        <v>423.08</v>
      </c>
      <c r="AA16" s="516">
        <v>73.42</v>
      </c>
      <c r="AB16" s="1006">
        <v>76.83</v>
      </c>
      <c r="AC16" s="833">
        <v>852.25</v>
      </c>
      <c r="AD16" s="1006">
        <v>21</v>
      </c>
      <c r="AE16" s="833" t="s">
        <v>2317</v>
      </c>
    </row>
    <row r="17" spans="1:31" ht="14" thickBot="1">
      <c r="A17" s="70">
        <v>194</v>
      </c>
      <c r="B17" s="71" t="s">
        <v>1777</v>
      </c>
      <c r="C17" s="515">
        <v>24660.15</v>
      </c>
      <c r="D17" s="516">
        <v>792.16</v>
      </c>
      <c r="E17" s="832">
        <v>21628</v>
      </c>
      <c r="F17" s="516">
        <v>154.25</v>
      </c>
      <c r="G17" s="832">
        <v>8.58</v>
      </c>
      <c r="H17" s="516">
        <v>66.33</v>
      </c>
      <c r="I17" s="515">
        <v>10.42</v>
      </c>
      <c r="J17" s="516">
        <v>9.75</v>
      </c>
      <c r="K17" s="515">
        <v>9</v>
      </c>
      <c r="L17" s="516">
        <v>39.92</v>
      </c>
      <c r="M17" s="832">
        <v>225.5</v>
      </c>
      <c r="N17" s="516">
        <v>587.5</v>
      </c>
      <c r="O17" s="832">
        <v>74.75</v>
      </c>
      <c r="P17" s="516">
        <v>216.17</v>
      </c>
      <c r="Q17" s="516" t="s">
        <v>2317</v>
      </c>
      <c r="R17" s="832">
        <v>46.08</v>
      </c>
      <c r="S17" s="516">
        <v>18</v>
      </c>
      <c r="T17" s="1006">
        <v>5</v>
      </c>
      <c r="U17" s="833">
        <v>74.75</v>
      </c>
      <c r="V17" s="1006">
        <v>52.75</v>
      </c>
      <c r="W17" s="516">
        <v>503</v>
      </c>
      <c r="X17" s="832">
        <v>97.42</v>
      </c>
      <c r="Y17" s="833" t="s">
        <v>2317</v>
      </c>
      <c r="Z17" s="832" t="s">
        <v>2317</v>
      </c>
      <c r="AA17" s="516">
        <v>40.840000000000003</v>
      </c>
      <c r="AB17" s="1006" t="s">
        <v>2317</v>
      </c>
      <c r="AC17" s="833" t="s">
        <v>2317</v>
      </c>
      <c r="AD17" s="1006" t="s">
        <v>2317</v>
      </c>
      <c r="AE17" s="833" t="s">
        <v>2317</v>
      </c>
    </row>
    <row r="18" spans="1:31" ht="14" thickBot="1">
      <c r="A18" s="70">
        <v>216</v>
      </c>
      <c r="B18" s="71" t="s">
        <v>1778</v>
      </c>
      <c r="C18" s="515">
        <v>1852.42</v>
      </c>
      <c r="D18" s="516">
        <v>1</v>
      </c>
      <c r="E18" s="832">
        <v>5.75</v>
      </c>
      <c r="F18" s="516" t="s">
        <v>2317</v>
      </c>
      <c r="G18" s="832" t="s">
        <v>2317</v>
      </c>
      <c r="H18" s="516">
        <v>1</v>
      </c>
      <c r="I18" s="515" t="s">
        <v>2317</v>
      </c>
      <c r="J18" s="516" t="s">
        <v>2317</v>
      </c>
      <c r="K18" s="515">
        <v>9.75</v>
      </c>
      <c r="L18" s="516">
        <v>0.33</v>
      </c>
      <c r="M18" s="832">
        <v>31.17</v>
      </c>
      <c r="N18" s="516" t="s">
        <v>2317</v>
      </c>
      <c r="O18" s="832">
        <v>0.5</v>
      </c>
      <c r="P18" s="516" t="s">
        <v>2317</v>
      </c>
      <c r="Q18" s="516" t="s">
        <v>2317</v>
      </c>
      <c r="R18" s="832" t="s">
        <v>2317</v>
      </c>
      <c r="S18" s="516" t="s">
        <v>2317</v>
      </c>
      <c r="T18" s="1006" t="s">
        <v>2317</v>
      </c>
      <c r="U18" s="833">
        <v>2</v>
      </c>
      <c r="V18" s="1006" t="s">
        <v>2317</v>
      </c>
      <c r="W18" s="516">
        <v>1</v>
      </c>
      <c r="X18" s="832" t="s">
        <v>2317</v>
      </c>
      <c r="Y18" s="833">
        <v>2.25</v>
      </c>
      <c r="Z18" s="832">
        <v>672.58</v>
      </c>
      <c r="AA18" s="516">
        <v>1099.4100000000001</v>
      </c>
      <c r="AB18" s="1006">
        <v>8.67</v>
      </c>
      <c r="AC18" s="833">
        <v>17</v>
      </c>
      <c r="AD18" s="1006" t="s">
        <v>2317</v>
      </c>
      <c r="AE18" s="833" t="s">
        <v>2317</v>
      </c>
    </row>
    <row r="19" spans="1:31" ht="14" thickBot="1">
      <c r="A19" s="70">
        <v>246</v>
      </c>
      <c r="B19" s="71" t="s">
        <v>1779</v>
      </c>
      <c r="C19" s="515">
        <v>9749.3700000000008</v>
      </c>
      <c r="D19" s="516">
        <v>753.39</v>
      </c>
      <c r="E19" s="832">
        <v>7899.87</v>
      </c>
      <c r="F19" s="516" t="s">
        <v>2317</v>
      </c>
      <c r="G19" s="832" t="s">
        <v>2317</v>
      </c>
      <c r="H19" s="516" t="s">
        <v>2317</v>
      </c>
      <c r="I19" s="515" t="s">
        <v>2317</v>
      </c>
      <c r="J19" s="516" t="s">
        <v>2317</v>
      </c>
      <c r="K19" s="515" t="s">
        <v>2317</v>
      </c>
      <c r="L19" s="516" t="s">
        <v>2317</v>
      </c>
      <c r="M19" s="832" t="s">
        <v>2317</v>
      </c>
      <c r="N19" s="516">
        <v>412.2</v>
      </c>
      <c r="O19" s="832" t="s">
        <v>2317</v>
      </c>
      <c r="P19" s="516" t="s">
        <v>2317</v>
      </c>
      <c r="Q19" s="516" t="s">
        <v>2317</v>
      </c>
      <c r="R19" s="832" t="s">
        <v>2317</v>
      </c>
      <c r="S19" s="516" t="s">
        <v>2317</v>
      </c>
      <c r="T19" s="1006" t="s">
        <v>2317</v>
      </c>
      <c r="U19" s="833" t="s">
        <v>2317</v>
      </c>
      <c r="V19" s="1006" t="s">
        <v>2317</v>
      </c>
      <c r="W19" s="516">
        <v>683.91</v>
      </c>
      <c r="X19" s="832" t="s">
        <v>2317</v>
      </c>
      <c r="Y19" s="833" t="s">
        <v>2317</v>
      </c>
      <c r="Z19" s="832" t="s">
        <v>2317</v>
      </c>
      <c r="AA19" s="516" t="s">
        <v>2317</v>
      </c>
      <c r="AB19" s="1006" t="s">
        <v>2317</v>
      </c>
      <c r="AC19" s="833" t="s">
        <v>2317</v>
      </c>
      <c r="AD19" s="1006" t="s">
        <v>2317</v>
      </c>
      <c r="AE19" s="833" t="s">
        <v>2317</v>
      </c>
    </row>
    <row r="20" spans="1:31" ht="14" thickBot="1">
      <c r="A20" s="70">
        <v>261</v>
      </c>
      <c r="B20" s="71" t="s">
        <v>1780</v>
      </c>
      <c r="C20" s="515">
        <v>22549.25</v>
      </c>
      <c r="D20" s="516">
        <v>1140.42</v>
      </c>
      <c r="E20" s="832">
        <v>1206.75</v>
      </c>
      <c r="F20" s="516">
        <v>131.34</v>
      </c>
      <c r="G20" s="832">
        <v>15.41</v>
      </c>
      <c r="H20" s="516">
        <v>107.09</v>
      </c>
      <c r="I20" s="515">
        <v>32.25</v>
      </c>
      <c r="J20" s="516">
        <v>34.5</v>
      </c>
      <c r="K20" s="515">
        <v>141.41</v>
      </c>
      <c r="L20" s="516">
        <v>91.42</v>
      </c>
      <c r="M20" s="832">
        <v>0.08</v>
      </c>
      <c r="N20" s="516">
        <v>325.42</v>
      </c>
      <c r="O20" s="832">
        <v>65.17</v>
      </c>
      <c r="P20" s="516">
        <v>82.49</v>
      </c>
      <c r="Q20" s="516" t="s">
        <v>2317</v>
      </c>
      <c r="R20" s="832">
        <v>4980.25</v>
      </c>
      <c r="S20" s="516">
        <v>412.33</v>
      </c>
      <c r="T20" s="1006">
        <v>51.67</v>
      </c>
      <c r="U20" s="833">
        <v>2782.25</v>
      </c>
      <c r="V20" s="1006">
        <v>190.83</v>
      </c>
      <c r="W20" s="516">
        <v>778.58</v>
      </c>
      <c r="X20" s="832">
        <v>9979.59</v>
      </c>
      <c r="Y20" s="833" t="s">
        <v>2317</v>
      </c>
      <c r="Z20" s="832" t="s">
        <v>2317</v>
      </c>
      <c r="AA20" s="516" t="s">
        <v>2317</v>
      </c>
      <c r="AB20" s="1006" t="s">
        <v>2317</v>
      </c>
      <c r="AC20" s="833" t="s">
        <v>2317</v>
      </c>
      <c r="AD20" s="1006" t="s">
        <v>2317</v>
      </c>
      <c r="AE20" s="833" t="s">
        <v>2317</v>
      </c>
    </row>
    <row r="21" spans="1:31" ht="14" thickBot="1">
      <c r="A21" s="70">
        <v>263</v>
      </c>
      <c r="B21" s="71" t="s">
        <v>1781</v>
      </c>
      <c r="C21" s="515">
        <v>63559.42</v>
      </c>
      <c r="D21" s="516">
        <v>683.83</v>
      </c>
      <c r="E21" s="832">
        <v>535.16</v>
      </c>
      <c r="F21" s="516">
        <v>4573.6499999999996</v>
      </c>
      <c r="G21" s="832">
        <v>254.08</v>
      </c>
      <c r="H21" s="516">
        <v>85.5</v>
      </c>
      <c r="I21" s="515">
        <v>191.25</v>
      </c>
      <c r="J21" s="516">
        <v>187.33</v>
      </c>
      <c r="K21" s="515">
        <v>76.34</v>
      </c>
      <c r="L21" s="516">
        <v>2449.21</v>
      </c>
      <c r="M21" s="832">
        <v>1963.83</v>
      </c>
      <c r="N21" s="516">
        <v>101.58</v>
      </c>
      <c r="O21" s="832">
        <v>41.42</v>
      </c>
      <c r="P21" s="516">
        <v>39.75</v>
      </c>
      <c r="Q21" s="516" t="s">
        <v>2317</v>
      </c>
      <c r="R21" s="832">
        <v>74.42</v>
      </c>
      <c r="S21" s="516">
        <v>14.42</v>
      </c>
      <c r="T21" s="1006">
        <v>2.5</v>
      </c>
      <c r="U21" s="833">
        <v>113.83</v>
      </c>
      <c r="V21" s="1006">
        <v>38.159999999999997</v>
      </c>
      <c r="W21" s="516">
        <v>281.25</v>
      </c>
      <c r="X21" s="832">
        <v>150.59</v>
      </c>
      <c r="Y21" s="833">
        <v>426.58</v>
      </c>
      <c r="Z21" s="832">
        <v>47134.79</v>
      </c>
      <c r="AA21" s="516">
        <v>2304.83</v>
      </c>
      <c r="AB21" s="1006">
        <v>230.92</v>
      </c>
      <c r="AC21" s="833">
        <v>1380.82</v>
      </c>
      <c r="AD21" s="1006">
        <v>223</v>
      </c>
      <c r="AE21" s="833" t="s">
        <v>2317</v>
      </c>
    </row>
    <row r="22" spans="1:31" ht="14" thickBot="1">
      <c r="A22" s="70">
        <v>290</v>
      </c>
      <c r="B22" s="71" t="s">
        <v>1961</v>
      </c>
      <c r="C22" s="515">
        <v>518890.42</v>
      </c>
      <c r="D22" s="516">
        <v>70199.75</v>
      </c>
      <c r="E22" s="832">
        <v>27296.92</v>
      </c>
      <c r="F22" s="516">
        <v>92611.75</v>
      </c>
      <c r="G22" s="832">
        <v>8944.25</v>
      </c>
      <c r="H22" s="516">
        <v>23115</v>
      </c>
      <c r="I22" s="515">
        <v>9702.17</v>
      </c>
      <c r="J22" s="516">
        <v>11498.17</v>
      </c>
      <c r="K22" s="515">
        <v>3466.92</v>
      </c>
      <c r="L22" s="516">
        <v>19414.25</v>
      </c>
      <c r="M22" s="832">
        <v>15892.67</v>
      </c>
      <c r="N22" s="516">
        <v>12014.17</v>
      </c>
      <c r="O22" s="832">
        <v>6658.92</v>
      </c>
      <c r="P22" s="516">
        <v>17676.919999999998</v>
      </c>
      <c r="Q22" s="516" t="s">
        <v>2317</v>
      </c>
      <c r="R22" s="832">
        <v>4356.33</v>
      </c>
      <c r="S22" s="516">
        <v>1702.75</v>
      </c>
      <c r="T22" s="1006">
        <v>1281.42</v>
      </c>
      <c r="U22" s="833">
        <v>34730.92</v>
      </c>
      <c r="V22" s="1006">
        <v>6589.92</v>
      </c>
      <c r="W22" s="516">
        <v>87887.17</v>
      </c>
      <c r="X22" s="832">
        <v>14221.92</v>
      </c>
      <c r="Y22" s="833">
        <v>14754.92</v>
      </c>
      <c r="Z22" s="832">
        <v>7385.58</v>
      </c>
      <c r="AA22" s="516">
        <v>9266.75</v>
      </c>
      <c r="AB22" s="1006">
        <v>3579.83</v>
      </c>
      <c r="AC22" s="833">
        <v>8883.58</v>
      </c>
      <c r="AD22" s="1006">
        <v>5087.92</v>
      </c>
      <c r="AE22" s="833">
        <v>669.58</v>
      </c>
    </row>
    <row r="23" spans="1:31" ht="14" thickBot="1">
      <c r="A23" s="70">
        <v>294</v>
      </c>
      <c r="B23" s="71" t="s">
        <v>1783</v>
      </c>
      <c r="C23" s="515">
        <v>4694.84</v>
      </c>
      <c r="D23" s="516">
        <v>15.58</v>
      </c>
      <c r="E23" s="832">
        <v>9.83</v>
      </c>
      <c r="F23" s="516">
        <v>4331.01</v>
      </c>
      <c r="G23" s="832" t="s">
        <v>2317</v>
      </c>
      <c r="H23" s="516">
        <v>2.34</v>
      </c>
      <c r="I23" s="515">
        <v>270.83</v>
      </c>
      <c r="J23" s="516">
        <v>9.33</v>
      </c>
      <c r="K23" s="515">
        <v>5</v>
      </c>
      <c r="L23" s="516">
        <v>13.25</v>
      </c>
      <c r="M23" s="832">
        <v>1</v>
      </c>
      <c r="N23" s="516">
        <v>2.5</v>
      </c>
      <c r="O23" s="832">
        <v>0.41</v>
      </c>
      <c r="P23" s="516">
        <v>2.09</v>
      </c>
      <c r="Q23" s="516" t="s">
        <v>2317</v>
      </c>
      <c r="R23" s="832">
        <v>0.75</v>
      </c>
      <c r="S23" s="516">
        <v>1.25</v>
      </c>
      <c r="T23" s="1006" t="s">
        <v>2317</v>
      </c>
      <c r="U23" s="833">
        <v>1</v>
      </c>
      <c r="V23" s="1006">
        <v>0.57999999999999996</v>
      </c>
      <c r="W23" s="516">
        <v>12</v>
      </c>
      <c r="X23" s="832" t="s">
        <v>2317</v>
      </c>
      <c r="Y23" s="833" t="s">
        <v>2317</v>
      </c>
      <c r="Z23" s="832">
        <v>1.92</v>
      </c>
      <c r="AA23" s="516">
        <v>1.25</v>
      </c>
      <c r="AB23" s="1006">
        <v>12.92</v>
      </c>
      <c r="AC23" s="833" t="s">
        <v>2317</v>
      </c>
      <c r="AD23" s="1006" t="s">
        <v>2317</v>
      </c>
      <c r="AE23" s="833" t="s">
        <v>2317</v>
      </c>
    </row>
    <row r="24" spans="1:31" ht="14" thickBot="1">
      <c r="A24" s="70">
        <v>312</v>
      </c>
      <c r="B24" s="71" t="s">
        <v>1784</v>
      </c>
      <c r="C24" s="515">
        <v>160023.42000000001</v>
      </c>
      <c r="D24" s="516">
        <v>32361.17</v>
      </c>
      <c r="E24" s="832">
        <v>17336.169999999998</v>
      </c>
      <c r="F24" s="516">
        <v>7084.58</v>
      </c>
      <c r="G24" s="832">
        <v>1504.58</v>
      </c>
      <c r="H24" s="516">
        <v>2979.33</v>
      </c>
      <c r="I24" s="515">
        <v>455.58</v>
      </c>
      <c r="J24" s="516">
        <v>426.67</v>
      </c>
      <c r="K24" s="515">
        <v>1053.5</v>
      </c>
      <c r="L24" s="516">
        <v>1689.17</v>
      </c>
      <c r="M24" s="832">
        <v>4074.17</v>
      </c>
      <c r="N24" s="516">
        <v>9655.42</v>
      </c>
      <c r="O24" s="832">
        <v>2784</v>
      </c>
      <c r="P24" s="516">
        <v>8385.42</v>
      </c>
      <c r="Q24" s="516" t="s">
        <v>2317</v>
      </c>
      <c r="R24" s="832">
        <v>2364.83</v>
      </c>
      <c r="S24" s="516">
        <v>943.67</v>
      </c>
      <c r="T24" s="1006">
        <v>81.83</v>
      </c>
      <c r="U24" s="833">
        <v>10005.33</v>
      </c>
      <c r="V24" s="1006">
        <v>1521.08</v>
      </c>
      <c r="W24" s="516">
        <v>19169.669999999998</v>
      </c>
      <c r="X24" s="832">
        <v>6903.08</v>
      </c>
      <c r="Y24" s="833">
        <v>10672.33</v>
      </c>
      <c r="Z24" s="832">
        <v>8894.17</v>
      </c>
      <c r="AA24" s="516">
        <v>5382.33</v>
      </c>
      <c r="AB24" s="1006">
        <v>1689.33</v>
      </c>
      <c r="AC24" s="833">
        <v>1586.83</v>
      </c>
      <c r="AD24" s="1006">
        <v>772.5</v>
      </c>
      <c r="AE24" s="833">
        <v>246.67</v>
      </c>
    </row>
    <row r="25" spans="1:31" ht="14" thickBot="1">
      <c r="A25" s="70">
        <v>343</v>
      </c>
      <c r="B25" s="71" t="s">
        <v>1785</v>
      </c>
      <c r="C25" s="515">
        <v>95618</v>
      </c>
      <c r="D25" s="516">
        <v>2538.92</v>
      </c>
      <c r="E25" s="832">
        <v>21642.37</v>
      </c>
      <c r="F25" s="516">
        <v>527.25</v>
      </c>
      <c r="G25" s="832">
        <v>7.67</v>
      </c>
      <c r="H25" s="516">
        <v>126.66</v>
      </c>
      <c r="I25" s="515">
        <v>30.42</v>
      </c>
      <c r="J25" s="516">
        <v>26.08</v>
      </c>
      <c r="K25" s="515">
        <v>2688.42</v>
      </c>
      <c r="L25" s="516">
        <v>74.5</v>
      </c>
      <c r="M25" s="832">
        <v>8473.49</v>
      </c>
      <c r="N25" s="516">
        <v>1083.3399999999999</v>
      </c>
      <c r="O25" s="832">
        <v>9070.7199999999993</v>
      </c>
      <c r="P25" s="516">
        <v>8594.32</v>
      </c>
      <c r="Q25" s="516" t="s">
        <v>2317</v>
      </c>
      <c r="R25" s="832">
        <v>795.08</v>
      </c>
      <c r="S25" s="516">
        <v>173</v>
      </c>
      <c r="T25" s="1006">
        <v>34</v>
      </c>
      <c r="U25" s="833">
        <v>3639.16</v>
      </c>
      <c r="V25" s="1006">
        <v>372.17</v>
      </c>
      <c r="W25" s="516">
        <v>12901.76</v>
      </c>
      <c r="X25" s="832">
        <v>295</v>
      </c>
      <c r="Y25" s="833">
        <v>1274.6600000000001</v>
      </c>
      <c r="Z25" s="832">
        <v>2631.82</v>
      </c>
      <c r="AA25" s="516">
        <v>747.67</v>
      </c>
      <c r="AB25" s="1006">
        <v>302.58</v>
      </c>
      <c r="AC25" s="833">
        <v>17423.46</v>
      </c>
      <c r="AD25" s="1006">
        <v>143.01</v>
      </c>
      <c r="AE25" s="833" t="s">
        <v>2317</v>
      </c>
    </row>
    <row r="26" spans="1:31" ht="14" thickBot="1">
      <c r="A26" s="70">
        <v>360</v>
      </c>
      <c r="B26" s="71" t="s">
        <v>1786</v>
      </c>
      <c r="C26" s="515">
        <v>15274.34</v>
      </c>
      <c r="D26" s="516">
        <v>864.92</v>
      </c>
      <c r="E26" s="832">
        <v>1540.16</v>
      </c>
      <c r="F26" s="516">
        <v>10667.34</v>
      </c>
      <c r="G26" s="832">
        <v>9.17</v>
      </c>
      <c r="H26" s="516">
        <v>62.84</v>
      </c>
      <c r="I26" s="515">
        <v>44.34</v>
      </c>
      <c r="J26" s="516">
        <v>94.17</v>
      </c>
      <c r="K26" s="515" t="s">
        <v>2317</v>
      </c>
      <c r="L26" s="516">
        <v>147.91999999999999</v>
      </c>
      <c r="M26" s="832" t="s">
        <v>2317</v>
      </c>
      <c r="N26" s="516">
        <v>467.5</v>
      </c>
      <c r="O26" s="832">
        <v>2.33</v>
      </c>
      <c r="P26" s="516">
        <v>2</v>
      </c>
      <c r="Q26" s="516" t="s">
        <v>2317</v>
      </c>
      <c r="R26" s="832" t="s">
        <v>2317</v>
      </c>
      <c r="S26" s="516" t="s">
        <v>2317</v>
      </c>
      <c r="T26" s="1006" t="s">
        <v>2317</v>
      </c>
      <c r="U26" s="833" t="s">
        <v>2317</v>
      </c>
      <c r="V26" s="1006">
        <v>1</v>
      </c>
      <c r="W26" s="516">
        <v>1368.67</v>
      </c>
      <c r="X26" s="832" t="s">
        <v>2317</v>
      </c>
      <c r="Y26" s="833" t="s">
        <v>2317</v>
      </c>
      <c r="Z26" s="832">
        <v>2</v>
      </c>
      <c r="AA26" s="516" t="s">
        <v>2317</v>
      </c>
      <c r="AB26" s="1006" t="s">
        <v>2317</v>
      </c>
      <c r="AC26" s="833" t="s">
        <v>2317</v>
      </c>
      <c r="AD26" s="1006" t="s">
        <v>2317</v>
      </c>
      <c r="AE26" s="833" t="s">
        <v>2317</v>
      </c>
    </row>
    <row r="27" spans="1:31" ht="14" thickBot="1">
      <c r="A27" s="70">
        <v>376</v>
      </c>
      <c r="B27" s="71" t="s">
        <v>1787</v>
      </c>
      <c r="C27" s="515">
        <v>291976</v>
      </c>
      <c r="D27" s="516">
        <v>38737</v>
      </c>
      <c r="E27" s="832">
        <v>81580</v>
      </c>
      <c r="F27" s="516">
        <v>9848</v>
      </c>
      <c r="G27" s="832">
        <v>1597</v>
      </c>
      <c r="H27" s="516">
        <v>2235</v>
      </c>
      <c r="I27" s="515">
        <v>456</v>
      </c>
      <c r="J27" s="516">
        <v>2692</v>
      </c>
      <c r="K27" s="515">
        <v>503</v>
      </c>
      <c r="L27" s="516">
        <v>2253</v>
      </c>
      <c r="M27" s="832">
        <v>12992</v>
      </c>
      <c r="N27" s="516">
        <v>7317</v>
      </c>
      <c r="O27" s="832">
        <v>2497</v>
      </c>
      <c r="P27" s="516">
        <v>7861</v>
      </c>
      <c r="Q27" s="516" t="s">
        <v>2317</v>
      </c>
      <c r="R27" s="832">
        <v>1212</v>
      </c>
      <c r="S27" s="516">
        <v>1325</v>
      </c>
      <c r="T27" s="1006">
        <v>292</v>
      </c>
      <c r="U27" s="833">
        <v>17289</v>
      </c>
      <c r="V27" s="1006">
        <v>8187</v>
      </c>
      <c r="W27" s="516">
        <v>9215</v>
      </c>
      <c r="X27" s="832">
        <v>3725</v>
      </c>
      <c r="Y27" s="833">
        <v>29344</v>
      </c>
      <c r="Z27" s="832">
        <v>24988</v>
      </c>
      <c r="AA27" s="516">
        <v>10163</v>
      </c>
      <c r="AB27" s="1006">
        <v>1157</v>
      </c>
      <c r="AC27" s="833">
        <v>13557</v>
      </c>
      <c r="AD27" s="1006">
        <v>901</v>
      </c>
      <c r="AE27" s="833">
        <v>53</v>
      </c>
    </row>
    <row r="28" spans="1:31" ht="14" thickBot="1">
      <c r="A28" s="70">
        <v>411</v>
      </c>
      <c r="B28" s="71" t="s">
        <v>1788</v>
      </c>
      <c r="C28" s="515">
        <v>29633</v>
      </c>
      <c r="D28" s="516">
        <v>2005</v>
      </c>
      <c r="E28" s="832">
        <v>909</v>
      </c>
      <c r="F28" s="516">
        <v>10316</v>
      </c>
      <c r="G28" s="832">
        <v>825</v>
      </c>
      <c r="H28" s="516">
        <v>1210</v>
      </c>
      <c r="I28" s="515">
        <v>572</v>
      </c>
      <c r="J28" s="516">
        <v>865</v>
      </c>
      <c r="K28" s="515">
        <v>208</v>
      </c>
      <c r="L28" s="516">
        <v>3200</v>
      </c>
      <c r="M28" s="832">
        <v>292</v>
      </c>
      <c r="N28" s="516">
        <v>414</v>
      </c>
      <c r="O28" s="832">
        <v>598</v>
      </c>
      <c r="P28" s="516">
        <v>297</v>
      </c>
      <c r="Q28" s="516" t="s">
        <v>2317</v>
      </c>
      <c r="R28" s="832">
        <v>172</v>
      </c>
      <c r="S28" s="516">
        <v>243</v>
      </c>
      <c r="T28" s="1006">
        <v>156</v>
      </c>
      <c r="U28" s="833">
        <v>1293</v>
      </c>
      <c r="V28" s="1006">
        <v>420</v>
      </c>
      <c r="W28" s="516">
        <v>4520</v>
      </c>
      <c r="X28" s="832">
        <v>479</v>
      </c>
      <c r="Y28" s="833">
        <v>133</v>
      </c>
      <c r="Z28" s="832">
        <v>80</v>
      </c>
      <c r="AA28" s="516">
        <v>193</v>
      </c>
      <c r="AB28" s="1006">
        <v>114</v>
      </c>
      <c r="AC28" s="833">
        <v>65</v>
      </c>
      <c r="AD28" s="1006">
        <v>51</v>
      </c>
      <c r="AE28" s="833">
        <v>3</v>
      </c>
    </row>
    <row r="29" spans="1:31" ht="14" thickBot="1">
      <c r="A29" s="70">
        <v>445</v>
      </c>
      <c r="B29" s="71" t="s">
        <v>1789</v>
      </c>
      <c r="C29" s="515">
        <v>68148.58</v>
      </c>
      <c r="D29" s="516">
        <v>20973.34</v>
      </c>
      <c r="E29" s="832">
        <v>10153.299999999999</v>
      </c>
      <c r="F29" s="516">
        <v>237.5</v>
      </c>
      <c r="G29" s="832">
        <v>28.41</v>
      </c>
      <c r="H29" s="516">
        <v>854.83</v>
      </c>
      <c r="I29" s="515">
        <v>26.91</v>
      </c>
      <c r="J29" s="516">
        <v>34</v>
      </c>
      <c r="K29" s="515">
        <v>61.84</v>
      </c>
      <c r="L29" s="516">
        <v>123.25</v>
      </c>
      <c r="M29" s="832">
        <v>1519.56</v>
      </c>
      <c r="N29" s="516">
        <v>718.91</v>
      </c>
      <c r="O29" s="832">
        <v>6464.32</v>
      </c>
      <c r="P29" s="516">
        <v>9389.31</v>
      </c>
      <c r="Q29" s="516" t="s">
        <v>2317</v>
      </c>
      <c r="R29" s="832">
        <v>277.5</v>
      </c>
      <c r="S29" s="516">
        <v>62.33</v>
      </c>
      <c r="T29" s="1006">
        <v>6</v>
      </c>
      <c r="U29" s="833">
        <v>668.67</v>
      </c>
      <c r="V29" s="1006">
        <v>2408.5100000000002</v>
      </c>
      <c r="W29" s="516">
        <v>1927.25</v>
      </c>
      <c r="X29" s="832">
        <v>413.35</v>
      </c>
      <c r="Y29" s="833">
        <v>2142.75</v>
      </c>
      <c r="Z29" s="832">
        <v>1961.07</v>
      </c>
      <c r="AA29" s="516">
        <v>1007.92</v>
      </c>
      <c r="AB29" s="1006">
        <v>4655.91</v>
      </c>
      <c r="AC29" s="833">
        <v>1674.84</v>
      </c>
      <c r="AD29" s="1006">
        <v>356.75</v>
      </c>
      <c r="AE29" s="833" t="s">
        <v>2317</v>
      </c>
    </row>
    <row r="30" spans="1:31" ht="14" thickBot="1">
      <c r="A30" s="70">
        <v>455</v>
      </c>
      <c r="B30" s="71" t="s">
        <v>1790</v>
      </c>
      <c r="C30" s="515">
        <v>150974.18</v>
      </c>
      <c r="D30" s="516">
        <v>27444.68</v>
      </c>
      <c r="E30" s="832">
        <v>982.23</v>
      </c>
      <c r="F30" s="516">
        <v>541.42999999999995</v>
      </c>
      <c r="G30" s="832">
        <v>66.48</v>
      </c>
      <c r="H30" s="516">
        <v>2470.17</v>
      </c>
      <c r="I30" s="515">
        <v>84.74</v>
      </c>
      <c r="J30" s="516">
        <v>51.75</v>
      </c>
      <c r="K30" s="515">
        <v>2523.5100000000002</v>
      </c>
      <c r="L30" s="516">
        <v>526.20000000000005</v>
      </c>
      <c r="M30" s="832">
        <v>84.09</v>
      </c>
      <c r="N30" s="516">
        <v>138</v>
      </c>
      <c r="O30" s="832">
        <v>429.58</v>
      </c>
      <c r="P30" s="516">
        <v>261.17</v>
      </c>
      <c r="Q30" s="516" t="s">
        <v>2317</v>
      </c>
      <c r="R30" s="832">
        <v>4149.75</v>
      </c>
      <c r="S30" s="516">
        <v>490.33</v>
      </c>
      <c r="T30" s="1006">
        <v>100.41</v>
      </c>
      <c r="U30" s="833">
        <v>9848.14</v>
      </c>
      <c r="V30" s="1006">
        <v>83246.94</v>
      </c>
      <c r="W30" s="516">
        <v>772.66</v>
      </c>
      <c r="X30" s="832">
        <v>8045.49</v>
      </c>
      <c r="Y30" s="833">
        <v>8535.65</v>
      </c>
      <c r="Z30" s="832">
        <v>35.42</v>
      </c>
      <c r="AA30" s="516">
        <v>87.91</v>
      </c>
      <c r="AB30" s="1006">
        <v>16.079999999999998</v>
      </c>
      <c r="AC30" s="833">
        <v>37.99</v>
      </c>
      <c r="AD30" s="1006">
        <v>3.33</v>
      </c>
      <c r="AE30" s="833" t="s">
        <v>2317</v>
      </c>
    </row>
    <row r="31" spans="1:31" ht="14" thickBot="1">
      <c r="A31" s="70">
        <v>484</v>
      </c>
      <c r="B31" s="71" t="s">
        <v>1791</v>
      </c>
      <c r="C31" s="515">
        <v>21270.92</v>
      </c>
      <c r="D31" s="516">
        <v>7304.92</v>
      </c>
      <c r="E31" s="832">
        <v>326.33</v>
      </c>
      <c r="F31" s="516">
        <v>167</v>
      </c>
      <c r="G31" s="832">
        <v>9.83</v>
      </c>
      <c r="H31" s="516">
        <v>80.92</v>
      </c>
      <c r="I31" s="515">
        <v>6.08</v>
      </c>
      <c r="J31" s="516">
        <v>4.75</v>
      </c>
      <c r="K31" s="515">
        <v>58.59</v>
      </c>
      <c r="L31" s="516">
        <v>73.66</v>
      </c>
      <c r="M31" s="832">
        <v>2897.74</v>
      </c>
      <c r="N31" s="516">
        <v>165.33</v>
      </c>
      <c r="O31" s="832">
        <v>162.25</v>
      </c>
      <c r="P31" s="516">
        <v>100.91</v>
      </c>
      <c r="Q31" s="516" t="s">
        <v>2317</v>
      </c>
      <c r="R31" s="832">
        <v>67.92</v>
      </c>
      <c r="S31" s="516">
        <v>1042.57</v>
      </c>
      <c r="T31" s="1006">
        <v>126.33</v>
      </c>
      <c r="U31" s="833">
        <v>533.09</v>
      </c>
      <c r="V31" s="1006">
        <v>172.33</v>
      </c>
      <c r="W31" s="516">
        <v>630</v>
      </c>
      <c r="X31" s="832">
        <v>354.58</v>
      </c>
      <c r="Y31" s="833">
        <v>4584.3100000000004</v>
      </c>
      <c r="Z31" s="832">
        <v>75.510000000000005</v>
      </c>
      <c r="AA31" s="516">
        <v>2261.85</v>
      </c>
      <c r="AB31" s="1006">
        <v>42.67</v>
      </c>
      <c r="AC31" s="833">
        <v>12.67</v>
      </c>
      <c r="AD31" s="1006">
        <v>8.67</v>
      </c>
      <c r="AE31" s="833" t="s">
        <v>2317</v>
      </c>
    </row>
    <row r="32" spans="1:31" ht="14" thickBot="1">
      <c r="A32" s="70">
        <v>509</v>
      </c>
      <c r="B32" s="71" t="s">
        <v>760</v>
      </c>
      <c r="C32" s="515">
        <v>133828.42000000001</v>
      </c>
      <c r="D32" s="516">
        <v>9141.26</v>
      </c>
      <c r="E32" s="832">
        <v>1194.9100000000001</v>
      </c>
      <c r="F32" s="516">
        <v>3019.97</v>
      </c>
      <c r="G32" s="832">
        <v>635.83000000000004</v>
      </c>
      <c r="H32" s="516">
        <v>1558.15</v>
      </c>
      <c r="I32" s="515">
        <v>740.07</v>
      </c>
      <c r="J32" s="516">
        <v>592.75</v>
      </c>
      <c r="K32" s="515">
        <v>111.92</v>
      </c>
      <c r="L32" s="516">
        <v>3521.97</v>
      </c>
      <c r="M32" s="832">
        <v>63.17</v>
      </c>
      <c r="N32" s="516">
        <v>6067.63</v>
      </c>
      <c r="O32" s="832">
        <v>62135.09</v>
      </c>
      <c r="P32" s="516">
        <v>27850.02</v>
      </c>
      <c r="Q32" s="516" t="s">
        <v>2317</v>
      </c>
      <c r="R32" s="832">
        <v>1354.41</v>
      </c>
      <c r="S32" s="516">
        <v>296.41000000000003</v>
      </c>
      <c r="T32" s="1006">
        <v>79.83</v>
      </c>
      <c r="U32" s="833">
        <v>2065.89</v>
      </c>
      <c r="V32" s="1006">
        <v>297.08</v>
      </c>
      <c r="W32" s="516">
        <v>9388.27</v>
      </c>
      <c r="X32" s="832">
        <v>3049.22</v>
      </c>
      <c r="Y32" s="833">
        <v>183.67</v>
      </c>
      <c r="Z32" s="832">
        <v>162.5</v>
      </c>
      <c r="AA32" s="516">
        <v>101.66</v>
      </c>
      <c r="AB32" s="1006">
        <v>14</v>
      </c>
      <c r="AC32" s="833">
        <v>84.91</v>
      </c>
      <c r="AD32" s="1006">
        <v>104.83</v>
      </c>
      <c r="AE32" s="833">
        <v>13</v>
      </c>
    </row>
    <row r="33" spans="1:31" ht="14" thickBot="1">
      <c r="A33" s="70">
        <v>556</v>
      </c>
      <c r="B33" s="71" t="s">
        <v>1792</v>
      </c>
      <c r="C33" s="515">
        <v>2888.33</v>
      </c>
      <c r="D33" s="516">
        <v>125.16</v>
      </c>
      <c r="E33" s="832">
        <v>20.25</v>
      </c>
      <c r="F33" s="516">
        <v>5.42</v>
      </c>
      <c r="G33" s="832" t="s">
        <v>2317</v>
      </c>
      <c r="H33" s="516">
        <v>1</v>
      </c>
      <c r="I33" s="515" t="s">
        <v>2317</v>
      </c>
      <c r="J33" s="516">
        <v>6.92</v>
      </c>
      <c r="K33" s="515">
        <v>10</v>
      </c>
      <c r="L33" s="516">
        <v>8.67</v>
      </c>
      <c r="M33" s="832">
        <v>2.33</v>
      </c>
      <c r="N33" s="516">
        <v>7.25</v>
      </c>
      <c r="O33" s="832">
        <v>3</v>
      </c>
      <c r="P33" s="516">
        <v>4</v>
      </c>
      <c r="Q33" s="516" t="s">
        <v>2317</v>
      </c>
      <c r="R33" s="832">
        <v>1</v>
      </c>
      <c r="S33" s="516">
        <v>2</v>
      </c>
      <c r="T33" s="1006">
        <v>1</v>
      </c>
      <c r="U33" s="833">
        <v>19.920000000000002</v>
      </c>
      <c r="V33" s="1006">
        <v>2571.7399999999998</v>
      </c>
      <c r="W33" s="516">
        <v>18.66</v>
      </c>
      <c r="X33" s="832">
        <v>19.41</v>
      </c>
      <c r="Y33" s="833">
        <v>48.42</v>
      </c>
      <c r="Z33" s="832">
        <v>8.83</v>
      </c>
      <c r="AA33" s="516" t="s">
        <v>2317</v>
      </c>
      <c r="AB33" s="1006" t="s">
        <v>2317</v>
      </c>
      <c r="AC33" s="833">
        <v>3</v>
      </c>
      <c r="AD33" s="1006" t="s">
        <v>2317</v>
      </c>
      <c r="AE33" s="833" t="s">
        <v>2317</v>
      </c>
    </row>
    <row r="34" spans="1:31" ht="14" thickBot="1">
      <c r="A34" s="70">
        <v>558</v>
      </c>
      <c r="B34" s="71" t="s">
        <v>699</v>
      </c>
      <c r="C34" s="515">
        <v>2034.33</v>
      </c>
      <c r="D34" s="516">
        <v>2034.33</v>
      </c>
      <c r="E34" s="832" t="s">
        <v>2317</v>
      </c>
      <c r="F34" s="516" t="s">
        <v>2317</v>
      </c>
      <c r="G34" s="832" t="s">
        <v>2317</v>
      </c>
      <c r="H34" s="516" t="s">
        <v>2317</v>
      </c>
      <c r="I34" s="515" t="s">
        <v>2317</v>
      </c>
      <c r="J34" s="516" t="s">
        <v>2317</v>
      </c>
      <c r="K34" s="515" t="s">
        <v>2317</v>
      </c>
      <c r="L34" s="516" t="s">
        <v>2317</v>
      </c>
      <c r="M34" s="832" t="s">
        <v>2317</v>
      </c>
      <c r="N34" s="516" t="s">
        <v>2317</v>
      </c>
      <c r="O34" s="832" t="s">
        <v>2317</v>
      </c>
      <c r="P34" s="516" t="s">
        <v>2317</v>
      </c>
      <c r="Q34" s="516" t="s">
        <v>2317</v>
      </c>
      <c r="R34" s="832" t="s">
        <v>2317</v>
      </c>
      <c r="S34" s="516" t="s">
        <v>2317</v>
      </c>
      <c r="T34" s="1006" t="s">
        <v>2317</v>
      </c>
      <c r="U34" s="833" t="s">
        <v>2317</v>
      </c>
      <c r="V34" s="1006" t="s">
        <v>2317</v>
      </c>
      <c r="W34" s="516" t="s">
        <v>2317</v>
      </c>
      <c r="X34" s="832" t="s">
        <v>2317</v>
      </c>
      <c r="Y34" s="833" t="s">
        <v>2317</v>
      </c>
      <c r="Z34" s="832" t="s">
        <v>2317</v>
      </c>
      <c r="AA34" s="516" t="s">
        <v>2317</v>
      </c>
      <c r="AB34" s="1006" t="s">
        <v>2317</v>
      </c>
      <c r="AC34" s="833" t="s">
        <v>2317</v>
      </c>
      <c r="AD34" s="1006" t="s">
        <v>2317</v>
      </c>
      <c r="AE34" s="833" t="s">
        <v>2317</v>
      </c>
    </row>
    <row r="35" spans="1:31" ht="14" thickBot="1">
      <c r="A35" s="70">
        <v>749</v>
      </c>
      <c r="B35" s="71" t="s">
        <v>534</v>
      </c>
      <c r="C35" s="515">
        <v>64605.08</v>
      </c>
      <c r="D35" s="516">
        <v>11328.97</v>
      </c>
      <c r="E35" s="832">
        <v>1188.33</v>
      </c>
      <c r="F35" s="516">
        <v>207.33</v>
      </c>
      <c r="G35" s="832">
        <v>25.25</v>
      </c>
      <c r="H35" s="516">
        <v>1659.4</v>
      </c>
      <c r="I35" s="515">
        <v>5.08</v>
      </c>
      <c r="J35" s="516">
        <v>15.33</v>
      </c>
      <c r="K35" s="515">
        <v>39.33</v>
      </c>
      <c r="L35" s="516">
        <v>101.83</v>
      </c>
      <c r="M35" s="832">
        <v>4323.75</v>
      </c>
      <c r="N35" s="516">
        <v>127.83</v>
      </c>
      <c r="O35" s="832">
        <v>109.59</v>
      </c>
      <c r="P35" s="516">
        <v>1312.91</v>
      </c>
      <c r="Q35" s="516" t="s">
        <v>2317</v>
      </c>
      <c r="R35" s="832">
        <v>155.08000000000001</v>
      </c>
      <c r="S35" s="516">
        <v>37.83</v>
      </c>
      <c r="T35" s="1006">
        <v>3.09</v>
      </c>
      <c r="U35" s="833">
        <v>392.01</v>
      </c>
      <c r="V35" s="1006">
        <v>58.92</v>
      </c>
      <c r="W35" s="516">
        <v>486.41</v>
      </c>
      <c r="X35" s="832">
        <v>10193.94</v>
      </c>
      <c r="Y35" s="833">
        <v>6794.66</v>
      </c>
      <c r="Z35" s="832">
        <v>13997.27</v>
      </c>
      <c r="AA35" s="516">
        <v>1678.09</v>
      </c>
      <c r="AB35" s="1006">
        <v>2275.75</v>
      </c>
      <c r="AC35" s="833">
        <v>6083.33</v>
      </c>
      <c r="AD35" s="1006">
        <v>2003.56</v>
      </c>
      <c r="AE35" s="833" t="s">
        <v>2317</v>
      </c>
    </row>
    <row r="36" spans="1:31" ht="14" thickBot="1">
      <c r="A36" s="70">
        <v>762</v>
      </c>
      <c r="B36" s="71" t="s">
        <v>535</v>
      </c>
      <c r="C36" s="515">
        <v>32062.080000000002</v>
      </c>
      <c r="D36" s="516">
        <v>4540.25</v>
      </c>
      <c r="E36" s="832">
        <v>8690.67</v>
      </c>
      <c r="F36" s="516">
        <v>1766.42</v>
      </c>
      <c r="G36" s="832">
        <v>368.08</v>
      </c>
      <c r="H36" s="516">
        <v>1416.17</v>
      </c>
      <c r="I36" s="515">
        <v>506.92</v>
      </c>
      <c r="J36" s="516">
        <v>980.92</v>
      </c>
      <c r="K36" s="515">
        <v>455.25</v>
      </c>
      <c r="L36" s="516">
        <v>533.16999999999996</v>
      </c>
      <c r="M36" s="832">
        <v>600.25</v>
      </c>
      <c r="N36" s="516">
        <v>970.83</v>
      </c>
      <c r="O36" s="832">
        <v>531.16999999999996</v>
      </c>
      <c r="P36" s="516">
        <v>328.67</v>
      </c>
      <c r="Q36" s="516" t="s">
        <v>2317</v>
      </c>
      <c r="R36" s="832">
        <v>197.92</v>
      </c>
      <c r="S36" s="516">
        <v>276.5</v>
      </c>
      <c r="T36" s="1006">
        <v>190.83</v>
      </c>
      <c r="U36" s="833">
        <v>2131.75</v>
      </c>
      <c r="V36" s="1006">
        <v>386.75</v>
      </c>
      <c r="W36" s="516">
        <v>1484.58</v>
      </c>
      <c r="X36" s="832">
        <v>1046.08</v>
      </c>
      <c r="Y36" s="833">
        <v>911.08</v>
      </c>
      <c r="Z36" s="832">
        <v>1397.25</v>
      </c>
      <c r="AA36" s="516">
        <v>418.5</v>
      </c>
      <c r="AB36" s="1006">
        <v>605.83000000000004</v>
      </c>
      <c r="AC36" s="833">
        <v>1053.17</v>
      </c>
      <c r="AD36" s="1006">
        <v>273.08</v>
      </c>
      <c r="AE36" s="833" t="s">
        <v>2317</v>
      </c>
    </row>
    <row r="37" spans="1:31" ht="14" thickBot="1">
      <c r="A37" s="70">
        <v>774</v>
      </c>
      <c r="B37" s="71" t="s">
        <v>536</v>
      </c>
      <c r="C37" s="515">
        <v>24845.5</v>
      </c>
      <c r="D37" s="516">
        <v>504.5</v>
      </c>
      <c r="E37" s="832">
        <v>80.16</v>
      </c>
      <c r="F37" s="516">
        <v>12.67</v>
      </c>
      <c r="G37" s="832">
        <v>0.83</v>
      </c>
      <c r="H37" s="516">
        <v>30.33</v>
      </c>
      <c r="I37" s="515">
        <v>1.17</v>
      </c>
      <c r="J37" s="516">
        <v>1</v>
      </c>
      <c r="K37" s="515">
        <v>1.58</v>
      </c>
      <c r="L37" s="516">
        <v>20.34</v>
      </c>
      <c r="M37" s="832">
        <v>3919.57</v>
      </c>
      <c r="N37" s="516">
        <v>28.33</v>
      </c>
      <c r="O37" s="832">
        <v>3.75</v>
      </c>
      <c r="P37" s="516">
        <v>13.16</v>
      </c>
      <c r="Q37" s="516" t="s">
        <v>2317</v>
      </c>
      <c r="R37" s="832">
        <v>5.08</v>
      </c>
      <c r="S37" s="516">
        <v>2</v>
      </c>
      <c r="T37" s="1006">
        <v>1.75</v>
      </c>
      <c r="U37" s="833">
        <v>6.42</v>
      </c>
      <c r="V37" s="1006">
        <v>22.08</v>
      </c>
      <c r="W37" s="516">
        <v>15.17</v>
      </c>
      <c r="X37" s="832">
        <v>6.58</v>
      </c>
      <c r="Y37" s="833">
        <v>26.42</v>
      </c>
      <c r="Z37" s="832">
        <v>862.24</v>
      </c>
      <c r="AA37" s="516">
        <v>19167.939999999999</v>
      </c>
      <c r="AB37" s="1006">
        <v>31.75</v>
      </c>
      <c r="AC37" s="833">
        <v>69.42</v>
      </c>
      <c r="AD37" s="1006">
        <v>11.17</v>
      </c>
      <c r="AE37" s="833" t="s">
        <v>2317</v>
      </c>
    </row>
    <row r="38" spans="1:31" ht="14" thickBot="1">
      <c r="A38" s="70">
        <v>780</v>
      </c>
      <c r="B38" s="71" t="s">
        <v>537</v>
      </c>
      <c r="C38" s="515">
        <v>4244.41</v>
      </c>
      <c r="D38" s="516" t="s">
        <v>2317</v>
      </c>
      <c r="E38" s="832" t="s">
        <v>2317</v>
      </c>
      <c r="F38" s="516" t="s">
        <v>2317</v>
      </c>
      <c r="G38" s="832">
        <v>3</v>
      </c>
      <c r="H38" s="516">
        <v>74.58</v>
      </c>
      <c r="I38" s="515" t="s">
        <v>2317</v>
      </c>
      <c r="J38" s="516" t="s">
        <v>2317</v>
      </c>
      <c r="K38" s="515">
        <v>4005.67</v>
      </c>
      <c r="L38" s="516" t="s">
        <v>2317</v>
      </c>
      <c r="M38" s="832" t="s">
        <v>2317</v>
      </c>
      <c r="N38" s="516" t="s">
        <v>2317</v>
      </c>
      <c r="O38" s="832" t="s">
        <v>2317</v>
      </c>
      <c r="P38" s="516">
        <v>1</v>
      </c>
      <c r="Q38" s="516" t="s">
        <v>2317</v>
      </c>
      <c r="R38" s="832" t="s">
        <v>2317</v>
      </c>
      <c r="S38" s="516" t="s">
        <v>2317</v>
      </c>
      <c r="T38" s="1006" t="s">
        <v>2317</v>
      </c>
      <c r="U38" s="833">
        <v>124.83</v>
      </c>
      <c r="V38" s="1006">
        <v>35.33</v>
      </c>
      <c r="W38" s="516" t="s">
        <v>2317</v>
      </c>
      <c r="X38" s="832" t="s">
        <v>2317</v>
      </c>
      <c r="Y38" s="833" t="s">
        <v>2317</v>
      </c>
      <c r="Z38" s="832" t="s">
        <v>2317</v>
      </c>
      <c r="AA38" s="516" t="s">
        <v>2317</v>
      </c>
      <c r="AB38" s="1006" t="s">
        <v>2317</v>
      </c>
      <c r="AC38" s="833" t="s">
        <v>2317</v>
      </c>
      <c r="AD38" s="1006" t="s">
        <v>2317</v>
      </c>
      <c r="AE38" s="833" t="s">
        <v>2317</v>
      </c>
    </row>
    <row r="39" spans="1:31" ht="14" thickBot="1">
      <c r="A39" s="70">
        <v>790</v>
      </c>
      <c r="B39" s="71" t="s">
        <v>538</v>
      </c>
      <c r="C39" s="515">
        <v>3938.91</v>
      </c>
      <c r="D39" s="516">
        <v>783.25</v>
      </c>
      <c r="E39" s="832">
        <v>511.42</v>
      </c>
      <c r="F39" s="516">
        <v>83.66</v>
      </c>
      <c r="G39" s="832" t="s">
        <v>2317</v>
      </c>
      <c r="H39" s="516">
        <v>96.83</v>
      </c>
      <c r="I39" s="515" t="s">
        <v>2317</v>
      </c>
      <c r="J39" s="516" t="s">
        <v>2317</v>
      </c>
      <c r="K39" s="515" t="s">
        <v>2317</v>
      </c>
      <c r="L39" s="516" t="s">
        <v>2317</v>
      </c>
      <c r="M39" s="832">
        <v>78.83</v>
      </c>
      <c r="N39" s="516">
        <v>104.16</v>
      </c>
      <c r="O39" s="832">
        <v>4</v>
      </c>
      <c r="P39" s="516">
        <v>1.5</v>
      </c>
      <c r="Q39" s="516" t="s">
        <v>2317</v>
      </c>
      <c r="R39" s="832" t="s">
        <v>2317</v>
      </c>
      <c r="S39" s="516">
        <v>0.75</v>
      </c>
      <c r="T39" s="1006" t="s">
        <v>2317</v>
      </c>
      <c r="U39" s="833">
        <v>92.91</v>
      </c>
      <c r="V39" s="1006">
        <v>38.840000000000003</v>
      </c>
      <c r="W39" s="516">
        <v>356.42</v>
      </c>
      <c r="X39" s="832">
        <v>1.5</v>
      </c>
      <c r="Y39" s="833" t="s">
        <v>2317</v>
      </c>
      <c r="Z39" s="832" t="s">
        <v>2317</v>
      </c>
      <c r="AA39" s="516">
        <v>1784.84</v>
      </c>
      <c r="AB39" s="1006" t="s">
        <v>2317</v>
      </c>
      <c r="AC39" s="833" t="s">
        <v>2317</v>
      </c>
      <c r="AD39" s="1006" t="s">
        <v>2317</v>
      </c>
      <c r="AE39" s="833" t="s">
        <v>2317</v>
      </c>
    </row>
    <row r="40" spans="1:31" ht="14" thickBot="1">
      <c r="A40" s="70">
        <v>820</v>
      </c>
      <c r="B40" s="71" t="s">
        <v>539</v>
      </c>
      <c r="C40" s="515">
        <v>2596.08</v>
      </c>
      <c r="D40" s="516" t="s">
        <v>2317</v>
      </c>
      <c r="E40" s="832" t="s">
        <v>2317</v>
      </c>
      <c r="F40" s="516" t="s">
        <v>2317</v>
      </c>
      <c r="G40" s="832" t="s">
        <v>2317</v>
      </c>
      <c r="H40" s="516" t="s">
        <v>2317</v>
      </c>
      <c r="I40" s="515" t="s">
        <v>2317</v>
      </c>
      <c r="J40" s="516" t="s">
        <v>2317</v>
      </c>
      <c r="K40" s="515" t="s">
        <v>2317</v>
      </c>
      <c r="L40" s="516" t="s">
        <v>2317</v>
      </c>
      <c r="M40" s="832" t="s">
        <v>2317</v>
      </c>
      <c r="N40" s="516" t="s">
        <v>2317</v>
      </c>
      <c r="O40" s="832" t="s">
        <v>2317</v>
      </c>
      <c r="P40" s="516" t="s">
        <v>2317</v>
      </c>
      <c r="Q40" s="516" t="s">
        <v>2317</v>
      </c>
      <c r="R40" s="832" t="s">
        <v>2317</v>
      </c>
      <c r="S40" s="516" t="s">
        <v>2317</v>
      </c>
      <c r="T40" s="1006" t="s">
        <v>2317</v>
      </c>
      <c r="U40" s="833" t="s">
        <v>2317</v>
      </c>
      <c r="V40" s="1006">
        <v>2596.08</v>
      </c>
      <c r="W40" s="516" t="s">
        <v>2317</v>
      </c>
      <c r="X40" s="832" t="s">
        <v>2317</v>
      </c>
      <c r="Y40" s="833" t="s">
        <v>2317</v>
      </c>
      <c r="Z40" s="832" t="s">
        <v>2317</v>
      </c>
      <c r="AA40" s="516" t="s">
        <v>2317</v>
      </c>
      <c r="AB40" s="1006" t="s">
        <v>2317</v>
      </c>
      <c r="AC40" s="833" t="s">
        <v>2317</v>
      </c>
      <c r="AD40" s="1006" t="s">
        <v>2317</v>
      </c>
      <c r="AE40" s="833" t="s">
        <v>2317</v>
      </c>
    </row>
    <row r="41" spans="1:31" ht="14" thickBot="1">
      <c r="A41" s="70">
        <v>829</v>
      </c>
      <c r="B41" s="71" t="s">
        <v>540</v>
      </c>
      <c r="C41" s="515">
        <v>19228.080000000002</v>
      </c>
      <c r="D41" s="516">
        <v>8954.42</v>
      </c>
      <c r="E41" s="832">
        <v>523.84</v>
      </c>
      <c r="F41" s="516">
        <v>3249.51</v>
      </c>
      <c r="G41" s="832">
        <v>28.33</v>
      </c>
      <c r="H41" s="516">
        <v>830.34</v>
      </c>
      <c r="I41" s="515">
        <v>66.42</v>
      </c>
      <c r="J41" s="516">
        <v>69.42</v>
      </c>
      <c r="K41" s="515">
        <v>19</v>
      </c>
      <c r="L41" s="516">
        <v>4331.09</v>
      </c>
      <c r="M41" s="832">
        <v>14.66</v>
      </c>
      <c r="N41" s="516">
        <v>25.92</v>
      </c>
      <c r="O41" s="832">
        <v>39</v>
      </c>
      <c r="P41" s="516">
        <v>45</v>
      </c>
      <c r="Q41" s="516" t="s">
        <v>2317</v>
      </c>
      <c r="R41" s="832">
        <v>9.5</v>
      </c>
      <c r="S41" s="516">
        <v>5.16</v>
      </c>
      <c r="T41" s="1006" t="s">
        <v>2317</v>
      </c>
      <c r="U41" s="833">
        <v>102.5</v>
      </c>
      <c r="V41" s="1006">
        <v>22.42</v>
      </c>
      <c r="W41" s="516">
        <v>644.84</v>
      </c>
      <c r="X41" s="832">
        <v>48.84</v>
      </c>
      <c r="Y41" s="833">
        <v>100.33</v>
      </c>
      <c r="Z41" s="832">
        <v>30.42</v>
      </c>
      <c r="AA41" s="516">
        <v>28.16</v>
      </c>
      <c r="AB41" s="1006">
        <v>3.92</v>
      </c>
      <c r="AC41" s="833">
        <v>31.08</v>
      </c>
      <c r="AD41" s="1006">
        <v>4</v>
      </c>
      <c r="AE41" s="833" t="s">
        <v>2317</v>
      </c>
    </row>
    <row r="42" spans="1:31" ht="14" thickBot="1">
      <c r="A42" s="70">
        <v>881</v>
      </c>
      <c r="B42" s="71" t="s">
        <v>541</v>
      </c>
      <c r="C42" s="515">
        <v>125638.67</v>
      </c>
      <c r="D42" s="516">
        <v>27142.75</v>
      </c>
      <c r="E42" s="832">
        <v>16374.25</v>
      </c>
      <c r="F42" s="516">
        <v>5350</v>
      </c>
      <c r="G42" s="832">
        <v>152.08000000000001</v>
      </c>
      <c r="H42" s="516">
        <v>1666.66</v>
      </c>
      <c r="I42" s="515">
        <v>363.33</v>
      </c>
      <c r="J42" s="516">
        <v>613.41999999999996</v>
      </c>
      <c r="K42" s="515">
        <v>199.67</v>
      </c>
      <c r="L42" s="516">
        <v>2933.09</v>
      </c>
      <c r="M42" s="832">
        <v>1529.67</v>
      </c>
      <c r="N42" s="516">
        <v>6253.67</v>
      </c>
      <c r="O42" s="832">
        <v>1242.83</v>
      </c>
      <c r="P42" s="516">
        <v>5980.92</v>
      </c>
      <c r="Q42" s="516" t="s">
        <v>2317</v>
      </c>
      <c r="R42" s="832">
        <v>2232.58</v>
      </c>
      <c r="S42" s="516">
        <v>2220.5100000000002</v>
      </c>
      <c r="T42" s="1006">
        <v>161.33000000000001</v>
      </c>
      <c r="U42" s="833">
        <v>8944.92</v>
      </c>
      <c r="V42" s="1006">
        <v>3634.25</v>
      </c>
      <c r="W42" s="516">
        <v>14998.33</v>
      </c>
      <c r="X42" s="832">
        <v>3970.16</v>
      </c>
      <c r="Y42" s="833">
        <v>6348.33</v>
      </c>
      <c r="Z42" s="832">
        <v>6246.42</v>
      </c>
      <c r="AA42" s="516">
        <v>1588.84</v>
      </c>
      <c r="AB42" s="1006">
        <v>465.91</v>
      </c>
      <c r="AC42" s="833">
        <v>1942.75</v>
      </c>
      <c r="AD42" s="1006">
        <v>3081.75</v>
      </c>
      <c r="AE42" s="833">
        <v>0.25</v>
      </c>
    </row>
    <row r="43" spans="1:31" ht="14" thickBot="1">
      <c r="A43" s="70">
        <v>901</v>
      </c>
      <c r="B43" s="71" t="s">
        <v>542</v>
      </c>
      <c r="C43" s="515">
        <v>2384.17</v>
      </c>
      <c r="D43" s="516" t="s">
        <v>2317</v>
      </c>
      <c r="E43" s="832" t="s">
        <v>2317</v>
      </c>
      <c r="F43" s="516" t="s">
        <v>2317</v>
      </c>
      <c r="G43" s="832" t="s">
        <v>2317</v>
      </c>
      <c r="H43" s="516" t="s">
        <v>2317</v>
      </c>
      <c r="I43" s="515" t="s">
        <v>2317</v>
      </c>
      <c r="J43" s="516" t="s">
        <v>2317</v>
      </c>
      <c r="K43" s="515" t="s">
        <v>2317</v>
      </c>
      <c r="L43" s="516" t="s">
        <v>2317</v>
      </c>
      <c r="M43" s="832" t="s">
        <v>2317</v>
      </c>
      <c r="N43" s="516" t="s">
        <v>2317</v>
      </c>
      <c r="O43" s="832" t="s">
        <v>2317</v>
      </c>
      <c r="P43" s="516" t="s">
        <v>2317</v>
      </c>
      <c r="Q43" s="516" t="s">
        <v>2317</v>
      </c>
      <c r="R43" s="832" t="s">
        <v>2317</v>
      </c>
      <c r="S43" s="516" t="s">
        <v>2317</v>
      </c>
      <c r="T43" s="1006" t="s">
        <v>2317</v>
      </c>
      <c r="U43" s="833" t="s">
        <v>2317</v>
      </c>
      <c r="V43" s="1006">
        <v>2384.17</v>
      </c>
      <c r="W43" s="516" t="s">
        <v>2317</v>
      </c>
      <c r="X43" s="832" t="s">
        <v>2317</v>
      </c>
      <c r="Y43" s="833" t="s">
        <v>2317</v>
      </c>
      <c r="Z43" s="832" t="s">
        <v>2317</v>
      </c>
      <c r="AA43" s="516" t="s">
        <v>2317</v>
      </c>
      <c r="AB43" s="1006" t="s">
        <v>2317</v>
      </c>
      <c r="AC43" s="833" t="s">
        <v>2317</v>
      </c>
      <c r="AD43" s="1006" t="s">
        <v>2317</v>
      </c>
      <c r="AE43" s="833" t="s">
        <v>2317</v>
      </c>
    </row>
    <row r="44" spans="1:31" ht="14" thickBot="1">
      <c r="A44" s="70">
        <v>923</v>
      </c>
      <c r="B44" s="71" t="s">
        <v>543</v>
      </c>
      <c r="C44" s="515">
        <v>14680</v>
      </c>
      <c r="D44" s="516">
        <v>4887</v>
      </c>
      <c r="E44" s="832">
        <v>4030</v>
      </c>
      <c r="F44" s="516">
        <v>101</v>
      </c>
      <c r="G44" s="832">
        <v>8</v>
      </c>
      <c r="H44" s="516">
        <v>91</v>
      </c>
      <c r="I44" s="515">
        <v>12</v>
      </c>
      <c r="J44" s="516">
        <v>24</v>
      </c>
      <c r="K44" s="515">
        <v>73</v>
      </c>
      <c r="L44" s="516">
        <v>64</v>
      </c>
      <c r="M44" s="832">
        <v>204</v>
      </c>
      <c r="N44" s="516">
        <v>146</v>
      </c>
      <c r="O44" s="832">
        <v>262</v>
      </c>
      <c r="P44" s="516">
        <v>1162</v>
      </c>
      <c r="Q44" s="516" t="s">
        <v>2317</v>
      </c>
      <c r="R44" s="832">
        <v>126</v>
      </c>
      <c r="S44" s="516">
        <v>192</v>
      </c>
      <c r="T44" s="1006">
        <v>10</v>
      </c>
      <c r="U44" s="833">
        <v>778</v>
      </c>
      <c r="V44" s="1006">
        <v>216</v>
      </c>
      <c r="W44" s="516">
        <v>773</v>
      </c>
      <c r="X44" s="832">
        <v>1521</v>
      </c>
      <c r="Y44" s="833" t="s">
        <v>2317</v>
      </c>
      <c r="Z44" s="832" t="s">
        <v>2317</v>
      </c>
      <c r="AA44" s="516" t="s">
        <v>2317</v>
      </c>
      <c r="AB44" s="1006" t="s">
        <v>2317</v>
      </c>
      <c r="AC44" s="833" t="s">
        <v>2317</v>
      </c>
      <c r="AD44" s="1006" t="s">
        <v>2317</v>
      </c>
      <c r="AE44" s="833" t="s">
        <v>2317</v>
      </c>
    </row>
    <row r="45" spans="1:31" ht="14" thickBot="1">
      <c r="A45" s="70">
        <v>941</v>
      </c>
      <c r="B45" s="71" t="s">
        <v>701</v>
      </c>
      <c r="C45" s="515">
        <v>36954.49</v>
      </c>
      <c r="D45" s="516">
        <v>0.92</v>
      </c>
      <c r="E45" s="832">
        <v>108.67</v>
      </c>
      <c r="F45" s="516" t="s">
        <v>2317</v>
      </c>
      <c r="G45" s="832">
        <v>1</v>
      </c>
      <c r="H45" s="516">
        <v>1</v>
      </c>
      <c r="I45" s="515" t="s">
        <v>2317</v>
      </c>
      <c r="J45" s="516">
        <v>0.25</v>
      </c>
      <c r="K45" s="515" t="s">
        <v>2317</v>
      </c>
      <c r="L45" s="516">
        <v>1</v>
      </c>
      <c r="M45" s="832">
        <v>0.08</v>
      </c>
      <c r="N45" s="516" t="s">
        <v>2317</v>
      </c>
      <c r="O45" s="832" t="s">
        <v>2317</v>
      </c>
      <c r="P45" s="516">
        <v>0.83</v>
      </c>
      <c r="Q45" s="516" t="s">
        <v>2317</v>
      </c>
      <c r="R45" s="832" t="s">
        <v>2317</v>
      </c>
      <c r="S45" s="516" t="s">
        <v>2317</v>
      </c>
      <c r="T45" s="1006" t="s">
        <v>2317</v>
      </c>
      <c r="U45" s="833" t="s">
        <v>2317</v>
      </c>
      <c r="V45" s="1006">
        <v>0.42</v>
      </c>
      <c r="W45" s="516">
        <v>2.33</v>
      </c>
      <c r="X45" s="832" t="s">
        <v>2317</v>
      </c>
      <c r="Y45" s="833" t="s">
        <v>2317</v>
      </c>
      <c r="Z45" s="832">
        <v>0.42</v>
      </c>
      <c r="AA45" s="516">
        <v>36835.589999999997</v>
      </c>
      <c r="AB45" s="1006" t="s">
        <v>2317</v>
      </c>
      <c r="AC45" s="833" t="s">
        <v>2317</v>
      </c>
      <c r="AD45" s="1006" t="s">
        <v>2317</v>
      </c>
      <c r="AE45" s="833">
        <v>2.25</v>
      </c>
    </row>
    <row r="46" spans="1:31" ht="14" thickBot="1">
      <c r="A46" s="70">
        <v>966</v>
      </c>
      <c r="B46" s="71" t="s">
        <v>544</v>
      </c>
      <c r="C46" s="515">
        <v>6355</v>
      </c>
      <c r="D46" s="516">
        <v>76</v>
      </c>
      <c r="E46" s="832">
        <v>17</v>
      </c>
      <c r="F46" s="516">
        <v>28</v>
      </c>
      <c r="G46" s="832">
        <v>4</v>
      </c>
      <c r="H46" s="516">
        <v>11</v>
      </c>
      <c r="I46" s="515">
        <v>2</v>
      </c>
      <c r="J46" s="516" t="s">
        <v>2317</v>
      </c>
      <c r="K46" s="515">
        <v>16</v>
      </c>
      <c r="L46" s="516">
        <v>13</v>
      </c>
      <c r="M46" s="832">
        <v>2</v>
      </c>
      <c r="N46" s="516">
        <v>9</v>
      </c>
      <c r="O46" s="832">
        <v>6</v>
      </c>
      <c r="P46" s="516">
        <v>12</v>
      </c>
      <c r="Q46" s="516" t="s">
        <v>2317</v>
      </c>
      <c r="R46" s="832">
        <v>3</v>
      </c>
      <c r="S46" s="516">
        <v>9</v>
      </c>
      <c r="T46" s="1006">
        <v>2</v>
      </c>
      <c r="U46" s="833">
        <v>81</v>
      </c>
      <c r="V46" s="1006">
        <v>6023</v>
      </c>
      <c r="W46" s="516">
        <v>16</v>
      </c>
      <c r="X46" s="832">
        <v>21</v>
      </c>
      <c r="Y46" s="833">
        <v>1</v>
      </c>
      <c r="Z46" s="832">
        <v>1</v>
      </c>
      <c r="AA46" s="516">
        <v>1</v>
      </c>
      <c r="AB46" s="1006" t="s">
        <v>2317</v>
      </c>
      <c r="AC46" s="833" t="s">
        <v>2317</v>
      </c>
      <c r="AD46" s="1006">
        <v>1</v>
      </c>
      <c r="AE46" s="833" t="s">
        <v>2317</v>
      </c>
    </row>
    <row r="47" spans="1:31" ht="14" thickBot="1">
      <c r="A47" s="70">
        <v>994</v>
      </c>
      <c r="B47" s="71" t="s">
        <v>545</v>
      </c>
      <c r="C47" s="515">
        <v>218550.17</v>
      </c>
      <c r="D47" s="516">
        <v>43225.17</v>
      </c>
      <c r="E47" s="832">
        <v>35683.58</v>
      </c>
      <c r="F47" s="516">
        <v>13597.83</v>
      </c>
      <c r="G47" s="832">
        <v>6082.75</v>
      </c>
      <c r="H47" s="516">
        <v>1273.08</v>
      </c>
      <c r="I47" s="515">
        <v>2099.67</v>
      </c>
      <c r="J47" s="516">
        <v>1507.58</v>
      </c>
      <c r="K47" s="515">
        <v>3398.17</v>
      </c>
      <c r="L47" s="516">
        <v>3261</v>
      </c>
      <c r="M47" s="832">
        <v>2949.92</v>
      </c>
      <c r="N47" s="516">
        <v>2116.17</v>
      </c>
      <c r="O47" s="832">
        <v>2010.08</v>
      </c>
      <c r="P47" s="516">
        <v>4618.83</v>
      </c>
      <c r="Q47" s="516" t="s">
        <v>2317</v>
      </c>
      <c r="R47" s="832">
        <v>5313.08</v>
      </c>
      <c r="S47" s="516">
        <v>582</v>
      </c>
      <c r="T47" s="1006">
        <v>241.5</v>
      </c>
      <c r="U47" s="833">
        <v>12364.08</v>
      </c>
      <c r="V47" s="1006">
        <v>8517.92</v>
      </c>
      <c r="W47" s="516">
        <v>29067.67</v>
      </c>
      <c r="X47" s="832">
        <v>6833.17</v>
      </c>
      <c r="Y47" s="833">
        <v>6021.58</v>
      </c>
      <c r="Z47" s="832">
        <v>8149.92</v>
      </c>
      <c r="AA47" s="516">
        <v>7572.33</v>
      </c>
      <c r="AB47" s="1006">
        <v>6453.5</v>
      </c>
      <c r="AC47" s="833">
        <v>5306.08</v>
      </c>
      <c r="AD47" s="1006">
        <v>303.5</v>
      </c>
      <c r="AE47" s="833" t="s">
        <v>2317</v>
      </c>
    </row>
    <row r="48" spans="1:31" ht="14" thickBot="1">
      <c r="A48" s="70">
        <v>1003</v>
      </c>
      <c r="B48" s="71" t="s">
        <v>546</v>
      </c>
      <c r="C48" s="515">
        <v>174.84</v>
      </c>
      <c r="D48" s="516" t="s">
        <v>2317</v>
      </c>
      <c r="E48" s="832" t="s">
        <v>2317</v>
      </c>
      <c r="F48" s="516" t="s">
        <v>2317</v>
      </c>
      <c r="G48" s="832" t="s">
        <v>2317</v>
      </c>
      <c r="H48" s="516" t="s">
        <v>2317</v>
      </c>
      <c r="I48" s="515" t="s">
        <v>2317</v>
      </c>
      <c r="J48" s="516" t="s">
        <v>2317</v>
      </c>
      <c r="K48" s="515" t="s">
        <v>2317</v>
      </c>
      <c r="L48" s="516" t="s">
        <v>2317</v>
      </c>
      <c r="M48" s="832" t="s">
        <v>2317</v>
      </c>
      <c r="N48" s="516" t="s">
        <v>2317</v>
      </c>
      <c r="O48" s="832" t="s">
        <v>2317</v>
      </c>
      <c r="P48" s="516" t="s">
        <v>2317</v>
      </c>
      <c r="Q48" s="516" t="s">
        <v>2317</v>
      </c>
      <c r="R48" s="832" t="s">
        <v>2317</v>
      </c>
      <c r="S48" s="516" t="s">
        <v>2317</v>
      </c>
      <c r="T48" s="1006" t="s">
        <v>2317</v>
      </c>
      <c r="U48" s="833" t="s">
        <v>2317</v>
      </c>
      <c r="V48" s="1006" t="s">
        <v>2317</v>
      </c>
      <c r="W48" s="516" t="s">
        <v>2317</v>
      </c>
      <c r="X48" s="832" t="s">
        <v>2317</v>
      </c>
      <c r="Y48" s="833" t="s">
        <v>2317</v>
      </c>
      <c r="Z48" s="832" t="s">
        <v>2317</v>
      </c>
      <c r="AA48" s="516">
        <v>174.84</v>
      </c>
      <c r="AB48" s="1006" t="s">
        <v>2317</v>
      </c>
      <c r="AC48" s="833" t="s">
        <v>2317</v>
      </c>
      <c r="AD48" s="1006" t="s">
        <v>2317</v>
      </c>
      <c r="AE48" s="833" t="s">
        <v>2317</v>
      </c>
    </row>
    <row r="49" spans="1:31" ht="14" thickBot="1">
      <c r="A49" s="70">
        <v>1040</v>
      </c>
      <c r="B49" s="71" t="s">
        <v>547</v>
      </c>
      <c r="C49" s="515">
        <v>3389</v>
      </c>
      <c r="D49" s="516" t="s">
        <v>2317</v>
      </c>
      <c r="E49" s="832" t="s">
        <v>2317</v>
      </c>
      <c r="F49" s="516" t="s">
        <v>2317</v>
      </c>
      <c r="G49" s="832" t="s">
        <v>2317</v>
      </c>
      <c r="H49" s="516" t="s">
        <v>2317</v>
      </c>
      <c r="I49" s="515" t="s">
        <v>2317</v>
      </c>
      <c r="J49" s="516" t="s">
        <v>2317</v>
      </c>
      <c r="K49" s="515" t="s">
        <v>2317</v>
      </c>
      <c r="L49" s="516" t="s">
        <v>2317</v>
      </c>
      <c r="M49" s="832" t="s">
        <v>2317</v>
      </c>
      <c r="N49" s="516" t="s">
        <v>2317</v>
      </c>
      <c r="O49" s="832" t="s">
        <v>2317</v>
      </c>
      <c r="P49" s="516" t="s">
        <v>2317</v>
      </c>
      <c r="Q49" s="516" t="s">
        <v>2317</v>
      </c>
      <c r="R49" s="832" t="s">
        <v>2317</v>
      </c>
      <c r="S49" s="516" t="s">
        <v>2317</v>
      </c>
      <c r="T49" s="1006" t="s">
        <v>2317</v>
      </c>
      <c r="U49" s="833" t="s">
        <v>2317</v>
      </c>
      <c r="V49" s="1006" t="s">
        <v>2317</v>
      </c>
      <c r="W49" s="516" t="s">
        <v>2317</v>
      </c>
      <c r="X49" s="832" t="s">
        <v>2317</v>
      </c>
      <c r="Y49" s="833" t="s">
        <v>2317</v>
      </c>
      <c r="Z49" s="832" t="s">
        <v>2317</v>
      </c>
      <c r="AA49" s="516">
        <v>3388.66</v>
      </c>
      <c r="AB49" s="1006" t="s">
        <v>2317</v>
      </c>
      <c r="AC49" s="833" t="s">
        <v>2317</v>
      </c>
      <c r="AD49" s="1006" t="s">
        <v>2317</v>
      </c>
      <c r="AE49" s="833" t="s">
        <v>2317</v>
      </c>
    </row>
    <row r="50" spans="1:31" ht="14" thickBot="1">
      <c r="A50" s="70">
        <v>1058</v>
      </c>
      <c r="B50" s="71" t="s">
        <v>548</v>
      </c>
      <c r="C50" s="515">
        <v>79</v>
      </c>
      <c r="D50" s="516" t="s">
        <v>2317</v>
      </c>
      <c r="E50" s="832" t="s">
        <v>2317</v>
      </c>
      <c r="F50" s="516" t="s">
        <v>2317</v>
      </c>
      <c r="G50" s="832" t="s">
        <v>2317</v>
      </c>
      <c r="H50" s="516" t="s">
        <v>2317</v>
      </c>
      <c r="I50" s="515" t="s">
        <v>2317</v>
      </c>
      <c r="J50" s="516" t="s">
        <v>2317</v>
      </c>
      <c r="K50" s="515" t="s">
        <v>2317</v>
      </c>
      <c r="L50" s="516" t="s">
        <v>2317</v>
      </c>
      <c r="M50" s="832" t="s">
        <v>2317</v>
      </c>
      <c r="N50" s="516" t="s">
        <v>2317</v>
      </c>
      <c r="O50" s="832" t="s">
        <v>2317</v>
      </c>
      <c r="P50" s="516" t="s">
        <v>2317</v>
      </c>
      <c r="Q50" s="516" t="s">
        <v>2317</v>
      </c>
      <c r="R50" s="832" t="s">
        <v>2317</v>
      </c>
      <c r="S50" s="516" t="s">
        <v>2317</v>
      </c>
      <c r="T50" s="1006" t="s">
        <v>2317</v>
      </c>
      <c r="U50" s="833" t="s">
        <v>2317</v>
      </c>
      <c r="V50" s="1006" t="s">
        <v>2317</v>
      </c>
      <c r="W50" s="516" t="s">
        <v>2317</v>
      </c>
      <c r="X50" s="832" t="s">
        <v>2317</v>
      </c>
      <c r="Y50" s="833" t="s">
        <v>2317</v>
      </c>
      <c r="Z50" s="832" t="s">
        <v>2317</v>
      </c>
      <c r="AA50" s="516">
        <v>79</v>
      </c>
      <c r="AB50" s="1006" t="s">
        <v>2317</v>
      </c>
      <c r="AC50" s="833" t="s">
        <v>2317</v>
      </c>
      <c r="AD50" s="1006" t="s">
        <v>2317</v>
      </c>
      <c r="AE50" s="833" t="s">
        <v>2317</v>
      </c>
    </row>
    <row r="51" spans="1:31" ht="14" thickBot="1">
      <c r="A51" s="70">
        <v>1060</v>
      </c>
      <c r="B51" s="71" t="s">
        <v>549</v>
      </c>
      <c r="C51" s="515">
        <v>232402.25</v>
      </c>
      <c r="D51" s="516">
        <v>106155.08</v>
      </c>
      <c r="E51" s="832">
        <v>14937.42</v>
      </c>
      <c r="F51" s="516">
        <v>3353.17</v>
      </c>
      <c r="G51" s="832">
        <v>162.41999999999999</v>
      </c>
      <c r="H51" s="516">
        <v>1072.58</v>
      </c>
      <c r="I51" s="515">
        <v>316.08</v>
      </c>
      <c r="J51" s="516">
        <v>2121</v>
      </c>
      <c r="K51" s="515">
        <v>384.5</v>
      </c>
      <c r="L51" s="516">
        <v>1841.75</v>
      </c>
      <c r="M51" s="832">
        <v>818.83</v>
      </c>
      <c r="N51" s="516">
        <v>4986.25</v>
      </c>
      <c r="O51" s="832">
        <v>1507</v>
      </c>
      <c r="P51" s="516">
        <v>17488.330000000002</v>
      </c>
      <c r="Q51" s="516" t="s">
        <v>2317</v>
      </c>
      <c r="R51" s="832">
        <v>6640.67</v>
      </c>
      <c r="S51" s="516">
        <v>2168</v>
      </c>
      <c r="T51" s="1006">
        <v>1113.75</v>
      </c>
      <c r="U51" s="833">
        <v>9363</v>
      </c>
      <c r="V51" s="1006">
        <v>2596.67</v>
      </c>
      <c r="W51" s="516">
        <v>25254.5</v>
      </c>
      <c r="X51" s="832">
        <v>9627.42</v>
      </c>
      <c r="Y51" s="833">
        <v>13983.17</v>
      </c>
      <c r="Z51" s="832">
        <v>1189</v>
      </c>
      <c r="AA51" s="516">
        <v>1287.42</v>
      </c>
      <c r="AB51" s="1006">
        <v>2882.75</v>
      </c>
      <c r="AC51" s="833">
        <v>746.42</v>
      </c>
      <c r="AD51" s="1006">
        <v>320.5</v>
      </c>
      <c r="AE51" s="833">
        <v>84.58</v>
      </c>
    </row>
    <row r="52" spans="1:31" ht="14" thickBot="1">
      <c r="A52" s="70">
        <v>1097</v>
      </c>
      <c r="B52" s="71" t="s">
        <v>550</v>
      </c>
      <c r="C52" s="515">
        <v>13545.5</v>
      </c>
      <c r="D52" s="516">
        <v>1122.9000000000001</v>
      </c>
      <c r="E52" s="832">
        <v>83.66</v>
      </c>
      <c r="F52" s="516">
        <v>32.24</v>
      </c>
      <c r="G52" s="832" t="s">
        <v>2317</v>
      </c>
      <c r="H52" s="516">
        <v>23.25</v>
      </c>
      <c r="I52" s="515">
        <v>2.34</v>
      </c>
      <c r="J52" s="516">
        <v>1</v>
      </c>
      <c r="K52" s="515">
        <v>14.41</v>
      </c>
      <c r="L52" s="516">
        <v>37.25</v>
      </c>
      <c r="M52" s="832">
        <v>4538.8999999999996</v>
      </c>
      <c r="N52" s="516">
        <v>51.08</v>
      </c>
      <c r="O52" s="832">
        <v>20.25</v>
      </c>
      <c r="P52" s="516">
        <v>44.91</v>
      </c>
      <c r="Q52" s="516" t="s">
        <v>2317</v>
      </c>
      <c r="R52" s="832">
        <v>6.08</v>
      </c>
      <c r="S52" s="516">
        <v>12.25</v>
      </c>
      <c r="T52" s="1006">
        <v>1.83</v>
      </c>
      <c r="U52" s="833">
        <v>1086.1600000000001</v>
      </c>
      <c r="V52" s="1006">
        <v>8.33</v>
      </c>
      <c r="W52" s="516">
        <v>4722.58</v>
      </c>
      <c r="X52" s="832">
        <v>40.159999999999997</v>
      </c>
      <c r="Y52" s="833">
        <v>9.75</v>
      </c>
      <c r="Z52" s="832">
        <v>124.91</v>
      </c>
      <c r="AA52" s="516">
        <v>1491.83</v>
      </c>
      <c r="AB52" s="1006">
        <v>15.92</v>
      </c>
      <c r="AC52" s="833">
        <v>44.58</v>
      </c>
      <c r="AD52" s="1006">
        <v>8.83</v>
      </c>
      <c r="AE52" s="833" t="s">
        <v>2317</v>
      </c>
    </row>
    <row r="53" spans="1:31" ht="14" thickBot="1">
      <c r="A53" s="70">
        <v>1113</v>
      </c>
      <c r="B53" s="71" t="s">
        <v>551</v>
      </c>
      <c r="C53" s="515">
        <v>5007.42</v>
      </c>
      <c r="D53" s="516" t="s">
        <v>2317</v>
      </c>
      <c r="E53" s="832" t="s">
        <v>2317</v>
      </c>
      <c r="F53" s="516" t="s">
        <v>2317</v>
      </c>
      <c r="G53" s="832" t="s">
        <v>2317</v>
      </c>
      <c r="H53" s="516" t="s">
        <v>2317</v>
      </c>
      <c r="I53" s="515" t="s">
        <v>2317</v>
      </c>
      <c r="J53" s="516" t="s">
        <v>2317</v>
      </c>
      <c r="K53" s="515" t="s">
        <v>2317</v>
      </c>
      <c r="L53" s="516" t="s">
        <v>2317</v>
      </c>
      <c r="M53" s="832" t="s">
        <v>2317</v>
      </c>
      <c r="N53" s="516" t="s">
        <v>2317</v>
      </c>
      <c r="O53" s="832" t="s">
        <v>2317</v>
      </c>
      <c r="P53" s="516" t="s">
        <v>2317</v>
      </c>
      <c r="Q53" s="516" t="s">
        <v>2317</v>
      </c>
      <c r="R53" s="832" t="s">
        <v>2317</v>
      </c>
      <c r="S53" s="516" t="s">
        <v>2317</v>
      </c>
      <c r="T53" s="1007" t="s">
        <v>2317</v>
      </c>
      <c r="U53" s="834" t="s">
        <v>2317</v>
      </c>
      <c r="V53" s="1007" t="s">
        <v>2317</v>
      </c>
      <c r="W53" s="516" t="s">
        <v>2317</v>
      </c>
      <c r="X53" s="832" t="s">
        <v>2317</v>
      </c>
      <c r="Y53" s="834" t="s">
        <v>2317</v>
      </c>
      <c r="Z53" s="832" t="s">
        <v>2317</v>
      </c>
      <c r="AA53" s="516">
        <v>5007.42</v>
      </c>
      <c r="AB53" s="1007" t="s">
        <v>2317</v>
      </c>
      <c r="AC53" s="834" t="s">
        <v>2317</v>
      </c>
      <c r="AD53" s="1007" t="s">
        <v>2317</v>
      </c>
      <c r="AE53" s="834" t="s">
        <v>2317</v>
      </c>
    </row>
    <row r="54" spans="1:31" ht="14" thickBot="1">
      <c r="A54" s="70">
        <v>1142</v>
      </c>
      <c r="B54" s="71" t="s">
        <v>552</v>
      </c>
      <c r="C54" s="515">
        <v>909.25</v>
      </c>
      <c r="D54" s="516">
        <v>19.5</v>
      </c>
      <c r="E54" s="832">
        <v>19.75</v>
      </c>
      <c r="F54" s="516">
        <v>60.25</v>
      </c>
      <c r="G54" s="832">
        <v>5</v>
      </c>
      <c r="H54" s="516">
        <v>439.67</v>
      </c>
      <c r="I54" s="515" t="s">
        <v>2317</v>
      </c>
      <c r="J54" s="516">
        <v>1</v>
      </c>
      <c r="K54" s="515" t="s">
        <v>2317</v>
      </c>
      <c r="L54" s="516">
        <v>6.67</v>
      </c>
      <c r="M54" s="832">
        <v>88.41</v>
      </c>
      <c r="N54" s="516">
        <v>64.75</v>
      </c>
      <c r="O54" s="832">
        <v>11.17</v>
      </c>
      <c r="P54" s="516">
        <v>4</v>
      </c>
      <c r="Q54" s="516" t="s">
        <v>2317</v>
      </c>
      <c r="R54" s="832" t="s">
        <v>2317</v>
      </c>
      <c r="S54" s="516">
        <v>1</v>
      </c>
      <c r="T54" s="1006">
        <v>10</v>
      </c>
      <c r="U54" s="833">
        <v>50.17</v>
      </c>
      <c r="V54" s="1006">
        <v>5.92</v>
      </c>
      <c r="W54" s="516">
        <v>15.17</v>
      </c>
      <c r="X54" s="832">
        <v>1</v>
      </c>
      <c r="Y54" s="833">
        <v>60.25</v>
      </c>
      <c r="Z54" s="832">
        <v>3</v>
      </c>
      <c r="AA54" s="516">
        <v>36.340000000000003</v>
      </c>
      <c r="AB54" s="1006" t="s">
        <v>2317</v>
      </c>
      <c r="AC54" s="833" t="s">
        <v>2317</v>
      </c>
      <c r="AD54" s="1006">
        <v>6</v>
      </c>
      <c r="AE54" s="833" t="s">
        <v>2317</v>
      </c>
    </row>
    <row r="55" spans="1:31" ht="14" thickBot="1">
      <c r="A55" s="70">
        <v>1147</v>
      </c>
      <c r="B55" s="71" t="s">
        <v>553</v>
      </c>
      <c r="C55" s="515">
        <v>386</v>
      </c>
      <c r="D55" s="516">
        <v>386</v>
      </c>
      <c r="E55" s="832" t="s">
        <v>2317</v>
      </c>
      <c r="F55" s="516" t="s">
        <v>2317</v>
      </c>
      <c r="G55" s="832" t="s">
        <v>2317</v>
      </c>
      <c r="H55" s="516" t="s">
        <v>2317</v>
      </c>
      <c r="I55" s="515" t="s">
        <v>2317</v>
      </c>
      <c r="J55" s="516" t="s">
        <v>2317</v>
      </c>
      <c r="K55" s="515" t="s">
        <v>2317</v>
      </c>
      <c r="L55" s="516" t="s">
        <v>2317</v>
      </c>
      <c r="M55" s="832" t="s">
        <v>2317</v>
      </c>
      <c r="N55" s="516" t="s">
        <v>2317</v>
      </c>
      <c r="O55" s="832" t="s">
        <v>2317</v>
      </c>
      <c r="P55" s="516" t="s">
        <v>2317</v>
      </c>
      <c r="Q55" s="516" t="s">
        <v>2317</v>
      </c>
      <c r="R55" s="832" t="s">
        <v>2317</v>
      </c>
      <c r="S55" s="516" t="s">
        <v>2317</v>
      </c>
      <c r="T55" s="1006" t="s">
        <v>2317</v>
      </c>
      <c r="U55" s="833" t="s">
        <v>2317</v>
      </c>
      <c r="V55" s="1006" t="s">
        <v>2317</v>
      </c>
      <c r="W55" s="516" t="s">
        <v>2317</v>
      </c>
      <c r="X55" s="832" t="s">
        <v>2317</v>
      </c>
      <c r="Y55" s="833" t="s">
        <v>2317</v>
      </c>
      <c r="Z55" s="832" t="s">
        <v>2317</v>
      </c>
      <c r="AA55" s="516" t="s">
        <v>2317</v>
      </c>
      <c r="AB55" s="1006" t="s">
        <v>2317</v>
      </c>
      <c r="AC55" s="833" t="s">
        <v>2317</v>
      </c>
      <c r="AD55" s="1006" t="s">
        <v>2317</v>
      </c>
      <c r="AE55" s="833" t="s">
        <v>2317</v>
      </c>
    </row>
    <row r="56" spans="1:31" ht="14" thickBot="1">
      <c r="A56" s="70">
        <v>1159</v>
      </c>
      <c r="B56" s="71" t="s">
        <v>554</v>
      </c>
      <c r="C56" s="515">
        <v>22949.25</v>
      </c>
      <c r="D56" s="516">
        <v>28.38</v>
      </c>
      <c r="E56" s="832">
        <v>21.54</v>
      </c>
      <c r="F56" s="516">
        <v>20</v>
      </c>
      <c r="G56" s="832" t="s">
        <v>2317</v>
      </c>
      <c r="H56" s="516">
        <v>63.26</v>
      </c>
      <c r="I56" s="515">
        <v>2</v>
      </c>
      <c r="J56" s="516">
        <v>1</v>
      </c>
      <c r="K56" s="515" t="s">
        <v>2317</v>
      </c>
      <c r="L56" s="516">
        <v>2.23</v>
      </c>
      <c r="M56" s="832">
        <v>754.78</v>
      </c>
      <c r="N56" s="516">
        <v>1</v>
      </c>
      <c r="O56" s="832">
        <v>2.83</v>
      </c>
      <c r="P56" s="516">
        <v>3.68</v>
      </c>
      <c r="Q56" s="516" t="s">
        <v>2317</v>
      </c>
      <c r="R56" s="832" t="s">
        <v>2317</v>
      </c>
      <c r="S56" s="516" t="s">
        <v>2317</v>
      </c>
      <c r="T56" s="1006" t="s">
        <v>2317</v>
      </c>
      <c r="U56" s="833">
        <v>2.5</v>
      </c>
      <c r="V56" s="1006">
        <v>3.5</v>
      </c>
      <c r="W56" s="516">
        <v>36.97</v>
      </c>
      <c r="X56" s="832">
        <v>0.5</v>
      </c>
      <c r="Y56" s="833">
        <v>6.84</v>
      </c>
      <c r="Z56" s="832">
        <v>9238.36</v>
      </c>
      <c r="AA56" s="516">
        <v>5111.38</v>
      </c>
      <c r="AB56" s="1006">
        <v>141.04</v>
      </c>
      <c r="AC56" s="833">
        <v>7473.79</v>
      </c>
      <c r="AD56" s="1006">
        <v>33.67</v>
      </c>
      <c r="AE56" s="833" t="s">
        <v>2317</v>
      </c>
    </row>
    <row r="57" spans="1:31" ht="14" thickBot="1">
      <c r="A57" s="70">
        <v>1215</v>
      </c>
      <c r="B57" s="71" t="s">
        <v>555</v>
      </c>
      <c r="C57" s="515">
        <v>10495.33</v>
      </c>
      <c r="D57" s="516">
        <v>19.329999999999998</v>
      </c>
      <c r="E57" s="832">
        <v>8.42</v>
      </c>
      <c r="F57" s="516">
        <v>2.08</v>
      </c>
      <c r="G57" s="832" t="s">
        <v>2317</v>
      </c>
      <c r="H57" s="516" t="s">
        <v>2317</v>
      </c>
      <c r="I57" s="515" t="s">
        <v>2317</v>
      </c>
      <c r="J57" s="516" t="s">
        <v>2317</v>
      </c>
      <c r="K57" s="515" t="s">
        <v>2317</v>
      </c>
      <c r="L57" s="516" t="s">
        <v>2317</v>
      </c>
      <c r="M57" s="832">
        <v>249.42</v>
      </c>
      <c r="N57" s="516">
        <v>0.67</v>
      </c>
      <c r="O57" s="832">
        <v>2.75</v>
      </c>
      <c r="P57" s="516" t="s">
        <v>2317</v>
      </c>
      <c r="Q57" s="516" t="s">
        <v>2317</v>
      </c>
      <c r="R57" s="832" t="s">
        <v>2317</v>
      </c>
      <c r="S57" s="516" t="s">
        <v>2317</v>
      </c>
      <c r="T57" s="1006" t="s">
        <v>2317</v>
      </c>
      <c r="U57" s="833">
        <v>0.83</v>
      </c>
      <c r="V57" s="1006" t="s">
        <v>2317</v>
      </c>
      <c r="W57" s="516">
        <v>3</v>
      </c>
      <c r="X57" s="832" t="s">
        <v>2317</v>
      </c>
      <c r="Y57" s="833">
        <v>2.83</v>
      </c>
      <c r="Z57" s="832">
        <v>5235.25</v>
      </c>
      <c r="AA57" s="516">
        <v>4916.07</v>
      </c>
      <c r="AB57" s="1006">
        <v>18.329999999999998</v>
      </c>
      <c r="AC57" s="833">
        <v>33.08</v>
      </c>
      <c r="AD57" s="1006">
        <v>3.25</v>
      </c>
      <c r="AE57" s="833" t="s">
        <v>2317</v>
      </c>
    </row>
    <row r="58" spans="1:31" ht="14" thickBot="1">
      <c r="A58" s="70">
        <v>1318</v>
      </c>
      <c r="B58" s="71" t="s">
        <v>556</v>
      </c>
      <c r="C58" s="515">
        <v>4296.67</v>
      </c>
      <c r="D58" s="516">
        <v>4117.58</v>
      </c>
      <c r="E58" s="832" t="s">
        <v>2317</v>
      </c>
      <c r="F58" s="516" t="s">
        <v>2317</v>
      </c>
      <c r="G58" s="832" t="s">
        <v>2317</v>
      </c>
      <c r="H58" s="516">
        <v>113.83</v>
      </c>
      <c r="I58" s="515" t="s">
        <v>2317</v>
      </c>
      <c r="J58" s="516" t="s">
        <v>2317</v>
      </c>
      <c r="K58" s="515" t="s">
        <v>2317</v>
      </c>
      <c r="L58" s="516">
        <v>3.5</v>
      </c>
      <c r="M58" s="832" t="s">
        <v>2317</v>
      </c>
      <c r="N58" s="516" t="s">
        <v>2317</v>
      </c>
      <c r="O58" s="832" t="s">
        <v>2317</v>
      </c>
      <c r="P58" s="516" t="s">
        <v>2317</v>
      </c>
      <c r="Q58" s="516" t="s">
        <v>2317</v>
      </c>
      <c r="R58" s="832" t="s">
        <v>2317</v>
      </c>
      <c r="S58" s="516" t="s">
        <v>2317</v>
      </c>
      <c r="T58" s="1006" t="s">
        <v>2317</v>
      </c>
      <c r="U58" s="833" t="s">
        <v>2317</v>
      </c>
      <c r="V58" s="1006" t="s">
        <v>2317</v>
      </c>
      <c r="W58" s="516">
        <v>61.75</v>
      </c>
      <c r="X58" s="832" t="s">
        <v>2317</v>
      </c>
      <c r="Y58" s="833" t="s">
        <v>2317</v>
      </c>
      <c r="Z58" s="832" t="s">
        <v>2317</v>
      </c>
      <c r="AA58" s="516" t="s">
        <v>2317</v>
      </c>
      <c r="AB58" s="1006" t="s">
        <v>2317</v>
      </c>
      <c r="AC58" s="833" t="s">
        <v>2317</v>
      </c>
      <c r="AD58" s="1006" t="s">
        <v>2317</v>
      </c>
      <c r="AE58" s="833" t="s">
        <v>2317</v>
      </c>
    </row>
    <row r="59" spans="1:31" ht="14" thickBot="1">
      <c r="A59" s="70">
        <v>1322</v>
      </c>
      <c r="B59" s="71" t="s">
        <v>557</v>
      </c>
      <c r="C59" s="515">
        <v>5401.41</v>
      </c>
      <c r="D59" s="516">
        <v>1.42</v>
      </c>
      <c r="E59" s="832">
        <v>5.42</v>
      </c>
      <c r="F59" s="516">
        <v>1</v>
      </c>
      <c r="G59" s="832" t="s">
        <v>2317</v>
      </c>
      <c r="H59" s="516">
        <v>0.42</v>
      </c>
      <c r="I59" s="515" t="s">
        <v>2317</v>
      </c>
      <c r="J59" s="516" t="s">
        <v>2317</v>
      </c>
      <c r="K59" s="515">
        <v>0.17</v>
      </c>
      <c r="L59" s="516">
        <v>0.42</v>
      </c>
      <c r="M59" s="832">
        <v>0.5</v>
      </c>
      <c r="N59" s="516">
        <v>0.83</v>
      </c>
      <c r="O59" s="832">
        <v>0.08</v>
      </c>
      <c r="P59" s="516">
        <v>0.42</v>
      </c>
      <c r="Q59" s="516" t="s">
        <v>2317</v>
      </c>
      <c r="R59" s="832" t="s">
        <v>2317</v>
      </c>
      <c r="S59" s="516">
        <v>0.33</v>
      </c>
      <c r="T59" s="1006" t="s">
        <v>2317</v>
      </c>
      <c r="U59" s="833">
        <v>0.5</v>
      </c>
      <c r="V59" s="1006">
        <v>0.08</v>
      </c>
      <c r="W59" s="516">
        <v>5389.67</v>
      </c>
      <c r="X59" s="832">
        <v>0.08</v>
      </c>
      <c r="Y59" s="833">
        <v>0.08</v>
      </c>
      <c r="Z59" s="832" t="s">
        <v>2317</v>
      </c>
      <c r="AA59" s="516" t="s">
        <v>2317</v>
      </c>
      <c r="AB59" s="1006" t="s">
        <v>2317</v>
      </c>
      <c r="AC59" s="833" t="s">
        <v>2317</v>
      </c>
      <c r="AD59" s="1006" t="s">
        <v>2317</v>
      </c>
      <c r="AE59" s="833" t="s">
        <v>2317</v>
      </c>
    </row>
    <row r="60" spans="1:31" ht="14" thickBot="1">
      <c r="A60" s="70">
        <v>1328</v>
      </c>
      <c r="B60" s="71" t="s">
        <v>558</v>
      </c>
      <c r="C60" s="515">
        <v>7456.11</v>
      </c>
      <c r="D60" s="516">
        <v>6433.56</v>
      </c>
      <c r="E60" s="832">
        <v>136.32</v>
      </c>
      <c r="F60" s="516">
        <v>30.75</v>
      </c>
      <c r="G60" s="832">
        <v>4.33</v>
      </c>
      <c r="H60" s="516">
        <v>22.01</v>
      </c>
      <c r="I60" s="515">
        <v>7.67</v>
      </c>
      <c r="J60" s="516">
        <v>3.59</v>
      </c>
      <c r="K60" s="515">
        <v>9</v>
      </c>
      <c r="L60" s="516">
        <v>20.59</v>
      </c>
      <c r="M60" s="832" t="s">
        <v>2317</v>
      </c>
      <c r="N60" s="516">
        <v>23.26</v>
      </c>
      <c r="O60" s="832">
        <v>12.33</v>
      </c>
      <c r="P60" s="516">
        <v>33.49</v>
      </c>
      <c r="Q60" s="516" t="s">
        <v>2317</v>
      </c>
      <c r="R60" s="832">
        <v>47.78</v>
      </c>
      <c r="S60" s="516">
        <v>9.92</v>
      </c>
      <c r="T60" s="1006">
        <v>1</v>
      </c>
      <c r="U60" s="833">
        <v>109.2</v>
      </c>
      <c r="V60" s="1006">
        <v>17</v>
      </c>
      <c r="W60" s="516">
        <v>93.03</v>
      </c>
      <c r="X60" s="832">
        <v>441.22</v>
      </c>
      <c r="Y60" s="833" t="s">
        <v>2317</v>
      </c>
      <c r="Z60" s="832" t="s">
        <v>2317</v>
      </c>
      <c r="AA60" s="516" t="s">
        <v>2317</v>
      </c>
      <c r="AB60" s="1006" t="s">
        <v>2317</v>
      </c>
      <c r="AC60" s="833" t="s">
        <v>2317</v>
      </c>
      <c r="AD60" s="1006" t="s">
        <v>2317</v>
      </c>
      <c r="AE60" s="833" t="s">
        <v>2317</v>
      </c>
    </row>
    <row r="61" spans="1:31" ht="14" thickBot="1">
      <c r="A61" s="70">
        <v>1331</v>
      </c>
      <c r="B61" s="71" t="s">
        <v>559</v>
      </c>
      <c r="C61" s="515">
        <v>1261.3399999999999</v>
      </c>
      <c r="D61" s="516" t="s">
        <v>2317</v>
      </c>
      <c r="E61" s="832" t="s">
        <v>2317</v>
      </c>
      <c r="F61" s="516" t="s">
        <v>2317</v>
      </c>
      <c r="G61" s="832" t="s">
        <v>2317</v>
      </c>
      <c r="H61" s="516" t="s">
        <v>2317</v>
      </c>
      <c r="I61" s="515" t="s">
        <v>2317</v>
      </c>
      <c r="J61" s="516" t="s">
        <v>2317</v>
      </c>
      <c r="K61" s="515">
        <v>4</v>
      </c>
      <c r="L61" s="516" t="s">
        <v>2317</v>
      </c>
      <c r="M61" s="832" t="s">
        <v>2317</v>
      </c>
      <c r="N61" s="516" t="s">
        <v>2317</v>
      </c>
      <c r="O61" s="832" t="s">
        <v>2317</v>
      </c>
      <c r="P61" s="516" t="s">
        <v>2317</v>
      </c>
      <c r="Q61" s="516" t="s">
        <v>2317</v>
      </c>
      <c r="R61" s="832" t="s">
        <v>2317</v>
      </c>
      <c r="S61" s="516" t="s">
        <v>2317</v>
      </c>
      <c r="T61" s="1006" t="s">
        <v>2317</v>
      </c>
      <c r="U61" s="833">
        <v>1247.76</v>
      </c>
      <c r="V61" s="1006">
        <v>9.58</v>
      </c>
      <c r="W61" s="516" t="s">
        <v>2317</v>
      </c>
      <c r="X61" s="832" t="s">
        <v>2317</v>
      </c>
      <c r="Y61" s="833" t="s">
        <v>2317</v>
      </c>
      <c r="Z61" s="832" t="s">
        <v>2317</v>
      </c>
      <c r="AA61" s="516" t="s">
        <v>2317</v>
      </c>
      <c r="AB61" s="1006" t="s">
        <v>2317</v>
      </c>
      <c r="AC61" s="833" t="s">
        <v>2317</v>
      </c>
      <c r="AD61" s="1006" t="s">
        <v>2317</v>
      </c>
      <c r="AE61" s="833" t="s">
        <v>2317</v>
      </c>
    </row>
    <row r="62" spans="1:31" ht="14" thickBot="1">
      <c r="A62" s="70">
        <v>1362</v>
      </c>
      <c r="B62" s="71" t="s">
        <v>560</v>
      </c>
      <c r="C62" s="515">
        <v>662.75</v>
      </c>
      <c r="D62" s="516" t="s">
        <v>2317</v>
      </c>
      <c r="E62" s="832" t="s">
        <v>2317</v>
      </c>
      <c r="F62" s="516" t="s">
        <v>2317</v>
      </c>
      <c r="G62" s="832" t="s">
        <v>2317</v>
      </c>
      <c r="H62" s="516" t="s">
        <v>2317</v>
      </c>
      <c r="I62" s="515" t="s">
        <v>2317</v>
      </c>
      <c r="J62" s="516" t="s">
        <v>2317</v>
      </c>
      <c r="K62" s="515" t="s">
        <v>2317</v>
      </c>
      <c r="L62" s="516" t="s">
        <v>2317</v>
      </c>
      <c r="M62" s="832" t="s">
        <v>2317</v>
      </c>
      <c r="N62" s="516" t="s">
        <v>2317</v>
      </c>
      <c r="O62" s="832" t="s">
        <v>2317</v>
      </c>
      <c r="P62" s="516" t="s">
        <v>2317</v>
      </c>
      <c r="Q62" s="516" t="s">
        <v>2317</v>
      </c>
      <c r="R62" s="832" t="s">
        <v>2317</v>
      </c>
      <c r="S62" s="516" t="s">
        <v>2317</v>
      </c>
      <c r="T62" s="1006" t="s">
        <v>2317</v>
      </c>
      <c r="U62" s="833" t="s">
        <v>2317</v>
      </c>
      <c r="V62" s="1006" t="s">
        <v>2317</v>
      </c>
      <c r="W62" s="516" t="s">
        <v>2317</v>
      </c>
      <c r="X62" s="832" t="s">
        <v>2317</v>
      </c>
      <c r="Y62" s="833" t="s">
        <v>2317</v>
      </c>
      <c r="Z62" s="832" t="s">
        <v>2317</v>
      </c>
      <c r="AA62" s="516">
        <v>662.85</v>
      </c>
      <c r="AB62" s="1006" t="s">
        <v>2317</v>
      </c>
      <c r="AC62" s="833" t="s">
        <v>2317</v>
      </c>
      <c r="AD62" s="1006" t="s">
        <v>2317</v>
      </c>
      <c r="AE62" s="833" t="s">
        <v>2317</v>
      </c>
    </row>
    <row r="63" spans="1:31" ht="14" thickBot="1">
      <c r="A63" s="70">
        <v>1384</v>
      </c>
      <c r="B63" s="71" t="s">
        <v>561</v>
      </c>
      <c r="C63" s="515">
        <v>598669.07999999996</v>
      </c>
      <c r="D63" s="516">
        <v>176039.5</v>
      </c>
      <c r="E63" s="832">
        <v>34007</v>
      </c>
      <c r="F63" s="516">
        <v>9003.75</v>
      </c>
      <c r="G63" s="832">
        <v>360.92</v>
      </c>
      <c r="H63" s="516">
        <v>9489.92</v>
      </c>
      <c r="I63" s="515">
        <v>661.33</v>
      </c>
      <c r="J63" s="516">
        <v>838.92</v>
      </c>
      <c r="K63" s="515">
        <v>3059</v>
      </c>
      <c r="L63" s="516">
        <v>6684</v>
      </c>
      <c r="M63" s="832">
        <v>6214.08</v>
      </c>
      <c r="N63" s="516">
        <v>16278.58</v>
      </c>
      <c r="O63" s="832">
        <v>15858.75</v>
      </c>
      <c r="P63" s="516">
        <v>27685.17</v>
      </c>
      <c r="Q63" s="516" t="s">
        <v>2317</v>
      </c>
      <c r="R63" s="832">
        <v>6492.33</v>
      </c>
      <c r="S63" s="516">
        <v>16911.75</v>
      </c>
      <c r="T63" s="1006">
        <v>4760.67</v>
      </c>
      <c r="U63" s="833">
        <v>124666.92</v>
      </c>
      <c r="V63" s="1006">
        <v>12741</v>
      </c>
      <c r="W63" s="516">
        <v>27681.58</v>
      </c>
      <c r="X63" s="832">
        <v>48091.17</v>
      </c>
      <c r="Y63" s="833">
        <v>18497</v>
      </c>
      <c r="Z63" s="832">
        <v>12683.08</v>
      </c>
      <c r="AA63" s="516">
        <v>2802.58</v>
      </c>
      <c r="AB63" s="1006">
        <v>2644.08</v>
      </c>
      <c r="AC63" s="833">
        <v>13997.5</v>
      </c>
      <c r="AD63" s="1006">
        <v>492.33</v>
      </c>
      <c r="AE63" s="833">
        <v>26.17</v>
      </c>
    </row>
    <row r="64" spans="1:31" ht="14" thickBot="1">
      <c r="A64" s="70">
        <v>1386</v>
      </c>
      <c r="B64" s="71" t="s">
        <v>562</v>
      </c>
      <c r="C64" s="515">
        <v>11069</v>
      </c>
      <c r="D64" s="516">
        <v>4244</v>
      </c>
      <c r="E64" s="832">
        <v>1300</v>
      </c>
      <c r="F64" s="516">
        <v>250</v>
      </c>
      <c r="G64" s="832">
        <v>15</v>
      </c>
      <c r="H64" s="516">
        <v>88</v>
      </c>
      <c r="I64" s="515">
        <v>23</v>
      </c>
      <c r="J64" s="516">
        <v>24</v>
      </c>
      <c r="K64" s="515">
        <v>36</v>
      </c>
      <c r="L64" s="516">
        <v>107</v>
      </c>
      <c r="M64" s="832">
        <v>366</v>
      </c>
      <c r="N64" s="516">
        <v>415</v>
      </c>
      <c r="O64" s="832">
        <v>123</v>
      </c>
      <c r="P64" s="516">
        <v>216</v>
      </c>
      <c r="Q64" s="516" t="s">
        <v>2317</v>
      </c>
      <c r="R64" s="832">
        <v>143</v>
      </c>
      <c r="S64" s="516">
        <v>34</v>
      </c>
      <c r="T64" s="1006">
        <v>4</v>
      </c>
      <c r="U64" s="833">
        <v>643</v>
      </c>
      <c r="V64" s="1006">
        <v>171</v>
      </c>
      <c r="W64" s="516">
        <v>1043</v>
      </c>
      <c r="X64" s="832">
        <v>201</v>
      </c>
      <c r="Y64" s="833">
        <v>217</v>
      </c>
      <c r="Z64" s="832">
        <v>891</v>
      </c>
      <c r="AA64" s="516">
        <v>178</v>
      </c>
      <c r="AB64" s="1006">
        <v>149</v>
      </c>
      <c r="AC64" s="833">
        <v>108</v>
      </c>
      <c r="AD64" s="1006">
        <v>80</v>
      </c>
      <c r="AE64" s="833" t="s">
        <v>2317</v>
      </c>
    </row>
    <row r="65" spans="1:31" ht="14" thickBot="1">
      <c r="A65" s="70">
        <v>1395</v>
      </c>
      <c r="B65" s="71" t="s">
        <v>563</v>
      </c>
      <c r="C65" s="515">
        <v>18110.580000000002</v>
      </c>
      <c r="D65" s="516">
        <v>115.66</v>
      </c>
      <c r="E65" s="832">
        <v>9726.02</v>
      </c>
      <c r="F65" s="516">
        <v>19</v>
      </c>
      <c r="G65" s="832">
        <v>2.25</v>
      </c>
      <c r="H65" s="516">
        <v>5.58</v>
      </c>
      <c r="I65" s="515">
        <v>6.84</v>
      </c>
      <c r="J65" s="516">
        <v>2.34</v>
      </c>
      <c r="K65" s="515">
        <v>3.92</v>
      </c>
      <c r="L65" s="516">
        <v>3.74</v>
      </c>
      <c r="M65" s="832">
        <v>3584.09</v>
      </c>
      <c r="N65" s="516">
        <v>30.08</v>
      </c>
      <c r="O65" s="832">
        <v>33.57</v>
      </c>
      <c r="P65" s="516">
        <v>9.66</v>
      </c>
      <c r="Q65" s="516" t="s">
        <v>2317</v>
      </c>
      <c r="R65" s="832">
        <v>6.42</v>
      </c>
      <c r="S65" s="516">
        <v>0.57999999999999996</v>
      </c>
      <c r="T65" s="1006">
        <v>1</v>
      </c>
      <c r="U65" s="833">
        <v>21.34</v>
      </c>
      <c r="V65" s="1006">
        <v>31.66</v>
      </c>
      <c r="W65" s="516">
        <v>23.5</v>
      </c>
      <c r="X65" s="832">
        <v>9</v>
      </c>
      <c r="Y65" s="833">
        <v>55.67</v>
      </c>
      <c r="Z65" s="832">
        <v>739.83</v>
      </c>
      <c r="AA65" s="516">
        <v>476.58</v>
      </c>
      <c r="AB65" s="1006">
        <v>266</v>
      </c>
      <c r="AC65" s="833">
        <v>692.59</v>
      </c>
      <c r="AD65" s="1006">
        <v>170.5</v>
      </c>
      <c r="AE65" s="833">
        <v>2073.08</v>
      </c>
    </row>
    <row r="66" spans="1:31" ht="14" thickBot="1">
      <c r="A66" s="70">
        <v>1401</v>
      </c>
      <c r="B66" s="71" t="s">
        <v>564</v>
      </c>
      <c r="C66" s="515">
        <v>8938.3700000000008</v>
      </c>
      <c r="D66" s="516">
        <v>1342.91</v>
      </c>
      <c r="E66" s="832">
        <v>186.58</v>
      </c>
      <c r="F66" s="516">
        <v>42.58</v>
      </c>
      <c r="G66" s="832" t="s">
        <v>2317</v>
      </c>
      <c r="H66" s="516">
        <v>43.58</v>
      </c>
      <c r="I66" s="515">
        <v>8</v>
      </c>
      <c r="J66" s="516">
        <v>6.25</v>
      </c>
      <c r="K66" s="515">
        <v>6.92</v>
      </c>
      <c r="L66" s="516">
        <v>19.75</v>
      </c>
      <c r="M66" s="832">
        <v>13.09</v>
      </c>
      <c r="N66" s="516">
        <v>37.33</v>
      </c>
      <c r="O66" s="832">
        <v>14.33</v>
      </c>
      <c r="P66" s="516">
        <v>26.58</v>
      </c>
      <c r="Q66" s="516" t="s">
        <v>2317</v>
      </c>
      <c r="R66" s="832">
        <v>17.329999999999998</v>
      </c>
      <c r="S66" s="516">
        <v>204.59</v>
      </c>
      <c r="T66" s="1006">
        <v>77.25</v>
      </c>
      <c r="U66" s="833">
        <v>6363.5</v>
      </c>
      <c r="V66" s="1006">
        <v>63.58</v>
      </c>
      <c r="W66" s="516">
        <v>210.51</v>
      </c>
      <c r="X66" s="832">
        <v>192.08</v>
      </c>
      <c r="Y66" s="833">
        <v>17.670000000000002</v>
      </c>
      <c r="Z66" s="832">
        <v>28.09</v>
      </c>
      <c r="AA66" s="516">
        <v>7.67</v>
      </c>
      <c r="AB66" s="1006">
        <v>2.75</v>
      </c>
      <c r="AC66" s="833">
        <v>5</v>
      </c>
      <c r="AD66" s="1006">
        <v>0.42</v>
      </c>
      <c r="AE66" s="833" t="s">
        <v>2317</v>
      </c>
    </row>
    <row r="67" spans="1:31" ht="14" thickBot="1">
      <c r="A67" s="70">
        <v>1423</v>
      </c>
      <c r="B67" s="71" t="s">
        <v>565</v>
      </c>
      <c r="C67" s="515">
        <v>4839.2299999999996</v>
      </c>
      <c r="D67" s="516">
        <v>106.25</v>
      </c>
      <c r="E67" s="832">
        <v>1429.59</v>
      </c>
      <c r="F67" s="516">
        <v>43.66</v>
      </c>
      <c r="G67" s="832" t="s">
        <v>2317</v>
      </c>
      <c r="H67" s="516">
        <v>21.58</v>
      </c>
      <c r="I67" s="515" t="s">
        <v>2317</v>
      </c>
      <c r="J67" s="516" t="s">
        <v>2317</v>
      </c>
      <c r="K67" s="515" t="s">
        <v>2317</v>
      </c>
      <c r="L67" s="516">
        <v>20.25</v>
      </c>
      <c r="M67" s="832" t="s">
        <v>2317</v>
      </c>
      <c r="N67" s="516">
        <v>67.92</v>
      </c>
      <c r="O67" s="832">
        <v>68.75</v>
      </c>
      <c r="P67" s="516">
        <v>86.17</v>
      </c>
      <c r="Q67" s="516" t="s">
        <v>2317</v>
      </c>
      <c r="R67" s="832" t="s">
        <v>2317</v>
      </c>
      <c r="S67" s="516" t="s">
        <v>2317</v>
      </c>
      <c r="T67" s="1006" t="s">
        <v>2317</v>
      </c>
      <c r="U67" s="833" t="s">
        <v>2317</v>
      </c>
      <c r="V67" s="1006" t="s">
        <v>2317</v>
      </c>
      <c r="W67" s="516">
        <v>2995.06</v>
      </c>
      <c r="X67" s="832" t="s">
        <v>2317</v>
      </c>
      <c r="Y67" s="833" t="s">
        <v>2317</v>
      </c>
      <c r="Z67" s="832" t="s">
        <v>2317</v>
      </c>
      <c r="AA67" s="516" t="s">
        <v>2317</v>
      </c>
      <c r="AB67" s="1006" t="s">
        <v>2317</v>
      </c>
      <c r="AC67" s="833" t="s">
        <v>2317</v>
      </c>
      <c r="AD67" s="1006" t="s">
        <v>2317</v>
      </c>
      <c r="AE67" s="833" t="s">
        <v>2317</v>
      </c>
    </row>
    <row r="68" spans="1:31" ht="14" thickBot="1">
      <c r="A68" s="70">
        <v>1442</v>
      </c>
      <c r="B68" s="71" t="s">
        <v>566</v>
      </c>
      <c r="C68" s="515">
        <v>2330.08</v>
      </c>
      <c r="D68" s="516">
        <v>9.58</v>
      </c>
      <c r="E68" s="832">
        <v>670.92</v>
      </c>
      <c r="F68" s="516">
        <v>2</v>
      </c>
      <c r="G68" s="832" t="s">
        <v>2317</v>
      </c>
      <c r="H68" s="516">
        <v>1</v>
      </c>
      <c r="I68" s="515">
        <v>1</v>
      </c>
      <c r="J68" s="516" t="s">
        <v>2317</v>
      </c>
      <c r="K68" s="515" t="s">
        <v>2317</v>
      </c>
      <c r="L68" s="516" t="s">
        <v>2317</v>
      </c>
      <c r="M68" s="832">
        <v>60.42</v>
      </c>
      <c r="N68" s="516">
        <v>4.58</v>
      </c>
      <c r="O68" s="832">
        <v>0.75</v>
      </c>
      <c r="P68" s="516">
        <v>16</v>
      </c>
      <c r="Q68" s="516" t="s">
        <v>2317</v>
      </c>
      <c r="R68" s="832" t="s">
        <v>2317</v>
      </c>
      <c r="S68" s="516" t="s">
        <v>2317</v>
      </c>
      <c r="T68" s="1006" t="s">
        <v>2317</v>
      </c>
      <c r="U68" s="833">
        <v>0.17</v>
      </c>
      <c r="V68" s="1006" t="s">
        <v>2317</v>
      </c>
      <c r="W68" s="516">
        <v>36.17</v>
      </c>
      <c r="X68" s="832" t="s">
        <v>2317</v>
      </c>
      <c r="Y68" s="833">
        <v>1</v>
      </c>
      <c r="Z68" s="832">
        <v>1477.25</v>
      </c>
      <c r="AA68" s="516">
        <v>8.75</v>
      </c>
      <c r="AB68" s="1006">
        <v>18.329999999999998</v>
      </c>
      <c r="AC68" s="833">
        <v>2.92</v>
      </c>
      <c r="AD68" s="1006">
        <v>19.25</v>
      </c>
      <c r="AE68" s="833" t="s">
        <v>2317</v>
      </c>
    </row>
    <row r="69" spans="1:31" ht="14" thickBot="1">
      <c r="A69" s="70">
        <v>1479</v>
      </c>
      <c r="B69" s="71" t="s">
        <v>567</v>
      </c>
      <c r="C69" s="515">
        <v>286725.58</v>
      </c>
      <c r="D69" s="516">
        <v>39722.89</v>
      </c>
      <c r="E69" s="832">
        <v>4081.58</v>
      </c>
      <c r="F69" s="516">
        <v>1118.6600000000001</v>
      </c>
      <c r="G69" s="832">
        <v>21</v>
      </c>
      <c r="H69" s="516">
        <v>251.74</v>
      </c>
      <c r="I69" s="515">
        <v>68.33</v>
      </c>
      <c r="J69" s="516">
        <v>29.42</v>
      </c>
      <c r="K69" s="515">
        <v>91.25</v>
      </c>
      <c r="L69" s="516">
        <v>238.5</v>
      </c>
      <c r="M69" s="832">
        <v>6716</v>
      </c>
      <c r="N69" s="516">
        <v>1364.75</v>
      </c>
      <c r="O69" s="832">
        <v>3916.23</v>
      </c>
      <c r="P69" s="516">
        <v>441.42</v>
      </c>
      <c r="Q69" s="516" t="s">
        <v>2317</v>
      </c>
      <c r="R69" s="832">
        <v>54.08</v>
      </c>
      <c r="S69" s="516">
        <v>55.09</v>
      </c>
      <c r="T69" s="1006">
        <v>7.17</v>
      </c>
      <c r="U69" s="833">
        <v>2026.41</v>
      </c>
      <c r="V69" s="1006">
        <v>199.5</v>
      </c>
      <c r="W69" s="516">
        <v>14061.46</v>
      </c>
      <c r="X69" s="832">
        <v>3071.83</v>
      </c>
      <c r="Y69" s="833">
        <v>11934.82</v>
      </c>
      <c r="Z69" s="832">
        <v>69508.28</v>
      </c>
      <c r="AA69" s="516">
        <v>33829.93</v>
      </c>
      <c r="AB69" s="1006">
        <v>11121.89</v>
      </c>
      <c r="AC69" s="833">
        <v>79985.03</v>
      </c>
      <c r="AD69" s="1006">
        <v>2808.17</v>
      </c>
      <c r="AE69" s="833" t="s">
        <v>2317</v>
      </c>
    </row>
    <row r="70" spans="1:31" ht="14" thickBot="1">
      <c r="A70" s="70">
        <v>1507</v>
      </c>
      <c r="B70" s="71" t="s">
        <v>568</v>
      </c>
      <c r="C70" s="515">
        <v>8520.33</v>
      </c>
      <c r="D70" s="516">
        <v>3.5</v>
      </c>
      <c r="E70" s="832">
        <v>6</v>
      </c>
      <c r="F70" s="516">
        <v>1</v>
      </c>
      <c r="G70" s="832" t="s">
        <v>2317</v>
      </c>
      <c r="H70" s="516" t="s">
        <v>2317</v>
      </c>
      <c r="I70" s="515" t="s">
        <v>2317</v>
      </c>
      <c r="J70" s="516" t="s">
        <v>2317</v>
      </c>
      <c r="K70" s="515" t="s">
        <v>2317</v>
      </c>
      <c r="L70" s="516" t="s">
        <v>2317</v>
      </c>
      <c r="M70" s="832">
        <v>8.58</v>
      </c>
      <c r="N70" s="516" t="s">
        <v>2317</v>
      </c>
      <c r="O70" s="832">
        <v>0.83</v>
      </c>
      <c r="P70" s="516" t="s">
        <v>2317</v>
      </c>
      <c r="Q70" s="516" t="s">
        <v>2317</v>
      </c>
      <c r="R70" s="832" t="s">
        <v>2317</v>
      </c>
      <c r="S70" s="516" t="s">
        <v>2317</v>
      </c>
      <c r="T70" s="1006" t="s">
        <v>2317</v>
      </c>
      <c r="U70" s="833">
        <v>1</v>
      </c>
      <c r="V70" s="1006">
        <v>1.42</v>
      </c>
      <c r="W70" s="516" t="s">
        <v>2317</v>
      </c>
      <c r="X70" s="832">
        <v>1</v>
      </c>
      <c r="Y70" s="833">
        <v>1.17</v>
      </c>
      <c r="Z70" s="832">
        <v>82.17</v>
      </c>
      <c r="AA70" s="516">
        <v>8401.33</v>
      </c>
      <c r="AB70" s="1006">
        <v>7.67</v>
      </c>
      <c r="AC70" s="833">
        <v>4.66</v>
      </c>
      <c r="AD70" s="1006" t="s">
        <v>2317</v>
      </c>
      <c r="AE70" s="833" t="s">
        <v>2317</v>
      </c>
    </row>
    <row r="71" spans="1:31" ht="14" thickBot="1">
      <c r="A71" s="70">
        <v>1509</v>
      </c>
      <c r="B71" s="71" t="s">
        <v>569</v>
      </c>
      <c r="C71" s="515">
        <v>347175.08</v>
      </c>
      <c r="D71" s="516">
        <v>93715.83</v>
      </c>
      <c r="E71" s="832">
        <v>37132.080000000002</v>
      </c>
      <c r="F71" s="516">
        <v>13067.58</v>
      </c>
      <c r="G71" s="832">
        <v>673.67</v>
      </c>
      <c r="H71" s="516">
        <v>9202.58</v>
      </c>
      <c r="I71" s="515">
        <v>1254.42</v>
      </c>
      <c r="J71" s="516">
        <v>1016.17</v>
      </c>
      <c r="K71" s="515">
        <v>1701.58</v>
      </c>
      <c r="L71" s="516">
        <v>8232.83</v>
      </c>
      <c r="M71" s="832">
        <v>4721.42</v>
      </c>
      <c r="N71" s="516">
        <v>15274.92</v>
      </c>
      <c r="O71" s="832">
        <v>7136.75</v>
      </c>
      <c r="P71" s="516">
        <v>17826.5</v>
      </c>
      <c r="Q71" s="516" t="s">
        <v>2317</v>
      </c>
      <c r="R71" s="832">
        <v>2871.33</v>
      </c>
      <c r="S71" s="516">
        <v>2928.42</v>
      </c>
      <c r="T71" s="1006">
        <v>355.08</v>
      </c>
      <c r="U71" s="833">
        <v>13207.75</v>
      </c>
      <c r="V71" s="1006">
        <v>4527.08</v>
      </c>
      <c r="W71" s="516">
        <v>31032.58</v>
      </c>
      <c r="X71" s="832">
        <v>13806.25</v>
      </c>
      <c r="Y71" s="833">
        <v>13612.75</v>
      </c>
      <c r="Z71" s="832">
        <v>14809</v>
      </c>
      <c r="AA71" s="516">
        <v>2594.92</v>
      </c>
      <c r="AB71" s="1006">
        <v>19561.25</v>
      </c>
      <c r="AC71" s="833">
        <v>14604.92</v>
      </c>
      <c r="AD71" s="1006">
        <v>1904.67</v>
      </c>
      <c r="AE71" s="833">
        <v>402.75</v>
      </c>
    </row>
    <row r="72" spans="1:31" ht="14" thickBot="1">
      <c r="A72" s="70">
        <v>1520</v>
      </c>
      <c r="B72" s="71" t="s">
        <v>570</v>
      </c>
      <c r="C72" s="515">
        <v>5999.81</v>
      </c>
      <c r="D72" s="516">
        <v>201.51</v>
      </c>
      <c r="E72" s="832">
        <v>1173.79</v>
      </c>
      <c r="F72" s="516">
        <v>113.35</v>
      </c>
      <c r="G72" s="832">
        <v>66.290000000000006</v>
      </c>
      <c r="H72" s="516">
        <v>50.41</v>
      </c>
      <c r="I72" s="515">
        <v>58.1</v>
      </c>
      <c r="J72" s="516">
        <v>53.41</v>
      </c>
      <c r="K72" s="515">
        <v>29.38</v>
      </c>
      <c r="L72" s="516">
        <v>16</v>
      </c>
      <c r="M72" s="832">
        <v>137.56</v>
      </c>
      <c r="N72" s="516">
        <v>22.42</v>
      </c>
      <c r="O72" s="832">
        <v>28.58</v>
      </c>
      <c r="P72" s="516">
        <v>10.08</v>
      </c>
      <c r="Q72" s="516" t="s">
        <v>2317</v>
      </c>
      <c r="R72" s="832">
        <v>17.07</v>
      </c>
      <c r="S72" s="516">
        <v>12.5</v>
      </c>
      <c r="T72" s="1006" t="s">
        <v>2317</v>
      </c>
      <c r="U72" s="833">
        <v>45.1</v>
      </c>
      <c r="V72" s="1006">
        <v>444.33</v>
      </c>
      <c r="W72" s="516">
        <v>84.26</v>
      </c>
      <c r="X72" s="832">
        <v>21.79</v>
      </c>
      <c r="Y72" s="833">
        <v>439.44</v>
      </c>
      <c r="Z72" s="832">
        <v>1515.15</v>
      </c>
      <c r="AA72" s="516">
        <v>1364.65</v>
      </c>
      <c r="AB72" s="1006">
        <v>45.35</v>
      </c>
      <c r="AC72" s="833">
        <v>39.83</v>
      </c>
      <c r="AD72" s="1006">
        <v>9.4600000000000009</v>
      </c>
      <c r="AE72" s="833" t="s">
        <v>2317</v>
      </c>
    </row>
    <row r="73" spans="1:31" ht="14" thickBot="1">
      <c r="A73" s="70">
        <v>1529</v>
      </c>
      <c r="B73" s="71" t="s">
        <v>571</v>
      </c>
      <c r="C73" s="515">
        <v>306881.18</v>
      </c>
      <c r="D73" s="516">
        <v>42787.33</v>
      </c>
      <c r="E73" s="832">
        <v>24430.09</v>
      </c>
      <c r="F73" s="516">
        <v>5925.92</v>
      </c>
      <c r="G73" s="832">
        <v>191.84</v>
      </c>
      <c r="H73" s="516">
        <v>2215.91</v>
      </c>
      <c r="I73" s="515">
        <v>437.08</v>
      </c>
      <c r="J73" s="516">
        <v>637.84</v>
      </c>
      <c r="K73" s="515">
        <v>502.24</v>
      </c>
      <c r="L73" s="516">
        <v>2337.66</v>
      </c>
      <c r="M73" s="832">
        <v>5820.17</v>
      </c>
      <c r="N73" s="516">
        <v>19662.84</v>
      </c>
      <c r="O73" s="832">
        <v>6539.83</v>
      </c>
      <c r="P73" s="516">
        <v>9969.49</v>
      </c>
      <c r="Q73" s="516" t="s">
        <v>2317</v>
      </c>
      <c r="R73" s="832">
        <v>4279.58</v>
      </c>
      <c r="S73" s="516">
        <v>1592.59</v>
      </c>
      <c r="T73" s="1006">
        <v>232.42</v>
      </c>
      <c r="U73" s="833">
        <v>9948.09</v>
      </c>
      <c r="V73" s="1006">
        <v>2306</v>
      </c>
      <c r="W73" s="516">
        <v>16783.5</v>
      </c>
      <c r="X73" s="832">
        <v>7205.34</v>
      </c>
      <c r="Y73" s="833">
        <v>16032.25</v>
      </c>
      <c r="Z73" s="832">
        <v>49099.839999999997</v>
      </c>
      <c r="AA73" s="516">
        <v>5348.58</v>
      </c>
      <c r="AB73" s="1006">
        <v>8334</v>
      </c>
      <c r="AC73" s="833">
        <v>63702.41</v>
      </c>
      <c r="AD73" s="1006">
        <v>558.34</v>
      </c>
      <c r="AE73" s="833" t="s">
        <v>2317</v>
      </c>
    </row>
    <row r="74" spans="1:31" ht="14" thickBot="1">
      <c r="A74" s="70">
        <v>1535</v>
      </c>
      <c r="B74" s="71" t="s">
        <v>572</v>
      </c>
      <c r="C74" s="515">
        <v>102469.5</v>
      </c>
      <c r="D74" s="516">
        <v>5680.99</v>
      </c>
      <c r="E74" s="832">
        <v>8816.6200000000008</v>
      </c>
      <c r="F74" s="516">
        <v>43.17</v>
      </c>
      <c r="G74" s="832">
        <v>2.92</v>
      </c>
      <c r="H74" s="516">
        <v>12.42</v>
      </c>
      <c r="I74" s="515">
        <v>60.58</v>
      </c>
      <c r="J74" s="516">
        <v>174.5</v>
      </c>
      <c r="K74" s="515">
        <v>1.17</v>
      </c>
      <c r="L74" s="516">
        <v>15.75</v>
      </c>
      <c r="M74" s="832">
        <v>2921.8</v>
      </c>
      <c r="N74" s="516">
        <v>5229.72</v>
      </c>
      <c r="O74" s="832">
        <v>30.58</v>
      </c>
      <c r="P74" s="516">
        <v>38.67</v>
      </c>
      <c r="Q74" s="516" t="s">
        <v>2317</v>
      </c>
      <c r="R74" s="832">
        <v>6.17</v>
      </c>
      <c r="S74" s="516">
        <v>10</v>
      </c>
      <c r="T74" s="1006">
        <v>2</v>
      </c>
      <c r="U74" s="833">
        <v>60.58</v>
      </c>
      <c r="V74" s="1006">
        <v>18.079999999999998</v>
      </c>
      <c r="W74" s="516">
        <v>161.74</v>
      </c>
      <c r="X74" s="832">
        <v>38.090000000000003</v>
      </c>
      <c r="Y74" s="833">
        <v>413.58</v>
      </c>
      <c r="Z74" s="832">
        <v>72014.77</v>
      </c>
      <c r="AA74" s="516">
        <v>913.83</v>
      </c>
      <c r="AB74" s="1006">
        <v>290.25</v>
      </c>
      <c r="AC74" s="833">
        <v>5361.39</v>
      </c>
      <c r="AD74" s="1006">
        <v>149.91999999999999</v>
      </c>
      <c r="AE74" s="833" t="s">
        <v>2317</v>
      </c>
    </row>
    <row r="75" spans="1:31" ht="14" thickBot="1">
      <c r="A75" s="70">
        <v>1542</v>
      </c>
      <c r="B75" s="71" t="s">
        <v>618</v>
      </c>
      <c r="C75" s="515">
        <v>474168.58</v>
      </c>
      <c r="D75" s="516">
        <v>47855.17</v>
      </c>
      <c r="E75" s="832">
        <v>63200</v>
      </c>
      <c r="F75" s="516">
        <v>4604.17</v>
      </c>
      <c r="G75" s="832">
        <v>223.25</v>
      </c>
      <c r="H75" s="516">
        <v>2024.25</v>
      </c>
      <c r="I75" s="515">
        <v>254.25</v>
      </c>
      <c r="J75" s="516">
        <v>617.75</v>
      </c>
      <c r="K75" s="515">
        <v>185.58</v>
      </c>
      <c r="L75" s="516">
        <v>1749.92</v>
      </c>
      <c r="M75" s="832">
        <v>22298.33</v>
      </c>
      <c r="N75" s="516">
        <v>8609.58</v>
      </c>
      <c r="O75" s="832">
        <v>15343.58</v>
      </c>
      <c r="P75" s="516">
        <v>13554.92</v>
      </c>
      <c r="Q75" s="516" t="s">
        <v>2317</v>
      </c>
      <c r="R75" s="832">
        <v>3860.83</v>
      </c>
      <c r="S75" s="516">
        <v>225.42</v>
      </c>
      <c r="T75" s="1006">
        <v>87.67</v>
      </c>
      <c r="U75" s="833">
        <v>3507.42</v>
      </c>
      <c r="V75" s="1006">
        <v>1844.67</v>
      </c>
      <c r="W75" s="516">
        <v>7152.67</v>
      </c>
      <c r="X75" s="832">
        <v>4776.08</v>
      </c>
      <c r="Y75" s="833">
        <v>20656</v>
      </c>
      <c r="Z75" s="832">
        <v>127804.58</v>
      </c>
      <c r="AA75" s="516">
        <v>10936.25</v>
      </c>
      <c r="AB75" s="1006">
        <v>45085.58</v>
      </c>
      <c r="AC75" s="833">
        <v>55950.17</v>
      </c>
      <c r="AD75" s="1006">
        <v>11760.5</v>
      </c>
      <c r="AE75" s="833" t="s">
        <v>2317</v>
      </c>
    </row>
    <row r="76" spans="1:31" ht="14" thickBot="1">
      <c r="A76" s="70">
        <v>1551</v>
      </c>
      <c r="B76" s="71" t="s">
        <v>619</v>
      </c>
      <c r="C76" s="515">
        <v>67163.42</v>
      </c>
      <c r="D76" s="516">
        <v>7430.1</v>
      </c>
      <c r="E76" s="832">
        <v>8940.9</v>
      </c>
      <c r="F76" s="516">
        <v>729.75</v>
      </c>
      <c r="G76" s="832">
        <v>38</v>
      </c>
      <c r="H76" s="516">
        <v>598.33000000000004</v>
      </c>
      <c r="I76" s="515">
        <v>57.67</v>
      </c>
      <c r="J76" s="516">
        <v>38.5</v>
      </c>
      <c r="K76" s="515">
        <v>46.17</v>
      </c>
      <c r="L76" s="516">
        <v>243.41</v>
      </c>
      <c r="M76" s="832">
        <v>3151.99</v>
      </c>
      <c r="N76" s="516">
        <v>8522.83</v>
      </c>
      <c r="O76" s="832">
        <v>216.08</v>
      </c>
      <c r="P76" s="516">
        <v>541.41</v>
      </c>
      <c r="Q76" s="516" t="s">
        <v>2317</v>
      </c>
      <c r="R76" s="832">
        <v>109.92</v>
      </c>
      <c r="S76" s="516">
        <v>43.75</v>
      </c>
      <c r="T76" s="1006">
        <v>1</v>
      </c>
      <c r="U76" s="833">
        <v>537.16</v>
      </c>
      <c r="V76" s="1006">
        <v>322.58</v>
      </c>
      <c r="W76" s="516">
        <v>1678.6</v>
      </c>
      <c r="X76" s="832">
        <v>716.09</v>
      </c>
      <c r="Y76" s="833">
        <v>8255.07</v>
      </c>
      <c r="Z76" s="832">
        <v>6378.75</v>
      </c>
      <c r="AA76" s="516">
        <v>597.75</v>
      </c>
      <c r="AB76" s="1006">
        <v>3718.14</v>
      </c>
      <c r="AC76" s="833">
        <v>2499.4899999999998</v>
      </c>
      <c r="AD76" s="1006">
        <v>11749.73</v>
      </c>
      <c r="AE76" s="833" t="s">
        <v>2317</v>
      </c>
    </row>
    <row r="77" spans="1:31" ht="14" thickBot="1">
      <c r="A77" s="70">
        <v>1552</v>
      </c>
      <c r="B77" s="71" t="s">
        <v>620</v>
      </c>
      <c r="C77" s="515">
        <v>117536.17</v>
      </c>
      <c r="D77" s="516">
        <v>2109.75</v>
      </c>
      <c r="E77" s="832">
        <v>51529.25</v>
      </c>
      <c r="F77" s="516">
        <v>145.08000000000001</v>
      </c>
      <c r="G77" s="832">
        <v>0.33</v>
      </c>
      <c r="H77" s="516">
        <v>68.5</v>
      </c>
      <c r="I77" s="515">
        <v>10.83</v>
      </c>
      <c r="J77" s="516">
        <v>16.5</v>
      </c>
      <c r="K77" s="515">
        <v>7.67</v>
      </c>
      <c r="L77" s="516">
        <v>80.5</v>
      </c>
      <c r="M77" s="832">
        <v>197.5</v>
      </c>
      <c r="N77" s="516">
        <v>221.58</v>
      </c>
      <c r="O77" s="832">
        <v>38</v>
      </c>
      <c r="P77" s="516">
        <v>66.5</v>
      </c>
      <c r="Q77" s="516" t="s">
        <v>2317</v>
      </c>
      <c r="R77" s="832">
        <v>90.67</v>
      </c>
      <c r="S77" s="516">
        <v>19.329999999999998</v>
      </c>
      <c r="T77" s="1006">
        <v>7</v>
      </c>
      <c r="U77" s="833">
        <v>170.58</v>
      </c>
      <c r="V77" s="1006">
        <v>72.08</v>
      </c>
      <c r="W77" s="516">
        <v>26162</v>
      </c>
      <c r="X77" s="832">
        <v>9258.75</v>
      </c>
      <c r="Y77" s="833">
        <v>42.08</v>
      </c>
      <c r="Z77" s="832">
        <v>26820.92</v>
      </c>
      <c r="AA77" s="516">
        <v>130.58000000000001</v>
      </c>
      <c r="AB77" s="1006">
        <v>129.58000000000001</v>
      </c>
      <c r="AC77" s="833">
        <v>130.33000000000001</v>
      </c>
      <c r="AD77" s="1006">
        <v>10.25</v>
      </c>
      <c r="AE77" s="833" t="s">
        <v>2317</v>
      </c>
    </row>
    <row r="78" spans="1:31" ht="14" thickBot="1">
      <c r="A78" s="70">
        <v>1555</v>
      </c>
      <c r="B78" s="71" t="s">
        <v>1580</v>
      </c>
      <c r="C78" s="515">
        <v>416164.58</v>
      </c>
      <c r="D78" s="516">
        <v>48645.919999999998</v>
      </c>
      <c r="E78" s="832">
        <v>200715.25</v>
      </c>
      <c r="F78" s="516">
        <v>2960.25</v>
      </c>
      <c r="G78" s="832">
        <v>277.08</v>
      </c>
      <c r="H78" s="516">
        <v>1478.17</v>
      </c>
      <c r="I78" s="515">
        <v>1069.92</v>
      </c>
      <c r="J78" s="516">
        <v>883.75</v>
      </c>
      <c r="K78" s="515">
        <v>16.170000000000002</v>
      </c>
      <c r="L78" s="516">
        <v>3907.17</v>
      </c>
      <c r="M78" s="832">
        <v>23662.5</v>
      </c>
      <c r="N78" s="516">
        <v>12379.08</v>
      </c>
      <c r="O78" s="832">
        <v>6803.42</v>
      </c>
      <c r="P78" s="516">
        <v>20478.5</v>
      </c>
      <c r="Q78" s="516" t="s">
        <v>2317</v>
      </c>
      <c r="R78" s="832">
        <v>3921.58</v>
      </c>
      <c r="S78" s="516">
        <v>27</v>
      </c>
      <c r="T78" s="1006">
        <v>1</v>
      </c>
      <c r="U78" s="833">
        <v>8103.17</v>
      </c>
      <c r="V78" s="1006">
        <v>64</v>
      </c>
      <c r="W78" s="516">
        <v>26201.83</v>
      </c>
      <c r="X78" s="832">
        <v>106.67</v>
      </c>
      <c r="Y78" s="833">
        <v>13542.75</v>
      </c>
      <c r="Z78" s="832">
        <v>36211.75</v>
      </c>
      <c r="AA78" s="516">
        <v>4527</v>
      </c>
      <c r="AB78" s="1006">
        <v>66.17</v>
      </c>
      <c r="AC78" s="833">
        <v>79.17</v>
      </c>
      <c r="AD78" s="1006">
        <v>17.079999999999998</v>
      </c>
      <c r="AE78" s="833">
        <v>18.25</v>
      </c>
    </row>
    <row r="79" spans="1:31" ht="14" thickBot="1">
      <c r="A79" s="70">
        <v>1560</v>
      </c>
      <c r="B79" s="71" t="s">
        <v>621</v>
      </c>
      <c r="C79" s="515">
        <v>94272</v>
      </c>
      <c r="D79" s="516">
        <v>12711</v>
      </c>
      <c r="E79" s="832">
        <v>19895</v>
      </c>
      <c r="F79" s="516">
        <v>5801</v>
      </c>
      <c r="G79" s="832">
        <v>1730</v>
      </c>
      <c r="H79" s="516">
        <v>4768</v>
      </c>
      <c r="I79" s="515">
        <v>925</v>
      </c>
      <c r="J79" s="516">
        <v>1029</v>
      </c>
      <c r="K79" s="515">
        <v>408</v>
      </c>
      <c r="L79" s="516">
        <v>1173</v>
      </c>
      <c r="M79" s="832">
        <v>799</v>
      </c>
      <c r="N79" s="516">
        <v>3053</v>
      </c>
      <c r="O79" s="832">
        <v>43</v>
      </c>
      <c r="P79" s="516">
        <v>2769</v>
      </c>
      <c r="Q79" s="516" t="s">
        <v>2317</v>
      </c>
      <c r="R79" s="832">
        <v>1123</v>
      </c>
      <c r="S79" s="516">
        <v>2880</v>
      </c>
      <c r="T79" s="1006">
        <v>1309</v>
      </c>
      <c r="U79" s="833">
        <v>10769</v>
      </c>
      <c r="V79" s="1006">
        <v>273</v>
      </c>
      <c r="W79" s="516">
        <v>8342</v>
      </c>
      <c r="X79" s="832">
        <v>7371</v>
      </c>
      <c r="Y79" s="833">
        <v>749</v>
      </c>
      <c r="Z79" s="832">
        <v>50</v>
      </c>
      <c r="AA79" s="516">
        <v>119</v>
      </c>
      <c r="AB79" s="1006">
        <v>4878</v>
      </c>
      <c r="AC79" s="833">
        <v>9</v>
      </c>
      <c r="AD79" s="1006">
        <v>1296</v>
      </c>
      <c r="AE79" s="833" t="s">
        <v>2317</v>
      </c>
    </row>
    <row r="80" spans="1:31" ht="14" thickBot="1">
      <c r="A80" s="70">
        <v>1562</v>
      </c>
      <c r="B80" s="71" t="s">
        <v>622</v>
      </c>
      <c r="C80" s="515">
        <v>658490.57999999996</v>
      </c>
      <c r="D80" s="516">
        <v>159102.92000000001</v>
      </c>
      <c r="E80" s="832">
        <v>80104.25</v>
      </c>
      <c r="F80" s="516">
        <v>15138.67</v>
      </c>
      <c r="G80" s="832">
        <v>2389.5</v>
      </c>
      <c r="H80" s="516">
        <v>10094.67</v>
      </c>
      <c r="I80" s="515">
        <v>2314.92</v>
      </c>
      <c r="J80" s="516">
        <v>3054.58</v>
      </c>
      <c r="K80" s="515">
        <v>5425.25</v>
      </c>
      <c r="L80" s="516">
        <v>8721.92</v>
      </c>
      <c r="M80" s="832">
        <v>10742</v>
      </c>
      <c r="N80" s="516">
        <v>34404.67</v>
      </c>
      <c r="O80" s="832">
        <v>7848.42</v>
      </c>
      <c r="P80" s="516">
        <v>18893.75</v>
      </c>
      <c r="Q80" s="516" t="s">
        <v>2317</v>
      </c>
      <c r="R80" s="832">
        <v>4566.58</v>
      </c>
      <c r="S80" s="516">
        <v>5178.25</v>
      </c>
      <c r="T80" s="1006">
        <v>1299.75</v>
      </c>
      <c r="U80" s="833">
        <v>27647.5</v>
      </c>
      <c r="V80" s="1006">
        <v>11445.67</v>
      </c>
      <c r="W80" s="516">
        <v>62795.25</v>
      </c>
      <c r="X80" s="832">
        <v>20558.419999999998</v>
      </c>
      <c r="Y80" s="833">
        <v>47733.67</v>
      </c>
      <c r="Z80" s="832">
        <v>35755.83</v>
      </c>
      <c r="AA80" s="516">
        <v>14825.33</v>
      </c>
      <c r="AB80" s="1006">
        <v>4301.5</v>
      </c>
      <c r="AC80" s="833">
        <v>62861.67</v>
      </c>
      <c r="AD80" s="1006">
        <v>1285.67</v>
      </c>
      <c r="AE80" s="833" t="s">
        <v>2317</v>
      </c>
    </row>
    <row r="81" spans="1:31" ht="14" thickBot="1">
      <c r="A81" s="70">
        <v>1563</v>
      </c>
      <c r="B81" s="71" t="s">
        <v>623</v>
      </c>
      <c r="C81" s="515">
        <v>37004</v>
      </c>
      <c r="D81" s="516">
        <v>1204.3399999999999</v>
      </c>
      <c r="E81" s="832">
        <v>15964.16</v>
      </c>
      <c r="F81" s="516">
        <v>583.33000000000004</v>
      </c>
      <c r="G81" s="832">
        <v>35</v>
      </c>
      <c r="H81" s="516">
        <v>281.83999999999997</v>
      </c>
      <c r="I81" s="515">
        <v>89.84</v>
      </c>
      <c r="J81" s="516">
        <v>92.08</v>
      </c>
      <c r="K81" s="515">
        <v>109.17</v>
      </c>
      <c r="L81" s="516">
        <v>218.75</v>
      </c>
      <c r="M81" s="832">
        <v>560.25</v>
      </c>
      <c r="N81" s="516">
        <v>1043.67</v>
      </c>
      <c r="O81" s="832">
        <v>1381</v>
      </c>
      <c r="P81" s="516">
        <v>1188</v>
      </c>
      <c r="Q81" s="516" t="s">
        <v>2317</v>
      </c>
      <c r="R81" s="832">
        <v>462.66</v>
      </c>
      <c r="S81" s="516">
        <v>174.17</v>
      </c>
      <c r="T81" s="1006">
        <v>49.75</v>
      </c>
      <c r="U81" s="833">
        <v>1703.75</v>
      </c>
      <c r="V81" s="1006">
        <v>360.5</v>
      </c>
      <c r="W81" s="516">
        <v>806.59</v>
      </c>
      <c r="X81" s="832">
        <v>10406.41</v>
      </c>
      <c r="Y81" s="833">
        <v>56.67</v>
      </c>
      <c r="Z81" s="832">
        <v>55.91</v>
      </c>
      <c r="AA81" s="516">
        <v>118.16</v>
      </c>
      <c r="AB81" s="1006">
        <v>23</v>
      </c>
      <c r="AC81" s="833">
        <v>21.24</v>
      </c>
      <c r="AD81" s="1006">
        <v>13.83</v>
      </c>
      <c r="AE81" s="833" t="s">
        <v>2317</v>
      </c>
    </row>
    <row r="82" spans="1:31" ht="14" thickBot="1">
      <c r="A82" s="70">
        <v>1565</v>
      </c>
      <c r="B82" s="71" t="s">
        <v>624</v>
      </c>
      <c r="C82" s="515">
        <v>206406.42</v>
      </c>
      <c r="D82" s="516">
        <v>63270.42</v>
      </c>
      <c r="E82" s="832">
        <v>24692</v>
      </c>
      <c r="F82" s="516">
        <v>939.5</v>
      </c>
      <c r="G82" s="832">
        <v>59.5</v>
      </c>
      <c r="H82" s="516">
        <v>306.33</v>
      </c>
      <c r="I82" s="515">
        <v>95.92</v>
      </c>
      <c r="J82" s="516">
        <v>191.33</v>
      </c>
      <c r="K82" s="515">
        <v>226.58</v>
      </c>
      <c r="L82" s="516">
        <v>247.17</v>
      </c>
      <c r="M82" s="832">
        <v>12064.75</v>
      </c>
      <c r="N82" s="516">
        <v>11123.92</v>
      </c>
      <c r="O82" s="832">
        <v>6142.67</v>
      </c>
      <c r="P82" s="516">
        <v>10393.42</v>
      </c>
      <c r="Q82" s="516" t="s">
        <v>2317</v>
      </c>
      <c r="R82" s="832">
        <v>237.67</v>
      </c>
      <c r="S82" s="516">
        <v>184.5</v>
      </c>
      <c r="T82" s="1006">
        <v>162.08000000000001</v>
      </c>
      <c r="U82" s="833">
        <v>25237</v>
      </c>
      <c r="V82" s="1006">
        <v>7595.83</v>
      </c>
      <c r="W82" s="516">
        <v>3091.92</v>
      </c>
      <c r="X82" s="832">
        <v>880.25</v>
      </c>
      <c r="Y82" s="833">
        <v>19931.5</v>
      </c>
      <c r="Z82" s="832">
        <v>2138.75</v>
      </c>
      <c r="AA82" s="516">
        <v>1837.92</v>
      </c>
      <c r="AB82" s="1006">
        <v>12763.42</v>
      </c>
      <c r="AC82" s="833">
        <v>2338</v>
      </c>
      <c r="AD82" s="1006">
        <v>254.08</v>
      </c>
      <c r="AE82" s="833" t="s">
        <v>2317</v>
      </c>
    </row>
    <row r="83" spans="1:31" ht="14" thickBot="1">
      <c r="A83" s="70">
        <v>1566</v>
      </c>
      <c r="B83" s="71" t="s">
        <v>625</v>
      </c>
      <c r="C83" s="515">
        <v>149790.07999999999</v>
      </c>
      <c r="D83" s="516">
        <v>17063.919999999998</v>
      </c>
      <c r="E83" s="832">
        <v>15449.08</v>
      </c>
      <c r="F83" s="516">
        <v>22987.17</v>
      </c>
      <c r="G83" s="832">
        <v>165.25</v>
      </c>
      <c r="H83" s="516">
        <v>9775.5</v>
      </c>
      <c r="I83" s="515">
        <v>281.67</v>
      </c>
      <c r="J83" s="516">
        <v>313.5</v>
      </c>
      <c r="K83" s="515">
        <v>260.67</v>
      </c>
      <c r="L83" s="516">
        <v>6505.67</v>
      </c>
      <c r="M83" s="832">
        <v>3070.92</v>
      </c>
      <c r="N83" s="516">
        <v>1069.75</v>
      </c>
      <c r="O83" s="832">
        <v>1612.17</v>
      </c>
      <c r="P83" s="516">
        <v>2604.75</v>
      </c>
      <c r="Q83" s="516" t="s">
        <v>2317</v>
      </c>
      <c r="R83" s="832">
        <v>7763.92</v>
      </c>
      <c r="S83" s="516">
        <v>5378.83</v>
      </c>
      <c r="T83" s="1006">
        <v>206.5</v>
      </c>
      <c r="U83" s="833">
        <v>9796.75</v>
      </c>
      <c r="V83" s="1006">
        <v>1922.33</v>
      </c>
      <c r="W83" s="516">
        <v>6517.17</v>
      </c>
      <c r="X83" s="832">
        <v>5145.42</v>
      </c>
      <c r="Y83" s="833">
        <v>5085.5</v>
      </c>
      <c r="Z83" s="832">
        <v>3677.25</v>
      </c>
      <c r="AA83" s="516">
        <v>16230.33</v>
      </c>
      <c r="AB83" s="1006">
        <v>4022.83</v>
      </c>
      <c r="AC83" s="833">
        <v>600</v>
      </c>
      <c r="AD83" s="1006">
        <v>2283.25</v>
      </c>
      <c r="AE83" s="833" t="s">
        <v>2317</v>
      </c>
    </row>
    <row r="84" spans="1:31" ht="14" thickBot="1">
      <c r="A84" s="70">
        <v>1568</v>
      </c>
      <c r="B84" s="71" t="s">
        <v>626</v>
      </c>
      <c r="C84" s="515">
        <v>98819.25</v>
      </c>
      <c r="D84" s="516">
        <v>22064.67</v>
      </c>
      <c r="E84" s="832">
        <v>23353.67</v>
      </c>
      <c r="F84" s="516">
        <v>11317.92</v>
      </c>
      <c r="G84" s="832">
        <v>130.33000000000001</v>
      </c>
      <c r="H84" s="516">
        <v>1245.5</v>
      </c>
      <c r="I84" s="515">
        <v>254.42</v>
      </c>
      <c r="J84" s="516">
        <v>377.08</v>
      </c>
      <c r="K84" s="515">
        <v>304</v>
      </c>
      <c r="L84" s="516">
        <v>290.75</v>
      </c>
      <c r="M84" s="832">
        <v>102.33</v>
      </c>
      <c r="N84" s="516">
        <v>15531.5</v>
      </c>
      <c r="O84" s="832">
        <v>125</v>
      </c>
      <c r="P84" s="516">
        <v>277.83</v>
      </c>
      <c r="Q84" s="516" t="s">
        <v>2317</v>
      </c>
      <c r="R84" s="832">
        <v>248.25</v>
      </c>
      <c r="S84" s="516">
        <v>325.08</v>
      </c>
      <c r="T84" s="1006">
        <v>95.83</v>
      </c>
      <c r="U84" s="833">
        <v>13449.25</v>
      </c>
      <c r="V84" s="1006">
        <v>410.83</v>
      </c>
      <c r="W84" s="516">
        <v>6585.5</v>
      </c>
      <c r="X84" s="832">
        <v>1665.83</v>
      </c>
      <c r="Y84" s="833">
        <v>109.58</v>
      </c>
      <c r="Z84" s="832">
        <v>446</v>
      </c>
      <c r="AA84" s="516">
        <v>27.58</v>
      </c>
      <c r="AB84" s="1006">
        <v>54.33</v>
      </c>
      <c r="AC84" s="833">
        <v>23.58</v>
      </c>
      <c r="AD84" s="1006">
        <v>2.17</v>
      </c>
      <c r="AE84" s="833">
        <v>0.42</v>
      </c>
    </row>
    <row r="85" spans="1:31" ht="14" thickBot="1">
      <c r="A85" s="70">
        <v>1569</v>
      </c>
      <c r="B85" s="71" t="s">
        <v>627</v>
      </c>
      <c r="C85" s="515">
        <v>102794.82</v>
      </c>
      <c r="D85" s="516">
        <v>8894.67</v>
      </c>
      <c r="E85" s="832">
        <v>18535.68</v>
      </c>
      <c r="F85" s="516">
        <v>510.42</v>
      </c>
      <c r="G85" s="832">
        <v>1933.42</v>
      </c>
      <c r="H85" s="516">
        <v>117.57</v>
      </c>
      <c r="I85" s="515">
        <v>41.8</v>
      </c>
      <c r="J85" s="516">
        <v>22.31</v>
      </c>
      <c r="K85" s="515">
        <v>3500.25</v>
      </c>
      <c r="L85" s="516">
        <v>146</v>
      </c>
      <c r="M85" s="832">
        <v>1393</v>
      </c>
      <c r="N85" s="516">
        <v>865.09</v>
      </c>
      <c r="O85" s="832">
        <v>155.51</v>
      </c>
      <c r="P85" s="516">
        <v>647.48</v>
      </c>
      <c r="Q85" s="516" t="s">
        <v>2317</v>
      </c>
      <c r="R85" s="832">
        <v>90.7</v>
      </c>
      <c r="S85" s="516">
        <v>852.61</v>
      </c>
      <c r="T85" s="1006">
        <v>54.77</v>
      </c>
      <c r="U85" s="833">
        <v>2785.05</v>
      </c>
      <c r="V85" s="1006">
        <v>6528.28</v>
      </c>
      <c r="W85" s="516">
        <v>450.91</v>
      </c>
      <c r="X85" s="832">
        <v>2780.09</v>
      </c>
      <c r="Y85" s="833">
        <v>10724.3</v>
      </c>
      <c r="Z85" s="832">
        <v>2654.79</v>
      </c>
      <c r="AA85" s="516">
        <v>24060.87</v>
      </c>
      <c r="AB85" s="1006">
        <v>2811.35</v>
      </c>
      <c r="AC85" s="833">
        <v>2310.87</v>
      </c>
      <c r="AD85" s="1006">
        <v>9927.0300000000007</v>
      </c>
      <c r="AE85" s="833" t="s">
        <v>2317</v>
      </c>
    </row>
    <row r="86" spans="1:31" ht="14" thickBot="1">
      <c r="A86" s="70">
        <v>1570</v>
      </c>
      <c r="B86" s="71" t="s">
        <v>628</v>
      </c>
      <c r="C86" s="515">
        <v>19978.080000000002</v>
      </c>
      <c r="D86" s="516">
        <v>129.41999999999999</v>
      </c>
      <c r="E86" s="832">
        <v>591.25</v>
      </c>
      <c r="F86" s="516">
        <v>15.42</v>
      </c>
      <c r="G86" s="832">
        <v>1</v>
      </c>
      <c r="H86" s="516">
        <v>17.25</v>
      </c>
      <c r="I86" s="515">
        <v>26.25</v>
      </c>
      <c r="J86" s="516">
        <v>20.75</v>
      </c>
      <c r="K86" s="515" t="s">
        <v>2317</v>
      </c>
      <c r="L86" s="516">
        <v>37.58</v>
      </c>
      <c r="M86" s="832">
        <v>1586.25</v>
      </c>
      <c r="N86" s="516">
        <v>22.08</v>
      </c>
      <c r="O86" s="832">
        <v>19.5</v>
      </c>
      <c r="P86" s="516">
        <v>38.08</v>
      </c>
      <c r="Q86" s="516" t="s">
        <v>2317</v>
      </c>
      <c r="R86" s="832">
        <v>97.25</v>
      </c>
      <c r="S86" s="516" t="s">
        <v>2317</v>
      </c>
      <c r="T86" s="1006" t="s">
        <v>2317</v>
      </c>
      <c r="U86" s="833">
        <v>13.25</v>
      </c>
      <c r="V86" s="1006">
        <v>0.25</v>
      </c>
      <c r="W86" s="516">
        <v>90.17</v>
      </c>
      <c r="X86" s="832">
        <v>1.33</v>
      </c>
      <c r="Y86" s="833">
        <v>274.17</v>
      </c>
      <c r="Z86" s="832">
        <v>12028</v>
      </c>
      <c r="AA86" s="516">
        <v>1195.25</v>
      </c>
      <c r="AB86" s="1006">
        <v>1260.33</v>
      </c>
      <c r="AC86" s="833">
        <v>2070.08</v>
      </c>
      <c r="AD86" s="1006">
        <v>443.17</v>
      </c>
      <c r="AE86" s="833" t="s">
        <v>2317</v>
      </c>
    </row>
    <row r="87" spans="1:31" ht="14" thickBot="1">
      <c r="A87" s="70">
        <v>1571</v>
      </c>
      <c r="B87" s="71" t="s">
        <v>629</v>
      </c>
      <c r="C87" s="515">
        <v>9506.67</v>
      </c>
      <c r="D87" s="516">
        <v>823.17</v>
      </c>
      <c r="E87" s="832">
        <v>1441.42</v>
      </c>
      <c r="F87" s="516">
        <v>112.25</v>
      </c>
      <c r="G87" s="832">
        <v>5.5</v>
      </c>
      <c r="H87" s="516">
        <v>162.16999999999999</v>
      </c>
      <c r="I87" s="515">
        <v>55</v>
      </c>
      <c r="J87" s="516">
        <v>15.33</v>
      </c>
      <c r="K87" s="515">
        <v>29.92</v>
      </c>
      <c r="L87" s="516">
        <v>19.079999999999998</v>
      </c>
      <c r="M87" s="832">
        <v>17.25</v>
      </c>
      <c r="N87" s="516">
        <v>206.42</v>
      </c>
      <c r="O87" s="832">
        <v>60.42</v>
      </c>
      <c r="P87" s="516">
        <v>151.25</v>
      </c>
      <c r="Q87" s="516" t="s">
        <v>2317</v>
      </c>
      <c r="R87" s="832">
        <v>242.25</v>
      </c>
      <c r="S87" s="516">
        <v>11.42</v>
      </c>
      <c r="T87" s="1006">
        <v>8</v>
      </c>
      <c r="U87" s="833">
        <v>201.83</v>
      </c>
      <c r="V87" s="1006">
        <v>464.67</v>
      </c>
      <c r="W87" s="516">
        <v>4173.5</v>
      </c>
      <c r="X87" s="832">
        <v>533.5</v>
      </c>
      <c r="Y87" s="833">
        <v>1.08</v>
      </c>
      <c r="Z87" s="832">
        <v>684.33</v>
      </c>
      <c r="AA87" s="516">
        <v>43.5</v>
      </c>
      <c r="AB87" s="1006">
        <v>10.75</v>
      </c>
      <c r="AC87" s="833">
        <v>28.42</v>
      </c>
      <c r="AD87" s="1006">
        <v>4.25</v>
      </c>
      <c r="AE87" s="833" t="s">
        <v>2317</v>
      </c>
    </row>
    <row r="88" spans="1:31" ht="14" thickBot="1">
      <c r="A88" s="70">
        <v>1574</v>
      </c>
      <c r="B88" s="71" t="s">
        <v>630</v>
      </c>
      <c r="C88" s="515">
        <v>3.75</v>
      </c>
      <c r="D88" s="516">
        <v>0.42</v>
      </c>
      <c r="E88" s="832" t="s">
        <v>2317</v>
      </c>
      <c r="F88" s="516" t="s">
        <v>2317</v>
      </c>
      <c r="G88" s="832" t="s">
        <v>2317</v>
      </c>
      <c r="H88" s="516" t="s">
        <v>2317</v>
      </c>
      <c r="I88" s="515" t="s">
        <v>2317</v>
      </c>
      <c r="J88" s="516" t="s">
        <v>2317</v>
      </c>
      <c r="K88" s="515" t="s">
        <v>2317</v>
      </c>
      <c r="L88" s="516" t="s">
        <v>2317</v>
      </c>
      <c r="M88" s="832" t="s">
        <v>2317</v>
      </c>
      <c r="N88" s="516" t="s">
        <v>2317</v>
      </c>
      <c r="O88" s="832" t="s">
        <v>2317</v>
      </c>
      <c r="P88" s="516" t="s">
        <v>2317</v>
      </c>
      <c r="Q88" s="516" t="s">
        <v>2317</v>
      </c>
      <c r="R88" s="832" t="s">
        <v>2317</v>
      </c>
      <c r="S88" s="516" t="s">
        <v>2317</v>
      </c>
      <c r="T88" s="1006" t="s">
        <v>2317</v>
      </c>
      <c r="U88" s="833" t="s">
        <v>2317</v>
      </c>
      <c r="V88" s="1006" t="s">
        <v>2317</v>
      </c>
      <c r="W88" s="516" t="s">
        <v>2317</v>
      </c>
      <c r="X88" s="832">
        <v>0.17</v>
      </c>
      <c r="Y88" s="833" t="s">
        <v>2317</v>
      </c>
      <c r="Z88" s="832">
        <v>3.17</v>
      </c>
      <c r="AA88" s="516" t="s">
        <v>2317</v>
      </c>
      <c r="AB88" s="1006" t="s">
        <v>2317</v>
      </c>
      <c r="AC88" s="833" t="s">
        <v>2317</v>
      </c>
      <c r="AD88" s="1006" t="s">
        <v>2317</v>
      </c>
      <c r="AE88" s="833" t="s">
        <v>2317</v>
      </c>
    </row>
    <row r="89" spans="1:31" ht="14" thickBot="1">
      <c r="A89" s="70">
        <v>1575</v>
      </c>
      <c r="B89" s="71" t="s">
        <v>708</v>
      </c>
      <c r="C89" s="515">
        <v>1625.33</v>
      </c>
      <c r="D89" s="516">
        <v>20.329999999999998</v>
      </c>
      <c r="E89" s="832">
        <v>962.08</v>
      </c>
      <c r="F89" s="516" t="s">
        <v>2317</v>
      </c>
      <c r="G89" s="832" t="s">
        <v>2317</v>
      </c>
      <c r="H89" s="516" t="s">
        <v>2317</v>
      </c>
      <c r="I89" s="515" t="s">
        <v>2317</v>
      </c>
      <c r="J89" s="516">
        <v>7</v>
      </c>
      <c r="K89" s="515" t="s">
        <v>2317</v>
      </c>
      <c r="L89" s="516" t="s">
        <v>2317</v>
      </c>
      <c r="M89" s="832">
        <v>234.92</v>
      </c>
      <c r="N89" s="516">
        <v>22.67</v>
      </c>
      <c r="O89" s="832">
        <v>2.33</v>
      </c>
      <c r="P89" s="516">
        <v>11.25</v>
      </c>
      <c r="Q89" s="516" t="s">
        <v>2317</v>
      </c>
      <c r="R89" s="832" t="s">
        <v>2317</v>
      </c>
      <c r="S89" s="516" t="s">
        <v>2317</v>
      </c>
      <c r="T89" s="1006" t="s">
        <v>2317</v>
      </c>
      <c r="U89" s="833" t="s">
        <v>2317</v>
      </c>
      <c r="V89" s="1006">
        <v>3.58</v>
      </c>
      <c r="W89" s="516" t="s">
        <v>2317</v>
      </c>
      <c r="X89" s="832">
        <v>7.75</v>
      </c>
      <c r="Y89" s="833" t="s">
        <v>2317</v>
      </c>
      <c r="Z89" s="832">
        <v>270.75</v>
      </c>
      <c r="AA89" s="516">
        <v>51.67</v>
      </c>
      <c r="AB89" s="1006">
        <v>15</v>
      </c>
      <c r="AC89" s="833">
        <v>12</v>
      </c>
      <c r="AD89" s="1006">
        <v>4</v>
      </c>
      <c r="AE89" s="833" t="s">
        <v>2317</v>
      </c>
    </row>
    <row r="90" spans="1:31" ht="14" thickBot="1">
      <c r="A90" s="70"/>
      <c r="B90" s="71"/>
      <c r="C90" s="515" t="s">
        <v>2317</v>
      </c>
      <c r="D90" s="516" t="s">
        <v>2317</v>
      </c>
      <c r="E90" s="832" t="s">
        <v>2317</v>
      </c>
      <c r="F90" s="516" t="s">
        <v>2317</v>
      </c>
      <c r="G90" s="832" t="s">
        <v>2317</v>
      </c>
      <c r="H90" s="516" t="s">
        <v>2317</v>
      </c>
      <c r="I90" s="515" t="s">
        <v>2317</v>
      </c>
      <c r="J90" s="516" t="s">
        <v>2317</v>
      </c>
      <c r="K90" s="515" t="s">
        <v>2317</v>
      </c>
      <c r="L90" s="516" t="s">
        <v>2317</v>
      </c>
      <c r="M90" s="832" t="s">
        <v>2317</v>
      </c>
      <c r="N90" s="516" t="s">
        <v>2317</v>
      </c>
      <c r="O90" s="832" t="s">
        <v>2317</v>
      </c>
      <c r="P90" s="516" t="s">
        <v>2317</v>
      </c>
      <c r="Q90" s="516" t="s">
        <v>2317</v>
      </c>
      <c r="R90" s="832" t="s">
        <v>2317</v>
      </c>
      <c r="S90" s="516" t="s">
        <v>2317</v>
      </c>
      <c r="T90" s="1006" t="s">
        <v>2317</v>
      </c>
      <c r="U90" s="833" t="s">
        <v>2317</v>
      </c>
      <c r="V90" s="1006" t="s">
        <v>2317</v>
      </c>
      <c r="W90" s="516" t="s">
        <v>2317</v>
      </c>
      <c r="X90" s="832" t="s">
        <v>2317</v>
      </c>
      <c r="Y90" s="833" t="s">
        <v>2317</v>
      </c>
      <c r="Z90" s="832" t="s">
        <v>2317</v>
      </c>
      <c r="AA90" s="516" t="s">
        <v>2317</v>
      </c>
      <c r="AB90" s="1006" t="s">
        <v>2317</v>
      </c>
      <c r="AC90" s="833" t="s">
        <v>2317</v>
      </c>
      <c r="AD90" s="1006" t="s">
        <v>2317</v>
      </c>
      <c r="AE90" s="833" t="s">
        <v>2317</v>
      </c>
    </row>
    <row r="91" spans="1:31" ht="14" thickBot="1">
      <c r="A91" s="70"/>
      <c r="B91" s="71"/>
      <c r="C91" s="515" t="s">
        <v>2317</v>
      </c>
      <c r="D91" s="516" t="s">
        <v>2317</v>
      </c>
      <c r="E91" s="832" t="s">
        <v>2317</v>
      </c>
      <c r="F91" s="516" t="s">
        <v>2317</v>
      </c>
      <c r="G91" s="832" t="s">
        <v>2317</v>
      </c>
      <c r="H91" s="516" t="s">
        <v>2317</v>
      </c>
      <c r="I91" s="515" t="s">
        <v>2317</v>
      </c>
      <c r="J91" s="516" t="s">
        <v>2317</v>
      </c>
      <c r="K91" s="515" t="s">
        <v>2317</v>
      </c>
      <c r="L91" s="516" t="s">
        <v>2317</v>
      </c>
      <c r="M91" s="832" t="s">
        <v>2317</v>
      </c>
      <c r="N91" s="516" t="s">
        <v>2317</v>
      </c>
      <c r="O91" s="832" t="s">
        <v>2317</v>
      </c>
      <c r="P91" s="516" t="s">
        <v>2317</v>
      </c>
      <c r="Q91" s="516" t="s">
        <v>2317</v>
      </c>
      <c r="R91" s="832" t="s">
        <v>2317</v>
      </c>
      <c r="S91" s="516" t="s">
        <v>2317</v>
      </c>
      <c r="T91" s="1006" t="s">
        <v>2317</v>
      </c>
      <c r="U91" s="833" t="s">
        <v>2317</v>
      </c>
      <c r="V91" s="1006" t="s">
        <v>2317</v>
      </c>
      <c r="W91" s="516" t="s">
        <v>2317</v>
      </c>
      <c r="X91" s="832" t="s">
        <v>2317</v>
      </c>
      <c r="Y91" s="833" t="s">
        <v>2317</v>
      </c>
      <c r="Z91" s="832" t="s">
        <v>2317</v>
      </c>
      <c r="AA91" s="516" t="s">
        <v>2317</v>
      </c>
      <c r="AB91" s="1006" t="s">
        <v>2317</v>
      </c>
      <c r="AC91" s="833" t="s">
        <v>2317</v>
      </c>
      <c r="AD91" s="1006" t="s">
        <v>2317</v>
      </c>
      <c r="AE91" s="833" t="s">
        <v>2317</v>
      </c>
    </row>
    <row r="92" spans="1:31" ht="14" thickBot="1">
      <c r="A92" s="70"/>
      <c r="B92" s="71"/>
      <c r="C92" s="515" t="s">
        <v>2317</v>
      </c>
      <c r="D92" s="516" t="s">
        <v>2317</v>
      </c>
      <c r="E92" s="832" t="s">
        <v>2317</v>
      </c>
      <c r="F92" s="516" t="s">
        <v>2317</v>
      </c>
      <c r="G92" s="832" t="s">
        <v>2317</v>
      </c>
      <c r="H92" s="516" t="s">
        <v>2317</v>
      </c>
      <c r="I92" s="515" t="s">
        <v>2317</v>
      </c>
      <c r="J92" s="516" t="s">
        <v>2317</v>
      </c>
      <c r="K92" s="515" t="s">
        <v>2317</v>
      </c>
      <c r="L92" s="516" t="s">
        <v>2317</v>
      </c>
      <c r="M92" s="832" t="s">
        <v>2317</v>
      </c>
      <c r="N92" s="516" t="s">
        <v>2317</v>
      </c>
      <c r="O92" s="832" t="s">
        <v>2317</v>
      </c>
      <c r="P92" s="516" t="s">
        <v>2317</v>
      </c>
      <c r="Q92" s="516" t="s">
        <v>2317</v>
      </c>
      <c r="R92" s="832" t="s">
        <v>2317</v>
      </c>
      <c r="S92" s="516" t="s">
        <v>2317</v>
      </c>
      <c r="T92" s="1006" t="s">
        <v>2317</v>
      </c>
      <c r="U92" s="833" t="s">
        <v>2317</v>
      </c>
      <c r="V92" s="1006" t="s">
        <v>2317</v>
      </c>
      <c r="W92" s="516" t="s">
        <v>2317</v>
      </c>
      <c r="X92" s="832" t="s">
        <v>2317</v>
      </c>
      <c r="Y92" s="833" t="s">
        <v>2317</v>
      </c>
      <c r="Z92" s="832" t="s">
        <v>2317</v>
      </c>
      <c r="AA92" s="516" t="s">
        <v>2317</v>
      </c>
      <c r="AB92" s="1006" t="s">
        <v>2317</v>
      </c>
      <c r="AC92" s="833" t="s">
        <v>2317</v>
      </c>
      <c r="AD92" s="1006" t="s">
        <v>2317</v>
      </c>
      <c r="AE92" s="833" t="s">
        <v>2317</v>
      </c>
    </row>
    <row r="93" spans="1:31" ht="14" thickBot="1">
      <c r="A93" s="70"/>
      <c r="B93" s="71"/>
      <c r="C93" s="515" t="s">
        <v>2317</v>
      </c>
      <c r="D93" s="516" t="s">
        <v>2317</v>
      </c>
      <c r="E93" s="832" t="s">
        <v>2317</v>
      </c>
      <c r="F93" s="516" t="s">
        <v>2317</v>
      </c>
      <c r="G93" s="832" t="s">
        <v>2317</v>
      </c>
      <c r="H93" s="516" t="s">
        <v>2317</v>
      </c>
      <c r="I93" s="515" t="s">
        <v>2317</v>
      </c>
      <c r="J93" s="516" t="s">
        <v>2317</v>
      </c>
      <c r="K93" s="515" t="s">
        <v>2317</v>
      </c>
      <c r="L93" s="516" t="s">
        <v>2317</v>
      </c>
      <c r="M93" s="832" t="s">
        <v>2317</v>
      </c>
      <c r="N93" s="516" t="s">
        <v>2317</v>
      </c>
      <c r="O93" s="832" t="s">
        <v>2317</v>
      </c>
      <c r="P93" s="516" t="s">
        <v>2317</v>
      </c>
      <c r="Q93" s="516" t="s">
        <v>2317</v>
      </c>
      <c r="R93" s="832" t="s">
        <v>2317</v>
      </c>
      <c r="S93" s="516" t="s">
        <v>2317</v>
      </c>
      <c r="T93" s="1006" t="s">
        <v>2317</v>
      </c>
      <c r="U93" s="833" t="s">
        <v>2317</v>
      </c>
      <c r="V93" s="1006" t="s">
        <v>2317</v>
      </c>
      <c r="W93" s="516" t="s">
        <v>2317</v>
      </c>
      <c r="X93" s="832" t="s">
        <v>2317</v>
      </c>
      <c r="Y93" s="833" t="s">
        <v>2317</v>
      </c>
      <c r="Z93" s="832" t="s">
        <v>2317</v>
      </c>
      <c r="AA93" s="516" t="s">
        <v>2317</v>
      </c>
      <c r="AB93" s="1006" t="s">
        <v>2317</v>
      </c>
      <c r="AC93" s="833" t="s">
        <v>2317</v>
      </c>
      <c r="AD93" s="1006" t="s">
        <v>2317</v>
      </c>
      <c r="AE93" s="833" t="s">
        <v>2317</v>
      </c>
    </row>
    <row r="94" spans="1:31" ht="14" thickBot="1">
      <c r="A94" s="70"/>
      <c r="B94" s="71"/>
      <c r="C94" s="515" t="s">
        <v>2317</v>
      </c>
      <c r="D94" s="516" t="s">
        <v>2317</v>
      </c>
      <c r="E94" s="832" t="s">
        <v>2317</v>
      </c>
      <c r="F94" s="516" t="s">
        <v>2317</v>
      </c>
      <c r="G94" s="832" t="s">
        <v>2317</v>
      </c>
      <c r="H94" s="516" t="s">
        <v>2317</v>
      </c>
      <c r="I94" s="515" t="s">
        <v>2317</v>
      </c>
      <c r="J94" s="516" t="s">
        <v>2317</v>
      </c>
      <c r="K94" s="515" t="s">
        <v>2317</v>
      </c>
      <c r="L94" s="516" t="s">
        <v>2317</v>
      </c>
      <c r="M94" s="832" t="s">
        <v>2317</v>
      </c>
      <c r="N94" s="516" t="s">
        <v>2317</v>
      </c>
      <c r="O94" s="832" t="s">
        <v>2317</v>
      </c>
      <c r="P94" s="516" t="s">
        <v>2317</v>
      </c>
      <c r="Q94" s="516" t="s">
        <v>2317</v>
      </c>
      <c r="R94" s="832" t="s">
        <v>2317</v>
      </c>
      <c r="S94" s="516" t="s">
        <v>2317</v>
      </c>
      <c r="T94" s="1006" t="s">
        <v>2317</v>
      </c>
      <c r="U94" s="833" t="s">
        <v>2317</v>
      </c>
      <c r="V94" s="1006" t="s">
        <v>2317</v>
      </c>
      <c r="W94" s="516" t="s">
        <v>2317</v>
      </c>
      <c r="X94" s="832" t="s">
        <v>2317</v>
      </c>
      <c r="Y94" s="833" t="s">
        <v>2317</v>
      </c>
      <c r="Z94" s="832" t="s">
        <v>2317</v>
      </c>
      <c r="AA94" s="516" t="s">
        <v>2317</v>
      </c>
      <c r="AB94" s="1006" t="s">
        <v>2317</v>
      </c>
      <c r="AC94" s="833" t="s">
        <v>2317</v>
      </c>
      <c r="AD94" s="1006" t="s">
        <v>2317</v>
      </c>
      <c r="AE94" s="833" t="s">
        <v>2317</v>
      </c>
    </row>
    <row r="95" spans="1:31" ht="14" thickBot="1">
      <c r="A95" s="70"/>
      <c r="B95" s="71"/>
      <c r="C95" s="515" t="s">
        <v>2317</v>
      </c>
      <c r="D95" s="516" t="s">
        <v>2317</v>
      </c>
      <c r="E95" s="832" t="s">
        <v>2317</v>
      </c>
      <c r="F95" s="516" t="s">
        <v>2317</v>
      </c>
      <c r="G95" s="832" t="s">
        <v>2317</v>
      </c>
      <c r="H95" s="516" t="s">
        <v>2317</v>
      </c>
      <c r="I95" s="515" t="s">
        <v>2317</v>
      </c>
      <c r="J95" s="516" t="s">
        <v>2317</v>
      </c>
      <c r="K95" s="515" t="s">
        <v>2317</v>
      </c>
      <c r="L95" s="516" t="s">
        <v>2317</v>
      </c>
      <c r="M95" s="832" t="s">
        <v>2317</v>
      </c>
      <c r="N95" s="516" t="s">
        <v>2317</v>
      </c>
      <c r="O95" s="832" t="s">
        <v>2317</v>
      </c>
      <c r="P95" s="516" t="s">
        <v>2317</v>
      </c>
      <c r="Q95" s="516" t="s">
        <v>2317</v>
      </c>
      <c r="R95" s="832" t="s">
        <v>2317</v>
      </c>
      <c r="S95" s="516" t="s">
        <v>2317</v>
      </c>
      <c r="T95" s="1006" t="s">
        <v>2317</v>
      </c>
      <c r="U95" s="833" t="s">
        <v>2317</v>
      </c>
      <c r="V95" s="1006" t="s">
        <v>2317</v>
      </c>
      <c r="W95" s="516" t="s">
        <v>2317</v>
      </c>
      <c r="X95" s="832" t="s">
        <v>2317</v>
      </c>
      <c r="Y95" s="833" t="s">
        <v>2317</v>
      </c>
      <c r="Z95" s="832" t="s">
        <v>2317</v>
      </c>
      <c r="AA95" s="516" t="s">
        <v>2317</v>
      </c>
      <c r="AB95" s="1006" t="s">
        <v>2317</v>
      </c>
      <c r="AC95" s="833" t="s">
        <v>2317</v>
      </c>
      <c r="AD95" s="1006" t="s">
        <v>2317</v>
      </c>
      <c r="AE95" s="833" t="s">
        <v>2317</v>
      </c>
    </row>
    <row r="96" spans="1:31" ht="14" thickBot="1">
      <c r="A96" s="70"/>
      <c r="B96" s="71"/>
      <c r="C96" s="515" t="s">
        <v>2317</v>
      </c>
      <c r="D96" s="516" t="s">
        <v>2317</v>
      </c>
      <c r="E96" s="832" t="s">
        <v>2317</v>
      </c>
      <c r="F96" s="516" t="s">
        <v>2317</v>
      </c>
      <c r="G96" s="832" t="s">
        <v>2317</v>
      </c>
      <c r="H96" s="516" t="s">
        <v>2317</v>
      </c>
      <c r="I96" s="515" t="s">
        <v>2317</v>
      </c>
      <c r="J96" s="516" t="s">
        <v>2317</v>
      </c>
      <c r="K96" s="515" t="s">
        <v>2317</v>
      </c>
      <c r="L96" s="516" t="s">
        <v>2317</v>
      </c>
      <c r="M96" s="832" t="s">
        <v>2317</v>
      </c>
      <c r="N96" s="516" t="s">
        <v>2317</v>
      </c>
      <c r="O96" s="832" t="s">
        <v>2317</v>
      </c>
      <c r="P96" s="516" t="s">
        <v>2317</v>
      </c>
      <c r="Q96" s="516" t="s">
        <v>2317</v>
      </c>
      <c r="R96" s="832" t="s">
        <v>2317</v>
      </c>
      <c r="S96" s="516" t="s">
        <v>2317</v>
      </c>
      <c r="T96" s="1006" t="s">
        <v>2317</v>
      </c>
      <c r="U96" s="833" t="s">
        <v>2317</v>
      </c>
      <c r="V96" s="1006" t="s">
        <v>2317</v>
      </c>
      <c r="W96" s="516" t="s">
        <v>2317</v>
      </c>
      <c r="X96" s="832" t="s">
        <v>2317</v>
      </c>
      <c r="Y96" s="833" t="s">
        <v>2317</v>
      </c>
      <c r="Z96" s="832" t="s">
        <v>2317</v>
      </c>
      <c r="AA96" s="516" t="s">
        <v>2317</v>
      </c>
      <c r="AB96" s="1006" t="s">
        <v>2317</v>
      </c>
      <c r="AC96" s="833" t="s">
        <v>2317</v>
      </c>
      <c r="AD96" s="1006" t="s">
        <v>2317</v>
      </c>
      <c r="AE96" s="833" t="s">
        <v>2317</v>
      </c>
    </row>
    <row r="97" spans="1:31" ht="14" thickBot="1">
      <c r="A97" s="70"/>
      <c r="B97" s="71"/>
      <c r="C97" s="515" t="s">
        <v>2317</v>
      </c>
      <c r="D97" s="516" t="s">
        <v>2317</v>
      </c>
      <c r="E97" s="832" t="s">
        <v>2317</v>
      </c>
      <c r="F97" s="516" t="s">
        <v>2317</v>
      </c>
      <c r="G97" s="832" t="s">
        <v>2317</v>
      </c>
      <c r="H97" s="516" t="s">
        <v>2317</v>
      </c>
      <c r="I97" s="515" t="s">
        <v>2317</v>
      </c>
      <c r="J97" s="516" t="s">
        <v>2317</v>
      </c>
      <c r="K97" s="515" t="s">
        <v>2317</v>
      </c>
      <c r="L97" s="516" t="s">
        <v>2317</v>
      </c>
      <c r="M97" s="832" t="s">
        <v>2317</v>
      </c>
      <c r="N97" s="516" t="s">
        <v>2317</v>
      </c>
      <c r="O97" s="832" t="s">
        <v>2317</v>
      </c>
      <c r="P97" s="516" t="s">
        <v>2317</v>
      </c>
      <c r="Q97" s="516" t="s">
        <v>2317</v>
      </c>
      <c r="R97" s="832" t="s">
        <v>2317</v>
      </c>
      <c r="S97" s="516" t="s">
        <v>2317</v>
      </c>
      <c r="T97" s="1006" t="s">
        <v>2317</v>
      </c>
      <c r="U97" s="833" t="s">
        <v>2317</v>
      </c>
      <c r="V97" s="1006" t="s">
        <v>2317</v>
      </c>
      <c r="W97" s="516" t="s">
        <v>2317</v>
      </c>
      <c r="X97" s="832" t="s">
        <v>2317</v>
      </c>
      <c r="Y97" s="833" t="s">
        <v>2317</v>
      </c>
      <c r="Z97" s="832" t="s">
        <v>2317</v>
      </c>
      <c r="AA97" s="516" t="s">
        <v>2317</v>
      </c>
      <c r="AB97" s="1006" t="s">
        <v>2317</v>
      </c>
      <c r="AC97" s="833" t="s">
        <v>2317</v>
      </c>
      <c r="AD97" s="1006" t="s">
        <v>2317</v>
      </c>
      <c r="AE97" s="833" t="s">
        <v>2317</v>
      </c>
    </row>
    <row r="98" spans="1:31" ht="14" thickBot="1">
      <c r="A98" s="70"/>
      <c r="B98" s="71"/>
      <c r="C98" s="515" t="s">
        <v>2317</v>
      </c>
      <c r="D98" s="516" t="s">
        <v>2317</v>
      </c>
      <c r="E98" s="832" t="s">
        <v>2317</v>
      </c>
      <c r="F98" s="516" t="s">
        <v>2317</v>
      </c>
      <c r="G98" s="832" t="s">
        <v>2317</v>
      </c>
      <c r="H98" s="516" t="s">
        <v>2317</v>
      </c>
      <c r="I98" s="515" t="s">
        <v>2317</v>
      </c>
      <c r="J98" s="516" t="s">
        <v>2317</v>
      </c>
      <c r="K98" s="515" t="s">
        <v>2317</v>
      </c>
      <c r="L98" s="516" t="s">
        <v>2317</v>
      </c>
      <c r="M98" s="832" t="s">
        <v>2317</v>
      </c>
      <c r="N98" s="516" t="s">
        <v>2317</v>
      </c>
      <c r="O98" s="832" t="s">
        <v>2317</v>
      </c>
      <c r="P98" s="516" t="s">
        <v>2317</v>
      </c>
      <c r="Q98" s="516" t="s">
        <v>2317</v>
      </c>
      <c r="R98" s="832" t="s">
        <v>2317</v>
      </c>
      <c r="S98" s="516" t="s">
        <v>2317</v>
      </c>
      <c r="T98" s="1006" t="s">
        <v>2317</v>
      </c>
      <c r="U98" s="833" t="s">
        <v>2317</v>
      </c>
      <c r="V98" s="1006" t="s">
        <v>2317</v>
      </c>
      <c r="W98" s="516" t="s">
        <v>2317</v>
      </c>
      <c r="X98" s="832" t="s">
        <v>2317</v>
      </c>
      <c r="Y98" s="833" t="s">
        <v>2317</v>
      </c>
      <c r="Z98" s="832" t="s">
        <v>2317</v>
      </c>
      <c r="AA98" s="516" t="s">
        <v>2317</v>
      </c>
      <c r="AB98" s="1006" t="s">
        <v>2317</v>
      </c>
      <c r="AC98" s="833" t="s">
        <v>2317</v>
      </c>
      <c r="AD98" s="1006" t="s">
        <v>2317</v>
      </c>
      <c r="AE98" s="833" t="s">
        <v>2317</v>
      </c>
    </row>
    <row r="99" spans="1:31" ht="14" thickBot="1">
      <c r="A99" s="70"/>
      <c r="B99" s="71"/>
      <c r="C99" s="515" t="s">
        <v>2317</v>
      </c>
      <c r="D99" s="516" t="s">
        <v>2317</v>
      </c>
      <c r="E99" s="832" t="s">
        <v>2317</v>
      </c>
      <c r="F99" s="516" t="s">
        <v>2317</v>
      </c>
      <c r="G99" s="832" t="s">
        <v>2317</v>
      </c>
      <c r="H99" s="516" t="s">
        <v>2317</v>
      </c>
      <c r="I99" s="515" t="s">
        <v>2317</v>
      </c>
      <c r="J99" s="516" t="s">
        <v>2317</v>
      </c>
      <c r="K99" s="515" t="s">
        <v>2317</v>
      </c>
      <c r="L99" s="516" t="s">
        <v>2317</v>
      </c>
      <c r="M99" s="832" t="s">
        <v>2317</v>
      </c>
      <c r="N99" s="516" t="s">
        <v>2317</v>
      </c>
      <c r="O99" s="832" t="s">
        <v>2317</v>
      </c>
      <c r="P99" s="516" t="s">
        <v>2317</v>
      </c>
      <c r="Q99" s="516" t="s">
        <v>2317</v>
      </c>
      <c r="R99" s="832" t="s">
        <v>2317</v>
      </c>
      <c r="S99" s="516" t="s">
        <v>2317</v>
      </c>
      <c r="T99" s="1006" t="s">
        <v>2317</v>
      </c>
      <c r="U99" s="833" t="s">
        <v>2317</v>
      </c>
      <c r="V99" s="1006" t="s">
        <v>2317</v>
      </c>
      <c r="W99" s="516" t="s">
        <v>2317</v>
      </c>
      <c r="X99" s="832" t="s">
        <v>2317</v>
      </c>
      <c r="Y99" s="833" t="s">
        <v>2317</v>
      </c>
      <c r="Z99" s="832" t="s">
        <v>2317</v>
      </c>
      <c r="AA99" s="516" t="s">
        <v>2317</v>
      </c>
      <c r="AB99" s="1006" t="s">
        <v>2317</v>
      </c>
      <c r="AC99" s="833" t="s">
        <v>2317</v>
      </c>
      <c r="AD99" s="1006" t="s">
        <v>2317</v>
      </c>
      <c r="AE99" s="833" t="s">
        <v>2317</v>
      </c>
    </row>
    <row r="100" spans="1:31" ht="14" thickBot="1">
      <c r="A100" s="70"/>
      <c r="B100" s="71"/>
      <c r="C100" s="515" t="s">
        <v>2317</v>
      </c>
      <c r="D100" s="516" t="s">
        <v>2317</v>
      </c>
      <c r="E100" s="832" t="s">
        <v>2317</v>
      </c>
      <c r="F100" s="516" t="s">
        <v>2317</v>
      </c>
      <c r="G100" s="832" t="s">
        <v>2317</v>
      </c>
      <c r="H100" s="516" t="s">
        <v>2317</v>
      </c>
      <c r="I100" s="515" t="s">
        <v>2317</v>
      </c>
      <c r="J100" s="516" t="s">
        <v>2317</v>
      </c>
      <c r="K100" s="515" t="s">
        <v>2317</v>
      </c>
      <c r="L100" s="516" t="s">
        <v>2317</v>
      </c>
      <c r="M100" s="832" t="s">
        <v>2317</v>
      </c>
      <c r="N100" s="516" t="s">
        <v>2317</v>
      </c>
      <c r="O100" s="832" t="s">
        <v>2317</v>
      </c>
      <c r="P100" s="516" t="s">
        <v>2317</v>
      </c>
      <c r="Q100" s="516" t="s">
        <v>2317</v>
      </c>
      <c r="R100" s="832" t="s">
        <v>2317</v>
      </c>
      <c r="S100" s="516" t="s">
        <v>2317</v>
      </c>
      <c r="T100" s="1006" t="s">
        <v>2317</v>
      </c>
      <c r="U100" s="833" t="s">
        <v>2317</v>
      </c>
      <c r="V100" s="1006" t="s">
        <v>2317</v>
      </c>
      <c r="W100" s="516" t="s">
        <v>2317</v>
      </c>
      <c r="X100" s="832" t="s">
        <v>2317</v>
      </c>
      <c r="Y100" s="833" t="s">
        <v>2317</v>
      </c>
      <c r="Z100" s="832" t="s">
        <v>2317</v>
      </c>
      <c r="AA100" s="516" t="s">
        <v>2317</v>
      </c>
      <c r="AB100" s="1006" t="s">
        <v>2317</v>
      </c>
      <c r="AC100" s="833" t="s">
        <v>2317</v>
      </c>
      <c r="AD100" s="1006" t="s">
        <v>2317</v>
      </c>
      <c r="AE100" s="833" t="s">
        <v>2317</v>
      </c>
    </row>
    <row r="101" spans="1:31" s="277" customFormat="1" ht="14" thickBot="1">
      <c r="A101" s="522" t="s">
        <v>631</v>
      </c>
      <c r="B101" s="523">
        <v>81</v>
      </c>
      <c r="C101" s="524">
        <v>7708851.5100000007</v>
      </c>
      <c r="D101" s="525">
        <v>1340591.05</v>
      </c>
      <c r="E101" s="1005">
        <v>971658.23</v>
      </c>
      <c r="F101" s="525">
        <v>373032.19</v>
      </c>
      <c r="G101" s="1005">
        <v>35467.97</v>
      </c>
      <c r="H101" s="526">
        <v>144715.96</v>
      </c>
      <c r="I101" s="524">
        <v>35340.879999999997</v>
      </c>
      <c r="J101" s="525">
        <v>40486.120000000003</v>
      </c>
      <c r="K101" s="524">
        <v>38635.449999999997</v>
      </c>
      <c r="L101" s="525">
        <v>110832.47</v>
      </c>
      <c r="M101" s="1005">
        <v>271450.28000000003</v>
      </c>
      <c r="N101" s="525">
        <v>254992.54</v>
      </c>
      <c r="O101" s="1005">
        <v>176780.49</v>
      </c>
      <c r="P101" s="525">
        <v>271364.28000000003</v>
      </c>
      <c r="Q101" s="525"/>
      <c r="R101" s="1005">
        <v>75376.759999999995</v>
      </c>
      <c r="S101" s="525">
        <v>53744.68</v>
      </c>
      <c r="T101" s="1005">
        <v>15662.64</v>
      </c>
      <c r="U101" s="525">
        <v>475363.58</v>
      </c>
      <c r="V101" s="1005">
        <v>196248.75</v>
      </c>
      <c r="W101" s="525">
        <v>600574.32999999996</v>
      </c>
      <c r="X101" s="1005">
        <v>243993.34</v>
      </c>
      <c r="Y101" s="525">
        <v>328079.89</v>
      </c>
      <c r="Z101" s="1005">
        <v>683742.42</v>
      </c>
      <c r="AA101" s="525">
        <v>310758.58</v>
      </c>
      <c r="AB101" s="1005">
        <v>172107.22</v>
      </c>
      <c r="AC101" s="525">
        <v>413964.79</v>
      </c>
      <c r="AD101" s="1005">
        <v>70290.59</v>
      </c>
      <c r="AE101" s="525">
        <v>3593</v>
      </c>
    </row>
    <row r="102" spans="1:31" ht="15.75" customHeight="1" thickBot="1">
      <c r="A102" s="89" t="s">
        <v>1837</v>
      </c>
      <c r="C102" s="530"/>
      <c r="D102" s="531"/>
      <c r="E102" s="531"/>
      <c r="F102" s="531"/>
      <c r="G102" s="531"/>
      <c r="H102" s="532"/>
      <c r="I102" s="531"/>
      <c r="J102" s="533"/>
      <c r="K102" s="534"/>
      <c r="L102" s="535"/>
      <c r="M102" s="535"/>
      <c r="N102" s="531"/>
      <c r="O102" s="535"/>
      <c r="P102" s="531"/>
      <c r="Q102" s="535"/>
      <c r="R102" s="532"/>
    </row>
    <row r="103" spans="1:31" ht="15.75" customHeight="1">
      <c r="A103" s="89"/>
      <c r="C103" s="835"/>
      <c r="D103" s="836"/>
      <c r="E103" s="836"/>
      <c r="F103" s="836"/>
      <c r="G103" s="836"/>
      <c r="H103" s="837"/>
      <c r="I103" s="836"/>
      <c r="J103" s="838"/>
      <c r="K103" s="839"/>
      <c r="L103" s="580"/>
      <c r="M103" s="580"/>
      <c r="N103" s="836"/>
      <c r="O103" s="580"/>
      <c r="P103" s="836"/>
      <c r="Q103" s="580"/>
      <c r="R103" s="837"/>
    </row>
    <row r="104" spans="1:31" ht="27.75" customHeight="1">
      <c r="A104" s="2024" t="s">
        <v>1956</v>
      </c>
      <c r="B104" s="2017"/>
    </row>
    <row r="105" spans="1:31" ht="112.5" customHeight="1">
      <c r="A105" s="2024" t="s">
        <v>1960</v>
      </c>
      <c r="B105" s="2017"/>
    </row>
    <row r="106" spans="1:31" ht="84" customHeight="1">
      <c r="A106" s="2028" t="s">
        <v>967</v>
      </c>
      <c r="B106" s="2029"/>
    </row>
    <row r="108" spans="1:31">
      <c r="A108" s="93" t="s">
        <v>1957</v>
      </c>
    </row>
    <row r="110" spans="1:31" ht="7.5" customHeight="1"/>
    <row r="111" spans="1:31" ht="24.75" customHeight="1">
      <c r="A111" s="2024" t="s">
        <v>710</v>
      </c>
      <c r="B111" s="2017"/>
    </row>
  </sheetData>
  <mergeCells count="5">
    <mergeCell ref="A111:B111"/>
    <mergeCell ref="A2:B2"/>
    <mergeCell ref="A105:B105"/>
    <mergeCell ref="A104:B104"/>
    <mergeCell ref="A106:B106"/>
  </mergeCells>
  <phoneticPr fontId="0" type="noConversion"/>
  <pageMargins left="0.36" right="0.27" top="0.31" bottom="0.3" header="0.21" footer="0.18"/>
  <pageSetup paperSize="9" scale="46" fitToHeight="2" pageOrder="overThenDown" orientation="portrait"/>
  <headerFooter alignWithMargins="0">
    <oddFooter>&amp;R&amp;P/&amp;N</oddFooter>
  </headerFooter>
  <colBreaks count="1" manualBreakCount="1">
    <brk id="17" max="1048575" man="1"/>
  </colBreak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D11A-8114-3149-8C73-1E842BE87E63}">
  <sheetPr>
    <pageSetUpPr fitToPage="1"/>
  </sheetPr>
  <dimension ref="A1:B11"/>
  <sheetViews>
    <sheetView workbookViewId="0">
      <selection activeCell="B5" sqref="B5"/>
    </sheetView>
  </sheetViews>
  <sheetFormatPr baseColWidth="10" defaultColWidth="11.3984375" defaultRowHeight="13"/>
  <cols>
    <col min="1" max="1" width="5.59765625" style="346" customWidth="1"/>
    <col min="2" max="16384" width="11.3984375" style="346"/>
  </cols>
  <sheetData>
    <row r="1" spans="1:2" ht="16">
      <c r="A1" s="345" t="s">
        <v>2281</v>
      </c>
    </row>
    <row r="2" spans="1:2" ht="16">
      <c r="A2" s="347"/>
    </row>
    <row r="3" spans="1:2">
      <c r="A3" s="346">
        <v>6.01</v>
      </c>
      <c r="B3" s="348" t="s">
        <v>2282</v>
      </c>
    </row>
    <row r="4" spans="1:2">
      <c r="A4" s="346">
        <v>6.02</v>
      </c>
      <c r="B4" s="348" t="s">
        <v>2283</v>
      </c>
    </row>
    <row r="5" spans="1:2">
      <c r="A5" s="346">
        <v>6.03</v>
      </c>
      <c r="B5" s="348" t="s">
        <v>2284</v>
      </c>
    </row>
    <row r="6" spans="1:2">
      <c r="A6" s="346">
        <v>6.04</v>
      </c>
      <c r="B6" s="348" t="s">
        <v>2285</v>
      </c>
    </row>
    <row r="7" spans="1:2">
      <c r="A7" s="346">
        <v>6.05</v>
      </c>
      <c r="B7" s="348" t="s">
        <v>2286</v>
      </c>
    </row>
    <row r="8" spans="1:2">
      <c r="A8" s="346">
        <v>6.06</v>
      </c>
      <c r="B8" s="348" t="s">
        <v>2287</v>
      </c>
    </row>
    <row r="11" spans="1:2">
      <c r="A11" s="349" t="s">
        <v>710</v>
      </c>
    </row>
  </sheetData>
  <phoneticPr fontId="30" type="noConversion"/>
  <pageMargins left="0.46" right="0.35" top="0.69" bottom="0.984251969" header="0.36" footer="0.4921259845"/>
  <pageSetup paperSize="9" orientation="portrait"/>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8DDCE-C85A-DB43-9F19-C1771B2E5497}">
  <sheetPr>
    <pageSetUpPr fitToPage="1"/>
  </sheetPr>
  <dimension ref="A1:G29"/>
  <sheetViews>
    <sheetView topLeftCell="A7" zoomScale="75" workbookViewId="0">
      <selection activeCell="A19" sqref="A19:IV19"/>
    </sheetView>
  </sheetViews>
  <sheetFormatPr baseColWidth="10" defaultColWidth="11.3984375" defaultRowHeight="13"/>
  <cols>
    <col min="1" max="1" width="16.796875" style="2" customWidth="1"/>
    <col min="2" max="4" width="14.59765625" style="2" customWidth="1"/>
    <col min="5" max="5" width="15.3984375" style="2" customWidth="1"/>
    <col min="6" max="7" width="14.59765625" style="2" customWidth="1"/>
    <col min="8" max="16384" width="11.3984375" style="2"/>
  </cols>
  <sheetData>
    <row r="1" spans="1:7" s="1" customFormat="1" ht="14" customHeight="1"/>
    <row r="2" spans="1:7" s="1" customFormat="1" ht="29.25" customHeight="1">
      <c r="A2" s="2014" t="s">
        <v>2331</v>
      </c>
      <c r="B2" s="2018"/>
      <c r="C2" s="2018"/>
      <c r="D2" s="2018"/>
      <c r="E2" s="2018"/>
      <c r="F2" s="2018"/>
      <c r="G2" s="48"/>
    </row>
    <row r="3" spans="1:7" ht="24" customHeight="1">
      <c r="A3" s="119" t="s">
        <v>2320</v>
      </c>
      <c r="B3" s="120" t="s">
        <v>2332</v>
      </c>
      <c r="C3" s="121" t="s">
        <v>2332</v>
      </c>
      <c r="D3" s="120" t="s">
        <v>2541</v>
      </c>
      <c r="E3" s="121" t="s">
        <v>2541</v>
      </c>
      <c r="F3" s="120" t="s">
        <v>2333</v>
      </c>
      <c r="G3" s="306" t="s">
        <v>2333</v>
      </c>
    </row>
    <row r="4" spans="1:7" ht="15" customHeight="1">
      <c r="A4" s="325"/>
      <c r="B4" s="123" t="s">
        <v>2334</v>
      </c>
      <c r="C4" s="124" t="s">
        <v>2335</v>
      </c>
      <c r="D4" s="123" t="s">
        <v>2334</v>
      </c>
      <c r="E4" s="124" t="s">
        <v>2335</v>
      </c>
      <c r="F4" s="123" t="s">
        <v>2336</v>
      </c>
      <c r="G4" s="122" t="s">
        <v>2337</v>
      </c>
    </row>
    <row r="5" spans="1:7" ht="15" customHeight="1">
      <c r="A5" s="325"/>
      <c r="B5" s="123"/>
      <c r="C5" s="124" t="s">
        <v>2338</v>
      </c>
      <c r="D5" s="123"/>
      <c r="E5" s="124" t="s">
        <v>2338</v>
      </c>
      <c r="F5" s="123" t="s">
        <v>2342</v>
      </c>
      <c r="G5" s="122" t="s">
        <v>2339</v>
      </c>
    </row>
    <row r="6" spans="1:7" ht="24" customHeight="1">
      <c r="A6" s="326"/>
      <c r="B6" s="129"/>
      <c r="C6" s="128" t="s">
        <v>2343</v>
      </c>
      <c r="D6" s="129"/>
      <c r="E6" s="128" t="s">
        <v>2343</v>
      </c>
      <c r="F6" s="129"/>
      <c r="G6" s="126"/>
    </row>
    <row r="7" spans="1:7" ht="1.5" customHeight="1" thickBot="1">
      <c r="A7" s="327">
        <v>1996</v>
      </c>
      <c r="B7" s="378">
        <v>834.29346030999989</v>
      </c>
      <c r="C7" s="230">
        <v>147.33000000000001</v>
      </c>
      <c r="D7" s="378">
        <v>872.50191104999999</v>
      </c>
      <c r="E7" s="230">
        <v>174.02</v>
      </c>
      <c r="F7" s="231">
        <v>1497811</v>
      </c>
      <c r="G7" s="379">
        <v>150</v>
      </c>
    </row>
    <row r="8" spans="1:7" ht="0.75" customHeight="1" thickBot="1">
      <c r="A8" s="328">
        <v>1997</v>
      </c>
      <c r="B8" s="245">
        <v>560.57016199999998</v>
      </c>
      <c r="C8" s="240">
        <v>177.97135605247547</v>
      </c>
      <c r="D8" s="245">
        <v>621.52611999999999</v>
      </c>
      <c r="E8" s="240">
        <v>219.40142149615536</v>
      </c>
      <c r="F8" s="241">
        <v>962507</v>
      </c>
      <c r="G8" s="380">
        <v>134</v>
      </c>
    </row>
    <row r="9" spans="1:7" ht="0.75" customHeight="1" thickBot="1">
      <c r="A9" s="328">
        <v>1998</v>
      </c>
      <c r="B9" s="245">
        <v>511.39633099999998</v>
      </c>
      <c r="C9" s="240">
        <v>210.006745555365</v>
      </c>
      <c r="D9" s="245">
        <v>456.36259100000001</v>
      </c>
      <c r="E9" s="240">
        <v>198.92326535477412</v>
      </c>
      <c r="F9" s="241">
        <v>822171</v>
      </c>
      <c r="G9" s="380">
        <v>115</v>
      </c>
    </row>
    <row r="10" spans="1:7" ht="20" customHeight="1" thickBot="1">
      <c r="A10" s="328">
        <v>1999</v>
      </c>
      <c r="B10" s="245">
        <v>464.48300699999999</v>
      </c>
      <c r="C10" s="240">
        <v>208.58087392018217</v>
      </c>
      <c r="D10" s="245">
        <v>412.14915300000001</v>
      </c>
      <c r="E10" s="240">
        <v>192.54405491703864</v>
      </c>
      <c r="F10" s="241">
        <v>727206</v>
      </c>
      <c r="G10" s="380">
        <v>109</v>
      </c>
    </row>
    <row r="11" spans="1:7" ht="20" customHeight="1" thickBot="1">
      <c r="A11" s="328">
        <v>2000</v>
      </c>
      <c r="B11" s="245">
        <v>439.22602000000001</v>
      </c>
      <c r="C11" s="240">
        <v>209.03</v>
      </c>
      <c r="D11" s="245">
        <v>381.63992000000002</v>
      </c>
      <c r="E11" s="240">
        <v>199.95</v>
      </c>
      <c r="F11" s="241">
        <v>639885</v>
      </c>
      <c r="G11" s="380">
        <v>102</v>
      </c>
    </row>
    <row r="12" spans="1:7" ht="20" customHeight="1" thickBot="1">
      <c r="A12" s="328">
        <v>2001</v>
      </c>
      <c r="B12" s="245">
        <v>400.71188914999999</v>
      </c>
      <c r="C12" s="240">
        <v>221.99</v>
      </c>
      <c r="D12" s="245">
        <v>351.97137099999998</v>
      </c>
      <c r="E12" s="240">
        <v>196.51</v>
      </c>
      <c r="F12" s="241">
        <v>561848</v>
      </c>
      <c r="G12" s="380">
        <v>102</v>
      </c>
    </row>
    <row r="13" spans="1:7" ht="20" customHeight="1" thickBot="1">
      <c r="A13" s="328">
        <v>2002</v>
      </c>
      <c r="B13" s="245">
        <v>371.74367599999999</v>
      </c>
      <c r="C13" s="240">
        <v>218.55</v>
      </c>
      <c r="D13" s="245">
        <v>329.14910600000002</v>
      </c>
      <c r="E13" s="240">
        <v>192.51</v>
      </c>
      <c r="F13" s="241">
        <v>495344</v>
      </c>
      <c r="G13" s="380">
        <v>93</v>
      </c>
    </row>
    <row r="14" spans="1:7" ht="20" customHeight="1" thickBot="1">
      <c r="A14" s="328">
        <v>2003</v>
      </c>
      <c r="B14" s="245">
        <v>357.14315599999998</v>
      </c>
      <c r="C14" s="240">
        <v>230.55</v>
      </c>
      <c r="D14" s="245">
        <v>309.91303299999998</v>
      </c>
      <c r="E14" s="240">
        <v>196.87</v>
      </c>
      <c r="F14" s="241">
        <v>439082</v>
      </c>
      <c r="G14" s="380">
        <v>92</v>
      </c>
    </row>
    <row r="15" spans="1:7" ht="20" customHeight="1" thickBot="1">
      <c r="A15" s="328">
        <v>2004</v>
      </c>
      <c r="B15" s="245">
        <v>356.58952599999998</v>
      </c>
      <c r="C15" s="240">
        <v>237.95</v>
      </c>
      <c r="D15" s="245">
        <v>277.93515500000001</v>
      </c>
      <c r="E15" s="240">
        <v>191.46</v>
      </c>
      <c r="F15" s="241">
        <v>384858</v>
      </c>
      <c r="G15" s="380">
        <v>93</v>
      </c>
    </row>
    <row r="16" spans="1:7" ht="20" customHeight="1" thickBot="1">
      <c r="A16" s="328">
        <v>2005</v>
      </c>
      <c r="B16" s="245">
        <v>342.30109299999998</v>
      </c>
      <c r="C16" s="240">
        <v>202.99</v>
      </c>
      <c r="D16" s="245">
        <v>251.061485</v>
      </c>
      <c r="E16" s="240">
        <v>158.24</v>
      </c>
      <c r="F16" s="241">
        <v>409989</v>
      </c>
      <c r="G16" s="380">
        <v>82</v>
      </c>
    </row>
    <row r="17" spans="1:7" ht="20" customHeight="1" thickBot="1">
      <c r="A17" s="328">
        <v>2006</v>
      </c>
      <c r="B17" s="245">
        <v>318.09682500000002</v>
      </c>
      <c r="C17" s="240">
        <v>203.43</v>
      </c>
      <c r="D17" s="245">
        <v>220.62135799999999</v>
      </c>
      <c r="E17" s="240">
        <v>148.53</v>
      </c>
      <c r="F17" s="241">
        <v>376229</v>
      </c>
      <c r="G17" s="380">
        <v>81</v>
      </c>
    </row>
    <row r="18" spans="1:7" ht="20" customHeight="1" thickBot="1">
      <c r="A18" s="328">
        <v>2007</v>
      </c>
      <c r="B18" s="245">
        <v>302.25500452</v>
      </c>
      <c r="C18" s="240">
        <v>192.28</v>
      </c>
      <c r="D18" s="245">
        <v>207.71949053</v>
      </c>
      <c r="E18" s="240">
        <v>139.46</v>
      </c>
      <c r="F18" s="241">
        <v>342046.54</v>
      </c>
      <c r="G18" s="380">
        <v>81</v>
      </c>
    </row>
    <row r="19" spans="1:7" ht="20" customHeight="1" thickBot="1">
      <c r="A19" s="328">
        <v>2008</v>
      </c>
      <c r="B19" s="245">
        <v>280.99848664999996</v>
      </c>
      <c r="C19" s="240">
        <v>185.89</v>
      </c>
      <c r="D19" s="245">
        <v>198.28856277</v>
      </c>
      <c r="E19" s="240">
        <v>126.72</v>
      </c>
      <c r="F19" s="241">
        <v>314150.3</v>
      </c>
      <c r="G19" s="380">
        <v>82</v>
      </c>
    </row>
    <row r="20" spans="1:7" ht="30" customHeight="1" thickBot="1">
      <c r="A20" s="376">
        <v>2009</v>
      </c>
      <c r="B20" s="381">
        <v>267.72326984</v>
      </c>
      <c r="C20" s="382">
        <v>176.37</v>
      </c>
      <c r="D20" s="381">
        <v>197.19709437999998</v>
      </c>
      <c r="E20" s="382">
        <v>135.19999999999999</v>
      </c>
      <c r="F20" s="383">
        <v>285966.94</v>
      </c>
      <c r="G20" s="384">
        <v>74</v>
      </c>
    </row>
    <row r="21" spans="1:7" ht="20" customHeight="1">
      <c r="A21" s="140" t="s">
        <v>1837</v>
      </c>
      <c r="B21" s="140"/>
      <c r="C21" s="140"/>
      <c r="D21" s="140"/>
      <c r="E21" s="140"/>
      <c r="F21" s="140"/>
      <c r="G21" s="140"/>
    </row>
    <row r="22" spans="1:7" ht="13.5" customHeight="1">
      <c r="A22" s="141"/>
      <c r="B22" s="141"/>
      <c r="C22" s="141"/>
      <c r="D22" s="141"/>
      <c r="E22" s="141"/>
      <c r="F22" s="141"/>
      <c r="G22" s="141"/>
    </row>
    <row r="23" spans="1:7" ht="15.75" customHeight="1">
      <c r="A23" s="141" t="s">
        <v>2340</v>
      </c>
      <c r="B23" s="141"/>
      <c r="C23" s="141"/>
      <c r="D23" s="141"/>
      <c r="E23" s="141"/>
      <c r="F23" s="141"/>
      <c r="G23" s="141"/>
    </row>
    <row r="24" spans="1:7" ht="14.25" customHeight="1">
      <c r="A24" s="141"/>
      <c r="B24" s="141"/>
      <c r="C24" s="141"/>
      <c r="D24" s="141"/>
      <c r="E24" s="141"/>
      <c r="F24" s="141"/>
      <c r="G24" s="141"/>
    </row>
    <row r="25" spans="1:7" ht="12.75" customHeight="1">
      <c r="A25" s="141" t="s">
        <v>2341</v>
      </c>
      <c r="B25" s="141"/>
      <c r="C25" s="141"/>
      <c r="D25" s="141"/>
      <c r="E25" s="141"/>
      <c r="F25" s="141"/>
      <c r="G25" s="141"/>
    </row>
    <row r="26" spans="1:7">
      <c r="A26" s="2" t="s">
        <v>2344</v>
      </c>
    </row>
    <row r="29" spans="1:7">
      <c r="A29" s="2" t="s">
        <v>710</v>
      </c>
    </row>
  </sheetData>
  <mergeCells count="1">
    <mergeCell ref="A2:F2"/>
  </mergeCells>
  <phoneticPr fontId="0" type="noConversion"/>
  <pageMargins left="0.62" right="0.64" top="1.01" bottom="0.49" header="0.53" footer="0.4921259845"/>
  <pageSetup paperSize="9" scale="85" orientation="portrait" horizontalDpi="4294967292" verticalDpi="4294967292"/>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D719F-9DD1-CE48-97B7-2588E49B8F26}">
  <sheetPr>
    <pageSetUpPr fitToPage="1"/>
  </sheetPr>
  <dimension ref="A1:K26"/>
  <sheetViews>
    <sheetView topLeftCell="A7" zoomScale="75" workbookViewId="0">
      <selection activeCell="A3" sqref="A3"/>
    </sheetView>
  </sheetViews>
  <sheetFormatPr baseColWidth="10" defaultColWidth="11.3984375" defaultRowHeight="13"/>
  <cols>
    <col min="1" max="1" width="16.796875" style="2" customWidth="1"/>
    <col min="2" max="2" width="14.59765625" style="2" customWidth="1"/>
    <col min="3" max="3" width="14.59765625" style="87" customWidth="1"/>
    <col min="4" max="4" width="14.59765625" style="2" customWidth="1"/>
    <col min="5" max="5" width="14.59765625" style="87" customWidth="1"/>
    <col min="6" max="6" width="14.59765625" style="2" customWidth="1"/>
    <col min="7" max="7" width="15.3984375" style="87" customWidth="1"/>
    <col min="8" max="16384" width="11.3984375" style="2"/>
  </cols>
  <sheetData>
    <row r="1" spans="1:11" s="1" customFormat="1" ht="14" customHeight="1">
      <c r="C1" s="289"/>
      <c r="E1" s="289"/>
      <c r="G1" s="289"/>
    </row>
    <row r="2" spans="1:11" s="1" customFormat="1" ht="28" customHeight="1">
      <c r="A2" s="48" t="s">
        <v>2319</v>
      </c>
      <c r="C2" s="289"/>
      <c r="E2" s="289"/>
      <c r="G2" s="48"/>
    </row>
    <row r="3" spans="1:11" ht="24" customHeight="1">
      <c r="A3" s="119" t="s">
        <v>2320</v>
      </c>
      <c r="B3" s="120" t="s">
        <v>2321</v>
      </c>
      <c r="C3" s="306" t="s">
        <v>1801</v>
      </c>
      <c r="D3" s="120" t="s">
        <v>2322</v>
      </c>
      <c r="E3" s="306" t="s">
        <v>1801</v>
      </c>
      <c r="F3" s="120" t="s">
        <v>2323</v>
      </c>
      <c r="G3" s="306" t="s">
        <v>1801</v>
      </c>
    </row>
    <row r="4" spans="1:11" ht="15" customHeight="1">
      <c r="A4" s="325"/>
      <c r="B4" s="123" t="s">
        <v>2323</v>
      </c>
      <c r="C4" s="122" t="s">
        <v>1802</v>
      </c>
      <c r="D4" s="123" t="s">
        <v>2324</v>
      </c>
      <c r="E4" s="122" t="s">
        <v>1802</v>
      </c>
      <c r="F4" s="123" t="s">
        <v>2325</v>
      </c>
      <c r="G4" s="122" t="s">
        <v>1802</v>
      </c>
    </row>
    <row r="5" spans="1:11" ht="15" customHeight="1">
      <c r="A5" s="325"/>
      <c r="B5" s="123" t="s">
        <v>2326</v>
      </c>
      <c r="C5" s="122" t="s">
        <v>1806</v>
      </c>
      <c r="D5" s="123" t="s">
        <v>2327</v>
      </c>
      <c r="E5" s="122" t="s">
        <v>1806</v>
      </c>
      <c r="F5" s="123" t="s">
        <v>2328</v>
      </c>
      <c r="G5" s="122" t="s">
        <v>1806</v>
      </c>
    </row>
    <row r="6" spans="1:11" ht="24" customHeight="1">
      <c r="A6" s="326"/>
      <c r="B6" s="129"/>
      <c r="C6" s="126"/>
      <c r="D6" s="129" t="s">
        <v>2329</v>
      </c>
      <c r="E6" s="126"/>
      <c r="F6" s="129"/>
      <c r="G6" s="126"/>
    </row>
    <row r="7" spans="1:11" ht="1.5" customHeight="1" thickBot="1">
      <c r="A7" s="327">
        <v>1996</v>
      </c>
      <c r="B7" s="170">
        <v>842626041.5999999</v>
      </c>
      <c r="C7" s="375">
        <v>-0.22395165786377283</v>
      </c>
      <c r="D7" s="170">
        <v>918792074.10000002</v>
      </c>
      <c r="E7" s="375">
        <v>-0.174100182026726</v>
      </c>
      <c r="F7" s="170">
        <v>-76164233.309999987</v>
      </c>
      <c r="G7" s="375">
        <v>-1.8543740517491432</v>
      </c>
      <c r="I7" s="8"/>
      <c r="J7" s="8"/>
      <c r="K7" s="8"/>
    </row>
    <row r="8" spans="1:11" ht="0.75" hidden="1" customHeight="1" thickBot="1">
      <c r="A8" s="328">
        <v>1997</v>
      </c>
      <c r="B8" s="188">
        <v>582586264.20000005</v>
      </c>
      <c r="C8" s="364">
        <v>-0.30860638594343665</v>
      </c>
      <c r="D8" s="188">
        <v>600844654.99000001</v>
      </c>
      <c r="E8" s="364">
        <v>-0.34604937076916387</v>
      </c>
      <c r="F8" s="188">
        <v>-18258290.829999998</v>
      </c>
      <c r="G8" s="364">
        <v>0.76027736331716245</v>
      </c>
    </row>
    <row r="9" spans="1:11" ht="19.5" hidden="1" customHeight="1" thickBot="1">
      <c r="A9" s="328">
        <v>1998</v>
      </c>
      <c r="B9" s="188">
        <v>506597985.24000001</v>
      </c>
      <c r="C9" s="364">
        <v>-0.13043266487641306</v>
      </c>
      <c r="D9" s="188">
        <v>466707907.44999999</v>
      </c>
      <c r="E9" s="364">
        <v>-0.22324696812395292</v>
      </c>
      <c r="F9" s="188">
        <v>39890107.789999999</v>
      </c>
      <c r="G9" s="364">
        <v>3.1847668087561076</v>
      </c>
    </row>
    <row r="10" spans="1:11" ht="20" customHeight="1" thickBot="1">
      <c r="A10" s="328">
        <v>1999</v>
      </c>
      <c r="B10" s="188">
        <v>464005598.98000002</v>
      </c>
      <c r="C10" s="364">
        <v>-8.4075317117224449E-2</v>
      </c>
      <c r="D10" s="188">
        <v>422158429.66000003</v>
      </c>
      <c r="E10" s="364">
        <v>-9.5454731061681661E-2</v>
      </c>
      <c r="F10" s="188">
        <v>41847169.719999999</v>
      </c>
      <c r="G10" s="364">
        <v>4.9061334712427351E-2</v>
      </c>
    </row>
    <row r="11" spans="1:11" ht="20" customHeight="1" thickBot="1">
      <c r="A11" s="328">
        <v>2000</v>
      </c>
      <c r="B11" s="188">
        <v>458973777.85000002</v>
      </c>
      <c r="C11" s="364">
        <v>-1.0844311234737667E-2</v>
      </c>
      <c r="D11" s="188">
        <v>416527371.23000002</v>
      </c>
      <c r="E11" s="364">
        <v>-1.3338732651945802E-2</v>
      </c>
      <c r="F11" s="188">
        <v>42446406.640000001</v>
      </c>
      <c r="G11" s="364">
        <v>1.4319652296905794E-2</v>
      </c>
    </row>
    <row r="12" spans="1:11" ht="20" customHeight="1" thickBot="1">
      <c r="A12" s="328">
        <v>2001</v>
      </c>
      <c r="B12" s="188">
        <v>405199385</v>
      </c>
      <c r="C12" s="364">
        <v>-0.11716223332387053</v>
      </c>
      <c r="D12" s="188">
        <v>389159830</v>
      </c>
      <c r="E12" s="364">
        <v>-6.5704064415224431E-2</v>
      </c>
      <c r="F12" s="188">
        <v>16039555</v>
      </c>
      <c r="G12" s="364">
        <v>-0.62212219432292559</v>
      </c>
    </row>
    <row r="13" spans="1:11" ht="20" customHeight="1" thickBot="1">
      <c r="A13" s="328">
        <v>2002</v>
      </c>
      <c r="B13" s="188">
        <v>372184863.34999996</v>
      </c>
      <c r="C13" s="364">
        <v>-8.147722546518682E-2</v>
      </c>
      <c r="D13" s="188">
        <v>361726442.44999999</v>
      </c>
      <c r="E13" s="364">
        <v>-7.0493883065988625E-2</v>
      </c>
      <c r="F13" s="188">
        <v>10458420.890000001</v>
      </c>
      <c r="G13" s="364">
        <v>-0.34796065788608221</v>
      </c>
    </row>
    <row r="14" spans="1:11" ht="20" customHeight="1" thickBot="1">
      <c r="A14" s="328">
        <v>2003</v>
      </c>
      <c r="B14" s="188">
        <v>364678826.25</v>
      </c>
      <c r="C14" s="364">
        <v>-2.016749695954545E-2</v>
      </c>
      <c r="D14" s="188">
        <v>338730046.06999999</v>
      </c>
      <c r="E14" s="364">
        <v>-6.357399869427216E-2</v>
      </c>
      <c r="F14" s="188">
        <v>25948780.16</v>
      </c>
      <c r="G14" s="364">
        <v>1.4811374903463079</v>
      </c>
    </row>
    <row r="15" spans="1:11" ht="20" customHeight="1" thickBot="1">
      <c r="A15" s="328">
        <v>2004</v>
      </c>
      <c r="B15" s="188">
        <v>363267822.86999995</v>
      </c>
      <c r="C15" s="364">
        <v>-3.8691672738706551E-3</v>
      </c>
      <c r="D15" s="188">
        <v>315178869.18000001</v>
      </c>
      <c r="E15" s="364">
        <v>-6.9527864927379501E-2</v>
      </c>
      <c r="F15" s="188">
        <v>48088953.700000003</v>
      </c>
      <c r="G15" s="364">
        <v>0.85322598609583356</v>
      </c>
    </row>
    <row r="16" spans="1:11" ht="20" customHeight="1" thickBot="1">
      <c r="A16" s="328">
        <v>2005</v>
      </c>
      <c r="B16" s="188">
        <v>347836052.75999999</v>
      </c>
      <c r="C16" s="364">
        <v>-4.2480421161668391E-2</v>
      </c>
      <c r="D16" s="188">
        <v>299546558.91000003</v>
      </c>
      <c r="E16" s="364">
        <v>-4.9598218023532259E-2</v>
      </c>
      <c r="F16" s="188">
        <v>48289493.789999999</v>
      </c>
      <c r="G16" s="364">
        <v>4.1701903362476589E-3</v>
      </c>
    </row>
    <row r="17" spans="1:7" ht="20" customHeight="1" thickBot="1">
      <c r="A17" s="328">
        <v>2006</v>
      </c>
      <c r="B17" s="188">
        <v>318876960.83999997</v>
      </c>
      <c r="C17" s="364">
        <v>-8.3255003873854427E-2</v>
      </c>
      <c r="D17" s="188">
        <v>268580125.52999997</v>
      </c>
      <c r="E17" s="364">
        <v>-0.10337769691857501</v>
      </c>
      <c r="F17" s="188">
        <v>50296835.340000004</v>
      </c>
      <c r="G17" s="364">
        <v>4.1568908523445636E-2</v>
      </c>
    </row>
    <row r="18" spans="1:7" ht="20" customHeight="1" thickBot="1">
      <c r="A18" s="328">
        <v>2007</v>
      </c>
      <c r="B18" s="188">
        <v>303789909.62</v>
      </c>
      <c r="C18" s="364">
        <v>-4.7313080193241208E-2</v>
      </c>
      <c r="D18" s="188">
        <v>263420170.53999999</v>
      </c>
      <c r="E18" s="364">
        <v>-1.9211976239186135E-2</v>
      </c>
      <c r="F18" s="188">
        <v>40369739.060000002</v>
      </c>
      <c r="G18" s="364">
        <v>-0.19737019661165822</v>
      </c>
    </row>
    <row r="19" spans="1:7" ht="20" customHeight="1" thickBot="1">
      <c r="A19" s="328">
        <v>2008</v>
      </c>
      <c r="B19" s="188">
        <v>271278805.46999997</v>
      </c>
      <c r="C19" s="364">
        <v>-0.10701838053366231</v>
      </c>
      <c r="D19" s="188">
        <v>245016339.53</v>
      </c>
      <c r="E19" s="364">
        <v>-6.9864927094508089E-2</v>
      </c>
      <c r="F19" s="188">
        <v>26262465.899999999</v>
      </c>
      <c r="G19" s="364">
        <v>-0.34945168060246568</v>
      </c>
    </row>
    <row r="20" spans="1:7" ht="30" customHeight="1" thickBot="1">
      <c r="A20" s="376">
        <v>2009</v>
      </c>
      <c r="B20" s="298">
        <v>277148196.68000001</v>
      </c>
      <c r="C20" s="377">
        <v>2.1636010966028518E-2</v>
      </c>
      <c r="D20" s="298">
        <v>250833615.63</v>
      </c>
      <c r="E20" s="377">
        <v>2.374240065441735E-2</v>
      </c>
      <c r="F20" s="298">
        <v>26314581.050000001</v>
      </c>
      <c r="G20" s="377">
        <v>1.9843966746475594E-3</v>
      </c>
    </row>
    <row r="21" spans="1:7" ht="20" customHeight="1">
      <c r="A21" s="140" t="s">
        <v>1837</v>
      </c>
      <c r="B21" s="140"/>
      <c r="C21" s="321"/>
      <c r="D21" s="140"/>
      <c r="E21" s="321"/>
      <c r="F21" s="140"/>
      <c r="G21" s="321"/>
    </row>
    <row r="22" spans="1:7" ht="15.75" customHeight="1">
      <c r="A22" s="141"/>
      <c r="B22" s="141"/>
      <c r="C22" s="353"/>
      <c r="D22" s="141"/>
      <c r="E22" s="353"/>
      <c r="F22" s="141"/>
      <c r="G22" s="353"/>
    </row>
    <row r="23" spans="1:7" ht="15.75" customHeight="1">
      <c r="A23" s="141" t="s">
        <v>2330</v>
      </c>
      <c r="B23" s="141"/>
      <c r="C23" s="353"/>
      <c r="D23" s="141"/>
      <c r="E23" s="353"/>
      <c r="F23" s="141"/>
      <c r="G23" s="353"/>
    </row>
    <row r="26" spans="1:7">
      <c r="A26" s="2" t="s">
        <v>710</v>
      </c>
    </row>
  </sheetData>
  <phoneticPr fontId="0" type="noConversion"/>
  <pageMargins left="0.57999999999999996" right="0.65" top="0.96" bottom="0.49" header="0.49" footer="0.4921259845"/>
  <pageSetup paperSize="9" scale="85" orientation="portrait" horizontalDpi="4294967292" verticalDpi="4294967292"/>
  <headerFooter alignWithMargins="0"/>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1FFED-8912-7E4D-ADA1-80EF7F5C8E62}">
  <sheetPr>
    <pageSetUpPr fitToPage="1"/>
  </sheetPr>
  <dimension ref="A1:H39"/>
  <sheetViews>
    <sheetView zoomScale="75" workbookViewId="0">
      <selection activeCell="E20" sqref="E20"/>
    </sheetView>
  </sheetViews>
  <sheetFormatPr baseColWidth="10" defaultColWidth="11.3984375" defaultRowHeight="13"/>
  <cols>
    <col min="1" max="1" width="33.796875" style="2" customWidth="1"/>
    <col min="2" max="3" width="17.59765625" style="2" customWidth="1"/>
    <col min="4" max="4" width="17.59765625" style="277" customWidth="1"/>
    <col min="5" max="5" width="17.59765625" style="374" customWidth="1"/>
    <col min="6" max="6" width="11.3984375" style="2"/>
    <col min="7" max="7" width="14.59765625" style="2" hidden="1" customWidth="1"/>
    <col min="8" max="8" width="14.3984375" style="2" hidden="1" customWidth="1"/>
    <col min="9" max="16384" width="11.3984375" style="2"/>
  </cols>
  <sheetData>
    <row r="1" spans="1:8" s="1" customFormat="1" ht="14" customHeight="1">
      <c r="D1" s="16"/>
      <c r="E1" s="355"/>
    </row>
    <row r="2" spans="1:8" s="1" customFormat="1" ht="40.5" customHeight="1">
      <c r="A2" s="2014" t="s">
        <v>2314</v>
      </c>
      <c r="B2" s="2018"/>
      <c r="C2" s="2018"/>
      <c r="D2" s="2018"/>
      <c r="E2" s="48">
        <v>2009</v>
      </c>
    </row>
    <row r="3" spans="1:8" ht="24" customHeight="1">
      <c r="A3" s="119" t="s">
        <v>2296</v>
      </c>
      <c r="B3" s="120" t="s">
        <v>2297</v>
      </c>
      <c r="C3" s="121" t="s">
        <v>2298</v>
      </c>
      <c r="D3" s="356" t="s">
        <v>1567</v>
      </c>
      <c r="E3" s="357" t="s">
        <v>1801</v>
      </c>
    </row>
    <row r="4" spans="1:8" ht="15" customHeight="1">
      <c r="A4" s="325"/>
      <c r="B4" s="123" t="s">
        <v>2299</v>
      </c>
      <c r="C4" s="124" t="s">
        <v>2299</v>
      </c>
      <c r="D4" s="212"/>
      <c r="E4" s="358" t="s">
        <v>1802</v>
      </c>
    </row>
    <row r="5" spans="1:8" ht="15" customHeight="1">
      <c r="A5" s="325"/>
      <c r="B5" s="123" t="s">
        <v>2300</v>
      </c>
      <c r="C5" s="124" t="s">
        <v>2315</v>
      </c>
      <c r="D5" s="212"/>
      <c r="E5" s="358" t="s">
        <v>1806</v>
      </c>
    </row>
    <row r="6" spans="1:8" ht="24" customHeight="1">
      <c r="A6" s="326"/>
      <c r="B6" s="129"/>
      <c r="C6" s="128"/>
      <c r="D6" s="223"/>
      <c r="E6" s="359"/>
      <c r="G6" s="360" t="s">
        <v>2301</v>
      </c>
      <c r="H6" s="360" t="s">
        <v>2302</v>
      </c>
    </row>
    <row r="7" spans="1:8" ht="30" customHeight="1" thickBot="1">
      <c r="A7" s="361" t="s">
        <v>2303</v>
      </c>
      <c r="B7" s="170">
        <v>72</v>
      </c>
      <c r="C7" s="171">
        <v>49</v>
      </c>
      <c r="D7" s="307">
        <v>74</v>
      </c>
      <c r="E7" s="362">
        <v>-0.10843373493975904</v>
      </c>
      <c r="F7" s="7"/>
      <c r="G7" s="185">
        <v>109</v>
      </c>
      <c r="H7" s="185">
        <v>109</v>
      </c>
    </row>
    <row r="8" spans="1:8" ht="25.5" customHeight="1" thickBot="1">
      <c r="A8" s="363" t="s">
        <v>2316</v>
      </c>
      <c r="B8" s="188"/>
      <c r="C8" s="187"/>
      <c r="D8" s="295"/>
      <c r="E8" s="364" t="s">
        <v>2317</v>
      </c>
      <c r="G8" s="188"/>
      <c r="H8" s="188"/>
    </row>
    <row r="9" spans="1:8" ht="20" customHeight="1" thickBot="1">
      <c r="A9" s="240" t="s">
        <v>2304</v>
      </c>
      <c r="B9" s="188">
        <v>123909.74</v>
      </c>
      <c r="C9" s="187" t="s">
        <v>744</v>
      </c>
      <c r="D9" s="295" t="s">
        <v>744</v>
      </c>
      <c r="E9" s="364">
        <v>-9.0836825155323334E-2</v>
      </c>
      <c r="G9" s="188">
        <v>747913</v>
      </c>
      <c r="H9" s="188">
        <v>541989</v>
      </c>
    </row>
    <row r="10" spans="1:8" ht="20" customHeight="1" thickBot="1">
      <c r="A10" s="240" t="s">
        <v>2305</v>
      </c>
      <c r="B10" s="188">
        <v>162057.20000000001</v>
      </c>
      <c r="C10" s="187" t="s">
        <v>744</v>
      </c>
      <c r="D10" s="295" t="s">
        <v>744</v>
      </c>
      <c r="E10" s="364">
        <v>-8.8851808626112541E-2</v>
      </c>
      <c r="G10" s="188">
        <v>671493</v>
      </c>
      <c r="H10" s="188">
        <v>525355</v>
      </c>
    </row>
    <row r="11" spans="1:8" ht="20" customHeight="1" thickBot="1">
      <c r="A11" s="240" t="s">
        <v>1567</v>
      </c>
      <c r="B11" s="188">
        <v>285966.94</v>
      </c>
      <c r="C11" s="187" t="s">
        <v>744</v>
      </c>
      <c r="D11" s="295" t="s">
        <v>744</v>
      </c>
      <c r="E11" s="364">
        <v>-8.9712981334093861E-2</v>
      </c>
      <c r="G11" s="188">
        <v>1419406</v>
      </c>
      <c r="H11" s="188">
        <v>1067344</v>
      </c>
    </row>
    <row r="12" spans="1:8" ht="24" customHeight="1" thickBot="1">
      <c r="A12" s="363" t="s">
        <v>2306</v>
      </c>
      <c r="B12" s="188"/>
      <c r="C12" s="187"/>
      <c r="D12" s="295"/>
      <c r="E12" s="364" t="s">
        <v>2317</v>
      </c>
      <c r="G12" s="188"/>
      <c r="H12" s="188"/>
    </row>
    <row r="13" spans="1:8" ht="20" customHeight="1" thickBot="1">
      <c r="A13" s="240" t="s">
        <v>2304</v>
      </c>
      <c r="B13" s="188">
        <v>31188881.699999999</v>
      </c>
      <c r="C13" s="187">
        <v>156378315.72</v>
      </c>
      <c r="D13" s="295">
        <v>187567197.41999999</v>
      </c>
      <c r="E13" s="365">
        <v>-3.3149849666797647E-2</v>
      </c>
      <c r="G13" s="188">
        <v>346254879</v>
      </c>
      <c r="H13" s="188">
        <v>346254879</v>
      </c>
    </row>
    <row r="14" spans="1:8" ht="20" customHeight="1" thickBot="1">
      <c r="A14" s="240" t="s">
        <v>2305</v>
      </c>
      <c r="B14" s="188">
        <v>19247539.109999999</v>
      </c>
      <c r="C14" s="187">
        <v>60908533.299999997</v>
      </c>
      <c r="D14" s="295">
        <v>80156072.420000002</v>
      </c>
      <c r="E14" s="365">
        <v>-7.8668775841081937E-2</v>
      </c>
      <c r="G14" s="188">
        <v>118228128</v>
      </c>
      <c r="H14" s="188">
        <v>118228128</v>
      </c>
    </row>
    <row r="15" spans="1:8" ht="20" customHeight="1" thickBot="1">
      <c r="A15" s="240" t="s">
        <v>1567</v>
      </c>
      <c r="B15" s="188">
        <v>50436420.82</v>
      </c>
      <c r="C15" s="187">
        <v>217286849.02000001</v>
      </c>
      <c r="D15" s="295">
        <v>267723269.84</v>
      </c>
      <c r="E15" s="365">
        <v>-4.7243018879795713E-2</v>
      </c>
      <c r="G15" s="188">
        <v>464483007</v>
      </c>
      <c r="H15" s="188">
        <v>464483007</v>
      </c>
    </row>
    <row r="16" spans="1:8" ht="33.75" customHeight="1" thickBot="1">
      <c r="A16" s="366" t="s">
        <v>2307</v>
      </c>
      <c r="B16" s="188"/>
      <c r="C16" s="187"/>
      <c r="D16" s="295"/>
      <c r="E16" s="364"/>
      <c r="G16" s="188"/>
      <c r="H16" s="188"/>
    </row>
    <row r="17" spans="1:8" ht="20" customHeight="1" thickBot="1">
      <c r="A17" s="240" t="s">
        <v>2304</v>
      </c>
      <c r="B17" s="188">
        <v>251.71</v>
      </c>
      <c r="C17" s="187" t="s">
        <v>744</v>
      </c>
      <c r="D17" s="295" t="s">
        <v>744</v>
      </c>
      <c r="E17" s="364">
        <v>-5.7513011570000321E-2</v>
      </c>
      <c r="G17" s="188">
        <v>462.96</v>
      </c>
      <c r="H17" s="188">
        <v>638.86</v>
      </c>
    </row>
    <row r="18" spans="1:8" ht="20" customHeight="1" thickBot="1">
      <c r="A18" s="240" t="s">
        <v>2305</v>
      </c>
      <c r="B18" s="188">
        <v>118.77</v>
      </c>
      <c r="C18" s="187" t="s">
        <v>744</v>
      </c>
      <c r="D18" s="295" t="s">
        <v>744</v>
      </c>
      <c r="E18" s="364">
        <v>-3.9621573542492163E-2</v>
      </c>
      <c r="G18" s="188">
        <v>176.07</v>
      </c>
      <c r="H18" s="188">
        <v>225.04</v>
      </c>
    </row>
    <row r="19" spans="1:8" ht="20" customHeight="1" thickBot="1">
      <c r="A19" s="240" t="s">
        <v>1567</v>
      </c>
      <c r="B19" s="188">
        <v>176.37</v>
      </c>
      <c r="C19" s="187" t="s">
        <v>744</v>
      </c>
      <c r="D19" s="295" t="s">
        <v>744</v>
      </c>
      <c r="E19" s="364">
        <v>-5.1213083006078769E-2</v>
      </c>
      <c r="G19" s="188">
        <v>327.24</v>
      </c>
      <c r="H19" s="188">
        <v>435.18</v>
      </c>
    </row>
    <row r="20" spans="1:8" ht="24" customHeight="1" thickBot="1">
      <c r="A20" s="363" t="s">
        <v>2308</v>
      </c>
      <c r="B20" s="188"/>
      <c r="C20" s="187"/>
      <c r="D20" s="295"/>
      <c r="E20" s="364"/>
      <c r="G20" s="188"/>
      <c r="H20" s="188"/>
    </row>
    <row r="21" spans="1:8" ht="20" customHeight="1" thickBot="1">
      <c r="A21" s="240" t="s">
        <v>2304</v>
      </c>
      <c r="B21" s="188">
        <v>22906261.32</v>
      </c>
      <c r="C21" s="187">
        <v>112460297.83</v>
      </c>
      <c r="D21" s="295">
        <v>135366559.13999999</v>
      </c>
      <c r="E21" s="365">
        <v>-1.510568084845213E-2</v>
      </c>
      <c r="G21" s="188">
        <v>297772901</v>
      </c>
      <c r="H21" s="188">
        <v>297772901</v>
      </c>
    </row>
    <row r="22" spans="1:8" ht="20" customHeight="1" thickBot="1">
      <c r="A22" s="240" t="s">
        <v>2305</v>
      </c>
      <c r="B22" s="188">
        <v>15757683.890000001</v>
      </c>
      <c r="C22" s="187">
        <v>46072851.329999998</v>
      </c>
      <c r="D22" s="295">
        <v>61830535.240000002</v>
      </c>
      <c r="E22" s="365">
        <v>1.6183482508974306E-2</v>
      </c>
      <c r="G22" s="188">
        <v>114376252</v>
      </c>
      <c r="H22" s="188">
        <v>114376252</v>
      </c>
    </row>
    <row r="23" spans="1:8" ht="20" customHeight="1" thickBot="1">
      <c r="A23" s="240" t="s">
        <v>1567</v>
      </c>
      <c r="B23" s="188">
        <v>38663945.210000001</v>
      </c>
      <c r="C23" s="187">
        <v>158533149.16999999</v>
      </c>
      <c r="D23" s="295">
        <v>197197094.38</v>
      </c>
      <c r="E23" s="365">
        <v>-5.5044445062927697E-3</v>
      </c>
      <c r="G23" s="188">
        <v>412149153</v>
      </c>
      <c r="H23" s="188">
        <v>412149153</v>
      </c>
    </row>
    <row r="24" spans="1:8" ht="24" customHeight="1" thickBot="1">
      <c r="A24" s="367" t="s">
        <v>2309</v>
      </c>
      <c r="B24" s="188">
        <v>274923.8</v>
      </c>
      <c r="C24" s="187">
        <v>4233594.07</v>
      </c>
      <c r="D24" s="295">
        <v>4508517.87</v>
      </c>
      <c r="E24" s="365">
        <v>-0.10881688192097996</v>
      </c>
      <c r="G24" s="296">
        <v>21005933</v>
      </c>
      <c r="H24" s="296">
        <v>21005933</v>
      </c>
    </row>
    <row r="25" spans="1:8" ht="34.5" customHeight="1" thickBot="1">
      <c r="A25" s="366" t="s">
        <v>2310</v>
      </c>
      <c r="B25" s="188"/>
      <c r="C25" s="187"/>
      <c r="D25" s="295"/>
      <c r="E25" s="364" t="s">
        <v>2317</v>
      </c>
      <c r="G25" s="188"/>
      <c r="H25" s="188"/>
    </row>
    <row r="26" spans="1:8" ht="20" customHeight="1" thickBot="1">
      <c r="A26" s="240" t="s">
        <v>2304</v>
      </c>
      <c r="B26" s="188">
        <v>184.86</v>
      </c>
      <c r="C26" s="187" t="s">
        <v>744</v>
      </c>
      <c r="D26" s="295" t="s">
        <v>744</v>
      </c>
      <c r="E26" s="364">
        <v>7.9285380663241548E-2</v>
      </c>
      <c r="G26" s="188">
        <v>398.14</v>
      </c>
      <c r="H26" s="188">
        <v>549.41</v>
      </c>
    </row>
    <row r="27" spans="1:8" ht="20" customHeight="1" thickBot="1">
      <c r="A27" s="240" t="s">
        <v>2305</v>
      </c>
      <c r="B27" s="188">
        <v>97.24</v>
      </c>
      <c r="C27" s="187" t="s">
        <v>744</v>
      </c>
      <c r="D27" s="295" t="s">
        <v>744</v>
      </c>
      <c r="E27" s="364">
        <v>5.0448309387490571E-2</v>
      </c>
      <c r="G27" s="188">
        <v>170.33</v>
      </c>
      <c r="H27" s="188">
        <v>217.71</v>
      </c>
    </row>
    <row r="28" spans="1:8" ht="30" customHeight="1" thickBot="1">
      <c r="A28" s="368" t="s">
        <v>1567</v>
      </c>
      <c r="B28" s="296">
        <v>135.19999999999999</v>
      </c>
      <c r="C28" s="297" t="s">
        <v>744</v>
      </c>
      <c r="D28" s="298" t="s">
        <v>744</v>
      </c>
      <c r="E28" s="369">
        <v>6.6919191919191837E-2</v>
      </c>
      <c r="G28" s="370">
        <v>290.37</v>
      </c>
      <c r="H28" s="370">
        <v>386.14</v>
      </c>
    </row>
    <row r="29" spans="1:8" ht="20" customHeight="1">
      <c r="A29" s="140" t="s">
        <v>1837</v>
      </c>
      <c r="B29" s="140"/>
      <c r="C29" s="140"/>
      <c r="D29" s="371"/>
      <c r="E29" s="372"/>
    </row>
    <row r="30" spans="1:8" ht="14.25" customHeight="1">
      <c r="A30" s="141"/>
      <c r="B30" s="141"/>
      <c r="C30" s="141"/>
      <c r="D30" s="270"/>
      <c r="E30" s="373"/>
    </row>
    <row r="31" spans="1:8" ht="14.25" customHeight="1">
      <c r="A31" s="141" t="s">
        <v>2311</v>
      </c>
      <c r="B31" s="141"/>
      <c r="C31" s="141"/>
      <c r="D31" s="270"/>
      <c r="E31" s="373"/>
    </row>
    <row r="32" spans="1:8" ht="14.25" customHeight="1">
      <c r="A32" s="141"/>
      <c r="B32" s="141"/>
      <c r="C32" s="141"/>
      <c r="D32" s="270"/>
      <c r="E32" s="373"/>
    </row>
    <row r="33" spans="1:1">
      <c r="A33" s="141" t="s">
        <v>2291</v>
      </c>
    </row>
    <row r="34" spans="1:1">
      <c r="A34" s="2" t="s">
        <v>2292</v>
      </c>
    </row>
    <row r="35" spans="1:1">
      <c r="A35" s="2" t="s">
        <v>2312</v>
      </c>
    </row>
    <row r="36" spans="1:1">
      <c r="A36" s="2" t="s">
        <v>2313</v>
      </c>
    </row>
    <row r="39" spans="1:1">
      <c r="A39" s="2" t="s">
        <v>710</v>
      </c>
    </row>
  </sheetData>
  <mergeCells count="1">
    <mergeCell ref="A2:D2"/>
  </mergeCells>
  <phoneticPr fontId="0" type="noConversion"/>
  <pageMargins left="0.56999999999999995" right="0.56000000000000005" top="0.96" bottom="0.49" header="0.56000000000000005" footer="0.4921259845"/>
  <pageSetup paperSize="9" scale="88" orientation="portrait" horizontalDpi="1200" verticalDpi="1200"/>
  <headerFooter alignWithMargins="0"/>
  <legacy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05913-B9FC-F744-8BD4-B08D5FA21ABA}">
  <dimension ref="A1:E37"/>
  <sheetViews>
    <sheetView zoomScale="75" workbookViewId="0">
      <selection activeCell="E3" sqref="E3"/>
    </sheetView>
  </sheetViews>
  <sheetFormatPr baseColWidth="10" defaultColWidth="11.3984375" defaultRowHeight="13"/>
  <cols>
    <col min="1" max="1" width="8.796875" style="2" customWidth="1"/>
    <col min="2" max="2" width="48.796875" style="87" customWidth="1"/>
    <col min="3" max="3" width="16.796875" style="2" customWidth="1"/>
    <col min="4" max="4" width="16.796875" style="7" customWidth="1"/>
    <col min="5" max="5" width="16.796875" style="323" customWidth="1"/>
    <col min="6" max="16384" width="11.3984375" style="2"/>
  </cols>
  <sheetData>
    <row r="1" spans="1:5" s="1" customFormat="1" ht="14" customHeight="1">
      <c r="B1" s="289"/>
      <c r="D1" s="144"/>
      <c r="E1" s="350"/>
    </row>
    <row r="2" spans="1:5" s="1" customFormat="1" ht="28" customHeight="1">
      <c r="A2" s="48" t="s">
        <v>2288</v>
      </c>
      <c r="B2" s="289"/>
      <c r="D2" s="144"/>
      <c r="E2" s="48">
        <v>2009</v>
      </c>
    </row>
    <row r="3" spans="1:5" ht="39" customHeight="1">
      <c r="A3" s="305" t="s">
        <v>1382</v>
      </c>
      <c r="B3" s="306"/>
      <c r="C3" s="120" t="s">
        <v>2526</v>
      </c>
      <c r="D3" s="148" t="s">
        <v>2527</v>
      </c>
      <c r="E3" s="290" t="s">
        <v>1567</v>
      </c>
    </row>
    <row r="4" spans="1:5" ht="38" customHeight="1">
      <c r="A4" s="291"/>
      <c r="B4" s="292"/>
      <c r="C4" s="129" t="s">
        <v>2528</v>
      </c>
      <c r="D4" s="153" t="s">
        <v>2528</v>
      </c>
      <c r="E4" s="293" t="s">
        <v>2528</v>
      </c>
    </row>
    <row r="5" spans="1:5" ht="30" customHeight="1" thickBot="1">
      <c r="A5" s="131">
        <v>60</v>
      </c>
      <c r="B5" s="131" t="s">
        <v>2529</v>
      </c>
      <c r="C5" s="170">
        <v>256613437.16999999</v>
      </c>
      <c r="D5" s="171">
        <v>11109831.57</v>
      </c>
      <c r="E5" s="307">
        <v>267723268.74000001</v>
      </c>
    </row>
    <row r="6" spans="1:5" ht="20" customHeight="1" thickBot="1">
      <c r="A6" s="135">
        <v>64</v>
      </c>
      <c r="B6" s="135" t="s">
        <v>2530</v>
      </c>
      <c r="C6" s="188">
        <v>-1558899.21</v>
      </c>
      <c r="D6" s="187">
        <v>-19956.86</v>
      </c>
      <c r="E6" s="295">
        <v>-1578856.07</v>
      </c>
    </row>
    <row r="7" spans="1:5" ht="20" customHeight="1" thickBot="1">
      <c r="A7" s="135">
        <v>65</v>
      </c>
      <c r="B7" s="135" t="s">
        <v>2531</v>
      </c>
      <c r="C7" s="188">
        <v>839879.09</v>
      </c>
      <c r="D7" s="187">
        <v>10101.049999999999</v>
      </c>
      <c r="E7" s="295">
        <v>849980.14</v>
      </c>
    </row>
    <row r="8" spans="1:5" ht="27" customHeight="1" thickBot="1">
      <c r="A8" s="136" t="s">
        <v>2532</v>
      </c>
      <c r="B8" s="136" t="s">
        <v>2533</v>
      </c>
      <c r="C8" s="188">
        <v>255894417.06999999</v>
      </c>
      <c r="D8" s="187">
        <v>11099975.76</v>
      </c>
      <c r="E8" s="295">
        <v>266994392.83000001</v>
      </c>
    </row>
    <row r="9" spans="1:5" ht="20" customHeight="1" thickBot="1">
      <c r="A9" s="135">
        <v>66</v>
      </c>
      <c r="B9" s="135" t="s">
        <v>2534</v>
      </c>
      <c r="C9" s="188">
        <v>-1157962.08</v>
      </c>
      <c r="D9" s="187">
        <v>-70173.06</v>
      </c>
      <c r="E9" s="295">
        <v>-1228135.1399999999</v>
      </c>
    </row>
    <row r="10" spans="1:5" ht="27" customHeight="1" thickBot="1">
      <c r="A10" s="136" t="s">
        <v>2535</v>
      </c>
      <c r="B10" s="136" t="s">
        <v>2536</v>
      </c>
      <c r="C10" s="188">
        <v>254736454.97999999</v>
      </c>
      <c r="D10" s="187">
        <v>11029802.689999999</v>
      </c>
      <c r="E10" s="295">
        <v>265766257.66999999</v>
      </c>
    </row>
    <row r="11" spans="1:5" ht="20" customHeight="1" thickBot="1">
      <c r="A11" s="135">
        <v>67</v>
      </c>
      <c r="B11" s="135" t="s">
        <v>2537</v>
      </c>
      <c r="C11" s="188">
        <v>122416.4</v>
      </c>
      <c r="D11" s="187">
        <v>30581.75</v>
      </c>
      <c r="E11" s="295">
        <v>152998.15</v>
      </c>
    </row>
    <row r="12" spans="1:5" ht="20" customHeight="1" thickBot="1">
      <c r="A12" s="135">
        <v>68</v>
      </c>
      <c r="B12" s="135" t="s">
        <v>2538</v>
      </c>
      <c r="C12" s="188">
        <v>-24.98</v>
      </c>
      <c r="D12" s="187">
        <v>-9.84</v>
      </c>
      <c r="E12" s="295">
        <v>-34.82</v>
      </c>
    </row>
    <row r="13" spans="1:5" ht="20" customHeight="1" thickBot="1">
      <c r="A13" s="135">
        <v>69</v>
      </c>
      <c r="B13" s="135" t="s">
        <v>2539</v>
      </c>
      <c r="C13" s="188">
        <v>2287362.2999999998</v>
      </c>
      <c r="D13" s="187">
        <v>39883.97</v>
      </c>
      <c r="E13" s="295">
        <v>2327246.27</v>
      </c>
    </row>
    <row r="14" spans="1:5" ht="27" customHeight="1" thickBot="1">
      <c r="A14" s="136">
        <v>6</v>
      </c>
      <c r="B14" s="136" t="s">
        <v>2540</v>
      </c>
      <c r="C14" s="188">
        <v>257146208.69999999</v>
      </c>
      <c r="D14" s="187">
        <v>11100258.560000001</v>
      </c>
      <c r="E14" s="295">
        <v>268246467.25999999</v>
      </c>
    </row>
    <row r="15" spans="1:5" ht="20" customHeight="1" thickBot="1">
      <c r="A15" s="135">
        <v>30</v>
      </c>
      <c r="B15" s="135" t="s">
        <v>2541</v>
      </c>
      <c r="C15" s="188">
        <v>188467795.72</v>
      </c>
      <c r="D15" s="187">
        <v>8729294.9000000004</v>
      </c>
      <c r="E15" s="295">
        <v>197197090.62</v>
      </c>
    </row>
    <row r="16" spans="1:5" ht="20" customHeight="1" thickBot="1">
      <c r="A16" s="135">
        <v>32</v>
      </c>
      <c r="B16" s="135" t="s">
        <v>2542</v>
      </c>
      <c r="C16" s="188" t="s">
        <v>2318</v>
      </c>
      <c r="D16" s="187" t="s">
        <v>2318</v>
      </c>
      <c r="E16" s="295" t="s">
        <v>2318</v>
      </c>
    </row>
    <row r="17" spans="1:5" ht="27" customHeight="1" thickBot="1">
      <c r="A17" s="136" t="s">
        <v>2543</v>
      </c>
      <c r="B17" s="136" t="s">
        <v>2544</v>
      </c>
      <c r="C17" s="188">
        <v>188467795.72</v>
      </c>
      <c r="D17" s="187">
        <v>8729294.9000000004</v>
      </c>
      <c r="E17" s="295">
        <v>197197090.62</v>
      </c>
    </row>
    <row r="18" spans="1:5" ht="20" customHeight="1" thickBot="1">
      <c r="A18" s="135">
        <v>34</v>
      </c>
      <c r="B18" s="135" t="s">
        <v>2545</v>
      </c>
      <c r="C18" s="188">
        <v>741549.83</v>
      </c>
      <c r="D18" s="187">
        <v>20900.599999999999</v>
      </c>
      <c r="E18" s="295">
        <v>762450.43</v>
      </c>
    </row>
    <row r="19" spans="1:5" ht="20" customHeight="1" thickBot="1">
      <c r="A19" s="135">
        <v>35</v>
      </c>
      <c r="B19" s="135" t="s">
        <v>2546</v>
      </c>
      <c r="C19" s="188">
        <v>3113178.03</v>
      </c>
      <c r="D19" s="187">
        <v>-14281.71</v>
      </c>
      <c r="E19" s="295">
        <v>3098896.32</v>
      </c>
    </row>
    <row r="20" spans="1:5" ht="27" customHeight="1" thickBot="1">
      <c r="A20" s="136" t="s">
        <v>2547</v>
      </c>
      <c r="B20" s="136" t="s">
        <v>2548</v>
      </c>
      <c r="C20" s="188">
        <v>192322523.53999999</v>
      </c>
      <c r="D20" s="187">
        <v>8735913.8100000005</v>
      </c>
      <c r="E20" s="295">
        <v>201058437.34999999</v>
      </c>
    </row>
    <row r="21" spans="1:5" ht="20" customHeight="1" thickBot="1">
      <c r="A21" s="135">
        <v>36</v>
      </c>
      <c r="B21" s="135" t="s">
        <v>2549</v>
      </c>
      <c r="C21" s="188">
        <v>-897128.44</v>
      </c>
      <c r="D21" s="187">
        <v>-18925.509999999998</v>
      </c>
      <c r="E21" s="295">
        <v>-916053.95</v>
      </c>
    </row>
    <row r="22" spans="1:5" ht="20" customHeight="1" thickBot="1">
      <c r="A22" s="135">
        <v>37</v>
      </c>
      <c r="B22" s="135" t="s">
        <v>2550</v>
      </c>
      <c r="C22" s="188" t="s">
        <v>2318</v>
      </c>
      <c r="D22" s="187" t="s">
        <v>2318</v>
      </c>
      <c r="E22" s="295" t="s">
        <v>2318</v>
      </c>
    </row>
    <row r="23" spans="1:5" ht="27" customHeight="1" thickBot="1">
      <c r="A23" s="136">
        <v>3</v>
      </c>
      <c r="B23" s="136" t="s">
        <v>2551</v>
      </c>
      <c r="C23" s="188">
        <v>191425395.09999999</v>
      </c>
      <c r="D23" s="187">
        <v>8716988.3200000003</v>
      </c>
      <c r="E23" s="295">
        <v>200142383.41999999</v>
      </c>
    </row>
    <row r="24" spans="1:5" ht="20" customHeight="1" thickBot="1">
      <c r="A24" s="135" t="s">
        <v>2552</v>
      </c>
      <c r="B24" s="135" t="s">
        <v>2553</v>
      </c>
      <c r="C24" s="188">
        <v>46820708.200000003</v>
      </c>
      <c r="D24" s="187">
        <v>2154265.5499999998</v>
      </c>
      <c r="E24" s="295">
        <v>48974973.75</v>
      </c>
    </row>
    <row r="25" spans="1:5" ht="20" customHeight="1" thickBot="1">
      <c r="A25" s="135">
        <v>48</v>
      </c>
      <c r="B25" s="135" t="s">
        <v>2554</v>
      </c>
      <c r="C25" s="188">
        <v>893484.47</v>
      </c>
      <c r="D25" s="187">
        <v>64797.56</v>
      </c>
      <c r="E25" s="295">
        <v>958282.03</v>
      </c>
    </row>
    <row r="26" spans="1:5" ht="20" customHeight="1" thickBot="1">
      <c r="A26" s="135">
        <v>49</v>
      </c>
      <c r="B26" s="135" t="s">
        <v>2555</v>
      </c>
      <c r="C26" s="188">
        <v>730019.05</v>
      </c>
      <c r="D26" s="187">
        <v>27957.38</v>
      </c>
      <c r="E26" s="295">
        <v>757976.43</v>
      </c>
    </row>
    <row r="27" spans="1:5" ht="27" customHeight="1" thickBot="1">
      <c r="A27" s="136">
        <v>4</v>
      </c>
      <c r="B27" s="136" t="s">
        <v>2556</v>
      </c>
      <c r="C27" s="188">
        <v>48444211.740000002</v>
      </c>
      <c r="D27" s="187">
        <v>2247020.4500000002</v>
      </c>
      <c r="E27" s="295">
        <v>50691232.189999998</v>
      </c>
    </row>
    <row r="28" spans="1:5" ht="27" customHeight="1" thickBot="1">
      <c r="A28" s="136" t="s">
        <v>2557</v>
      </c>
      <c r="B28" s="136" t="s">
        <v>2558</v>
      </c>
      <c r="C28" s="188">
        <v>239869606.84999999</v>
      </c>
      <c r="D28" s="187">
        <v>10964008.779999999</v>
      </c>
      <c r="E28" s="295">
        <v>250833615.63</v>
      </c>
    </row>
    <row r="29" spans="1:5" ht="27" customHeight="1" thickBot="1">
      <c r="A29" s="136"/>
      <c r="B29" s="136" t="s">
        <v>2559</v>
      </c>
      <c r="C29" s="188">
        <v>17276601.829999998</v>
      </c>
      <c r="D29" s="187">
        <v>136249.79</v>
      </c>
      <c r="E29" s="295">
        <v>17412851.620000001</v>
      </c>
    </row>
    <row r="30" spans="1:5" ht="27" customHeight="1" thickBot="1">
      <c r="A30" s="136">
        <v>7</v>
      </c>
      <c r="B30" s="136" t="s">
        <v>2560</v>
      </c>
      <c r="C30" s="188">
        <v>8490572.9299999997</v>
      </c>
      <c r="D30" s="187">
        <v>411156.49</v>
      </c>
      <c r="E30" s="295">
        <v>8901729.4199999999</v>
      </c>
    </row>
    <row r="31" spans="1:5" ht="34.5" customHeight="1" thickBot="1">
      <c r="A31" s="351"/>
      <c r="B31" s="351" t="s">
        <v>2561</v>
      </c>
      <c r="C31" s="296">
        <v>25767174.77</v>
      </c>
      <c r="D31" s="297">
        <v>547406.28</v>
      </c>
      <c r="E31" s="298">
        <v>26314581.050000001</v>
      </c>
    </row>
    <row r="32" spans="1:5" ht="19.5" customHeight="1">
      <c r="A32" s="140" t="s">
        <v>1837</v>
      </c>
      <c r="B32" s="321"/>
      <c r="C32" s="140"/>
      <c r="D32" s="164"/>
      <c r="E32" s="322"/>
    </row>
    <row r="34" spans="1:1">
      <c r="A34" s="2" t="s">
        <v>2289</v>
      </c>
    </row>
    <row r="37" spans="1:1">
      <c r="A37" s="2" t="s">
        <v>710</v>
      </c>
    </row>
  </sheetData>
  <phoneticPr fontId="0" type="noConversion"/>
  <pageMargins left="0.62" right="0.68" top="0.87" bottom="0.49" header="0.49" footer="0.4921259845"/>
  <pageSetup paperSize="9" scale="80" orientation="portrait" horizontalDpi="1200" verticalDpi="1200"/>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92953-5BE8-6843-B188-B41F59F75A02}">
  <sheetPr>
    <pageSetUpPr fitToPage="1"/>
  </sheetPr>
  <dimension ref="A1:E40"/>
  <sheetViews>
    <sheetView topLeftCell="A22" zoomScale="75" workbookViewId="0">
      <selection activeCell="A35" sqref="A35"/>
    </sheetView>
  </sheetViews>
  <sheetFormatPr baseColWidth="10" defaultColWidth="11.3984375" defaultRowHeight="13"/>
  <cols>
    <col min="1" max="1" width="8.796875" style="2" customWidth="1"/>
    <col min="2" max="2" width="48.796875" style="87" customWidth="1"/>
    <col min="3" max="3" width="16.796875" style="2" customWidth="1"/>
    <col min="4" max="4" width="16.796875" style="7" customWidth="1"/>
    <col min="5" max="5" width="16.796875" style="323" customWidth="1"/>
    <col min="6" max="16384" width="11.3984375" style="2"/>
  </cols>
  <sheetData>
    <row r="1" spans="1:5" s="1" customFormat="1" ht="14" customHeight="1">
      <c r="B1" s="289"/>
      <c r="D1" s="144"/>
      <c r="E1" s="350"/>
    </row>
    <row r="2" spans="1:5" s="1" customFormat="1" ht="28" customHeight="1">
      <c r="A2" s="48" t="s">
        <v>2293</v>
      </c>
      <c r="B2" s="289"/>
      <c r="D2" s="144"/>
      <c r="E2" s="48">
        <v>2009</v>
      </c>
    </row>
    <row r="3" spans="1:5" ht="39" customHeight="1">
      <c r="A3" s="305" t="s">
        <v>1382</v>
      </c>
      <c r="B3" s="306"/>
      <c r="C3" s="120" t="s">
        <v>2526</v>
      </c>
      <c r="D3" s="148" t="s">
        <v>2527</v>
      </c>
      <c r="E3" s="290" t="s">
        <v>1567</v>
      </c>
    </row>
    <row r="4" spans="1:5" ht="38" customHeight="1">
      <c r="A4" s="291"/>
      <c r="B4" s="292"/>
      <c r="C4" s="129" t="s">
        <v>2528</v>
      </c>
      <c r="D4" s="153" t="s">
        <v>2528</v>
      </c>
      <c r="E4" s="293" t="s">
        <v>2528</v>
      </c>
    </row>
    <row r="5" spans="1:5" ht="30" customHeight="1" thickBot="1">
      <c r="A5" s="352">
        <v>60</v>
      </c>
      <c r="B5" s="352" t="s">
        <v>2529</v>
      </c>
      <c r="C5" s="319">
        <v>44565752.719999999</v>
      </c>
      <c r="D5" s="320">
        <v>5870667.71</v>
      </c>
      <c r="E5" s="172">
        <v>50436420.43</v>
      </c>
    </row>
    <row r="6" spans="1:5" ht="20" customHeight="1" thickBot="1">
      <c r="A6" s="136">
        <v>64</v>
      </c>
      <c r="B6" s="136" t="s">
        <v>2530</v>
      </c>
      <c r="C6" s="296">
        <v>-83366.039999999994</v>
      </c>
      <c r="D6" s="297">
        <v>10630.98</v>
      </c>
      <c r="E6" s="298">
        <v>-72735.06</v>
      </c>
    </row>
    <row r="7" spans="1:5" ht="20" customHeight="1" thickBot="1">
      <c r="A7" s="136">
        <v>65</v>
      </c>
      <c r="B7" s="136" t="s">
        <v>2531</v>
      </c>
      <c r="C7" s="296">
        <v>104987.37</v>
      </c>
      <c r="D7" s="297">
        <v>5476.63</v>
      </c>
      <c r="E7" s="298">
        <v>110464</v>
      </c>
    </row>
    <row r="8" spans="1:5" ht="27" customHeight="1" thickBot="1">
      <c r="A8" s="136" t="s">
        <v>2532</v>
      </c>
      <c r="B8" s="136" t="s">
        <v>2533</v>
      </c>
      <c r="C8" s="296">
        <v>44587374.049999997</v>
      </c>
      <c r="D8" s="297">
        <v>5886775.3200000003</v>
      </c>
      <c r="E8" s="298">
        <v>50474149.369999997</v>
      </c>
    </row>
    <row r="9" spans="1:5" ht="20" customHeight="1" thickBot="1">
      <c r="A9" s="136">
        <v>66</v>
      </c>
      <c r="B9" s="136" t="s">
        <v>2534</v>
      </c>
      <c r="C9" s="296">
        <v>-496808.99</v>
      </c>
      <c r="D9" s="297">
        <v>-60034.1</v>
      </c>
      <c r="E9" s="298">
        <v>-556843.09</v>
      </c>
    </row>
    <row r="10" spans="1:5" ht="27" customHeight="1" thickBot="1">
      <c r="A10" s="136" t="s">
        <v>2535</v>
      </c>
      <c r="B10" s="136" t="s">
        <v>2536</v>
      </c>
      <c r="C10" s="296">
        <v>44090565.060000002</v>
      </c>
      <c r="D10" s="297">
        <v>5826741.21</v>
      </c>
      <c r="E10" s="298">
        <v>49917306.270000003</v>
      </c>
    </row>
    <row r="11" spans="1:5" ht="20" customHeight="1" thickBot="1">
      <c r="A11" s="136">
        <v>67</v>
      </c>
      <c r="B11" s="136" t="s">
        <v>2537</v>
      </c>
      <c r="C11" s="296">
        <v>122416.4</v>
      </c>
      <c r="D11" s="297">
        <v>30581.75</v>
      </c>
      <c r="E11" s="298">
        <v>152998.15</v>
      </c>
    </row>
    <row r="12" spans="1:5" ht="20" customHeight="1" thickBot="1">
      <c r="A12" s="136">
        <v>68</v>
      </c>
      <c r="B12" s="136" t="s">
        <v>2538</v>
      </c>
      <c r="C12" s="296">
        <v>-24.98</v>
      </c>
      <c r="D12" s="297">
        <v>-9.84</v>
      </c>
      <c r="E12" s="298">
        <v>-34.82</v>
      </c>
    </row>
    <row r="13" spans="1:5" ht="20" customHeight="1" thickBot="1">
      <c r="A13" s="136">
        <v>69</v>
      </c>
      <c r="B13" s="136" t="s">
        <v>2539</v>
      </c>
      <c r="C13" s="296">
        <v>325072.98</v>
      </c>
      <c r="D13" s="297">
        <v>19969.38</v>
      </c>
      <c r="E13" s="298">
        <v>345042.36</v>
      </c>
    </row>
    <row r="14" spans="1:5" ht="27" customHeight="1" thickBot="1">
      <c r="A14" s="136">
        <v>6</v>
      </c>
      <c r="B14" s="136" t="s">
        <v>2540</v>
      </c>
      <c r="C14" s="296">
        <v>44538029.460000001</v>
      </c>
      <c r="D14" s="297">
        <v>5877282.5</v>
      </c>
      <c r="E14" s="298">
        <v>50415311.960000001</v>
      </c>
    </row>
    <row r="15" spans="1:5" ht="20" customHeight="1" thickBot="1">
      <c r="A15" s="136">
        <v>30</v>
      </c>
      <c r="B15" s="136" t="s">
        <v>2541</v>
      </c>
      <c r="C15" s="296">
        <v>35465956.840000004</v>
      </c>
      <c r="D15" s="297">
        <v>3197986.32</v>
      </c>
      <c r="E15" s="298">
        <v>38663943.159999996</v>
      </c>
    </row>
    <row r="16" spans="1:5" ht="20" customHeight="1" thickBot="1">
      <c r="A16" s="136">
        <v>32</v>
      </c>
      <c r="B16" s="136" t="s">
        <v>2542</v>
      </c>
      <c r="C16" s="296" t="s">
        <v>2318</v>
      </c>
      <c r="D16" s="297" t="s">
        <v>2318</v>
      </c>
      <c r="E16" s="298" t="s">
        <v>2318</v>
      </c>
    </row>
    <row r="17" spans="1:5" ht="27" customHeight="1" thickBot="1">
      <c r="A17" s="136" t="s">
        <v>2543</v>
      </c>
      <c r="B17" s="136" t="s">
        <v>2544</v>
      </c>
      <c r="C17" s="296">
        <v>35465956.840000004</v>
      </c>
      <c r="D17" s="297">
        <v>3197986.32</v>
      </c>
      <c r="E17" s="298">
        <v>38663943.159999996</v>
      </c>
    </row>
    <row r="18" spans="1:5" ht="20" customHeight="1" thickBot="1">
      <c r="A18" s="136">
        <v>34</v>
      </c>
      <c r="B18" s="136" t="s">
        <v>2545</v>
      </c>
      <c r="C18" s="296">
        <v>124492.5</v>
      </c>
      <c r="D18" s="297">
        <v>10247.870000000001</v>
      </c>
      <c r="E18" s="298">
        <v>134740.37</v>
      </c>
    </row>
    <row r="19" spans="1:5" ht="20" customHeight="1" thickBot="1">
      <c r="A19" s="136">
        <v>35</v>
      </c>
      <c r="B19" s="136" t="s">
        <v>2546</v>
      </c>
      <c r="C19" s="296">
        <v>573309.74</v>
      </c>
      <c r="D19" s="297">
        <v>-17769.099999999999</v>
      </c>
      <c r="E19" s="298">
        <v>555540.64</v>
      </c>
    </row>
    <row r="20" spans="1:5" ht="27" customHeight="1" thickBot="1">
      <c r="A20" s="136" t="s">
        <v>2547</v>
      </c>
      <c r="B20" s="136" t="s">
        <v>2548</v>
      </c>
      <c r="C20" s="296">
        <v>36163759.060000002</v>
      </c>
      <c r="D20" s="297">
        <v>3190465.09</v>
      </c>
      <c r="E20" s="298">
        <v>39354224.149999999</v>
      </c>
    </row>
    <row r="21" spans="1:5" ht="20" customHeight="1" thickBot="1">
      <c r="A21" s="136">
        <v>36</v>
      </c>
      <c r="B21" s="136" t="s">
        <v>2549</v>
      </c>
      <c r="C21" s="296">
        <v>-339518.52</v>
      </c>
      <c r="D21" s="297">
        <v>-17303.45</v>
      </c>
      <c r="E21" s="298">
        <v>-356821.97</v>
      </c>
    </row>
    <row r="22" spans="1:5" ht="20" customHeight="1" thickBot="1">
      <c r="A22" s="136">
        <v>37</v>
      </c>
      <c r="B22" s="136" t="s">
        <v>2550</v>
      </c>
      <c r="C22" s="296" t="s">
        <v>2318</v>
      </c>
      <c r="D22" s="297" t="s">
        <v>2318</v>
      </c>
      <c r="E22" s="298" t="s">
        <v>2318</v>
      </c>
    </row>
    <row r="23" spans="1:5" ht="27" customHeight="1" thickBot="1">
      <c r="A23" s="136">
        <v>3</v>
      </c>
      <c r="B23" s="136" t="s">
        <v>2551</v>
      </c>
      <c r="C23" s="296">
        <v>35824240.539999999</v>
      </c>
      <c r="D23" s="297">
        <v>3173161.65</v>
      </c>
      <c r="E23" s="298">
        <v>38997402.189999998</v>
      </c>
    </row>
    <row r="24" spans="1:5" ht="20" customHeight="1" thickBot="1">
      <c r="A24" s="135" t="s">
        <v>2552</v>
      </c>
      <c r="B24" s="135" t="s">
        <v>2553</v>
      </c>
      <c r="C24" s="296">
        <v>8581664.7799999993</v>
      </c>
      <c r="D24" s="297">
        <v>1160186.99</v>
      </c>
      <c r="E24" s="298">
        <v>9741851.7699999996</v>
      </c>
    </row>
    <row r="25" spans="1:5" ht="20" customHeight="1" thickBot="1">
      <c r="A25" s="135">
        <v>48</v>
      </c>
      <c r="B25" s="135" t="s">
        <v>2554</v>
      </c>
      <c r="C25" s="296">
        <v>196371.91</v>
      </c>
      <c r="D25" s="297">
        <v>37469.449999999997</v>
      </c>
      <c r="E25" s="298">
        <v>233841.36</v>
      </c>
    </row>
    <row r="26" spans="1:5" ht="20" customHeight="1" thickBot="1">
      <c r="A26" s="136">
        <v>49</v>
      </c>
      <c r="B26" s="136" t="s">
        <v>2555</v>
      </c>
      <c r="C26" s="296">
        <v>53573.919999999998</v>
      </c>
      <c r="D26" s="297">
        <v>15901.88</v>
      </c>
      <c r="E26" s="298">
        <v>69475.8</v>
      </c>
    </row>
    <row r="27" spans="1:5" ht="27" customHeight="1" thickBot="1">
      <c r="A27" s="136">
        <v>4</v>
      </c>
      <c r="B27" s="136" t="s">
        <v>2556</v>
      </c>
      <c r="C27" s="296">
        <v>8831610.6099999994</v>
      </c>
      <c r="D27" s="297">
        <v>1213558.28</v>
      </c>
      <c r="E27" s="298">
        <v>10045168.890000001</v>
      </c>
    </row>
    <row r="28" spans="1:5" ht="27" customHeight="1" thickBot="1">
      <c r="A28" s="136" t="s">
        <v>2557</v>
      </c>
      <c r="B28" s="136" t="s">
        <v>2558</v>
      </c>
      <c r="C28" s="296">
        <v>44655851.140000001</v>
      </c>
      <c r="D28" s="297">
        <v>4386719.93</v>
      </c>
      <c r="E28" s="298">
        <v>49042571.07</v>
      </c>
    </row>
    <row r="29" spans="1:5" ht="27" customHeight="1" thickBot="1">
      <c r="A29" s="136"/>
      <c r="B29" s="136" t="s">
        <v>2559</v>
      </c>
      <c r="C29" s="296">
        <v>-117821.68</v>
      </c>
      <c r="D29" s="297">
        <v>1490562.56</v>
      </c>
      <c r="E29" s="298">
        <v>1372740.88</v>
      </c>
    </row>
    <row r="30" spans="1:5" ht="27" customHeight="1" thickBot="1">
      <c r="A30" s="136">
        <v>7</v>
      </c>
      <c r="B30" s="136" t="s">
        <v>2560</v>
      </c>
      <c r="C30" s="296">
        <v>1665703.57</v>
      </c>
      <c r="D30" s="297">
        <v>224803.16</v>
      </c>
      <c r="E30" s="298">
        <v>1890506.73</v>
      </c>
    </row>
    <row r="31" spans="1:5" ht="34.5" customHeight="1" thickBot="1">
      <c r="A31" s="351"/>
      <c r="B31" s="351" t="s">
        <v>2561</v>
      </c>
      <c r="C31" s="296">
        <v>1547881.89</v>
      </c>
      <c r="D31" s="297">
        <v>1715365.72</v>
      </c>
      <c r="E31" s="298">
        <v>3263247.61</v>
      </c>
    </row>
    <row r="32" spans="1:5" ht="20" customHeight="1">
      <c r="A32" s="140" t="s">
        <v>1837</v>
      </c>
      <c r="B32" s="321"/>
      <c r="C32" s="140"/>
      <c r="D32" s="164"/>
      <c r="E32" s="322"/>
    </row>
    <row r="33" spans="1:5" ht="15.75" customHeight="1">
      <c r="A33" s="141"/>
      <c r="B33" s="353"/>
      <c r="C33" s="141"/>
      <c r="D33" s="166"/>
      <c r="E33" s="354"/>
    </row>
    <row r="34" spans="1:5" ht="15.75" customHeight="1">
      <c r="A34" s="2" t="s">
        <v>2290</v>
      </c>
      <c r="B34" s="353"/>
      <c r="C34" s="141"/>
      <c r="D34" s="166"/>
      <c r="E34" s="354"/>
    </row>
    <row r="35" spans="1:5" ht="13.5" customHeight="1">
      <c r="A35" s="141"/>
      <c r="B35" s="353"/>
      <c r="C35" s="141"/>
      <c r="D35" s="166"/>
      <c r="E35" s="354"/>
    </row>
    <row r="36" spans="1:5">
      <c r="A36" s="141" t="s">
        <v>2291</v>
      </c>
    </row>
    <row r="37" spans="1:5">
      <c r="A37" s="2" t="s">
        <v>2292</v>
      </c>
    </row>
    <row r="40" spans="1:5">
      <c r="A40" s="2" t="s">
        <v>710</v>
      </c>
    </row>
  </sheetData>
  <phoneticPr fontId="0" type="noConversion"/>
  <pageMargins left="0.6" right="0.6" top="0.78" bottom="0.49" header="0.49" footer="0.4921259845"/>
  <pageSetup paperSize="9" scale="85" orientation="portrait"/>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24BA9-DD6D-E448-9C93-9036248545D5}">
  <sheetPr>
    <pageSetUpPr fitToPage="1"/>
  </sheetPr>
  <dimension ref="A1:E40"/>
  <sheetViews>
    <sheetView topLeftCell="A22" zoomScale="75" workbookViewId="0">
      <selection activeCell="A35" sqref="A35"/>
    </sheetView>
  </sheetViews>
  <sheetFormatPr baseColWidth="10" defaultColWidth="11.3984375" defaultRowHeight="13"/>
  <cols>
    <col min="1" max="1" width="8.796875" style="2" customWidth="1"/>
    <col min="2" max="2" width="48.796875" style="87" customWidth="1"/>
    <col min="3" max="3" width="16.796875" style="2" customWidth="1"/>
    <col min="4" max="4" width="16.796875" style="7" customWidth="1"/>
    <col min="5" max="5" width="16.796875" style="323" customWidth="1"/>
    <col min="6" max="16384" width="11.3984375" style="2"/>
  </cols>
  <sheetData>
    <row r="1" spans="1:5" s="1" customFormat="1" ht="14" customHeight="1">
      <c r="B1" s="289"/>
      <c r="D1" s="144"/>
      <c r="E1" s="350"/>
    </row>
    <row r="2" spans="1:5" s="1" customFormat="1" ht="28" customHeight="1">
      <c r="A2" s="48" t="s">
        <v>2295</v>
      </c>
      <c r="B2" s="289"/>
      <c r="D2" s="144"/>
      <c r="E2" s="48">
        <v>2009</v>
      </c>
    </row>
    <row r="3" spans="1:5" ht="39" customHeight="1">
      <c r="A3" s="119" t="s">
        <v>1382</v>
      </c>
      <c r="B3" s="306"/>
      <c r="C3" s="120" t="s">
        <v>2526</v>
      </c>
      <c r="D3" s="148" t="s">
        <v>2527</v>
      </c>
      <c r="E3" s="290" t="s">
        <v>1567</v>
      </c>
    </row>
    <row r="4" spans="1:5" ht="38" customHeight="1">
      <c r="A4" s="291"/>
      <c r="B4" s="292"/>
      <c r="C4" s="129" t="s">
        <v>2528</v>
      </c>
      <c r="D4" s="153" t="s">
        <v>2528</v>
      </c>
      <c r="E4" s="293" t="s">
        <v>2528</v>
      </c>
    </row>
    <row r="5" spans="1:5" ht="30" customHeight="1" thickBot="1">
      <c r="A5" s="352">
        <v>60</v>
      </c>
      <c r="B5" s="352" t="s">
        <v>2529</v>
      </c>
      <c r="C5" s="319">
        <v>212047684.44999999</v>
      </c>
      <c r="D5" s="320">
        <v>5239163.8600000003</v>
      </c>
      <c r="E5" s="172">
        <v>217286848.31</v>
      </c>
    </row>
    <row r="6" spans="1:5" ht="20" customHeight="1" thickBot="1">
      <c r="A6" s="136">
        <v>64</v>
      </c>
      <c r="B6" s="136" t="s">
        <v>2530</v>
      </c>
      <c r="C6" s="319">
        <v>-1475533.17</v>
      </c>
      <c r="D6" s="320">
        <v>-30587.84</v>
      </c>
      <c r="E6" s="172">
        <v>-1506121.01</v>
      </c>
    </row>
    <row r="7" spans="1:5" ht="20" customHeight="1" thickBot="1">
      <c r="A7" s="136">
        <v>65</v>
      </c>
      <c r="B7" s="136" t="s">
        <v>2531</v>
      </c>
      <c r="C7" s="319">
        <v>734891.72</v>
      </c>
      <c r="D7" s="320">
        <v>4624.42</v>
      </c>
      <c r="E7" s="172">
        <v>739516.14</v>
      </c>
    </row>
    <row r="8" spans="1:5" ht="27" customHeight="1" thickBot="1">
      <c r="A8" s="136" t="s">
        <v>2532</v>
      </c>
      <c r="B8" s="136" t="s">
        <v>2533</v>
      </c>
      <c r="C8" s="319">
        <v>211307043.02000001</v>
      </c>
      <c r="D8" s="320">
        <v>5213200.4400000004</v>
      </c>
      <c r="E8" s="172">
        <v>216520243.46000001</v>
      </c>
    </row>
    <row r="9" spans="1:5" ht="20" customHeight="1" thickBot="1">
      <c r="A9" s="136">
        <v>66</v>
      </c>
      <c r="B9" s="136" t="s">
        <v>2534</v>
      </c>
      <c r="C9" s="319">
        <v>-661153.09</v>
      </c>
      <c r="D9" s="320">
        <v>-10138.959999999999</v>
      </c>
      <c r="E9" s="172">
        <v>-671292.05</v>
      </c>
    </row>
    <row r="10" spans="1:5" ht="27" customHeight="1" thickBot="1">
      <c r="A10" s="136" t="s">
        <v>2535</v>
      </c>
      <c r="B10" s="136" t="s">
        <v>2536</v>
      </c>
      <c r="C10" s="319">
        <v>210645889.91999999</v>
      </c>
      <c r="D10" s="320">
        <v>5203061.4800000004</v>
      </c>
      <c r="E10" s="172">
        <v>215848951.40000001</v>
      </c>
    </row>
    <row r="11" spans="1:5" ht="20" customHeight="1" thickBot="1">
      <c r="A11" s="136">
        <v>67</v>
      </c>
      <c r="B11" s="136" t="s">
        <v>2537</v>
      </c>
      <c r="C11" s="319">
        <v>0</v>
      </c>
      <c r="D11" s="320">
        <v>0</v>
      </c>
      <c r="E11" s="172">
        <v>0</v>
      </c>
    </row>
    <row r="12" spans="1:5" ht="20" customHeight="1" thickBot="1">
      <c r="A12" s="136">
        <v>68</v>
      </c>
      <c r="B12" s="136" t="s">
        <v>2538</v>
      </c>
      <c r="C12" s="319">
        <v>0</v>
      </c>
      <c r="D12" s="320">
        <v>0</v>
      </c>
      <c r="E12" s="172">
        <v>0</v>
      </c>
    </row>
    <row r="13" spans="1:5" ht="20" customHeight="1" thickBot="1">
      <c r="A13" s="136">
        <v>69</v>
      </c>
      <c r="B13" s="136" t="s">
        <v>2539</v>
      </c>
      <c r="C13" s="319">
        <v>1962289.32</v>
      </c>
      <c r="D13" s="320">
        <v>19914.59</v>
      </c>
      <c r="E13" s="172">
        <v>1982203.91</v>
      </c>
    </row>
    <row r="14" spans="1:5" ht="27" customHeight="1" thickBot="1">
      <c r="A14" s="136">
        <v>6</v>
      </c>
      <c r="B14" s="136" t="s">
        <v>2540</v>
      </c>
      <c r="C14" s="319">
        <v>212608179.24000001</v>
      </c>
      <c r="D14" s="320">
        <v>5222976.0599999996</v>
      </c>
      <c r="E14" s="172">
        <v>217831155.30000001</v>
      </c>
    </row>
    <row r="15" spans="1:5" ht="20" customHeight="1" thickBot="1">
      <c r="A15" s="136">
        <v>30</v>
      </c>
      <c r="B15" s="136" t="s">
        <v>2541</v>
      </c>
      <c r="C15" s="319">
        <v>153001838.88</v>
      </c>
      <c r="D15" s="320">
        <v>5531308.5800000001</v>
      </c>
      <c r="E15" s="172">
        <v>158533147.46000001</v>
      </c>
    </row>
    <row r="16" spans="1:5" ht="20" customHeight="1" thickBot="1">
      <c r="A16" s="136">
        <v>32</v>
      </c>
      <c r="B16" s="136" t="s">
        <v>2542</v>
      </c>
      <c r="C16" s="319" t="s">
        <v>2318</v>
      </c>
      <c r="D16" s="320" t="s">
        <v>2318</v>
      </c>
      <c r="E16" s="172" t="s">
        <v>2318</v>
      </c>
    </row>
    <row r="17" spans="1:5" ht="27" customHeight="1" thickBot="1">
      <c r="A17" s="136" t="s">
        <v>2543</v>
      </c>
      <c r="B17" s="136" t="s">
        <v>2544</v>
      </c>
      <c r="C17" s="319">
        <v>153001838.88</v>
      </c>
      <c r="D17" s="320">
        <v>5531308.5800000001</v>
      </c>
      <c r="E17" s="172">
        <v>158533147.46000001</v>
      </c>
    </row>
    <row r="18" spans="1:5" ht="20" customHeight="1" thickBot="1">
      <c r="A18" s="136">
        <v>34</v>
      </c>
      <c r="B18" s="136" t="s">
        <v>2545</v>
      </c>
      <c r="C18" s="319">
        <v>617057.32999999996</v>
      </c>
      <c r="D18" s="320">
        <v>10652.73</v>
      </c>
      <c r="E18" s="172">
        <v>627710.06000000006</v>
      </c>
    </row>
    <row r="19" spans="1:5" ht="20" customHeight="1" thickBot="1">
      <c r="A19" s="136">
        <v>35</v>
      </c>
      <c r="B19" s="136" t="s">
        <v>2546</v>
      </c>
      <c r="C19" s="319">
        <v>2539868.29</v>
      </c>
      <c r="D19" s="320">
        <v>3487.39</v>
      </c>
      <c r="E19" s="172">
        <v>2543355.6800000002</v>
      </c>
    </row>
    <row r="20" spans="1:5" ht="27" customHeight="1" thickBot="1">
      <c r="A20" s="136" t="s">
        <v>2547</v>
      </c>
      <c r="B20" s="136" t="s">
        <v>2548</v>
      </c>
      <c r="C20" s="319">
        <v>156158764.47999999</v>
      </c>
      <c r="D20" s="320">
        <v>5545448.7199999997</v>
      </c>
      <c r="E20" s="172">
        <v>161704213.19999999</v>
      </c>
    </row>
    <row r="21" spans="1:5" ht="20" customHeight="1" thickBot="1">
      <c r="A21" s="136">
        <v>36</v>
      </c>
      <c r="B21" s="136" t="s">
        <v>2549</v>
      </c>
      <c r="C21" s="319">
        <v>-557609.92000000004</v>
      </c>
      <c r="D21" s="320">
        <v>-1622.06</v>
      </c>
      <c r="E21" s="172">
        <v>-559231.98</v>
      </c>
    </row>
    <row r="22" spans="1:5" ht="20" customHeight="1" thickBot="1">
      <c r="A22" s="136">
        <v>37</v>
      </c>
      <c r="B22" s="136" t="s">
        <v>2550</v>
      </c>
      <c r="C22" s="319" t="s">
        <v>2318</v>
      </c>
      <c r="D22" s="320" t="s">
        <v>2318</v>
      </c>
      <c r="E22" s="172" t="s">
        <v>2318</v>
      </c>
    </row>
    <row r="23" spans="1:5" ht="27" customHeight="1" thickBot="1">
      <c r="A23" s="136">
        <v>3</v>
      </c>
      <c r="B23" s="136" t="s">
        <v>2551</v>
      </c>
      <c r="C23" s="319">
        <v>155601154.56</v>
      </c>
      <c r="D23" s="320">
        <v>5543826.6699999999</v>
      </c>
      <c r="E23" s="172">
        <v>161144981.22999999</v>
      </c>
    </row>
    <row r="24" spans="1:5" ht="20" customHeight="1" thickBot="1">
      <c r="A24" s="135" t="s">
        <v>2552</v>
      </c>
      <c r="B24" s="135" t="s">
        <v>2553</v>
      </c>
      <c r="C24" s="319">
        <v>38239043.420000002</v>
      </c>
      <c r="D24" s="320">
        <v>994078.56</v>
      </c>
      <c r="E24" s="172">
        <v>39233121.979999997</v>
      </c>
    </row>
    <row r="25" spans="1:5" ht="20" customHeight="1" thickBot="1">
      <c r="A25" s="135">
        <v>48</v>
      </c>
      <c r="B25" s="135" t="s">
        <v>2554</v>
      </c>
      <c r="C25" s="319">
        <v>697112.56</v>
      </c>
      <c r="D25" s="320">
        <v>27328.11</v>
      </c>
      <c r="E25" s="172">
        <v>724440.67</v>
      </c>
    </row>
    <row r="26" spans="1:5" ht="20" customHeight="1" thickBot="1">
      <c r="A26" s="136">
        <v>49</v>
      </c>
      <c r="B26" s="136" t="s">
        <v>2555</v>
      </c>
      <c r="C26" s="319">
        <v>676445.13</v>
      </c>
      <c r="D26" s="320">
        <v>12055.5</v>
      </c>
      <c r="E26" s="172">
        <v>688500.63</v>
      </c>
    </row>
    <row r="27" spans="1:5" ht="27" customHeight="1" thickBot="1">
      <c r="A27" s="136">
        <v>4</v>
      </c>
      <c r="B27" s="136" t="s">
        <v>2556</v>
      </c>
      <c r="C27" s="319">
        <v>39612601.130000003</v>
      </c>
      <c r="D27" s="320">
        <v>1033462.17</v>
      </c>
      <c r="E27" s="172">
        <v>40646063.299999997</v>
      </c>
    </row>
    <row r="28" spans="1:5" ht="27" customHeight="1" thickBot="1">
      <c r="A28" s="136" t="s">
        <v>2557</v>
      </c>
      <c r="B28" s="136" t="s">
        <v>2558</v>
      </c>
      <c r="C28" s="319">
        <v>195213755.71000001</v>
      </c>
      <c r="D28" s="320">
        <v>6577288.8499999996</v>
      </c>
      <c r="E28" s="172">
        <v>201791044.56</v>
      </c>
    </row>
    <row r="29" spans="1:5" ht="27" customHeight="1" thickBot="1">
      <c r="A29" s="136"/>
      <c r="B29" s="136" t="s">
        <v>2559</v>
      </c>
      <c r="C29" s="319">
        <v>17394423.510000002</v>
      </c>
      <c r="D29" s="320">
        <v>-1354312.77</v>
      </c>
      <c r="E29" s="172">
        <v>16040110.74</v>
      </c>
    </row>
    <row r="30" spans="1:5" ht="27" customHeight="1" thickBot="1">
      <c r="A30" s="136">
        <v>7</v>
      </c>
      <c r="B30" s="136" t="s">
        <v>2560</v>
      </c>
      <c r="C30" s="319">
        <v>6824869.3600000003</v>
      </c>
      <c r="D30" s="320">
        <v>186353.33</v>
      </c>
      <c r="E30" s="172">
        <v>7011222.6900000004</v>
      </c>
    </row>
    <row r="31" spans="1:5" ht="34.5" customHeight="1" thickBot="1">
      <c r="A31" s="351"/>
      <c r="B31" s="351" t="s">
        <v>2561</v>
      </c>
      <c r="C31" s="319">
        <v>24219292.879999999</v>
      </c>
      <c r="D31" s="320">
        <v>-1167959.44</v>
      </c>
      <c r="E31" s="172">
        <v>23051333.440000001</v>
      </c>
    </row>
    <row r="32" spans="1:5" ht="20" customHeight="1">
      <c r="A32" s="140" t="s">
        <v>1837</v>
      </c>
      <c r="B32" s="321"/>
      <c r="C32" s="140"/>
      <c r="D32" s="164"/>
      <c r="E32" s="322"/>
    </row>
    <row r="33" spans="1:5" ht="14.25" customHeight="1">
      <c r="A33" s="141"/>
      <c r="B33" s="353"/>
      <c r="C33" s="141"/>
      <c r="D33" s="166"/>
      <c r="E33" s="354"/>
    </row>
    <row r="34" spans="1:5" ht="15.75" customHeight="1">
      <c r="A34" s="2" t="s">
        <v>2294</v>
      </c>
      <c r="B34" s="353"/>
      <c r="C34" s="141"/>
      <c r="D34" s="166"/>
      <c r="E34" s="354"/>
    </row>
    <row r="35" spans="1:5" ht="13.5" customHeight="1">
      <c r="A35" s="141"/>
      <c r="B35" s="353"/>
      <c r="C35" s="141"/>
      <c r="D35" s="166"/>
      <c r="E35" s="354"/>
    </row>
    <row r="36" spans="1:5">
      <c r="A36" s="141" t="s">
        <v>2291</v>
      </c>
    </row>
    <row r="37" spans="1:5">
      <c r="A37" s="2" t="s">
        <v>2292</v>
      </c>
    </row>
    <row r="40" spans="1:5">
      <c r="A40" s="2" t="s">
        <v>710</v>
      </c>
    </row>
  </sheetData>
  <phoneticPr fontId="0" type="noConversion"/>
  <pageMargins left="0.57999999999999996" right="0.65" top="0.92" bottom="0.49" header="0.49" footer="0.4921259845"/>
  <pageSetup paperSize="9" scale="83" orientation="portrait"/>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3A938-D552-AC42-9189-AE45FD2DC4E0}">
  <sheetPr>
    <pageSetUpPr fitToPage="1"/>
  </sheetPr>
  <dimension ref="A1:B10"/>
  <sheetViews>
    <sheetView workbookViewId="0">
      <selection activeCell="B4" sqref="B4"/>
    </sheetView>
  </sheetViews>
  <sheetFormatPr baseColWidth="10" defaultColWidth="11.3984375" defaultRowHeight="13"/>
  <cols>
    <col min="1" max="1" width="5.59765625" style="340" customWidth="1"/>
    <col min="2" max="16384" width="11.3984375" style="340"/>
  </cols>
  <sheetData>
    <row r="1" spans="1:2" ht="16">
      <c r="A1" s="339" t="s">
        <v>2275</v>
      </c>
    </row>
    <row r="2" spans="1:2" ht="16">
      <c r="A2" s="341"/>
    </row>
    <row r="3" spans="1:2">
      <c r="A3" s="342">
        <v>7.01</v>
      </c>
      <c r="B3" s="343" t="s">
        <v>2276</v>
      </c>
    </row>
    <row r="4" spans="1:2">
      <c r="A4" s="342">
        <v>7.02</v>
      </c>
      <c r="B4" s="343" t="s">
        <v>2277</v>
      </c>
    </row>
    <row r="5" spans="1:2">
      <c r="A5" s="342">
        <v>7.03</v>
      </c>
      <c r="B5" s="343" t="s">
        <v>2278</v>
      </c>
    </row>
    <row r="6" spans="1:2">
      <c r="A6" s="342">
        <v>7.04</v>
      </c>
      <c r="B6" s="343" t="s">
        <v>2279</v>
      </c>
    </row>
    <row r="7" spans="1:2">
      <c r="A7" s="342">
        <v>7.05</v>
      </c>
      <c r="B7" s="343" t="s">
        <v>2280</v>
      </c>
    </row>
    <row r="10" spans="1:2">
      <c r="A10" s="344" t="s">
        <v>710</v>
      </c>
    </row>
  </sheetData>
  <phoneticPr fontId="30" type="noConversion"/>
  <pageMargins left="0.46" right="0.35" top="0.62" bottom="0.984251969" header="0.36" footer="0.4921259845"/>
  <pageSetup paperSize="9" orientation="portrait"/>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E1110-2C9A-D14D-86FE-D8D337EE66FC}">
  <sheetPr>
    <pageSetUpPr fitToPage="1"/>
  </sheetPr>
  <dimension ref="A1:K32"/>
  <sheetViews>
    <sheetView topLeftCell="A13" zoomScale="75" workbookViewId="0">
      <selection activeCell="H26" sqref="H26"/>
    </sheetView>
  </sheetViews>
  <sheetFormatPr baseColWidth="10" defaultColWidth="11.3984375" defaultRowHeight="13"/>
  <cols>
    <col min="1" max="1" width="16.796875" style="2" customWidth="1"/>
    <col min="2" max="2" width="16.3984375" style="2" customWidth="1"/>
    <col min="3" max="3" width="15" style="2" customWidth="1"/>
    <col min="4" max="4" width="16.19921875" style="2" customWidth="1"/>
    <col min="5" max="7" width="15" style="2" customWidth="1"/>
    <col min="8" max="16384" width="11.3984375" style="2"/>
  </cols>
  <sheetData>
    <row r="1" spans="1:11" s="1" customFormat="1" ht="14" customHeight="1"/>
    <row r="2" spans="1:11" s="1" customFormat="1" ht="42" customHeight="1">
      <c r="A2" s="2014" t="s">
        <v>2007</v>
      </c>
      <c r="B2" s="2018"/>
      <c r="C2" s="2018"/>
      <c r="D2" s="2018"/>
      <c r="E2" s="2018"/>
      <c r="F2" s="2018"/>
      <c r="G2" s="48"/>
    </row>
    <row r="3" spans="1:11" ht="24" customHeight="1">
      <c r="A3" s="119" t="s">
        <v>2008</v>
      </c>
      <c r="B3" s="120" t="s">
        <v>2321</v>
      </c>
      <c r="C3" s="121" t="s">
        <v>1801</v>
      </c>
      <c r="D3" s="120" t="s">
        <v>2322</v>
      </c>
      <c r="E3" s="121" t="s">
        <v>1801</v>
      </c>
      <c r="F3" s="120" t="s">
        <v>2323</v>
      </c>
      <c r="G3" s="121" t="s">
        <v>1801</v>
      </c>
    </row>
    <row r="4" spans="1:11" ht="15" customHeight="1">
      <c r="A4" s="325"/>
      <c r="B4" s="123" t="s">
        <v>2323</v>
      </c>
      <c r="C4" s="124" t="s">
        <v>1802</v>
      </c>
      <c r="D4" s="123" t="s">
        <v>2324</v>
      </c>
      <c r="E4" s="124" t="s">
        <v>1802</v>
      </c>
      <c r="F4" s="123" t="s">
        <v>2325</v>
      </c>
      <c r="G4" s="124" t="s">
        <v>1802</v>
      </c>
    </row>
    <row r="5" spans="1:11" ht="15" customHeight="1">
      <c r="A5" s="325"/>
      <c r="B5" s="123" t="s">
        <v>2326</v>
      </c>
      <c r="C5" s="124" t="s">
        <v>1806</v>
      </c>
      <c r="D5" s="123" t="s">
        <v>2327</v>
      </c>
      <c r="E5" s="124" t="s">
        <v>1806</v>
      </c>
      <c r="F5" s="123" t="s">
        <v>2328</v>
      </c>
      <c r="G5" s="124" t="s">
        <v>1806</v>
      </c>
    </row>
    <row r="6" spans="1:11" ht="24" customHeight="1">
      <c r="A6" s="326"/>
      <c r="B6" s="129"/>
      <c r="C6" s="128"/>
      <c r="D6" s="129" t="s">
        <v>2000</v>
      </c>
      <c r="E6" s="128"/>
      <c r="F6" s="129"/>
      <c r="G6" s="128"/>
    </row>
    <row r="7" spans="1:11" ht="1.5" customHeight="1" thickBot="1">
      <c r="A7" s="327">
        <v>1996</v>
      </c>
      <c r="B7" s="170">
        <v>4599022226.4899998</v>
      </c>
      <c r="C7" s="157">
        <v>4.7135061423122571E-2</v>
      </c>
      <c r="D7" s="170">
        <v>4507461189</v>
      </c>
      <c r="E7" s="157">
        <v>8.2125105302542703E-2</v>
      </c>
      <c r="F7" s="170">
        <v>91699445.469999999</v>
      </c>
      <c r="G7" s="157">
        <v>-0.59537068849307151</v>
      </c>
      <c r="I7" s="8"/>
      <c r="J7" s="8"/>
      <c r="K7" s="8"/>
    </row>
    <row r="8" spans="1:11" ht="0.75" hidden="1" customHeight="1" thickBot="1">
      <c r="A8" s="328">
        <v>1997</v>
      </c>
      <c r="B8" s="188">
        <v>4851626656</v>
      </c>
      <c r="C8" s="158">
        <v>5.4925681388321837E-2</v>
      </c>
      <c r="D8" s="188">
        <v>4710142665.8999996</v>
      </c>
      <c r="E8" s="158">
        <v>4.4965773059704457E-2</v>
      </c>
      <c r="F8" s="188">
        <v>141483990.28999999</v>
      </c>
      <c r="G8" s="158">
        <v>0.54290998778490207</v>
      </c>
    </row>
    <row r="9" spans="1:11" ht="19.5" hidden="1" customHeight="1" thickBot="1">
      <c r="A9" s="328">
        <v>1998</v>
      </c>
      <c r="B9" s="188">
        <v>4992640209.6999998</v>
      </c>
      <c r="C9" s="158">
        <v>2.9065211257673453E-2</v>
      </c>
      <c r="D9" s="188">
        <v>4882154897.6999998</v>
      </c>
      <c r="E9" s="158">
        <v>3.6519537517476157E-2</v>
      </c>
      <c r="F9" s="188">
        <v>110485312.03</v>
      </c>
      <c r="G9" s="158">
        <v>-0.2190967203883771</v>
      </c>
    </row>
    <row r="10" spans="1:11" ht="20" customHeight="1" thickBot="1">
      <c r="A10" s="328">
        <v>1999</v>
      </c>
      <c r="B10" s="188">
        <v>4257016347.5999999</v>
      </c>
      <c r="C10" s="158">
        <v>-0.14734165315393366</v>
      </c>
      <c r="D10" s="188">
        <v>4120691131.5999999</v>
      </c>
      <c r="E10" s="158">
        <v>-0.15596878469766051</v>
      </c>
      <c r="F10" s="188">
        <v>136325216.02000001</v>
      </c>
      <c r="G10" s="158">
        <v>0.23387637248092957</v>
      </c>
    </row>
    <row r="11" spans="1:11" ht="20" customHeight="1" thickBot="1">
      <c r="A11" s="328">
        <v>2000</v>
      </c>
      <c r="B11" s="188">
        <v>3297340718.6999998</v>
      </c>
      <c r="C11" s="158">
        <v>-0.22543386037054836</v>
      </c>
      <c r="D11" s="188">
        <v>3197872772.4000001</v>
      </c>
      <c r="E11" s="158">
        <v>-0.22394747136548521</v>
      </c>
      <c r="F11" s="188">
        <v>99467946.299999997</v>
      </c>
      <c r="G11" s="158">
        <v>-0.27036281911772475</v>
      </c>
    </row>
    <row r="12" spans="1:11" ht="19.5" customHeight="1" thickBot="1">
      <c r="A12" s="328">
        <v>2001</v>
      </c>
      <c r="B12" s="188">
        <v>2297775177.9000001</v>
      </c>
      <c r="C12" s="158">
        <v>-0.30314293428374783</v>
      </c>
      <c r="D12" s="188">
        <v>2245296158.4000001</v>
      </c>
      <c r="E12" s="158">
        <v>-0.29787820898362138</v>
      </c>
      <c r="F12" s="188">
        <v>52479019.649999999</v>
      </c>
      <c r="G12" s="158">
        <v>-0.4724027025578591</v>
      </c>
    </row>
    <row r="13" spans="1:11" ht="19.5" customHeight="1" thickBot="1">
      <c r="A13" s="328">
        <v>2002</v>
      </c>
      <c r="B13" s="188">
        <v>2179075331.1500001</v>
      </c>
      <c r="C13" s="158">
        <v>-5.1658599105628311E-2</v>
      </c>
      <c r="D13" s="188">
        <v>2190020061.2499995</v>
      </c>
      <c r="E13" s="158">
        <v>-2.4618621887898429E-2</v>
      </c>
      <c r="F13" s="188">
        <v>-10944730.16</v>
      </c>
      <c r="G13" s="158">
        <v>-1.2085543943654824</v>
      </c>
    </row>
    <row r="14" spans="1:11" ht="19.5" customHeight="1" thickBot="1">
      <c r="A14" s="328">
        <v>2003</v>
      </c>
      <c r="B14" s="188">
        <v>2288718484.4899998</v>
      </c>
      <c r="C14" s="158">
        <v>5.0316366659125977E-2</v>
      </c>
      <c r="D14" s="188">
        <v>2230195619.6600003</v>
      </c>
      <c r="E14" s="158">
        <v>1.8344835794366965E-2</v>
      </c>
      <c r="F14" s="188">
        <v>58522864.830000006</v>
      </c>
      <c r="G14" s="158">
        <v>6.3471272452093057</v>
      </c>
    </row>
    <row r="15" spans="1:11" ht="19.5" customHeight="1" thickBot="1">
      <c r="A15" s="328">
        <v>2004</v>
      </c>
      <c r="B15" s="188">
        <v>1913538530.5999999</v>
      </c>
      <c r="C15" s="158">
        <v>-0.16392577611990666</v>
      </c>
      <c r="D15" s="188">
        <v>1875065073.2299998</v>
      </c>
      <c r="E15" s="158">
        <v>-0.15923739751768551</v>
      </c>
      <c r="F15" s="188">
        <v>38473457.389999993</v>
      </c>
      <c r="G15" s="158">
        <v>-0.34259101119264213</v>
      </c>
    </row>
    <row r="16" spans="1:11" ht="19.5" customHeight="1" thickBot="1">
      <c r="A16" s="328">
        <v>2005</v>
      </c>
      <c r="B16" s="188">
        <v>2014328063.2799997</v>
      </c>
      <c r="C16" s="158">
        <v>5.2671807266089665E-2</v>
      </c>
      <c r="D16" s="188">
        <v>1987939073.0000002</v>
      </c>
      <c r="E16" s="158">
        <v>6.0197377350516668E-2</v>
      </c>
      <c r="F16" s="188">
        <v>26388990.279999997</v>
      </c>
      <c r="G16" s="158">
        <v>-0.31409880810818386</v>
      </c>
    </row>
    <row r="17" spans="1:7" ht="19.5" customHeight="1" thickBot="1">
      <c r="A17" s="328">
        <v>2006</v>
      </c>
      <c r="B17" s="188">
        <v>2046344832.71</v>
      </c>
      <c r="C17" s="158">
        <v>1.5894515900188644E-2</v>
      </c>
      <c r="D17" s="188">
        <v>2023719014.0099998</v>
      </c>
      <c r="E17" s="158">
        <v>1.7998509861775647E-2</v>
      </c>
      <c r="F17" s="188">
        <v>22625818.670000002</v>
      </c>
      <c r="G17" s="158">
        <v>-0.14260384994162029</v>
      </c>
    </row>
    <row r="18" spans="1:7" ht="19.5" customHeight="1" thickBot="1">
      <c r="A18" s="328">
        <v>2007</v>
      </c>
      <c r="B18" s="188">
        <v>1992425089.54</v>
      </c>
      <c r="C18" s="158">
        <v>-2.6349294756247699E-2</v>
      </c>
      <c r="D18" s="188">
        <v>1981658420.0599999</v>
      </c>
      <c r="E18" s="158">
        <v>-2.0783811220242865E-2</v>
      </c>
      <c r="F18" s="188">
        <v>10766669.48</v>
      </c>
      <c r="G18" s="158">
        <v>-0.5241423244377128</v>
      </c>
    </row>
    <row r="19" spans="1:7" ht="19.5" customHeight="1" thickBot="1">
      <c r="A19" s="328">
        <v>2008</v>
      </c>
      <c r="B19" s="188">
        <v>2066551567.6799998</v>
      </c>
      <c r="C19" s="158">
        <v>3.7204148115357105E-2</v>
      </c>
      <c r="D19" s="188">
        <v>2052929240.27</v>
      </c>
      <c r="E19" s="158">
        <v>3.596523976510646E-2</v>
      </c>
      <c r="F19" s="188">
        <v>13622327.400000002</v>
      </c>
      <c r="G19" s="158">
        <v>0.26523131645348896</v>
      </c>
    </row>
    <row r="20" spans="1:7" ht="30" customHeight="1" thickBot="1">
      <c r="A20" s="376">
        <v>2009</v>
      </c>
      <c r="B20" s="298">
        <v>2135418664.95</v>
      </c>
      <c r="C20" s="161">
        <v>3.332464495299936E-2</v>
      </c>
      <c r="D20" s="298">
        <v>2108516747.25</v>
      </c>
      <c r="E20" s="161">
        <v>2.7077166562589072E-2</v>
      </c>
      <c r="F20" s="298">
        <v>26901917.710000001</v>
      </c>
      <c r="G20" s="161">
        <v>0.97484004899192167</v>
      </c>
    </row>
    <row r="21" spans="1:7" ht="20" customHeight="1">
      <c r="A21" s="140" t="s">
        <v>1837</v>
      </c>
      <c r="B21" s="140"/>
      <c r="C21" s="140"/>
      <c r="D21" s="140"/>
      <c r="E21" s="140"/>
      <c r="F21" s="140"/>
      <c r="G21" s="140"/>
    </row>
    <row r="22" spans="1:7" ht="9.75" customHeight="1">
      <c r="A22" s="141"/>
      <c r="B22" s="141"/>
      <c r="C22" s="141"/>
      <c r="D22" s="141"/>
      <c r="E22" s="141"/>
      <c r="F22" s="141"/>
      <c r="G22" s="141"/>
    </row>
    <row r="23" spans="1:7">
      <c r="A23" s="141" t="s">
        <v>2001</v>
      </c>
    </row>
    <row r="24" spans="1:7">
      <c r="A24" s="2" t="s">
        <v>2002</v>
      </c>
    </row>
    <row r="25" spans="1:7">
      <c r="A25" s="2" t="s">
        <v>2003</v>
      </c>
    </row>
    <row r="26" spans="1:7">
      <c r="A26" s="2" t="s">
        <v>2004</v>
      </c>
    </row>
    <row r="27" spans="1:7">
      <c r="A27" s="2" t="s">
        <v>2005</v>
      </c>
    </row>
    <row r="29" spans="1:7" ht="15.75" customHeight="1">
      <c r="A29" s="141" t="s">
        <v>2006</v>
      </c>
      <c r="B29" s="141"/>
      <c r="C29" s="141"/>
      <c r="D29" s="141"/>
      <c r="E29" s="141"/>
      <c r="F29" s="141"/>
      <c r="G29" s="141"/>
    </row>
    <row r="32" spans="1:7">
      <c r="A32" s="2" t="s">
        <v>710</v>
      </c>
    </row>
  </sheetData>
  <mergeCells count="1">
    <mergeCell ref="A2:F2"/>
  </mergeCells>
  <phoneticPr fontId="0" type="noConversion"/>
  <pageMargins left="0.56000000000000005" right="0.59" top="0.89" bottom="0.49" header="0.49" footer="0.4921259845"/>
  <pageSetup paperSize="9" scale="84" orientation="portrait" horizontalDpi="1200" verticalDpi="1200"/>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E3FE1-894F-7646-9304-987F5B459B27}">
  <sheetPr>
    <pageSetUpPr fitToPage="1"/>
  </sheetPr>
  <dimension ref="A1:I23"/>
  <sheetViews>
    <sheetView zoomScale="75" workbookViewId="0">
      <selection activeCell="I12" sqref="I12"/>
    </sheetView>
  </sheetViews>
  <sheetFormatPr baseColWidth="10" defaultColWidth="11.3984375" defaultRowHeight="13"/>
  <cols>
    <col min="1" max="1" width="33.3984375" style="2" customWidth="1"/>
    <col min="2" max="2" width="15.3984375" style="2" customWidth="1"/>
    <col min="3" max="3" width="15.59765625" style="2" customWidth="1"/>
    <col min="4" max="4" width="15.3984375" style="2" customWidth="1"/>
    <col min="5" max="5" width="17.59765625" style="277" customWidth="1"/>
    <col min="6" max="6" width="15.19921875" style="2" customWidth="1"/>
    <col min="7" max="16384" width="11.3984375" style="2"/>
  </cols>
  <sheetData>
    <row r="1" spans="1:9" s="1" customFormat="1" ht="14" customHeight="1">
      <c r="E1" s="16"/>
    </row>
    <row r="2" spans="1:9" s="1" customFormat="1" ht="28" customHeight="1">
      <c r="A2" s="48" t="s">
        <v>2356</v>
      </c>
      <c r="E2" s="16"/>
      <c r="F2" s="48">
        <v>2009</v>
      </c>
    </row>
    <row r="3" spans="1:9" ht="24" customHeight="1">
      <c r="A3" s="305" t="s">
        <v>1382</v>
      </c>
      <c r="B3" s="120" t="s">
        <v>2357</v>
      </c>
      <c r="C3" s="121" t="s">
        <v>2358</v>
      </c>
      <c r="D3" s="120" t="s">
        <v>2359</v>
      </c>
      <c r="E3" s="389" t="s">
        <v>1567</v>
      </c>
      <c r="F3" s="390" t="s">
        <v>1801</v>
      </c>
    </row>
    <row r="4" spans="1:9" ht="15" customHeight="1">
      <c r="A4" s="325"/>
      <c r="B4" s="123" t="s">
        <v>2360</v>
      </c>
      <c r="C4" s="124" t="s">
        <v>2361</v>
      </c>
      <c r="D4" s="123" t="s">
        <v>2362</v>
      </c>
      <c r="E4" s="213"/>
      <c r="F4" s="125" t="s">
        <v>1802</v>
      </c>
    </row>
    <row r="5" spans="1:9" ht="15" customHeight="1">
      <c r="A5" s="325"/>
      <c r="B5" s="123" t="s">
        <v>2363</v>
      </c>
      <c r="C5" s="124" t="s">
        <v>2364</v>
      </c>
      <c r="D5" s="123" t="s">
        <v>2365</v>
      </c>
      <c r="E5" s="213"/>
      <c r="F5" s="125" t="s">
        <v>1806</v>
      </c>
    </row>
    <row r="6" spans="1:9" ht="15" customHeight="1">
      <c r="A6" s="325"/>
      <c r="B6" s="123"/>
      <c r="C6" s="124" t="s">
        <v>2366</v>
      </c>
      <c r="D6" s="123" t="s">
        <v>2367</v>
      </c>
      <c r="E6" s="213"/>
      <c r="F6" s="391"/>
    </row>
    <row r="7" spans="1:9" ht="15" customHeight="1">
      <c r="A7" s="325"/>
      <c r="B7" s="123"/>
      <c r="C7" s="124" t="s">
        <v>2368</v>
      </c>
      <c r="D7" s="392" t="s">
        <v>2369</v>
      </c>
      <c r="E7" s="213"/>
      <c r="F7" s="125"/>
    </row>
    <row r="8" spans="1:9" ht="24" customHeight="1">
      <c r="A8" s="326"/>
      <c r="B8" s="129"/>
      <c r="C8" s="128"/>
      <c r="D8" s="129"/>
      <c r="E8" s="225"/>
      <c r="F8" s="127"/>
    </row>
    <row r="9" spans="1:9" ht="30" customHeight="1" thickBot="1">
      <c r="A9" s="393" t="s">
        <v>2370</v>
      </c>
      <c r="B9" s="319">
        <v>1982207556.6099999</v>
      </c>
      <c r="C9" s="320">
        <v>108979137.77</v>
      </c>
      <c r="D9" s="319">
        <v>3305798.88</v>
      </c>
      <c r="E9" s="173">
        <v>2094492493.26</v>
      </c>
      <c r="F9" s="394">
        <v>-7.041469373103201E-3</v>
      </c>
      <c r="G9" s="7"/>
    </row>
    <row r="10" spans="1:9" ht="20" customHeight="1" thickBot="1">
      <c r="A10" s="136" t="s">
        <v>2371</v>
      </c>
      <c r="B10" s="296">
        <v>1995508294.26</v>
      </c>
      <c r="C10" s="297">
        <v>63825085.920000002</v>
      </c>
      <c r="D10" s="296">
        <v>3305435.9</v>
      </c>
      <c r="E10" s="395">
        <v>2062638816.0800002</v>
      </c>
      <c r="F10" s="396">
        <v>-7.4295141921286272E-3</v>
      </c>
      <c r="H10" s="8"/>
      <c r="I10" s="8"/>
    </row>
    <row r="11" spans="1:9" ht="20" customHeight="1" thickBot="1">
      <c r="A11" s="328" t="s">
        <v>2372</v>
      </c>
      <c r="B11" s="296">
        <v>38882570.670000002</v>
      </c>
      <c r="C11" s="297">
        <v>2033881.25</v>
      </c>
      <c r="D11" s="296">
        <v>9719.77</v>
      </c>
      <c r="E11" s="395">
        <v>40926171.690000005</v>
      </c>
      <c r="F11" s="396">
        <v>1.9563571337461803</v>
      </c>
      <c r="H11" s="8"/>
      <c r="I11" s="8"/>
    </row>
    <row r="12" spans="1:9" ht="20" customHeight="1" thickBot="1">
      <c r="A12" s="328" t="s">
        <v>2373</v>
      </c>
      <c r="B12" s="296">
        <v>2021090127.28</v>
      </c>
      <c r="C12" s="297">
        <v>111013019.02</v>
      </c>
      <c r="D12" s="296">
        <v>3315518.65</v>
      </c>
      <c r="E12" s="395">
        <v>2135418664.95</v>
      </c>
      <c r="F12" s="396">
        <v>3.332464495299936E-2</v>
      </c>
      <c r="H12" s="8"/>
      <c r="I12" s="8"/>
    </row>
    <row r="13" spans="1:9" ht="20" customHeight="1" thickBot="1">
      <c r="A13" s="328" t="s">
        <v>2374</v>
      </c>
      <c r="B13" s="296">
        <v>1639564795.04</v>
      </c>
      <c r="C13" s="297">
        <v>96924019.609999999</v>
      </c>
      <c r="D13" s="296">
        <v>9609020.6999999993</v>
      </c>
      <c r="E13" s="395">
        <v>1746097835.3499999</v>
      </c>
      <c r="F13" s="396">
        <v>1.1561010561927623E-2</v>
      </c>
      <c r="H13" s="8"/>
      <c r="I13" s="8"/>
    </row>
    <row r="14" spans="1:9" ht="20" customHeight="1" thickBot="1">
      <c r="A14" s="136" t="s">
        <v>2375</v>
      </c>
      <c r="B14" s="296">
        <v>1647792525.4200001</v>
      </c>
      <c r="C14" s="297">
        <v>96924019.609999999</v>
      </c>
      <c r="D14" s="296">
        <v>9609020.6999999993</v>
      </c>
      <c r="E14" s="395">
        <v>1754325565.73</v>
      </c>
      <c r="F14" s="396">
        <v>1.2290758418131072E-2</v>
      </c>
      <c r="H14" s="8"/>
      <c r="I14" s="8"/>
    </row>
    <row r="15" spans="1:9" ht="20" customHeight="1" thickBot="1">
      <c r="A15" s="328" t="s">
        <v>1997</v>
      </c>
      <c r="B15" s="296">
        <v>355509770.19</v>
      </c>
      <c r="C15" s="297">
        <v>6431944.1200000001</v>
      </c>
      <c r="D15" s="296">
        <v>477197.6</v>
      </c>
      <c r="E15" s="395">
        <v>362418911.91000003</v>
      </c>
      <c r="F15" s="396">
        <v>0.10903592932215961</v>
      </c>
      <c r="H15" s="8"/>
      <c r="I15" s="8"/>
    </row>
    <row r="16" spans="1:9" ht="20" customHeight="1" thickBot="1">
      <c r="A16" s="328" t="s">
        <v>1998</v>
      </c>
      <c r="B16" s="296">
        <v>1995074565.22</v>
      </c>
      <c r="C16" s="297">
        <v>103355963.73</v>
      </c>
      <c r="D16" s="296">
        <v>10086218.300000001</v>
      </c>
      <c r="E16" s="395">
        <v>2108516747.25</v>
      </c>
      <c r="F16" s="396">
        <v>2.7077166562588968E-2</v>
      </c>
      <c r="H16" s="8"/>
      <c r="I16" s="8"/>
    </row>
    <row r="17" spans="1:6" ht="30" customHeight="1" thickBot="1">
      <c r="A17" s="397" t="s">
        <v>2561</v>
      </c>
      <c r="B17" s="296">
        <v>26015562.07</v>
      </c>
      <c r="C17" s="297">
        <v>7657055.29</v>
      </c>
      <c r="D17" s="296">
        <v>-6770699.6500000004</v>
      </c>
      <c r="E17" s="395">
        <v>26901917.710000001</v>
      </c>
      <c r="F17" s="396">
        <v>0.97484004899192167</v>
      </c>
    </row>
    <row r="18" spans="1:6" ht="20" customHeight="1">
      <c r="A18" s="140" t="s">
        <v>1837</v>
      </c>
      <c r="B18" s="140"/>
      <c r="C18" s="140"/>
      <c r="D18" s="140"/>
      <c r="E18" s="371"/>
      <c r="F18" s="140"/>
    </row>
    <row r="19" spans="1:6">
      <c r="A19" s="141"/>
    </row>
    <row r="20" spans="1:6">
      <c r="A20" s="2" t="s">
        <v>1999</v>
      </c>
    </row>
    <row r="23" spans="1:6">
      <c r="A23" s="2" t="s">
        <v>710</v>
      </c>
    </row>
  </sheetData>
  <phoneticPr fontId="0" type="noConversion"/>
  <pageMargins left="0.47" right="0.47" top="0.92" bottom="0.49" header="0.49" footer="0.4921259845"/>
  <pageSetup paperSize="9" scale="84" orientation="portrait" horizontalDpi="1200" verticalDpi="1200"/>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F77CD-B284-9E49-AFB9-24C612F3CC8F}">
  <sheetPr>
    <pageSetUpPr fitToPage="1"/>
  </sheetPr>
  <dimension ref="A1:E43"/>
  <sheetViews>
    <sheetView topLeftCell="A25" zoomScale="75" workbookViewId="0">
      <selection activeCell="E3" sqref="E3"/>
    </sheetView>
  </sheetViews>
  <sheetFormatPr baseColWidth="10" defaultColWidth="11.3984375" defaultRowHeight="13"/>
  <cols>
    <col min="1" max="1" width="8.796875" style="2" customWidth="1"/>
    <col min="2" max="2" width="48.796875" style="87" customWidth="1"/>
    <col min="3" max="3" width="16.59765625" style="2" customWidth="1"/>
    <col min="4" max="4" width="16.59765625" style="7" customWidth="1"/>
    <col min="5" max="5" width="15.3984375" style="323" customWidth="1"/>
    <col min="6" max="16384" width="11.3984375" style="2"/>
  </cols>
  <sheetData>
    <row r="1" spans="1:5" s="1" customFormat="1" ht="14" customHeight="1">
      <c r="B1" s="289"/>
      <c r="D1" s="144"/>
      <c r="E1" s="350"/>
    </row>
    <row r="2" spans="1:5" s="1" customFormat="1" ht="25.5" customHeight="1">
      <c r="A2" s="2014" t="s">
        <v>2350</v>
      </c>
      <c r="B2" s="2018"/>
      <c r="C2" s="2018"/>
      <c r="D2" s="2018"/>
      <c r="E2" s="48">
        <v>2009</v>
      </c>
    </row>
    <row r="3" spans="1:5" ht="39" customHeight="1">
      <c r="A3" s="305" t="s">
        <v>1382</v>
      </c>
      <c r="B3" s="306"/>
      <c r="C3" s="120" t="s">
        <v>2526</v>
      </c>
      <c r="D3" s="148" t="s">
        <v>2527</v>
      </c>
      <c r="E3" s="290" t="s">
        <v>1567</v>
      </c>
    </row>
    <row r="4" spans="1:5" ht="38" customHeight="1">
      <c r="A4" s="291"/>
      <c r="B4" s="292"/>
      <c r="C4" s="129" t="s">
        <v>2528</v>
      </c>
      <c r="D4" s="153" t="s">
        <v>2528</v>
      </c>
      <c r="E4" s="293" t="s">
        <v>2528</v>
      </c>
    </row>
    <row r="5" spans="1:5" ht="30" customHeight="1" thickBot="1">
      <c r="A5" s="131">
        <v>63</v>
      </c>
      <c r="B5" s="131" t="s">
        <v>2529</v>
      </c>
      <c r="C5" s="170">
        <v>1953420206.1800001</v>
      </c>
      <c r="D5" s="171">
        <v>75979657.719999999</v>
      </c>
      <c r="E5" s="307">
        <v>2029399863.9000001</v>
      </c>
    </row>
    <row r="6" spans="1:5" ht="20" customHeight="1" thickBot="1">
      <c r="A6" s="135">
        <v>64</v>
      </c>
      <c r="B6" s="135" t="s">
        <v>2530</v>
      </c>
      <c r="C6" s="188">
        <v>-34226783.060000002</v>
      </c>
      <c r="D6" s="187">
        <v>-981963.18</v>
      </c>
      <c r="E6" s="295">
        <v>-35208746.240000002</v>
      </c>
    </row>
    <row r="7" spans="1:5" ht="20" customHeight="1" thickBot="1">
      <c r="A7" s="135">
        <v>65</v>
      </c>
      <c r="B7" s="135" t="s">
        <v>2531</v>
      </c>
      <c r="C7" s="188">
        <v>1294879.54</v>
      </c>
      <c r="D7" s="187">
        <v>22297.06</v>
      </c>
      <c r="E7" s="295">
        <v>1317176.6000000001</v>
      </c>
    </row>
    <row r="8" spans="1:5" ht="27" customHeight="1" thickBot="1">
      <c r="A8" s="136" t="s">
        <v>2532</v>
      </c>
      <c r="B8" s="136" t="s">
        <v>2533</v>
      </c>
      <c r="C8" s="188">
        <v>1920488302.6600001</v>
      </c>
      <c r="D8" s="187">
        <v>75019991.599999994</v>
      </c>
      <c r="E8" s="295">
        <v>1995508294.26</v>
      </c>
    </row>
    <row r="9" spans="1:5" ht="20" customHeight="1" thickBot="1">
      <c r="A9" s="135">
        <v>66</v>
      </c>
      <c r="B9" s="135" t="s">
        <v>2534</v>
      </c>
      <c r="C9" s="188">
        <v>-14984232.039999999</v>
      </c>
      <c r="D9" s="187">
        <v>-1338969.7</v>
      </c>
      <c r="E9" s="295">
        <v>-16323201.74</v>
      </c>
    </row>
    <row r="10" spans="1:5" ht="27" customHeight="1" thickBot="1">
      <c r="A10" s="136" t="s">
        <v>2535</v>
      </c>
      <c r="B10" s="136" t="s">
        <v>2536</v>
      </c>
      <c r="C10" s="188">
        <v>1905504070.6199999</v>
      </c>
      <c r="D10" s="187">
        <v>73681021.900000006</v>
      </c>
      <c r="E10" s="295">
        <v>1979185092.52</v>
      </c>
    </row>
    <row r="11" spans="1:5" ht="20" customHeight="1" thickBot="1">
      <c r="A11" s="135">
        <v>67</v>
      </c>
      <c r="B11" s="135" t="s">
        <v>2537</v>
      </c>
      <c r="C11" s="188">
        <v>0</v>
      </c>
      <c r="D11" s="187">
        <v>0</v>
      </c>
      <c r="E11" s="295">
        <v>0</v>
      </c>
    </row>
    <row r="12" spans="1:5" ht="20" customHeight="1" thickBot="1">
      <c r="A12" s="135">
        <v>68</v>
      </c>
      <c r="B12" s="135" t="s">
        <v>2538</v>
      </c>
      <c r="C12" s="188">
        <v>-3331140.3</v>
      </c>
      <c r="D12" s="187">
        <v>-1928.35</v>
      </c>
      <c r="E12" s="295">
        <v>-3333068.65</v>
      </c>
    </row>
    <row r="13" spans="1:5" ht="20" customHeight="1" thickBot="1">
      <c r="A13" s="135">
        <v>69</v>
      </c>
      <c r="B13" s="135" t="s">
        <v>2539</v>
      </c>
      <c r="C13" s="188">
        <v>6271664.0999999996</v>
      </c>
      <c r="D13" s="187">
        <v>83868.639999999999</v>
      </c>
      <c r="E13" s="295">
        <v>6355532.7400000002</v>
      </c>
    </row>
    <row r="14" spans="1:5" ht="27" customHeight="1" thickBot="1">
      <c r="A14" s="136">
        <v>6</v>
      </c>
      <c r="B14" s="136" t="s">
        <v>2540</v>
      </c>
      <c r="C14" s="188">
        <v>1908444594.4200001</v>
      </c>
      <c r="D14" s="187">
        <v>73762962.189999998</v>
      </c>
      <c r="E14" s="295">
        <v>1982207556.6099999</v>
      </c>
    </row>
    <row r="15" spans="1:5" ht="20" customHeight="1" thickBot="1">
      <c r="A15" s="135">
        <v>33</v>
      </c>
      <c r="B15" s="135" t="s">
        <v>2541</v>
      </c>
      <c r="C15" s="188">
        <v>1640126123.05</v>
      </c>
      <c r="D15" s="187">
        <v>49328744.149999999</v>
      </c>
      <c r="E15" s="295">
        <v>1689454867.2</v>
      </c>
    </row>
    <row r="16" spans="1:5" ht="20" customHeight="1" thickBot="1">
      <c r="A16" s="135">
        <v>32</v>
      </c>
      <c r="B16" s="135" t="s">
        <v>2542</v>
      </c>
      <c r="C16" s="188">
        <v>-42617502.07</v>
      </c>
      <c r="D16" s="187">
        <v>-905629.71</v>
      </c>
      <c r="E16" s="295">
        <v>-43523131.780000001</v>
      </c>
    </row>
    <row r="17" spans="1:5" ht="27" customHeight="1" thickBot="1">
      <c r="A17" s="136" t="s">
        <v>2543</v>
      </c>
      <c r="B17" s="136" t="s">
        <v>2544</v>
      </c>
      <c r="C17" s="188">
        <v>1597508620.99</v>
      </c>
      <c r="D17" s="187">
        <v>48423114.43</v>
      </c>
      <c r="E17" s="295">
        <v>1645931735.4200001</v>
      </c>
    </row>
    <row r="18" spans="1:5" ht="20" customHeight="1" thickBot="1">
      <c r="A18" s="135">
        <v>34</v>
      </c>
      <c r="B18" s="135" t="s">
        <v>2545</v>
      </c>
      <c r="C18" s="188">
        <v>14821498.880000001</v>
      </c>
      <c r="D18" s="187">
        <v>321683.96999999997</v>
      </c>
      <c r="E18" s="295">
        <v>15143182.85</v>
      </c>
    </row>
    <row r="19" spans="1:5" ht="20" customHeight="1" thickBot="1">
      <c r="A19" s="135">
        <v>35</v>
      </c>
      <c r="B19" s="135" t="s">
        <v>2546</v>
      </c>
      <c r="C19" s="188">
        <v>-14182157.52</v>
      </c>
      <c r="D19" s="187">
        <v>899764.66</v>
      </c>
      <c r="E19" s="295">
        <v>-13282392.859999999</v>
      </c>
    </row>
    <row r="20" spans="1:5" ht="27" customHeight="1" thickBot="1">
      <c r="A20" s="136" t="s">
        <v>2547</v>
      </c>
      <c r="B20" s="136" t="s">
        <v>2548</v>
      </c>
      <c r="C20" s="188">
        <v>1598147962.3499999</v>
      </c>
      <c r="D20" s="187">
        <v>49644563.07</v>
      </c>
      <c r="E20" s="295">
        <v>1647792525.4200001</v>
      </c>
    </row>
    <row r="21" spans="1:5" ht="20" customHeight="1" thickBot="1">
      <c r="A21" s="135">
        <v>36</v>
      </c>
      <c r="B21" s="135" t="s">
        <v>2549</v>
      </c>
      <c r="C21" s="188">
        <v>-7791411.8899999997</v>
      </c>
      <c r="D21" s="187">
        <v>-436318.49</v>
      </c>
      <c r="E21" s="295">
        <v>-8227730.3799999999</v>
      </c>
    </row>
    <row r="22" spans="1:5" ht="20" customHeight="1" thickBot="1">
      <c r="A22" s="135">
        <v>37</v>
      </c>
      <c r="B22" s="135" t="s">
        <v>2550</v>
      </c>
      <c r="C22" s="188">
        <v>0</v>
      </c>
      <c r="D22" s="187">
        <v>0</v>
      </c>
      <c r="E22" s="295">
        <v>0</v>
      </c>
    </row>
    <row r="23" spans="1:5" ht="26.25" customHeight="1" thickBot="1">
      <c r="A23" s="136">
        <v>3</v>
      </c>
      <c r="B23" s="136" t="s">
        <v>2551</v>
      </c>
      <c r="C23" s="188">
        <v>1590356550.46</v>
      </c>
      <c r="D23" s="187">
        <v>49208244.579999998</v>
      </c>
      <c r="E23" s="295">
        <v>1639564795.04</v>
      </c>
    </row>
    <row r="24" spans="1:5" ht="20" customHeight="1" thickBot="1">
      <c r="A24" s="135" t="s">
        <v>2552</v>
      </c>
      <c r="B24" s="135" t="s">
        <v>2553</v>
      </c>
      <c r="C24" s="188">
        <v>336154348.69</v>
      </c>
      <c r="D24" s="187">
        <v>14456011.01</v>
      </c>
      <c r="E24" s="295">
        <v>350610359.69999999</v>
      </c>
    </row>
    <row r="25" spans="1:5" ht="20" customHeight="1" thickBot="1">
      <c r="A25" s="135">
        <v>48</v>
      </c>
      <c r="B25" s="135" t="s">
        <v>2554</v>
      </c>
      <c r="C25" s="188">
        <v>4094125.35</v>
      </c>
      <c r="D25" s="187">
        <v>260893.97</v>
      </c>
      <c r="E25" s="295">
        <v>4355019.32</v>
      </c>
    </row>
    <row r="26" spans="1:5" ht="20" customHeight="1" thickBot="1">
      <c r="A26" s="135">
        <v>49</v>
      </c>
      <c r="B26" s="135" t="s">
        <v>2555</v>
      </c>
      <c r="C26" s="188">
        <v>506927.16</v>
      </c>
      <c r="D26" s="187">
        <v>37464</v>
      </c>
      <c r="E26" s="295">
        <v>544391.16</v>
      </c>
    </row>
    <row r="27" spans="1:5" ht="27" customHeight="1" thickBot="1">
      <c r="A27" s="136">
        <v>4</v>
      </c>
      <c r="B27" s="136" t="s">
        <v>2556</v>
      </c>
      <c r="C27" s="188">
        <v>340755401.20999998</v>
      </c>
      <c r="D27" s="187">
        <v>14754368.98</v>
      </c>
      <c r="E27" s="295">
        <v>355509770.19</v>
      </c>
    </row>
    <row r="28" spans="1:5" ht="27" customHeight="1" thickBot="1">
      <c r="A28" s="136" t="s">
        <v>2557</v>
      </c>
      <c r="B28" s="136" t="s">
        <v>2558</v>
      </c>
      <c r="C28" s="188">
        <v>1931111951.6700001</v>
      </c>
      <c r="D28" s="187">
        <v>63962613.549999997</v>
      </c>
      <c r="E28" s="295">
        <v>1995074565.22</v>
      </c>
    </row>
    <row r="29" spans="1:5" ht="27" customHeight="1" thickBot="1">
      <c r="A29" s="136"/>
      <c r="B29" s="136" t="s">
        <v>2559</v>
      </c>
      <c r="C29" s="188">
        <v>-22667357.239999998</v>
      </c>
      <c r="D29" s="187">
        <v>9800348.6300000008</v>
      </c>
      <c r="E29" s="295">
        <v>-12867008.609999999</v>
      </c>
    </row>
    <row r="30" spans="1:5" ht="27" customHeight="1" thickBot="1">
      <c r="A30" s="136">
        <v>7</v>
      </c>
      <c r="B30" s="136" t="s">
        <v>2560</v>
      </c>
      <c r="C30" s="188">
        <v>36425998.18</v>
      </c>
      <c r="D30" s="187">
        <v>2456572.4900000002</v>
      </c>
      <c r="E30" s="295">
        <v>38882570.670000002</v>
      </c>
    </row>
    <row r="31" spans="1:5" ht="28.5" customHeight="1" thickBot="1">
      <c r="A31" s="309"/>
      <c r="B31" s="309" t="s">
        <v>2561</v>
      </c>
      <c r="C31" s="310">
        <v>13758640.939999999</v>
      </c>
      <c r="D31" s="311">
        <v>12256921.130000001</v>
      </c>
      <c r="E31" s="312">
        <v>26015562.07</v>
      </c>
    </row>
    <row r="32" spans="1:5" ht="20" customHeight="1">
      <c r="A32" s="313"/>
      <c r="B32" s="313"/>
      <c r="C32" s="314"/>
      <c r="D32" s="314"/>
      <c r="E32" s="315"/>
    </row>
    <row r="33" spans="1:5" ht="23.25" customHeight="1">
      <c r="A33" s="316" t="s">
        <v>2345</v>
      </c>
      <c r="B33" s="317"/>
      <c r="C33" s="317"/>
      <c r="D33" s="317"/>
      <c r="E33" s="317"/>
    </row>
    <row r="34" spans="1:5" ht="19.5" customHeight="1" thickBot="1">
      <c r="A34" s="318"/>
      <c r="B34" s="318" t="s">
        <v>2346</v>
      </c>
      <c r="C34" s="319" t="s">
        <v>744</v>
      </c>
      <c r="D34" s="320" t="s">
        <v>744</v>
      </c>
      <c r="E34" s="172">
        <v>613902369.12</v>
      </c>
    </row>
    <row r="35" spans="1:5" ht="19.5" customHeight="1" thickBot="1">
      <c r="A35" s="136"/>
      <c r="B35" s="136" t="s">
        <v>2347</v>
      </c>
      <c r="C35" s="296" t="s">
        <v>744</v>
      </c>
      <c r="D35" s="297" t="s">
        <v>744</v>
      </c>
      <c r="E35" s="298">
        <v>416677445.79000002</v>
      </c>
    </row>
    <row r="36" spans="1:5" ht="15.75" customHeight="1">
      <c r="A36" s="140" t="s">
        <v>1837</v>
      </c>
      <c r="B36" s="321"/>
      <c r="C36" s="140"/>
      <c r="D36" s="164"/>
      <c r="E36" s="322"/>
    </row>
    <row r="37" spans="1:5">
      <c r="A37" s="141"/>
    </row>
    <row r="38" spans="1:5">
      <c r="A38" s="141" t="s">
        <v>2348</v>
      </c>
    </row>
    <row r="39" spans="1:5">
      <c r="A39" s="141"/>
    </row>
    <row r="40" spans="1:5">
      <c r="A40" s="2" t="s">
        <v>2349</v>
      </c>
    </row>
    <row r="43" spans="1:5">
      <c r="A43" s="2" t="s">
        <v>710</v>
      </c>
    </row>
  </sheetData>
  <mergeCells count="1">
    <mergeCell ref="A2:D2"/>
  </mergeCells>
  <phoneticPr fontId="0" type="noConversion"/>
  <pageMargins left="0.51181102362204722" right="0.47244094488188981" top="0.74" bottom="0.57999999999999996" header="0.41" footer="0.37"/>
  <pageSetup paperSize="9" scale="81" orientation="portrait" horizontalDpi="1200" verticalDpi="1200"/>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F1078-8F32-7242-A67A-32E12F3ED9A6}">
  <sheetPr>
    <pageSetUpPr fitToPage="1"/>
  </sheetPr>
  <dimension ref="A1:H37"/>
  <sheetViews>
    <sheetView topLeftCell="A19" zoomScale="75" workbookViewId="0">
      <selection activeCell="F2" sqref="F2"/>
    </sheetView>
  </sheetViews>
  <sheetFormatPr baseColWidth="10" defaultColWidth="11.3984375" defaultRowHeight="13"/>
  <cols>
    <col min="1" max="1" width="8.796875" style="2" customWidth="1"/>
    <col min="2" max="2" width="48.796875" style="87" customWidth="1"/>
    <col min="3" max="3" width="17.3984375" style="2" customWidth="1"/>
    <col min="4" max="4" width="17.3984375" style="7" customWidth="1"/>
    <col min="5" max="5" width="17" style="323" customWidth="1"/>
    <col min="6" max="16384" width="11.3984375" style="2"/>
  </cols>
  <sheetData>
    <row r="1" spans="1:8" s="1" customFormat="1" ht="14" customHeight="1">
      <c r="B1" s="289"/>
      <c r="D1" s="144"/>
      <c r="E1" s="350"/>
    </row>
    <row r="2" spans="1:8" s="1" customFormat="1" ht="28" customHeight="1">
      <c r="A2" s="48" t="s">
        <v>2351</v>
      </c>
      <c r="B2" s="289"/>
      <c r="D2" s="144"/>
      <c r="E2" s="48">
        <v>2009</v>
      </c>
    </row>
    <row r="3" spans="1:8" ht="39" customHeight="1">
      <c r="A3" s="305" t="s">
        <v>1382</v>
      </c>
      <c r="B3" s="306"/>
      <c r="C3" s="120" t="s">
        <v>2526</v>
      </c>
      <c r="D3" s="148" t="s">
        <v>2527</v>
      </c>
      <c r="E3" s="290" t="s">
        <v>1567</v>
      </c>
      <c r="G3" s="3"/>
      <c r="H3" s="3"/>
    </row>
    <row r="4" spans="1:8" ht="38" customHeight="1">
      <c r="A4" s="291"/>
      <c r="B4" s="292"/>
      <c r="C4" s="129" t="s">
        <v>2528</v>
      </c>
      <c r="D4" s="153" t="s">
        <v>2528</v>
      </c>
      <c r="E4" s="293" t="s">
        <v>2528</v>
      </c>
      <c r="G4" s="385"/>
      <c r="H4" s="386"/>
    </row>
    <row r="5" spans="1:8" ht="30" customHeight="1" thickBot="1">
      <c r="A5" s="131">
        <v>63</v>
      </c>
      <c r="B5" s="131" t="s">
        <v>2529</v>
      </c>
      <c r="C5" s="170">
        <v>62501670</v>
      </c>
      <c r="D5" s="171">
        <v>1405239</v>
      </c>
      <c r="E5" s="307">
        <v>63906909</v>
      </c>
      <c r="G5" s="86"/>
      <c r="H5" s="386"/>
    </row>
    <row r="6" spans="1:8" ht="20" customHeight="1" thickBot="1">
      <c r="A6" s="135">
        <v>64</v>
      </c>
      <c r="B6" s="135" t="s">
        <v>2530</v>
      </c>
      <c r="C6" s="188">
        <v>-79525.02</v>
      </c>
      <c r="D6" s="187">
        <v>-2298.06</v>
      </c>
      <c r="E6" s="295">
        <v>-81823.08</v>
      </c>
      <c r="G6" s="86"/>
      <c r="H6" s="386"/>
    </row>
    <row r="7" spans="1:8" ht="20" customHeight="1" thickBot="1">
      <c r="A7" s="135">
        <v>65</v>
      </c>
      <c r="B7" s="135" t="s">
        <v>2531</v>
      </c>
      <c r="C7" s="188">
        <v>0</v>
      </c>
      <c r="D7" s="187">
        <v>0</v>
      </c>
      <c r="E7" s="295">
        <v>0</v>
      </c>
      <c r="G7" s="86"/>
      <c r="H7" s="386"/>
    </row>
    <row r="8" spans="1:8" ht="27" customHeight="1" thickBot="1">
      <c r="A8" s="136" t="s">
        <v>2532</v>
      </c>
      <c r="B8" s="136" t="s">
        <v>2533</v>
      </c>
      <c r="C8" s="188">
        <v>62422144.979999997</v>
      </c>
      <c r="D8" s="187">
        <v>1402940.94</v>
      </c>
      <c r="E8" s="295">
        <v>63825085.920000002</v>
      </c>
      <c r="G8" s="86"/>
      <c r="H8" s="386"/>
    </row>
    <row r="9" spans="1:8" ht="21" customHeight="1" thickBot="1">
      <c r="A9" s="135">
        <v>66</v>
      </c>
      <c r="B9" s="135" t="s">
        <v>2534</v>
      </c>
      <c r="C9" s="188">
        <v>0</v>
      </c>
      <c r="D9" s="187">
        <v>0</v>
      </c>
      <c r="E9" s="295">
        <v>0</v>
      </c>
      <c r="G9" s="86"/>
      <c r="H9" s="386"/>
    </row>
    <row r="10" spans="1:8" ht="27" customHeight="1" thickBot="1">
      <c r="A10" s="136" t="s">
        <v>2535</v>
      </c>
      <c r="B10" s="136" t="s">
        <v>2536</v>
      </c>
      <c r="C10" s="188">
        <v>62422144.979999997</v>
      </c>
      <c r="D10" s="187">
        <v>1402940.94</v>
      </c>
      <c r="E10" s="295">
        <v>63825085.920000002</v>
      </c>
      <c r="G10" s="86"/>
      <c r="H10" s="386"/>
    </row>
    <row r="11" spans="1:8" ht="20" customHeight="1" thickBot="1">
      <c r="A11" s="135">
        <v>67</v>
      </c>
      <c r="B11" s="135" t="s">
        <v>2537</v>
      </c>
      <c r="C11" s="188">
        <v>43941295.909999996</v>
      </c>
      <c r="D11" s="187">
        <v>1207188.0900000001</v>
      </c>
      <c r="E11" s="295">
        <v>45148484</v>
      </c>
      <c r="G11" s="387"/>
      <c r="H11" s="386"/>
    </row>
    <row r="12" spans="1:8" ht="20" customHeight="1" thickBot="1">
      <c r="A12" s="135">
        <v>68</v>
      </c>
      <c r="B12" s="135" t="s">
        <v>2538</v>
      </c>
      <c r="C12" s="188">
        <v>0</v>
      </c>
      <c r="D12" s="187">
        <v>0</v>
      </c>
      <c r="E12" s="295">
        <v>0</v>
      </c>
      <c r="G12" s="86"/>
      <c r="H12" s="386"/>
    </row>
    <row r="13" spans="1:8" ht="20" customHeight="1" thickBot="1">
      <c r="A13" s="135">
        <v>69</v>
      </c>
      <c r="B13" s="135" t="s">
        <v>2539</v>
      </c>
      <c r="C13" s="188">
        <v>5451.46</v>
      </c>
      <c r="D13" s="187">
        <v>116.39</v>
      </c>
      <c r="E13" s="295">
        <v>5567.85</v>
      </c>
    </row>
    <row r="14" spans="1:8" ht="27" customHeight="1" thickBot="1">
      <c r="A14" s="136">
        <v>6</v>
      </c>
      <c r="B14" s="136" t="s">
        <v>2540</v>
      </c>
      <c r="C14" s="188">
        <v>106368892.34999999</v>
      </c>
      <c r="D14" s="187">
        <v>2610245.42</v>
      </c>
      <c r="E14" s="295">
        <v>108979137.77</v>
      </c>
    </row>
    <row r="15" spans="1:8" ht="20" customHeight="1" thickBot="1">
      <c r="A15" s="135">
        <v>33</v>
      </c>
      <c r="B15" s="135" t="s">
        <v>2541</v>
      </c>
      <c r="C15" s="188">
        <v>101984299.89</v>
      </c>
      <c r="D15" s="187">
        <v>2716495.49</v>
      </c>
      <c r="E15" s="295">
        <v>104700795.38</v>
      </c>
    </row>
    <row r="16" spans="1:8" ht="20" customHeight="1" thickBot="1">
      <c r="A16" s="135">
        <v>32</v>
      </c>
      <c r="B16" s="135" t="s">
        <v>2542</v>
      </c>
      <c r="C16" s="188">
        <v>-7106469.8700000001</v>
      </c>
      <c r="D16" s="187">
        <v>-102332.2</v>
      </c>
      <c r="E16" s="295">
        <v>-7208802.0700000003</v>
      </c>
    </row>
    <row r="17" spans="1:5" ht="27" customHeight="1" thickBot="1">
      <c r="A17" s="136" t="s">
        <v>2543</v>
      </c>
      <c r="B17" s="136" t="s">
        <v>2544</v>
      </c>
      <c r="C17" s="188">
        <v>94877830.019999996</v>
      </c>
      <c r="D17" s="187">
        <v>2614163.29</v>
      </c>
      <c r="E17" s="295">
        <v>97491993.310000002</v>
      </c>
    </row>
    <row r="18" spans="1:5" ht="20" customHeight="1" thickBot="1">
      <c r="A18" s="135">
        <v>34</v>
      </c>
      <c r="B18" s="135" t="s">
        <v>2545</v>
      </c>
      <c r="C18" s="188">
        <v>1358256.44</v>
      </c>
      <c r="D18" s="187">
        <v>43121.86</v>
      </c>
      <c r="E18" s="295">
        <v>1401378.3</v>
      </c>
    </row>
    <row r="19" spans="1:5" ht="20" customHeight="1" thickBot="1">
      <c r="A19" s="135">
        <v>35</v>
      </c>
      <c r="B19" s="135" t="s">
        <v>2546</v>
      </c>
      <c r="C19" s="188">
        <v>-1918338.71</v>
      </c>
      <c r="D19" s="187">
        <v>-51013.29</v>
      </c>
      <c r="E19" s="295">
        <v>-1969352</v>
      </c>
    </row>
    <row r="20" spans="1:5" ht="27" customHeight="1" thickBot="1">
      <c r="A20" s="136" t="s">
        <v>2547</v>
      </c>
      <c r="B20" s="136" t="s">
        <v>2548</v>
      </c>
      <c r="C20" s="188">
        <v>94317747.75</v>
      </c>
      <c r="D20" s="187">
        <v>2606271.86</v>
      </c>
      <c r="E20" s="295">
        <v>96924019.609999999</v>
      </c>
    </row>
    <row r="21" spans="1:5" ht="20" customHeight="1" thickBot="1">
      <c r="A21" s="135">
        <v>36</v>
      </c>
      <c r="B21" s="135" t="s">
        <v>2549</v>
      </c>
      <c r="C21" s="188">
        <v>0</v>
      </c>
      <c r="D21" s="187">
        <v>0</v>
      </c>
      <c r="E21" s="295">
        <v>0</v>
      </c>
    </row>
    <row r="22" spans="1:5" ht="20" customHeight="1" thickBot="1">
      <c r="A22" s="135">
        <v>37</v>
      </c>
      <c r="B22" s="135" t="s">
        <v>2550</v>
      </c>
      <c r="C22" s="188">
        <v>0</v>
      </c>
      <c r="D22" s="187">
        <v>0</v>
      </c>
      <c r="E22" s="295">
        <v>0</v>
      </c>
    </row>
    <row r="23" spans="1:5" ht="27" customHeight="1" thickBot="1">
      <c r="A23" s="136">
        <v>3</v>
      </c>
      <c r="B23" s="136" t="s">
        <v>2551</v>
      </c>
      <c r="C23" s="188">
        <v>94317747.75</v>
      </c>
      <c r="D23" s="187">
        <v>2606271.86</v>
      </c>
      <c r="E23" s="295">
        <v>96924019.609999999</v>
      </c>
    </row>
    <row r="24" spans="1:5" ht="20" customHeight="1" thickBot="1">
      <c r="A24" s="135" t="s">
        <v>2552</v>
      </c>
      <c r="B24" s="135" t="s">
        <v>2553</v>
      </c>
      <c r="C24" s="188">
        <v>6153660.75</v>
      </c>
      <c r="D24" s="187">
        <v>136721.04999999999</v>
      </c>
      <c r="E24" s="295">
        <v>6290381.7999999998</v>
      </c>
    </row>
    <row r="25" spans="1:5" ht="20" customHeight="1" thickBot="1">
      <c r="A25" s="135">
        <v>48</v>
      </c>
      <c r="B25" s="135" t="s">
        <v>2554</v>
      </c>
      <c r="C25" s="188">
        <v>118983.09</v>
      </c>
      <c r="D25" s="187">
        <v>2556.9299999999998</v>
      </c>
      <c r="E25" s="295">
        <v>121540.02</v>
      </c>
    </row>
    <row r="26" spans="1:5" ht="20" customHeight="1" thickBot="1">
      <c r="A26" s="135">
        <v>49</v>
      </c>
      <c r="B26" s="135" t="s">
        <v>2555</v>
      </c>
      <c r="C26" s="188">
        <v>19606.37</v>
      </c>
      <c r="D26" s="187">
        <v>415.93</v>
      </c>
      <c r="E26" s="295">
        <v>20022.3</v>
      </c>
    </row>
    <row r="27" spans="1:5" ht="27" customHeight="1" thickBot="1">
      <c r="A27" s="136">
        <v>4</v>
      </c>
      <c r="B27" s="136" t="s">
        <v>2556</v>
      </c>
      <c r="C27" s="188">
        <v>6292250.21</v>
      </c>
      <c r="D27" s="187">
        <v>139693.91</v>
      </c>
      <c r="E27" s="295">
        <v>6431944.1200000001</v>
      </c>
    </row>
    <row r="28" spans="1:5" ht="27" customHeight="1" thickBot="1">
      <c r="A28" s="136" t="s">
        <v>2557</v>
      </c>
      <c r="B28" s="136" t="s">
        <v>2558</v>
      </c>
      <c r="C28" s="188">
        <v>100609997.95999999</v>
      </c>
      <c r="D28" s="187">
        <v>2745965.77</v>
      </c>
      <c r="E28" s="295">
        <v>103355963.73</v>
      </c>
    </row>
    <row r="29" spans="1:5" ht="27" customHeight="1" thickBot="1">
      <c r="A29" s="136"/>
      <c r="B29" s="136" t="s">
        <v>2559</v>
      </c>
      <c r="C29" s="188">
        <v>5758894.3899999997</v>
      </c>
      <c r="D29" s="187">
        <v>-135720.35</v>
      </c>
      <c r="E29" s="295">
        <v>5623174.04</v>
      </c>
    </row>
    <row r="30" spans="1:5" ht="27" customHeight="1" thickBot="1">
      <c r="A30" s="136">
        <v>7</v>
      </c>
      <c r="B30" s="136" t="s">
        <v>2560</v>
      </c>
      <c r="C30" s="188">
        <v>1987705.47</v>
      </c>
      <c r="D30" s="187">
        <v>46175.78</v>
      </c>
      <c r="E30" s="295">
        <v>2033881.25</v>
      </c>
    </row>
    <row r="31" spans="1:5" ht="26.25" customHeight="1" thickBot="1">
      <c r="A31" s="351"/>
      <c r="B31" s="351" t="s">
        <v>2561</v>
      </c>
      <c r="C31" s="188">
        <v>7746599.8700000001</v>
      </c>
      <c r="D31" s="187">
        <v>-89544.58</v>
      </c>
      <c r="E31" s="295">
        <v>7657055.29</v>
      </c>
    </row>
    <row r="32" spans="1:5" ht="20.25" customHeight="1">
      <c r="A32" s="140" t="s">
        <v>1837</v>
      </c>
      <c r="B32" s="321"/>
      <c r="C32" s="140"/>
      <c r="D32" s="164"/>
      <c r="E32" s="322"/>
    </row>
    <row r="34" spans="1:1">
      <c r="A34" s="2" t="s">
        <v>2352</v>
      </c>
    </row>
    <row r="37" spans="1:1">
      <c r="A37" s="2" t="s">
        <v>710</v>
      </c>
    </row>
  </sheetData>
  <phoneticPr fontId="0" type="noConversion"/>
  <pageMargins left="0.51" right="0.56000000000000005" top="0.74" bottom="0.49" header="0.44" footer="0.4921259845"/>
  <pageSetup paperSize="9" scale="85" orientation="portrait"/>
  <headerFooter alignWithMargins="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3D992-9E24-824B-BE90-17010F2242B2}">
  <sheetPr>
    <pageSetUpPr fitToPage="1"/>
  </sheetPr>
  <dimension ref="A1:H39"/>
  <sheetViews>
    <sheetView zoomScale="75" workbookViewId="0">
      <selection activeCell="F11" sqref="F11"/>
    </sheetView>
  </sheetViews>
  <sheetFormatPr baseColWidth="10" defaultColWidth="11.3984375" defaultRowHeight="13"/>
  <cols>
    <col min="1" max="1" width="8.796875" style="2" customWidth="1"/>
    <col min="2" max="2" width="48.796875" style="87" customWidth="1"/>
    <col min="3" max="3" width="16.796875" style="2" customWidth="1"/>
    <col min="4" max="4" width="16.796875" style="7" customWidth="1"/>
    <col min="5" max="5" width="16.796875" style="323" customWidth="1"/>
    <col min="6" max="16384" width="11.3984375" style="2"/>
  </cols>
  <sheetData>
    <row r="1" spans="1:8" s="1" customFormat="1" ht="39.75" customHeight="1">
      <c r="A1" s="2016" t="s">
        <v>2355</v>
      </c>
      <c r="B1" s="2017"/>
      <c r="C1" s="2017"/>
      <c r="D1" s="2017"/>
      <c r="E1" s="48">
        <v>2009</v>
      </c>
    </row>
    <row r="2" spans="1:8" s="1" customFormat="1" ht="12" customHeight="1">
      <c r="A2" s="198"/>
      <c r="B2" s="198"/>
      <c r="C2" s="198"/>
      <c r="D2" s="198"/>
      <c r="E2" s="198"/>
    </row>
    <row r="3" spans="1:8" ht="39" customHeight="1">
      <c r="A3" s="305" t="s">
        <v>1382</v>
      </c>
      <c r="B3" s="306"/>
      <c r="C3" s="120" t="s">
        <v>2526</v>
      </c>
      <c r="D3" s="148" t="s">
        <v>2527</v>
      </c>
      <c r="E3" s="290" t="s">
        <v>1567</v>
      </c>
      <c r="G3" s="3"/>
      <c r="H3" s="3"/>
    </row>
    <row r="4" spans="1:8" ht="38" customHeight="1">
      <c r="A4" s="291"/>
      <c r="B4" s="292"/>
      <c r="C4" s="129" t="s">
        <v>2528</v>
      </c>
      <c r="D4" s="153" t="s">
        <v>2528</v>
      </c>
      <c r="E4" s="293" t="s">
        <v>2528</v>
      </c>
      <c r="G4" s="385"/>
      <c r="H4" s="386"/>
    </row>
    <row r="5" spans="1:8" ht="30" customHeight="1" thickBot="1">
      <c r="A5" s="131">
        <v>63</v>
      </c>
      <c r="B5" s="131" t="s">
        <v>2529</v>
      </c>
      <c r="C5" s="170">
        <v>3262187</v>
      </c>
      <c r="D5" s="171">
        <v>145539.75</v>
      </c>
      <c r="E5" s="307">
        <v>3407726.75</v>
      </c>
      <c r="G5" s="86"/>
      <c r="H5" s="386"/>
    </row>
    <row r="6" spans="1:8" ht="20" customHeight="1" thickBot="1">
      <c r="A6" s="135">
        <v>64</v>
      </c>
      <c r="B6" s="135" t="s">
        <v>2530</v>
      </c>
      <c r="C6" s="188">
        <v>-97927.22</v>
      </c>
      <c r="D6" s="187">
        <v>-4363.63</v>
      </c>
      <c r="E6" s="295">
        <v>-102290.85</v>
      </c>
      <c r="G6" s="86"/>
      <c r="H6" s="386"/>
    </row>
    <row r="7" spans="1:8" ht="20" customHeight="1" thickBot="1">
      <c r="A7" s="135">
        <v>65</v>
      </c>
      <c r="B7" s="135" t="s">
        <v>2531</v>
      </c>
      <c r="C7" s="188">
        <v>0</v>
      </c>
      <c r="D7" s="187">
        <v>0</v>
      </c>
      <c r="E7" s="295">
        <v>0</v>
      </c>
      <c r="G7" s="86"/>
      <c r="H7" s="386"/>
    </row>
    <row r="8" spans="1:8" ht="27" customHeight="1" thickBot="1">
      <c r="A8" s="136" t="s">
        <v>2532</v>
      </c>
      <c r="B8" s="136" t="s">
        <v>2533</v>
      </c>
      <c r="C8" s="188">
        <v>3164259.78</v>
      </c>
      <c r="D8" s="187">
        <v>141176.12</v>
      </c>
      <c r="E8" s="295">
        <v>3305435.9</v>
      </c>
      <c r="G8" s="86"/>
      <c r="H8" s="386"/>
    </row>
    <row r="9" spans="1:8" ht="20" customHeight="1" thickBot="1">
      <c r="A9" s="135">
        <v>66</v>
      </c>
      <c r="B9" s="135" t="s">
        <v>2534</v>
      </c>
      <c r="C9" s="188">
        <v>0</v>
      </c>
      <c r="D9" s="187">
        <v>0</v>
      </c>
      <c r="E9" s="295">
        <v>0</v>
      </c>
      <c r="G9" s="86"/>
      <c r="H9" s="386"/>
    </row>
    <row r="10" spans="1:8" ht="27" customHeight="1" thickBot="1">
      <c r="A10" s="136" t="s">
        <v>2535</v>
      </c>
      <c r="B10" s="136" t="s">
        <v>2536</v>
      </c>
      <c r="C10" s="188">
        <v>3164259.78</v>
      </c>
      <c r="D10" s="187">
        <v>141176.12</v>
      </c>
      <c r="E10" s="295">
        <v>3305435.9</v>
      </c>
      <c r="G10" s="86"/>
      <c r="H10" s="386"/>
    </row>
    <row r="11" spans="1:8" ht="21" customHeight="1" thickBot="1">
      <c r="A11" s="135">
        <v>67</v>
      </c>
      <c r="B11" s="135" t="s">
        <v>2537</v>
      </c>
      <c r="C11" s="188">
        <v>0</v>
      </c>
      <c r="D11" s="187">
        <v>0</v>
      </c>
      <c r="E11" s="295">
        <v>0</v>
      </c>
      <c r="G11" s="387"/>
      <c r="H11" s="386"/>
    </row>
    <row r="12" spans="1:8" ht="21" customHeight="1" thickBot="1">
      <c r="A12" s="135">
        <v>68</v>
      </c>
      <c r="B12" s="135" t="s">
        <v>2538</v>
      </c>
      <c r="C12" s="188">
        <v>0</v>
      </c>
      <c r="D12" s="187">
        <v>0</v>
      </c>
      <c r="E12" s="295">
        <v>0</v>
      </c>
      <c r="G12" s="86"/>
      <c r="H12" s="386"/>
    </row>
    <row r="13" spans="1:8" ht="21" customHeight="1" thickBot="1">
      <c r="A13" s="135">
        <v>69</v>
      </c>
      <c r="B13" s="135" t="s">
        <v>2539</v>
      </c>
      <c r="C13" s="188">
        <v>347.41</v>
      </c>
      <c r="D13" s="187">
        <v>15.57</v>
      </c>
      <c r="E13" s="295">
        <v>362.98</v>
      </c>
    </row>
    <row r="14" spans="1:8" ht="27" customHeight="1" thickBot="1">
      <c r="A14" s="136">
        <v>6</v>
      </c>
      <c r="B14" s="136" t="s">
        <v>2540</v>
      </c>
      <c r="C14" s="188">
        <v>3164607.19</v>
      </c>
      <c r="D14" s="187">
        <v>141191.69</v>
      </c>
      <c r="E14" s="295">
        <v>3305798.88</v>
      </c>
    </row>
    <row r="15" spans="1:8" ht="20" customHeight="1" thickBot="1">
      <c r="A15" s="135">
        <v>33</v>
      </c>
      <c r="B15" s="135" t="s">
        <v>2541</v>
      </c>
      <c r="C15" s="188">
        <v>10098244.550000001</v>
      </c>
      <c r="D15" s="187">
        <v>95818.9</v>
      </c>
      <c r="E15" s="295">
        <v>10194063.449999999</v>
      </c>
    </row>
    <row r="16" spans="1:8" ht="20" customHeight="1" thickBot="1">
      <c r="A16" s="135">
        <v>32</v>
      </c>
      <c r="B16" s="135" t="s">
        <v>2542</v>
      </c>
      <c r="C16" s="188">
        <v>-102585.9</v>
      </c>
      <c r="D16" s="187">
        <v>-3880.5</v>
      </c>
      <c r="E16" s="295">
        <v>-106466.4</v>
      </c>
    </row>
    <row r="17" spans="1:5" ht="27" customHeight="1" thickBot="1">
      <c r="A17" s="136" t="s">
        <v>2543</v>
      </c>
      <c r="B17" s="136" t="s">
        <v>2544</v>
      </c>
      <c r="C17" s="188">
        <v>9995658.6500000004</v>
      </c>
      <c r="D17" s="187">
        <v>91938.4</v>
      </c>
      <c r="E17" s="295">
        <v>10087597.050000001</v>
      </c>
    </row>
    <row r="18" spans="1:5" ht="20" customHeight="1" thickBot="1">
      <c r="A18" s="135">
        <v>34</v>
      </c>
      <c r="B18" s="135" t="s">
        <v>2545</v>
      </c>
      <c r="C18" s="188">
        <v>138340.54</v>
      </c>
      <c r="D18" s="187">
        <v>1324.34</v>
      </c>
      <c r="E18" s="295">
        <v>139664.88</v>
      </c>
    </row>
    <row r="19" spans="1:5" ht="20" customHeight="1" thickBot="1">
      <c r="A19" s="135">
        <v>35</v>
      </c>
      <c r="B19" s="135" t="s">
        <v>2546</v>
      </c>
      <c r="C19" s="188">
        <v>-612390.80000000005</v>
      </c>
      <c r="D19" s="187">
        <v>-5850.43</v>
      </c>
      <c r="E19" s="295">
        <v>-618241.23</v>
      </c>
    </row>
    <row r="20" spans="1:5" ht="27" customHeight="1" thickBot="1">
      <c r="A20" s="136" t="s">
        <v>2547</v>
      </c>
      <c r="B20" s="136" t="s">
        <v>2548</v>
      </c>
      <c r="C20" s="188">
        <v>9521608.3900000006</v>
      </c>
      <c r="D20" s="187">
        <v>87412.31</v>
      </c>
      <c r="E20" s="295">
        <v>9609020.6999999993</v>
      </c>
    </row>
    <row r="21" spans="1:5" ht="20" customHeight="1" thickBot="1">
      <c r="A21" s="135">
        <v>36</v>
      </c>
      <c r="B21" s="135" t="s">
        <v>2549</v>
      </c>
      <c r="C21" s="188">
        <v>0</v>
      </c>
      <c r="D21" s="187">
        <v>0</v>
      </c>
      <c r="E21" s="295">
        <v>0</v>
      </c>
    </row>
    <row r="22" spans="1:5" ht="20" customHeight="1" thickBot="1">
      <c r="A22" s="135">
        <v>37</v>
      </c>
      <c r="B22" s="135" t="s">
        <v>2550</v>
      </c>
      <c r="C22" s="188">
        <v>0</v>
      </c>
      <c r="D22" s="187">
        <v>0</v>
      </c>
      <c r="E22" s="295">
        <v>0</v>
      </c>
    </row>
    <row r="23" spans="1:5" ht="27" customHeight="1" thickBot="1">
      <c r="A23" s="136">
        <v>3</v>
      </c>
      <c r="B23" s="136" t="s">
        <v>2551</v>
      </c>
      <c r="C23" s="188">
        <v>9521608.3900000006</v>
      </c>
      <c r="D23" s="187">
        <v>87412.31</v>
      </c>
      <c r="E23" s="295">
        <v>9609020.6999999993</v>
      </c>
    </row>
    <row r="24" spans="1:5" ht="20" customHeight="1" thickBot="1">
      <c r="A24" s="135" t="s">
        <v>2552</v>
      </c>
      <c r="B24" s="135" t="s">
        <v>2553</v>
      </c>
      <c r="C24" s="188">
        <v>453354.07</v>
      </c>
      <c r="D24" s="187">
        <v>20198.689999999999</v>
      </c>
      <c r="E24" s="295">
        <v>473552.76</v>
      </c>
    </row>
    <row r="25" spans="1:5" ht="20" customHeight="1" thickBot="1">
      <c r="A25" s="135">
        <v>48</v>
      </c>
      <c r="B25" s="135" t="s">
        <v>2554</v>
      </c>
      <c r="C25" s="188">
        <v>3393.07</v>
      </c>
      <c r="D25" s="187">
        <v>148.41999999999999</v>
      </c>
      <c r="E25" s="295">
        <v>3541.49</v>
      </c>
    </row>
    <row r="26" spans="1:5" ht="20" customHeight="1" thickBot="1">
      <c r="A26" s="135">
        <v>49</v>
      </c>
      <c r="B26" s="135" t="s">
        <v>2555</v>
      </c>
      <c r="C26" s="188">
        <v>99.45</v>
      </c>
      <c r="D26" s="187">
        <v>3.9</v>
      </c>
      <c r="E26" s="295">
        <v>103.35</v>
      </c>
    </row>
    <row r="27" spans="1:5" ht="27" customHeight="1" thickBot="1">
      <c r="A27" s="136">
        <v>4</v>
      </c>
      <c r="B27" s="136" t="s">
        <v>2556</v>
      </c>
      <c r="C27" s="188">
        <v>456846.59</v>
      </c>
      <c r="D27" s="187">
        <v>20351.009999999998</v>
      </c>
      <c r="E27" s="295">
        <v>477197.6</v>
      </c>
    </row>
    <row r="28" spans="1:5" ht="27" customHeight="1" thickBot="1">
      <c r="A28" s="136" t="s">
        <v>2557</v>
      </c>
      <c r="B28" s="136" t="s">
        <v>2558</v>
      </c>
      <c r="C28" s="188">
        <v>9978454.9800000004</v>
      </c>
      <c r="D28" s="187">
        <v>107763.32</v>
      </c>
      <c r="E28" s="295">
        <v>10086218.300000001</v>
      </c>
    </row>
    <row r="29" spans="1:5" ht="27" customHeight="1" thickBot="1">
      <c r="A29" s="136"/>
      <c r="B29" s="136" t="s">
        <v>2559</v>
      </c>
      <c r="C29" s="188">
        <v>-6813847.79</v>
      </c>
      <c r="D29" s="187">
        <v>33428.370000000003</v>
      </c>
      <c r="E29" s="295">
        <v>-6780419.4199999999</v>
      </c>
    </row>
    <row r="30" spans="1:5" ht="27" customHeight="1" thickBot="1">
      <c r="A30" s="136">
        <v>7</v>
      </c>
      <c r="B30" s="136" t="s">
        <v>2560</v>
      </c>
      <c r="C30" s="188">
        <v>9361.7999999999993</v>
      </c>
      <c r="D30" s="187">
        <v>357.97</v>
      </c>
      <c r="E30" s="295">
        <v>9719.77</v>
      </c>
    </row>
    <row r="31" spans="1:5" ht="27.75" customHeight="1" thickBot="1">
      <c r="A31" s="351"/>
      <c r="B31" s="351" t="s">
        <v>2561</v>
      </c>
      <c r="C31" s="188">
        <v>-6804485.9900000002</v>
      </c>
      <c r="D31" s="187">
        <v>33786.339999999997</v>
      </c>
      <c r="E31" s="295">
        <v>-6770699.6500000004</v>
      </c>
    </row>
    <row r="32" spans="1:5" ht="19.5" customHeight="1">
      <c r="A32" s="140" t="s">
        <v>1837</v>
      </c>
      <c r="B32" s="321"/>
      <c r="C32" s="140"/>
      <c r="D32" s="164"/>
      <c r="E32" s="322"/>
    </row>
    <row r="34" spans="1:1">
      <c r="A34" s="388" t="s">
        <v>2353</v>
      </c>
    </row>
    <row r="35" spans="1:1">
      <c r="A35" s="304"/>
    </row>
    <row r="36" spans="1:1">
      <c r="A36" s="2" t="s">
        <v>2354</v>
      </c>
    </row>
    <row r="39" spans="1:1">
      <c r="A39" s="2" t="s">
        <v>710</v>
      </c>
    </row>
  </sheetData>
  <mergeCells count="1">
    <mergeCell ref="A1:D1"/>
  </mergeCells>
  <phoneticPr fontId="0" type="noConversion"/>
  <pageMargins left="0.53" right="0.57999999999999996" top="0.92" bottom="0.49" header="0.49" footer="0.4921259845"/>
  <pageSetup paperSize="9" scale="85" orientation="portrait"/>
  <headerFooter alignWithMargins="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8C0FC-5863-2448-8C6D-0DF61A103A93}">
  <sheetPr>
    <pageSetUpPr fitToPage="1"/>
  </sheetPr>
  <dimension ref="A1:B17"/>
  <sheetViews>
    <sheetView workbookViewId="0">
      <selection activeCell="B5" sqref="B5"/>
    </sheetView>
  </sheetViews>
  <sheetFormatPr baseColWidth="10" defaultColWidth="11.3984375" defaultRowHeight="13"/>
  <cols>
    <col min="1" max="1" width="5.59765625" style="332" customWidth="1"/>
    <col min="2" max="16384" width="11.3984375" style="332"/>
  </cols>
  <sheetData>
    <row r="1" spans="1:2" ht="16">
      <c r="A1" s="331" t="s">
        <v>2264</v>
      </c>
    </row>
    <row r="2" spans="1:2" ht="16">
      <c r="A2" s="331"/>
    </row>
    <row r="3" spans="1:2">
      <c r="A3" s="333">
        <v>8.01</v>
      </c>
      <c r="B3" s="334" t="s">
        <v>2265</v>
      </c>
    </row>
    <row r="4" spans="1:2">
      <c r="A4" s="333">
        <v>8.02</v>
      </c>
      <c r="B4" s="335" t="s">
        <v>1136</v>
      </c>
    </row>
    <row r="5" spans="1:2">
      <c r="A5" s="333">
        <v>8.0299999999999994</v>
      </c>
      <c r="B5" s="334" t="s">
        <v>1137</v>
      </c>
    </row>
    <row r="6" spans="1:2">
      <c r="A6" s="333">
        <v>8.0399999999999991</v>
      </c>
      <c r="B6" s="334" t="s">
        <v>2266</v>
      </c>
    </row>
    <row r="7" spans="1:2">
      <c r="A7" s="333">
        <v>8.0500000000000007</v>
      </c>
      <c r="B7" s="334" t="s">
        <v>2267</v>
      </c>
    </row>
    <row r="8" spans="1:2">
      <c r="A8" s="333">
        <v>8.06</v>
      </c>
      <c r="B8" s="334" t="s">
        <v>2268</v>
      </c>
    </row>
    <row r="9" spans="1:2">
      <c r="A9" s="333">
        <v>8.07</v>
      </c>
      <c r="B9" s="334" t="s">
        <v>2269</v>
      </c>
    </row>
    <row r="10" spans="1:2">
      <c r="A10" s="333">
        <v>8.08</v>
      </c>
      <c r="B10" s="334" t="s">
        <v>2270</v>
      </c>
    </row>
    <row r="11" spans="1:2">
      <c r="A11" s="333">
        <v>8.09</v>
      </c>
      <c r="B11" s="334" t="s">
        <v>2271</v>
      </c>
    </row>
    <row r="12" spans="1:2">
      <c r="A12" s="333">
        <v>8.1</v>
      </c>
      <c r="B12" s="334" t="s">
        <v>2272</v>
      </c>
    </row>
    <row r="13" spans="1:2">
      <c r="A13" s="333">
        <v>8.11</v>
      </c>
      <c r="B13" s="336" t="s">
        <v>2273</v>
      </c>
    </row>
    <row r="14" spans="1:2">
      <c r="A14" s="333">
        <v>8.1199999999999992</v>
      </c>
      <c r="B14" s="336" t="s">
        <v>2274</v>
      </c>
    </row>
    <row r="15" spans="1:2">
      <c r="B15" s="337"/>
    </row>
    <row r="17" spans="1:1">
      <c r="A17" s="338" t="s">
        <v>710</v>
      </c>
    </row>
  </sheetData>
  <phoneticPr fontId="30" type="noConversion"/>
  <pageMargins left="0.54" right="0.53" top="0.65" bottom="0.984251969" header="0.38" footer="0.4921259845"/>
  <pageSetup paperSize="9" orientation="portrait"/>
  <headerFooter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1549B-AFB6-E148-9F3D-CF523FC719D5}">
  <sheetPr>
    <pageSetUpPr fitToPage="1"/>
  </sheetPr>
  <dimension ref="A1:G31"/>
  <sheetViews>
    <sheetView zoomScale="75" workbookViewId="0">
      <selection activeCell="A26" sqref="A26"/>
    </sheetView>
  </sheetViews>
  <sheetFormatPr baseColWidth="10" defaultColWidth="11.3984375" defaultRowHeight="13"/>
  <cols>
    <col min="1" max="1" width="12.796875" style="2" customWidth="1"/>
    <col min="2" max="2" width="15.3984375" style="87" customWidth="1"/>
    <col min="3" max="4" width="15.3984375" style="2" customWidth="1"/>
    <col min="5" max="5" width="15.796875" style="87" customWidth="1"/>
    <col min="6" max="6" width="15.3984375" style="87" customWidth="1"/>
    <col min="7" max="7" width="15.3984375" style="2" customWidth="1"/>
    <col min="8" max="16384" width="11.3984375" style="2"/>
  </cols>
  <sheetData>
    <row r="1" spans="1:7" s="1" customFormat="1" ht="14" customHeight="1">
      <c r="B1" s="289"/>
      <c r="E1" s="289"/>
      <c r="F1" s="289"/>
    </row>
    <row r="2" spans="1:7" s="1" customFormat="1" ht="24" customHeight="1">
      <c r="A2" s="48" t="s">
        <v>1098</v>
      </c>
      <c r="B2" s="1170"/>
      <c r="C2" s="48"/>
      <c r="D2" s="48"/>
      <c r="E2" s="289"/>
      <c r="F2" s="398"/>
      <c r="G2" s="398"/>
    </row>
    <row r="3" spans="1:7" ht="24" customHeight="1">
      <c r="A3" s="178"/>
      <c r="B3" s="122" t="s">
        <v>1099</v>
      </c>
      <c r="C3" s="119"/>
      <c r="D3" s="119"/>
      <c r="E3" s="390" t="s">
        <v>1100</v>
      </c>
      <c r="F3" s="390" t="s">
        <v>1101</v>
      </c>
      <c r="G3" s="390" t="s">
        <v>1102</v>
      </c>
    </row>
    <row r="4" spans="1:7" ht="20.25" customHeight="1">
      <c r="A4" s="181" t="s">
        <v>2320</v>
      </c>
      <c r="B4" s="122"/>
      <c r="C4" s="122"/>
      <c r="D4" s="122"/>
      <c r="E4" s="181" t="s">
        <v>1113</v>
      </c>
      <c r="F4" s="125"/>
      <c r="G4" s="125"/>
    </row>
    <row r="5" spans="1:7" ht="20.25" customHeight="1">
      <c r="A5" s="181"/>
      <c r="B5" s="122" t="s">
        <v>1103</v>
      </c>
      <c r="C5" s="122" t="s">
        <v>1104</v>
      </c>
      <c r="D5" s="122" t="s">
        <v>1105</v>
      </c>
      <c r="E5" s="125" t="s">
        <v>1106</v>
      </c>
      <c r="F5" s="125" t="s">
        <v>1107</v>
      </c>
      <c r="G5" s="125" t="s">
        <v>1114</v>
      </c>
    </row>
    <row r="6" spans="1:7" ht="15" customHeight="1">
      <c r="A6" s="181"/>
      <c r="B6" s="122" t="s">
        <v>1563</v>
      </c>
      <c r="C6" s="122"/>
      <c r="D6" s="122"/>
      <c r="E6" s="125" t="s">
        <v>1108</v>
      </c>
      <c r="F6" s="125" t="s">
        <v>237</v>
      </c>
      <c r="G6" s="125" t="s">
        <v>237</v>
      </c>
    </row>
    <row r="7" spans="1:7" ht="29.25" customHeight="1">
      <c r="A7" s="182"/>
      <c r="B7" s="126" t="s">
        <v>1109</v>
      </c>
      <c r="C7" s="126"/>
      <c r="D7" s="126"/>
      <c r="E7" s="127" t="s">
        <v>239</v>
      </c>
      <c r="F7" s="127" t="s">
        <v>239</v>
      </c>
      <c r="G7" s="127" t="s">
        <v>239</v>
      </c>
    </row>
    <row r="8" spans="1:7" ht="2.25" customHeight="1" thickBot="1">
      <c r="A8" s="1171">
        <v>1996</v>
      </c>
      <c r="B8" s="1172">
        <v>159</v>
      </c>
      <c r="C8" s="1172">
        <v>0</v>
      </c>
      <c r="D8" s="1172">
        <v>25</v>
      </c>
      <c r="E8" s="1173">
        <v>145</v>
      </c>
      <c r="F8" s="1173">
        <v>150</v>
      </c>
      <c r="G8" s="1173">
        <v>136</v>
      </c>
    </row>
    <row r="9" spans="1:7" ht="17.25" hidden="1" customHeight="1" thickBot="1">
      <c r="A9" s="1141">
        <v>1997</v>
      </c>
      <c r="B9" s="1174">
        <v>142</v>
      </c>
      <c r="C9" s="1174">
        <v>1</v>
      </c>
      <c r="D9" s="1174">
        <v>18</v>
      </c>
      <c r="E9" s="1175">
        <v>129</v>
      </c>
      <c r="F9" s="1175">
        <v>135</v>
      </c>
      <c r="G9" s="1175">
        <v>122</v>
      </c>
    </row>
    <row r="10" spans="1:7" ht="20.25" hidden="1" customHeight="1" thickBot="1">
      <c r="A10" s="1141">
        <v>1998</v>
      </c>
      <c r="B10" s="1174">
        <v>127</v>
      </c>
      <c r="C10" s="1174">
        <v>0</v>
      </c>
      <c r="D10" s="1174">
        <v>15</v>
      </c>
      <c r="E10" s="1175">
        <v>118</v>
      </c>
      <c r="F10" s="1175">
        <v>115</v>
      </c>
      <c r="G10" s="1175">
        <v>106</v>
      </c>
    </row>
    <row r="11" spans="1:7" ht="20.25" customHeight="1" thickBot="1">
      <c r="A11" s="1141">
        <v>1999</v>
      </c>
      <c r="B11" s="1174">
        <v>119</v>
      </c>
      <c r="C11" s="1174">
        <v>2</v>
      </c>
      <c r="D11" s="1174">
        <v>10</v>
      </c>
      <c r="E11" s="1175">
        <v>109</v>
      </c>
      <c r="F11" s="1175">
        <v>109</v>
      </c>
      <c r="G11" s="1175">
        <v>99</v>
      </c>
    </row>
    <row r="12" spans="1:7" ht="20.25" customHeight="1" thickBot="1">
      <c r="A12" s="1141">
        <v>2000</v>
      </c>
      <c r="B12" s="1174">
        <v>110</v>
      </c>
      <c r="C12" s="1174">
        <v>0</v>
      </c>
      <c r="D12" s="1174">
        <v>9</v>
      </c>
      <c r="E12" s="1175">
        <v>101</v>
      </c>
      <c r="F12" s="1175">
        <v>102</v>
      </c>
      <c r="G12" s="1175">
        <v>93</v>
      </c>
    </row>
    <row r="13" spans="1:7" ht="20.25" customHeight="1" thickBot="1">
      <c r="A13" s="1141">
        <v>2001</v>
      </c>
      <c r="B13" s="1174">
        <v>108</v>
      </c>
      <c r="C13" s="1174">
        <v>0</v>
      </c>
      <c r="D13" s="1174">
        <v>2</v>
      </c>
      <c r="E13" s="1175">
        <v>99</v>
      </c>
      <c r="F13" s="1175">
        <v>102</v>
      </c>
      <c r="G13" s="1175">
        <v>92</v>
      </c>
    </row>
    <row r="14" spans="1:7" ht="20.25" customHeight="1" thickBot="1">
      <c r="A14" s="1171">
        <v>2002</v>
      </c>
      <c r="B14" s="1172">
        <v>101</v>
      </c>
      <c r="C14" s="1172">
        <v>1</v>
      </c>
      <c r="D14" s="1172">
        <v>8</v>
      </c>
      <c r="E14" s="1173">
        <v>93</v>
      </c>
      <c r="F14" s="1173">
        <v>93</v>
      </c>
      <c r="G14" s="1173">
        <v>85</v>
      </c>
    </row>
    <row r="15" spans="1:7" ht="20.25" customHeight="1" thickBot="1">
      <c r="A15" s="1171">
        <v>2003</v>
      </c>
      <c r="B15" s="1172">
        <v>99</v>
      </c>
      <c r="C15" s="1172">
        <v>2</v>
      </c>
      <c r="D15" s="1172">
        <v>3</v>
      </c>
      <c r="E15" s="1173">
        <v>93</v>
      </c>
      <c r="F15" s="1173">
        <v>92</v>
      </c>
      <c r="G15" s="1173">
        <v>86</v>
      </c>
    </row>
    <row r="16" spans="1:7" ht="20.25" customHeight="1" thickBot="1">
      <c r="A16" s="1171">
        <v>2004</v>
      </c>
      <c r="B16" s="1172">
        <v>98</v>
      </c>
      <c r="C16" s="1172">
        <v>0</v>
      </c>
      <c r="D16" s="1172">
        <v>2</v>
      </c>
      <c r="E16" s="1173">
        <v>92</v>
      </c>
      <c r="F16" s="1173">
        <v>93</v>
      </c>
      <c r="G16" s="1173">
        <v>87</v>
      </c>
    </row>
    <row r="17" spans="1:7" ht="20.25" customHeight="1" thickBot="1">
      <c r="A17" s="1171">
        <v>2005</v>
      </c>
      <c r="B17" s="1172">
        <v>90</v>
      </c>
      <c r="C17" s="1172">
        <v>2</v>
      </c>
      <c r="D17" s="1172">
        <v>9</v>
      </c>
      <c r="E17" s="1173">
        <v>85</v>
      </c>
      <c r="F17" s="1173">
        <v>82</v>
      </c>
      <c r="G17" s="1173">
        <v>76</v>
      </c>
    </row>
    <row r="18" spans="1:7" ht="20.25" customHeight="1" thickBot="1">
      <c r="A18" s="1171">
        <v>2006</v>
      </c>
      <c r="B18" s="1172">
        <v>92</v>
      </c>
      <c r="C18" s="1172">
        <v>2</v>
      </c>
      <c r="D18" s="1172">
        <v>0</v>
      </c>
      <c r="E18" s="1173">
        <v>87</v>
      </c>
      <c r="F18" s="1173">
        <v>82</v>
      </c>
      <c r="G18" s="1173">
        <v>77</v>
      </c>
    </row>
    <row r="19" spans="1:7" ht="20.25" customHeight="1" thickBot="1">
      <c r="A19" s="1171">
        <v>2007</v>
      </c>
      <c r="B19" s="1172">
        <v>92</v>
      </c>
      <c r="C19" s="1172">
        <v>0</v>
      </c>
      <c r="D19" s="1172">
        <v>0</v>
      </c>
      <c r="E19" s="1173">
        <v>87</v>
      </c>
      <c r="F19" s="1173">
        <v>82</v>
      </c>
      <c r="G19" s="1173">
        <v>77</v>
      </c>
    </row>
    <row r="20" spans="1:7" ht="20.25" customHeight="1" thickBot="1">
      <c r="A20" s="1171">
        <v>2008</v>
      </c>
      <c r="B20" s="1172">
        <v>91</v>
      </c>
      <c r="C20" s="1172">
        <v>0</v>
      </c>
      <c r="D20" s="1172">
        <v>1</v>
      </c>
      <c r="E20" s="1173">
        <v>86</v>
      </c>
      <c r="F20" s="1173">
        <v>83</v>
      </c>
      <c r="G20" s="1173">
        <v>78</v>
      </c>
    </row>
    <row r="21" spans="1:7" ht="25.5" customHeight="1" thickBot="1">
      <c r="A21" s="189">
        <v>2009</v>
      </c>
      <c r="B21" s="1176">
        <v>86</v>
      </c>
      <c r="C21" s="1177">
        <v>2</v>
      </c>
      <c r="D21" s="1176">
        <v>7</v>
      </c>
      <c r="E21" s="795">
        <v>81</v>
      </c>
      <c r="F21" s="795">
        <v>74</v>
      </c>
      <c r="G21" s="1178">
        <v>69</v>
      </c>
    </row>
    <row r="22" spans="1:7" ht="20" customHeight="1">
      <c r="A22" s="140" t="s">
        <v>1837</v>
      </c>
      <c r="B22" s="321"/>
      <c r="C22" s="140"/>
      <c r="D22" s="140"/>
      <c r="E22" s="321"/>
      <c r="F22" s="321"/>
    </row>
    <row r="23" spans="1:7" ht="12.75" customHeight="1">
      <c r="A23" s="141"/>
      <c r="B23" s="353"/>
      <c r="C23" s="141"/>
      <c r="D23" s="141"/>
      <c r="E23" s="353"/>
      <c r="F23" s="353"/>
    </row>
    <row r="24" spans="1:7" ht="12.75" customHeight="1">
      <c r="A24" s="141" t="s">
        <v>1110</v>
      </c>
      <c r="B24" s="353"/>
      <c r="C24" s="141"/>
      <c r="D24" s="141"/>
      <c r="E24" s="353"/>
      <c r="F24" s="353"/>
    </row>
    <row r="25" spans="1:7" ht="12.75" customHeight="1">
      <c r="A25" s="141" t="s">
        <v>1111</v>
      </c>
      <c r="B25" s="353"/>
      <c r="C25" s="141"/>
      <c r="D25" s="141"/>
      <c r="E25" s="353"/>
      <c r="F25" s="353"/>
    </row>
    <row r="26" spans="1:7" ht="12.75" customHeight="1">
      <c r="A26" s="141"/>
      <c r="B26" s="353"/>
      <c r="C26" s="141"/>
      <c r="D26" s="141"/>
      <c r="E26" s="353"/>
      <c r="F26" s="353"/>
    </row>
    <row r="27" spans="1:7" ht="12.75" customHeight="1">
      <c r="A27" s="141"/>
      <c r="B27" s="353"/>
      <c r="C27" s="141"/>
      <c r="D27" s="141"/>
      <c r="E27" s="353"/>
      <c r="F27" s="353"/>
    </row>
    <row r="28" spans="1:7" ht="12" customHeight="1">
      <c r="A28" s="201" t="s">
        <v>1112</v>
      </c>
    </row>
    <row r="31" spans="1:7">
      <c r="A31" s="2" t="s">
        <v>710</v>
      </c>
    </row>
  </sheetData>
  <phoneticPr fontId="0" type="noConversion"/>
  <pageMargins left="0.56000000000000005" right="0.42" top="0.76" bottom="0.49" header="0.44" footer="0.4921259845"/>
  <pageSetup paperSize="9" scale="80" orientation="portrait" horizontalDpi="1200" verticalDpi="1200"/>
  <headerFooter alignWithMargins="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B3176-3985-5F49-B434-4647378CB9E8}">
  <sheetPr>
    <pageSetUpPr fitToPage="1"/>
  </sheetPr>
  <dimension ref="A1:M26"/>
  <sheetViews>
    <sheetView zoomScale="75" workbookViewId="0">
      <selection activeCell="A3" sqref="A3"/>
    </sheetView>
  </sheetViews>
  <sheetFormatPr baseColWidth="10" defaultColWidth="11.3984375" defaultRowHeight="13"/>
  <cols>
    <col min="1" max="1" width="12.796875" style="2" customWidth="1"/>
    <col min="2" max="9" width="11.796875" style="2" customWidth="1"/>
    <col min="10" max="16384" width="11.3984375" style="2"/>
  </cols>
  <sheetData>
    <row r="1" spans="1:13" s="1" customFormat="1" ht="14" customHeight="1"/>
    <row r="2" spans="1:13" s="1" customFormat="1" ht="24" customHeight="1">
      <c r="A2" s="118" t="s">
        <v>1115</v>
      </c>
      <c r="I2" s="398"/>
    </row>
    <row r="3" spans="1:13" ht="24" customHeight="1">
      <c r="A3" s="616" t="s">
        <v>2320</v>
      </c>
      <c r="B3" s="617" t="s">
        <v>596</v>
      </c>
      <c r="C3" s="618" t="s">
        <v>597</v>
      </c>
      <c r="D3" s="120" t="s">
        <v>598</v>
      </c>
      <c r="E3" s="618" t="s">
        <v>599</v>
      </c>
      <c r="F3" s="120" t="s">
        <v>600</v>
      </c>
      <c r="G3" s="618" t="s">
        <v>601</v>
      </c>
      <c r="H3" s="120" t="s">
        <v>1567</v>
      </c>
      <c r="I3" s="618" t="s">
        <v>1801</v>
      </c>
    </row>
    <row r="4" spans="1:13" ht="15" customHeight="1">
      <c r="A4" s="620"/>
      <c r="B4" s="621"/>
      <c r="C4" s="622">
        <v>10000</v>
      </c>
      <c r="D4" s="149">
        <v>50000</v>
      </c>
      <c r="E4" s="622">
        <v>100000</v>
      </c>
      <c r="F4" s="149">
        <v>500000</v>
      </c>
      <c r="G4" s="622">
        <v>500000</v>
      </c>
      <c r="H4" s="123"/>
      <c r="I4" s="625" t="s">
        <v>1802</v>
      </c>
    </row>
    <row r="5" spans="1:13" ht="15" customHeight="1">
      <c r="A5" s="620"/>
      <c r="B5" s="621"/>
      <c r="C5" s="625"/>
      <c r="D5" s="123"/>
      <c r="E5" s="625"/>
      <c r="F5" s="123"/>
      <c r="G5" s="625"/>
      <c r="H5" s="123"/>
      <c r="I5" s="625" t="s">
        <v>1806</v>
      </c>
    </row>
    <row r="6" spans="1:13" ht="24" customHeight="1">
      <c r="A6" s="626"/>
      <c r="B6" s="627"/>
      <c r="C6" s="628"/>
      <c r="D6" s="129"/>
      <c r="E6" s="628"/>
      <c r="F6" s="129"/>
      <c r="G6" s="628"/>
      <c r="H6" s="129"/>
      <c r="I6" s="628"/>
    </row>
    <row r="7" spans="1:13" ht="1.5" customHeight="1" thickBot="1">
      <c r="A7" s="630">
        <v>1996</v>
      </c>
      <c r="B7" s="1179">
        <v>90</v>
      </c>
      <c r="C7" s="1180">
        <v>14</v>
      </c>
      <c r="D7" s="170">
        <v>20</v>
      </c>
      <c r="E7" s="1180">
        <v>6</v>
      </c>
      <c r="F7" s="170">
        <v>12</v>
      </c>
      <c r="G7" s="1180">
        <v>3</v>
      </c>
      <c r="H7" s="170">
        <v>145</v>
      </c>
      <c r="I7" s="632">
        <v>-0.12650602409638553</v>
      </c>
    </row>
    <row r="8" spans="1:13" ht="19.5" hidden="1" customHeight="1" thickBot="1">
      <c r="A8" s="634">
        <v>1997</v>
      </c>
      <c r="B8" s="1181">
        <v>76</v>
      </c>
      <c r="C8" s="1182">
        <v>14</v>
      </c>
      <c r="D8" s="188">
        <v>20</v>
      </c>
      <c r="E8" s="1182">
        <v>4</v>
      </c>
      <c r="F8" s="188">
        <v>11</v>
      </c>
      <c r="G8" s="1182">
        <v>4</v>
      </c>
      <c r="H8" s="188">
        <v>129</v>
      </c>
      <c r="I8" s="636">
        <v>-0.1103448275862069</v>
      </c>
      <c r="K8" s="8"/>
      <c r="L8" s="8"/>
      <c r="M8" s="8"/>
    </row>
    <row r="9" spans="1:13" ht="19.5" hidden="1" customHeight="1" thickBot="1">
      <c r="A9" s="634">
        <v>1998</v>
      </c>
      <c r="B9" s="1181">
        <v>64</v>
      </c>
      <c r="C9" s="1182">
        <v>13</v>
      </c>
      <c r="D9" s="188">
        <v>21</v>
      </c>
      <c r="E9" s="1182">
        <v>6</v>
      </c>
      <c r="F9" s="188">
        <v>10</v>
      </c>
      <c r="G9" s="1182">
        <v>4</v>
      </c>
      <c r="H9" s="188">
        <v>118</v>
      </c>
      <c r="I9" s="636">
        <v>-8.5271317829457363E-2</v>
      </c>
    </row>
    <row r="10" spans="1:13" ht="20" customHeight="1" thickBot="1">
      <c r="A10" s="634">
        <v>1999</v>
      </c>
      <c r="B10" s="1181">
        <v>56</v>
      </c>
      <c r="C10" s="1182">
        <v>12</v>
      </c>
      <c r="D10" s="188">
        <v>19</v>
      </c>
      <c r="E10" s="1182">
        <v>8</v>
      </c>
      <c r="F10" s="188">
        <v>10</v>
      </c>
      <c r="G10" s="1182">
        <v>4</v>
      </c>
      <c r="H10" s="188">
        <v>109</v>
      </c>
      <c r="I10" s="636">
        <v>-7.6271186440677971E-2</v>
      </c>
    </row>
    <row r="11" spans="1:13" ht="20" customHeight="1" thickBot="1">
      <c r="A11" s="634">
        <v>2000</v>
      </c>
      <c r="B11" s="1181">
        <v>48</v>
      </c>
      <c r="C11" s="1182">
        <v>11</v>
      </c>
      <c r="D11" s="188">
        <v>19</v>
      </c>
      <c r="E11" s="1182">
        <v>9</v>
      </c>
      <c r="F11" s="188">
        <v>10</v>
      </c>
      <c r="G11" s="1182">
        <v>4</v>
      </c>
      <c r="H11" s="188">
        <v>101</v>
      </c>
      <c r="I11" s="636">
        <v>-7.3394495412844041E-2</v>
      </c>
    </row>
    <row r="12" spans="1:13" ht="20" customHeight="1" thickBot="1">
      <c r="A12" s="634">
        <v>2001</v>
      </c>
      <c r="B12" s="1181">
        <v>43</v>
      </c>
      <c r="C12" s="1182">
        <v>9</v>
      </c>
      <c r="D12" s="188">
        <v>23</v>
      </c>
      <c r="E12" s="1182">
        <v>9</v>
      </c>
      <c r="F12" s="188">
        <v>11</v>
      </c>
      <c r="G12" s="1182">
        <v>4</v>
      </c>
      <c r="H12" s="188">
        <v>99</v>
      </c>
      <c r="I12" s="636">
        <v>-1.9801980198019802E-2</v>
      </c>
    </row>
    <row r="13" spans="1:13" ht="20" customHeight="1" thickBot="1">
      <c r="A13" s="634">
        <v>2002</v>
      </c>
      <c r="B13" s="1181">
        <v>33</v>
      </c>
      <c r="C13" s="1182">
        <v>10</v>
      </c>
      <c r="D13" s="188">
        <v>25</v>
      </c>
      <c r="E13" s="1182">
        <v>9</v>
      </c>
      <c r="F13" s="188">
        <v>13</v>
      </c>
      <c r="G13" s="1182">
        <v>3</v>
      </c>
      <c r="H13" s="188">
        <v>93</v>
      </c>
      <c r="I13" s="636">
        <v>-6.0606060606060608E-2</v>
      </c>
    </row>
    <row r="14" spans="1:13" ht="20" customHeight="1" thickBot="1">
      <c r="A14" s="634">
        <v>2003</v>
      </c>
      <c r="B14" s="1181">
        <v>32</v>
      </c>
      <c r="C14" s="1182">
        <v>10</v>
      </c>
      <c r="D14" s="188">
        <v>26</v>
      </c>
      <c r="E14" s="1182">
        <v>9</v>
      </c>
      <c r="F14" s="188">
        <v>12</v>
      </c>
      <c r="G14" s="1182">
        <v>4</v>
      </c>
      <c r="H14" s="188">
        <v>93</v>
      </c>
      <c r="I14" s="636">
        <v>0</v>
      </c>
    </row>
    <row r="15" spans="1:13" ht="20" customHeight="1" thickBot="1">
      <c r="A15" s="634">
        <v>2004</v>
      </c>
      <c r="B15" s="1181">
        <v>32</v>
      </c>
      <c r="C15" s="1182">
        <v>11</v>
      </c>
      <c r="D15" s="188">
        <v>24</v>
      </c>
      <c r="E15" s="1182">
        <v>9</v>
      </c>
      <c r="F15" s="188">
        <v>12</v>
      </c>
      <c r="G15" s="1182">
        <v>4</v>
      </c>
      <c r="H15" s="188">
        <v>92</v>
      </c>
      <c r="I15" s="636">
        <v>-1.0752688172043012E-2</v>
      </c>
    </row>
    <row r="16" spans="1:13" ht="20" customHeight="1" thickBot="1">
      <c r="A16" s="634">
        <v>2005</v>
      </c>
      <c r="B16" s="1181">
        <v>27</v>
      </c>
      <c r="C16" s="1182">
        <v>13</v>
      </c>
      <c r="D16" s="188">
        <v>20</v>
      </c>
      <c r="E16" s="1182">
        <v>8</v>
      </c>
      <c r="F16" s="188">
        <v>13</v>
      </c>
      <c r="G16" s="1182">
        <v>4</v>
      </c>
      <c r="H16" s="188">
        <v>85</v>
      </c>
      <c r="I16" s="636">
        <v>-7.6086956521739135E-2</v>
      </c>
    </row>
    <row r="17" spans="1:9" ht="20" customHeight="1" thickBot="1">
      <c r="A17" s="634">
        <v>2006</v>
      </c>
      <c r="B17" s="1181">
        <v>28</v>
      </c>
      <c r="C17" s="1182">
        <v>14</v>
      </c>
      <c r="D17" s="188">
        <v>20</v>
      </c>
      <c r="E17" s="1182">
        <v>7</v>
      </c>
      <c r="F17" s="188">
        <v>14</v>
      </c>
      <c r="G17" s="1182">
        <v>4</v>
      </c>
      <c r="H17" s="188">
        <v>87</v>
      </c>
      <c r="I17" s="636">
        <v>2.3529411764705882E-2</v>
      </c>
    </row>
    <row r="18" spans="1:9" ht="20" customHeight="1" thickBot="1">
      <c r="A18" s="634">
        <v>2007</v>
      </c>
      <c r="B18" s="1181">
        <v>27</v>
      </c>
      <c r="C18" s="1182">
        <v>13</v>
      </c>
      <c r="D18" s="188">
        <v>21</v>
      </c>
      <c r="E18" s="1182">
        <v>8</v>
      </c>
      <c r="F18" s="188">
        <v>14</v>
      </c>
      <c r="G18" s="1182">
        <v>4</v>
      </c>
      <c r="H18" s="188">
        <v>87</v>
      </c>
      <c r="I18" s="636">
        <v>0</v>
      </c>
    </row>
    <row r="19" spans="1:9" ht="20" customHeight="1" thickBot="1">
      <c r="A19" s="634">
        <v>2008</v>
      </c>
      <c r="B19" s="1181">
        <v>26</v>
      </c>
      <c r="C19" s="1182">
        <v>13</v>
      </c>
      <c r="D19" s="188">
        <v>19</v>
      </c>
      <c r="E19" s="1182">
        <v>9</v>
      </c>
      <c r="F19" s="188">
        <v>15</v>
      </c>
      <c r="G19" s="1182">
        <v>4</v>
      </c>
      <c r="H19" s="188">
        <v>86</v>
      </c>
      <c r="I19" s="636">
        <v>-1.1494252873563204E-2</v>
      </c>
    </row>
    <row r="20" spans="1:9" ht="26.25" customHeight="1" thickBot="1">
      <c r="A20" s="638">
        <v>2009</v>
      </c>
      <c r="B20" s="1183">
        <v>22</v>
      </c>
      <c r="C20" s="1184">
        <v>10</v>
      </c>
      <c r="D20" s="191">
        <v>20</v>
      </c>
      <c r="E20" s="1184">
        <v>8</v>
      </c>
      <c r="F20" s="191">
        <v>17</v>
      </c>
      <c r="G20" s="1184">
        <v>4</v>
      </c>
      <c r="H20" s="191">
        <v>81</v>
      </c>
      <c r="I20" s="1185">
        <v>-5.8139534883720922E-2</v>
      </c>
    </row>
    <row r="21" spans="1:9" ht="20" customHeight="1">
      <c r="A21" s="140" t="s">
        <v>1837</v>
      </c>
      <c r="B21" s="194"/>
      <c r="C21" s="194"/>
      <c r="D21" s="194"/>
      <c r="E21" s="194"/>
      <c r="F21" s="194"/>
      <c r="G21" s="194"/>
      <c r="H21" s="194"/>
      <c r="I21" s="195"/>
    </row>
    <row r="22" spans="1:9" ht="13.5" customHeight="1">
      <c r="A22" s="141"/>
      <c r="B22" s="196"/>
      <c r="C22" s="196"/>
      <c r="D22" s="196"/>
      <c r="E22" s="196"/>
      <c r="F22" s="196"/>
      <c r="G22" s="196"/>
      <c r="H22" s="196"/>
      <c r="I22" s="197"/>
    </row>
    <row r="23" spans="1:9">
      <c r="A23" s="2" t="s">
        <v>605</v>
      </c>
    </row>
    <row r="26" spans="1:9">
      <c r="A26" s="2" t="s">
        <v>710</v>
      </c>
    </row>
  </sheetData>
  <phoneticPr fontId="0" type="noConversion"/>
  <pageMargins left="0.53" right="0.61" top="1.03" bottom="0.49" header="0.56000000000000005" footer="0.4921259845"/>
  <pageSetup paperSize="9" scale="85" orientation="portrait" horizontalDpi="4294967292" verticalDpi="4294967292"/>
  <headerFooter alignWithMargins="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2E1D1-70BF-A548-9CE5-93AADE3A87DD}">
  <sheetPr>
    <pageSetUpPr fitToPage="1"/>
  </sheetPr>
  <dimension ref="A1:P31"/>
  <sheetViews>
    <sheetView zoomScale="75" workbookViewId="0">
      <selection activeCell="A27" sqref="A27"/>
    </sheetView>
  </sheetViews>
  <sheetFormatPr baseColWidth="10" defaultColWidth="11.3984375" defaultRowHeight="13"/>
  <cols>
    <col min="1" max="1" width="14.59765625" style="2" customWidth="1"/>
    <col min="2" max="7" width="12.796875" style="2" customWidth="1"/>
    <col min="8" max="8" width="13.3984375" style="374" customWidth="1"/>
    <col min="9" max="9" width="12.59765625" style="2" customWidth="1"/>
    <col min="10" max="10" width="2.3984375" style="2" customWidth="1"/>
    <col min="11" max="11" width="12.59765625" style="2" customWidth="1"/>
    <col min="12" max="12" width="13" style="2" customWidth="1"/>
    <col min="13" max="13" width="11.796875" style="2" customWidth="1"/>
    <col min="14" max="14" width="12.59765625" style="2" customWidth="1"/>
    <col min="15" max="16384" width="11.3984375" style="2"/>
  </cols>
  <sheetData>
    <row r="1" spans="1:14" s="1" customFormat="1" ht="14" customHeight="1">
      <c r="A1" s="271"/>
      <c r="B1" s="271"/>
      <c r="C1" s="271"/>
      <c r="D1" s="271"/>
      <c r="E1" s="271"/>
      <c r="F1" s="271"/>
      <c r="G1" s="271"/>
      <c r="H1" s="1186"/>
    </row>
    <row r="2" spans="1:14" s="1" customFormat="1" ht="28" customHeight="1">
      <c r="A2" s="48" t="s">
        <v>1116</v>
      </c>
      <c r="B2" s="1187"/>
      <c r="C2" s="271"/>
      <c r="D2" s="271"/>
      <c r="E2" s="271"/>
      <c r="F2" s="271"/>
      <c r="G2" s="271"/>
      <c r="H2" s="398"/>
    </row>
    <row r="3" spans="1:14" ht="27" customHeight="1">
      <c r="A3" s="1045" t="s">
        <v>1131</v>
      </c>
      <c r="B3" s="2030" t="s">
        <v>1117</v>
      </c>
      <c r="C3" s="2031"/>
      <c r="D3" s="2030" t="s">
        <v>1118</v>
      </c>
      <c r="E3" s="2031"/>
      <c r="F3" s="2030" t="s">
        <v>1119</v>
      </c>
      <c r="G3" s="2031"/>
      <c r="H3" s="2030" t="s">
        <v>1119</v>
      </c>
      <c r="I3" s="2031"/>
      <c r="K3" s="2030" t="s">
        <v>1132</v>
      </c>
      <c r="L3" s="2031"/>
      <c r="M3" s="2030" t="s">
        <v>1133</v>
      </c>
      <c r="N3" s="2032"/>
    </row>
    <row r="4" spans="1:14" ht="18" customHeight="1">
      <c r="A4" s="325"/>
      <c r="B4" s="508" t="s">
        <v>1120</v>
      </c>
      <c r="C4" s="1188" t="s">
        <v>2414</v>
      </c>
      <c r="D4" s="508" t="s">
        <v>1120</v>
      </c>
      <c r="E4" s="1188" t="s">
        <v>2414</v>
      </c>
      <c r="F4" s="508" t="s">
        <v>1120</v>
      </c>
      <c r="G4" s="1188"/>
      <c r="H4" s="508" t="s">
        <v>2414</v>
      </c>
      <c r="I4" s="1188"/>
      <c r="K4" s="508" t="s">
        <v>1567</v>
      </c>
      <c r="L4" s="1188"/>
      <c r="M4" s="508" t="s">
        <v>1121</v>
      </c>
      <c r="N4" s="1188" t="s">
        <v>1121</v>
      </c>
    </row>
    <row r="5" spans="1:14" ht="15" customHeight="1">
      <c r="A5" s="325"/>
      <c r="B5" s="181"/>
      <c r="C5" s="124"/>
      <c r="D5" s="123"/>
      <c r="E5" s="124"/>
      <c r="F5" s="123"/>
      <c r="G5" s="1189" t="s">
        <v>1134</v>
      </c>
      <c r="H5" s="1190"/>
      <c r="I5" s="1189" t="s">
        <v>1134</v>
      </c>
      <c r="K5" s="508" t="s">
        <v>1122</v>
      </c>
      <c r="L5" s="1189" t="s">
        <v>1134</v>
      </c>
      <c r="M5" s="1190" t="s">
        <v>1123</v>
      </c>
      <c r="N5" s="1188" t="s">
        <v>1135</v>
      </c>
    </row>
    <row r="6" spans="1:14" ht="23.25" customHeight="1">
      <c r="A6" s="326"/>
      <c r="B6" s="182"/>
      <c r="C6" s="128"/>
      <c r="D6" s="129"/>
      <c r="E6" s="128"/>
      <c r="F6" s="129"/>
      <c r="G6" s="128"/>
      <c r="H6" s="1191"/>
      <c r="I6" s="128"/>
      <c r="K6" s="1192" t="s">
        <v>1124</v>
      </c>
      <c r="L6" s="128"/>
      <c r="M6" s="1193"/>
      <c r="N6" s="986"/>
    </row>
    <row r="7" spans="1:14" ht="1.5" customHeight="1" thickBot="1">
      <c r="A7" s="327">
        <v>1996</v>
      </c>
      <c r="B7" s="1194">
        <v>5252</v>
      </c>
      <c r="C7" s="171">
        <v>5728</v>
      </c>
      <c r="D7" s="170">
        <v>5623</v>
      </c>
      <c r="E7" s="171">
        <v>7761</v>
      </c>
      <c r="F7" s="170">
        <v>10875</v>
      </c>
      <c r="G7" s="1195" t="s">
        <v>744</v>
      </c>
      <c r="H7" s="170">
        <v>13489</v>
      </c>
      <c r="I7" s="1195" t="s">
        <v>744</v>
      </c>
      <c r="J7" s="8"/>
      <c r="K7" s="1194" t="s">
        <v>744</v>
      </c>
      <c r="L7" s="1195" t="s">
        <v>744</v>
      </c>
      <c r="M7" s="1196" t="s">
        <v>744</v>
      </c>
      <c r="N7" s="1197" t="s">
        <v>744</v>
      </c>
    </row>
    <row r="8" spans="1:14" ht="23.25" hidden="1" customHeight="1" thickBot="1">
      <c r="A8" s="328">
        <v>1997</v>
      </c>
      <c r="B8" s="1198">
        <v>5702</v>
      </c>
      <c r="C8" s="187">
        <v>6184</v>
      </c>
      <c r="D8" s="188">
        <v>4631</v>
      </c>
      <c r="E8" s="187">
        <v>6865</v>
      </c>
      <c r="F8" s="188">
        <v>10333</v>
      </c>
      <c r="G8" s="1199" t="s">
        <v>744</v>
      </c>
      <c r="H8" s="188">
        <v>13049</v>
      </c>
      <c r="I8" s="1199" t="s">
        <v>744</v>
      </c>
      <c r="K8" s="1198" t="s">
        <v>744</v>
      </c>
      <c r="L8" s="1199" t="s">
        <v>744</v>
      </c>
      <c r="M8" s="1200" t="s">
        <v>744</v>
      </c>
      <c r="N8" s="1201" t="s">
        <v>744</v>
      </c>
    </row>
    <row r="9" spans="1:14" ht="23.25" hidden="1" customHeight="1" thickBot="1">
      <c r="A9" s="328">
        <v>1998</v>
      </c>
      <c r="B9" s="1198">
        <v>5440</v>
      </c>
      <c r="C9" s="187">
        <v>5884</v>
      </c>
      <c r="D9" s="188">
        <v>4852</v>
      </c>
      <c r="E9" s="187">
        <v>6728</v>
      </c>
      <c r="F9" s="188">
        <v>10292</v>
      </c>
      <c r="G9" s="1199" t="s">
        <v>744</v>
      </c>
      <c r="H9" s="188">
        <v>12612</v>
      </c>
      <c r="I9" s="1199" t="s">
        <v>744</v>
      </c>
      <c r="K9" s="1198" t="s">
        <v>744</v>
      </c>
      <c r="L9" s="1199" t="s">
        <v>744</v>
      </c>
      <c r="M9" s="1200" t="s">
        <v>744</v>
      </c>
      <c r="N9" s="1201" t="s">
        <v>744</v>
      </c>
    </row>
    <row r="10" spans="1:14" ht="23.25" customHeight="1" thickBot="1">
      <c r="A10" s="328">
        <v>1999</v>
      </c>
      <c r="B10" s="1198">
        <v>5286</v>
      </c>
      <c r="C10" s="187">
        <v>5825</v>
      </c>
      <c r="D10" s="188">
        <v>4444</v>
      </c>
      <c r="E10" s="187">
        <v>6096</v>
      </c>
      <c r="F10" s="188">
        <v>9729</v>
      </c>
      <c r="G10" s="1199" t="s">
        <v>744</v>
      </c>
      <c r="H10" s="188">
        <v>11920</v>
      </c>
      <c r="I10" s="1199" t="s">
        <v>744</v>
      </c>
      <c r="K10" s="1198" t="s">
        <v>744</v>
      </c>
      <c r="L10" s="1199" t="s">
        <v>744</v>
      </c>
      <c r="M10" s="1200" t="s">
        <v>744</v>
      </c>
      <c r="N10" s="1201" t="s">
        <v>744</v>
      </c>
    </row>
    <row r="11" spans="1:14" ht="20" customHeight="1" thickBot="1">
      <c r="A11" s="328">
        <v>2000</v>
      </c>
      <c r="B11" s="1198">
        <v>4367</v>
      </c>
      <c r="C11" s="187">
        <v>4846</v>
      </c>
      <c r="D11" s="188">
        <v>5837</v>
      </c>
      <c r="E11" s="187">
        <v>7246</v>
      </c>
      <c r="F11" s="188">
        <v>10204</v>
      </c>
      <c r="G11" s="1199" t="s">
        <v>744</v>
      </c>
      <c r="H11" s="188">
        <v>12092</v>
      </c>
      <c r="I11" s="1199" t="s">
        <v>744</v>
      </c>
      <c r="K11" s="1198" t="s">
        <v>744</v>
      </c>
      <c r="L11" s="1199" t="s">
        <v>744</v>
      </c>
      <c r="M11" s="1200" t="s">
        <v>744</v>
      </c>
      <c r="N11" s="1201" t="s">
        <v>744</v>
      </c>
    </row>
    <row r="12" spans="1:14" ht="20" customHeight="1" thickBot="1">
      <c r="A12" s="328">
        <v>2001</v>
      </c>
      <c r="B12" s="1198">
        <v>4317</v>
      </c>
      <c r="C12" s="187">
        <v>4736</v>
      </c>
      <c r="D12" s="188">
        <v>3995</v>
      </c>
      <c r="E12" s="187">
        <v>4942</v>
      </c>
      <c r="F12" s="188">
        <v>8312</v>
      </c>
      <c r="G12" s="1199" t="s">
        <v>744</v>
      </c>
      <c r="H12" s="188">
        <v>9678</v>
      </c>
      <c r="I12" s="1199" t="s">
        <v>744</v>
      </c>
      <c r="K12" s="1198" t="s">
        <v>744</v>
      </c>
      <c r="L12" s="1199" t="s">
        <v>744</v>
      </c>
      <c r="M12" s="1200" t="s">
        <v>744</v>
      </c>
      <c r="N12" s="1201" t="s">
        <v>744</v>
      </c>
    </row>
    <row r="13" spans="1:14" ht="20" customHeight="1" thickBot="1">
      <c r="A13" s="328">
        <v>2002</v>
      </c>
      <c r="B13" s="1198">
        <v>4346</v>
      </c>
      <c r="C13" s="187">
        <v>4839</v>
      </c>
      <c r="D13" s="188">
        <v>3951</v>
      </c>
      <c r="E13" s="187">
        <v>4838</v>
      </c>
      <c r="F13" s="188">
        <v>8297</v>
      </c>
      <c r="G13" s="1199" t="s">
        <v>744</v>
      </c>
      <c r="H13" s="188">
        <v>9677</v>
      </c>
      <c r="I13" s="1199" t="s">
        <v>744</v>
      </c>
      <c r="K13" s="1198" t="s">
        <v>744</v>
      </c>
      <c r="L13" s="1199" t="s">
        <v>744</v>
      </c>
      <c r="M13" s="1200" t="s">
        <v>744</v>
      </c>
      <c r="N13" s="1201" t="s">
        <v>744</v>
      </c>
    </row>
    <row r="14" spans="1:14" ht="20" customHeight="1" thickBot="1">
      <c r="A14" s="328">
        <v>2003</v>
      </c>
      <c r="B14" s="1198">
        <v>5023</v>
      </c>
      <c r="C14" s="187">
        <v>5690</v>
      </c>
      <c r="D14" s="188">
        <v>2968</v>
      </c>
      <c r="E14" s="187">
        <v>3779</v>
      </c>
      <c r="F14" s="188">
        <v>7991</v>
      </c>
      <c r="G14" s="1199" t="s">
        <v>744</v>
      </c>
      <c r="H14" s="188">
        <v>9469</v>
      </c>
      <c r="I14" s="1199" t="s">
        <v>744</v>
      </c>
      <c r="K14" s="1198" t="s">
        <v>744</v>
      </c>
      <c r="L14" s="1199" t="s">
        <v>744</v>
      </c>
      <c r="M14" s="1200" t="s">
        <v>744</v>
      </c>
      <c r="N14" s="1201" t="s">
        <v>744</v>
      </c>
    </row>
    <row r="15" spans="1:14" ht="20" customHeight="1" thickBot="1">
      <c r="A15" s="328">
        <v>2004</v>
      </c>
      <c r="B15" s="1198">
        <v>5428</v>
      </c>
      <c r="C15" s="187">
        <v>6333</v>
      </c>
      <c r="D15" s="188">
        <v>2801</v>
      </c>
      <c r="E15" s="187">
        <v>3511</v>
      </c>
      <c r="F15" s="188">
        <v>8229</v>
      </c>
      <c r="G15" s="1199" t="s">
        <v>744</v>
      </c>
      <c r="H15" s="188">
        <v>9844</v>
      </c>
      <c r="I15" s="1199" t="s">
        <v>744</v>
      </c>
      <c r="K15" s="1198" t="s">
        <v>744</v>
      </c>
      <c r="L15" s="1199" t="s">
        <v>744</v>
      </c>
      <c r="M15" s="1200" t="s">
        <v>744</v>
      </c>
      <c r="N15" s="1201" t="s">
        <v>744</v>
      </c>
    </row>
    <row r="16" spans="1:14" ht="20" customHeight="1" thickBot="1">
      <c r="A16" s="328">
        <v>2005</v>
      </c>
      <c r="B16" s="1198">
        <v>5554</v>
      </c>
      <c r="C16" s="187">
        <v>6193</v>
      </c>
      <c r="D16" s="188">
        <v>3178</v>
      </c>
      <c r="E16" s="187">
        <v>3889</v>
      </c>
      <c r="F16" s="188">
        <v>8732</v>
      </c>
      <c r="G16" s="1199" t="s">
        <v>744</v>
      </c>
      <c r="H16" s="188">
        <v>10082</v>
      </c>
      <c r="I16" s="1199" t="s">
        <v>744</v>
      </c>
      <c r="K16" s="1198" t="s">
        <v>744</v>
      </c>
      <c r="L16" s="1199" t="s">
        <v>744</v>
      </c>
      <c r="M16" s="1200" t="s">
        <v>744</v>
      </c>
      <c r="N16" s="1201" t="s">
        <v>744</v>
      </c>
    </row>
    <row r="17" spans="1:16" ht="20" customHeight="1" thickBot="1">
      <c r="A17" s="328">
        <v>2006</v>
      </c>
      <c r="B17" s="1198">
        <v>5770</v>
      </c>
      <c r="C17" s="187">
        <v>6389</v>
      </c>
      <c r="D17" s="188">
        <v>3049</v>
      </c>
      <c r="E17" s="187">
        <v>3717</v>
      </c>
      <c r="F17" s="188">
        <v>8819</v>
      </c>
      <c r="G17" s="1199" t="s">
        <v>744</v>
      </c>
      <c r="H17" s="188">
        <v>10106</v>
      </c>
      <c r="I17" s="1199" t="s">
        <v>744</v>
      </c>
      <c r="K17" s="1198" t="s">
        <v>744</v>
      </c>
      <c r="L17" s="1199" t="s">
        <v>744</v>
      </c>
      <c r="M17" s="1200" t="s">
        <v>744</v>
      </c>
      <c r="N17" s="1201" t="s">
        <v>744</v>
      </c>
    </row>
    <row r="18" spans="1:16" ht="20" customHeight="1" thickBot="1">
      <c r="A18" s="328">
        <v>2007</v>
      </c>
      <c r="B18" s="1198">
        <v>7087</v>
      </c>
      <c r="C18" s="187">
        <v>7977</v>
      </c>
      <c r="D18" s="188">
        <v>3002</v>
      </c>
      <c r="E18" s="187">
        <v>3628</v>
      </c>
      <c r="F18" s="188">
        <v>10089</v>
      </c>
      <c r="G18" s="187">
        <v>702</v>
      </c>
      <c r="H18" s="188">
        <v>11605</v>
      </c>
      <c r="I18" s="187">
        <v>689</v>
      </c>
      <c r="K18" s="441">
        <v>832.84199999999998</v>
      </c>
      <c r="L18" s="442">
        <v>99.68</v>
      </c>
      <c r="M18" s="1202">
        <v>87877.15912059712</v>
      </c>
      <c r="N18" s="1029">
        <v>172150.46913302015</v>
      </c>
    </row>
    <row r="19" spans="1:16" ht="20" customHeight="1" thickBot="1">
      <c r="A19" s="328">
        <v>2008</v>
      </c>
      <c r="B19" s="1198">
        <v>7011.76</v>
      </c>
      <c r="C19" s="187">
        <v>8068.23</v>
      </c>
      <c r="D19" s="188">
        <v>2796.16</v>
      </c>
      <c r="E19" s="187">
        <v>3914.2</v>
      </c>
      <c r="F19" s="188">
        <v>9807.92</v>
      </c>
      <c r="G19" s="187">
        <v>542.97</v>
      </c>
      <c r="H19" s="188">
        <v>11982.43</v>
      </c>
      <c r="I19" s="187">
        <v>630.20000000000005</v>
      </c>
      <c r="K19" s="441">
        <v>578.09929999999997</v>
      </c>
      <c r="L19" s="442">
        <v>61.971699999999998</v>
      </c>
      <c r="M19" s="1202">
        <v>87494.52836879433</v>
      </c>
      <c r="N19" s="1029">
        <v>150903.96050356733</v>
      </c>
    </row>
    <row r="20" spans="1:16" ht="24" customHeight="1" thickBot="1">
      <c r="A20" s="137">
        <v>2009</v>
      </c>
      <c r="B20" s="1203">
        <v>7104.1</v>
      </c>
      <c r="C20" s="190">
        <v>8234</v>
      </c>
      <c r="D20" s="191">
        <v>2676.38</v>
      </c>
      <c r="E20" s="190">
        <v>3912</v>
      </c>
      <c r="F20" s="191">
        <v>9780.48</v>
      </c>
      <c r="G20" s="190">
        <v>334.41</v>
      </c>
      <c r="H20" s="191">
        <v>12146</v>
      </c>
      <c r="I20" s="193">
        <v>436</v>
      </c>
      <c r="K20" s="949">
        <v>581.29669999999999</v>
      </c>
      <c r="L20" s="452">
        <v>35.061199999999999</v>
      </c>
      <c r="M20" s="1204">
        <v>86570.241074114543</v>
      </c>
      <c r="N20" s="1205">
        <v>161757.10896750502</v>
      </c>
      <c r="P20" s="11" t="s">
        <v>1125</v>
      </c>
    </row>
    <row r="21" spans="1:16" ht="20.25" customHeight="1">
      <c r="A21" s="140" t="s">
        <v>1837</v>
      </c>
      <c r="B21" s="977"/>
      <c r="C21" s="977"/>
      <c r="D21" s="977"/>
      <c r="E21" s="977"/>
      <c r="F21" s="977"/>
      <c r="G21" s="977"/>
      <c r="H21" s="1206"/>
    </row>
    <row r="22" spans="1:16" ht="14.25" customHeight="1">
      <c r="A22" s="474"/>
      <c r="B22" s="474"/>
      <c r="C22" s="474"/>
      <c r="D22" s="474"/>
      <c r="E22" s="474"/>
      <c r="F22" s="474"/>
      <c r="G22" s="474"/>
      <c r="H22" s="1207"/>
    </row>
    <row r="23" spans="1:16">
      <c r="A23" s="2" t="s">
        <v>1126</v>
      </c>
    </row>
    <row r="24" spans="1:16">
      <c r="A24" s="2" t="s">
        <v>1127</v>
      </c>
    </row>
    <row r="25" spans="1:16">
      <c r="A25" s="2" t="s">
        <v>1128</v>
      </c>
    </row>
    <row r="26" spans="1:16">
      <c r="A26" s="3" t="s">
        <v>1129</v>
      </c>
    </row>
    <row r="28" spans="1:16">
      <c r="A28" s="2" t="s">
        <v>1130</v>
      </c>
    </row>
    <row r="31" spans="1:16">
      <c r="A31" s="2" t="s">
        <v>710</v>
      </c>
    </row>
  </sheetData>
  <mergeCells count="6">
    <mergeCell ref="K3:L3"/>
    <mergeCell ref="M3:N3"/>
    <mergeCell ref="B3:C3"/>
    <mergeCell ref="D3:E3"/>
    <mergeCell ref="F3:G3"/>
    <mergeCell ref="H3:I3"/>
  </mergeCells>
  <phoneticPr fontId="0" type="noConversion"/>
  <pageMargins left="0.49" right="0.54" top="0.72" bottom="0.49" header="0.56000000000000005" footer="0.4921259845"/>
  <pageSetup paperSize="9" scale="80" orientation="landscape" horizontalDpi="4294967292" verticalDpi="4294967292"/>
  <headerFooter alignWithMargins="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B5DC4-6A2C-DF4D-B7AA-61ECD4D010AE}">
  <sheetPr>
    <pageSetUpPr fitToPage="1"/>
  </sheetPr>
  <dimension ref="A1:K31"/>
  <sheetViews>
    <sheetView topLeftCell="A12" zoomScale="75" workbookViewId="0">
      <selection activeCell="J13" sqref="J13"/>
    </sheetView>
  </sheetViews>
  <sheetFormatPr baseColWidth="10" defaultColWidth="11.3984375" defaultRowHeight="13"/>
  <cols>
    <col min="1" max="1" width="15.59765625" style="2" customWidth="1"/>
    <col min="2" max="2" width="15.3984375" style="2" customWidth="1"/>
    <col min="3" max="3" width="15.3984375" style="374" customWidth="1"/>
    <col min="4" max="4" width="15.3984375" style="2" customWidth="1"/>
    <col min="5" max="5" width="15.3984375" style="374" customWidth="1"/>
    <col min="6" max="6" width="15.3984375" style="2" customWidth="1"/>
    <col min="7" max="7" width="15.3984375" style="374" customWidth="1"/>
    <col min="8" max="8" width="10.3984375" style="2" customWidth="1"/>
    <col min="9" max="16384" width="11.3984375" style="2"/>
  </cols>
  <sheetData>
    <row r="1" spans="1:11" s="1" customFormat="1" ht="14" customHeight="1">
      <c r="C1" s="355"/>
      <c r="E1" s="355"/>
      <c r="G1" s="355"/>
    </row>
    <row r="2" spans="1:11" s="1" customFormat="1" ht="28" customHeight="1">
      <c r="A2" s="48" t="s">
        <v>863</v>
      </c>
      <c r="C2" s="355"/>
      <c r="E2" s="355"/>
      <c r="G2" s="398"/>
    </row>
    <row r="3" spans="1:11" ht="24" customHeight="1">
      <c r="A3" s="119" t="s">
        <v>633</v>
      </c>
      <c r="B3" s="120" t="s">
        <v>2321</v>
      </c>
      <c r="C3" s="357" t="s">
        <v>1801</v>
      </c>
      <c r="D3" s="120" t="s">
        <v>2322</v>
      </c>
      <c r="E3" s="357" t="s">
        <v>1801</v>
      </c>
      <c r="F3" s="120" t="s">
        <v>2323</v>
      </c>
      <c r="G3" s="357" t="s">
        <v>1801</v>
      </c>
    </row>
    <row r="4" spans="1:11" ht="15" customHeight="1">
      <c r="A4" s="325"/>
      <c r="B4" s="123" t="s">
        <v>2323</v>
      </c>
      <c r="C4" s="358" t="s">
        <v>1802</v>
      </c>
      <c r="D4" s="123" t="s">
        <v>2324</v>
      </c>
      <c r="E4" s="358" t="s">
        <v>1802</v>
      </c>
      <c r="F4" s="123" t="s">
        <v>2325</v>
      </c>
      <c r="G4" s="358" t="s">
        <v>1802</v>
      </c>
    </row>
    <row r="5" spans="1:11" ht="15" customHeight="1">
      <c r="A5" s="325"/>
      <c r="B5" s="123" t="s">
        <v>2326</v>
      </c>
      <c r="C5" s="358" t="s">
        <v>1806</v>
      </c>
      <c r="D5" s="123" t="s">
        <v>2327</v>
      </c>
      <c r="E5" s="358" t="s">
        <v>1806</v>
      </c>
      <c r="F5" s="123" t="s">
        <v>634</v>
      </c>
      <c r="G5" s="358" t="s">
        <v>1806</v>
      </c>
    </row>
    <row r="6" spans="1:11" ht="24" customHeight="1">
      <c r="A6" s="326"/>
      <c r="B6" s="129"/>
      <c r="C6" s="359"/>
      <c r="D6" s="129" t="s">
        <v>2000</v>
      </c>
      <c r="E6" s="359"/>
      <c r="F6" s="129"/>
      <c r="G6" s="359"/>
    </row>
    <row r="7" spans="1:11" ht="2.25" customHeight="1" thickBot="1">
      <c r="A7" s="327">
        <v>1996</v>
      </c>
      <c r="B7" s="170">
        <v>16879.057940520001</v>
      </c>
      <c r="C7" s="375">
        <v>3.1990175768496547E-2</v>
      </c>
      <c r="D7" s="170">
        <v>17192.470827740002</v>
      </c>
      <c r="E7" s="375">
        <v>6.792517720196245E-2</v>
      </c>
      <c r="F7" s="170">
        <v>-313.41288724000009</v>
      </c>
      <c r="G7" s="375">
        <v>-2.2198566405891191</v>
      </c>
      <c r="I7" s="8"/>
      <c r="J7" s="8"/>
      <c r="K7" s="8"/>
    </row>
    <row r="8" spans="1:11" ht="0.75" customHeight="1" thickBot="1">
      <c r="A8" s="328">
        <v>1997</v>
      </c>
      <c r="B8" s="188">
        <v>17865.03228775</v>
      </c>
      <c r="C8" s="364">
        <v>5.8414062603758345E-2</v>
      </c>
      <c r="D8" s="188">
        <v>17672.056997619999</v>
      </c>
      <c r="E8" s="364">
        <v>2.7895127738485698E-2</v>
      </c>
      <c r="F8" s="188">
        <v>192.97529009999997</v>
      </c>
      <c r="G8" s="364">
        <v>1.6157222563481464</v>
      </c>
    </row>
    <row r="9" spans="1:11" ht="0.75" hidden="1" customHeight="1" thickBot="1">
      <c r="A9" s="328">
        <v>1998</v>
      </c>
      <c r="B9" s="188">
        <v>18556.3398476</v>
      </c>
      <c r="C9" s="364">
        <v>3.8696127088671844E-2</v>
      </c>
      <c r="D9" s="188">
        <v>18402.610160249998</v>
      </c>
      <c r="E9" s="364">
        <v>4.1339452601832818E-2</v>
      </c>
      <c r="F9" s="188">
        <v>153.72876116999998</v>
      </c>
      <c r="G9" s="364">
        <v>-0.20337592916514025</v>
      </c>
    </row>
    <row r="10" spans="1:11" ht="19.5" customHeight="1" thickBot="1">
      <c r="A10" s="328">
        <v>1999</v>
      </c>
      <c r="B10" s="188">
        <v>18130.009685380002</v>
      </c>
      <c r="C10" s="364">
        <v>-2.2974905920099209E-2</v>
      </c>
      <c r="D10" s="188">
        <v>18002.60641059</v>
      </c>
      <c r="E10" s="364">
        <v>-2.1736250791423828E-2</v>
      </c>
      <c r="F10" s="188">
        <v>127.40327493000001</v>
      </c>
      <c r="G10" s="364">
        <v>-0.17124633048260957</v>
      </c>
    </row>
    <row r="11" spans="1:11" ht="19.5" customHeight="1" thickBot="1">
      <c r="A11" s="328">
        <v>2000</v>
      </c>
      <c r="B11" s="188">
        <v>17664.531028940004</v>
      </c>
      <c r="C11" s="364">
        <v>-2.5674484708927636E-2</v>
      </c>
      <c r="D11" s="188">
        <v>17831.851511680001</v>
      </c>
      <c r="E11" s="364">
        <v>-9.4850098377728953E-3</v>
      </c>
      <c r="F11" s="188">
        <v>-167.29975024999999</v>
      </c>
      <c r="G11" s="364">
        <v>-2.3131510971120686</v>
      </c>
    </row>
    <row r="12" spans="1:11" ht="19.5" customHeight="1" thickBot="1">
      <c r="A12" s="328">
        <v>2001</v>
      </c>
      <c r="B12" s="188">
        <v>16854.501682999999</v>
      </c>
      <c r="C12" s="364">
        <v>-4.5856261035910006E-2</v>
      </c>
      <c r="D12" s="188">
        <v>17581.378779999999</v>
      </c>
      <c r="E12" s="364">
        <v>-1.4046367059300624E-2</v>
      </c>
      <c r="F12" s="188">
        <v>-724.67685832999996</v>
      </c>
      <c r="G12" s="364">
        <v>-3.3316075322712564</v>
      </c>
    </row>
    <row r="13" spans="1:11" ht="19.5" customHeight="1" thickBot="1">
      <c r="A13" s="328">
        <v>2002</v>
      </c>
      <c r="B13" s="188">
        <v>17923.033692000001</v>
      </c>
      <c r="C13" s="364">
        <v>6.3397425156613174E-2</v>
      </c>
      <c r="D13" s="188">
        <v>18156.411305000001</v>
      </c>
      <c r="E13" s="364">
        <v>3.2706907245189543E-2</v>
      </c>
      <c r="F13" s="188">
        <v>-233.37761233999998</v>
      </c>
      <c r="G13" s="364">
        <v>0.67795630610060742</v>
      </c>
    </row>
    <row r="14" spans="1:11" ht="19.5" customHeight="1" thickBot="1">
      <c r="A14" s="328">
        <v>2003</v>
      </c>
      <c r="B14" s="188">
        <v>19735.068495</v>
      </c>
      <c r="C14" s="364">
        <v>0.10110089810347267</v>
      </c>
      <c r="D14" s="188">
        <v>19234.994873</v>
      </c>
      <c r="E14" s="364">
        <v>5.9405107643875299E-2</v>
      </c>
      <c r="F14" s="188">
        <v>500.07362212000004</v>
      </c>
      <c r="G14" s="364">
        <v>3.1427660395782078</v>
      </c>
    </row>
    <row r="15" spans="1:11" ht="19.5" customHeight="1" thickBot="1">
      <c r="A15" s="328">
        <v>2004</v>
      </c>
      <c r="B15" s="188">
        <v>20469.211171999999</v>
      </c>
      <c r="C15" s="364">
        <v>3.7199905193437743E-2</v>
      </c>
      <c r="D15" s="188">
        <v>19860.79033</v>
      </c>
      <c r="E15" s="364">
        <v>3.2534214910471482E-2</v>
      </c>
      <c r="F15" s="188">
        <v>608.42084196000008</v>
      </c>
      <c r="G15" s="364">
        <v>0.21666253736934862</v>
      </c>
    </row>
    <row r="16" spans="1:11" ht="19.5" customHeight="1" thickBot="1">
      <c r="A16" s="328">
        <v>2005</v>
      </c>
      <c r="B16" s="188">
        <v>21134.645651759998</v>
      </c>
      <c r="C16" s="364">
        <v>3.2509043664088688E-2</v>
      </c>
      <c r="D16" s="188">
        <v>20885.686091</v>
      </c>
      <c r="E16" s="364">
        <v>5.1603976678203045E-2</v>
      </c>
      <c r="F16" s="188">
        <v>248.95956138999998</v>
      </c>
      <c r="G16" s="364">
        <v>-0.59081026779426549</v>
      </c>
    </row>
    <row r="17" spans="1:9" ht="19.5" customHeight="1" thickBot="1">
      <c r="A17" s="328">
        <v>2006</v>
      </c>
      <c r="B17" s="188">
        <v>21891.095507740003</v>
      </c>
      <c r="C17" s="364">
        <v>3.5791934648168988E-2</v>
      </c>
      <c r="D17" s="188">
        <v>21334.273675</v>
      </c>
      <c r="E17" s="364">
        <v>2.147823069088961E-2</v>
      </c>
      <c r="F17" s="188">
        <v>556.82183227999997</v>
      </c>
      <c r="G17" s="364">
        <v>1.2365954903323748</v>
      </c>
    </row>
    <row r="18" spans="1:9" ht="19.5" customHeight="1" thickBot="1">
      <c r="A18" s="328">
        <v>2007</v>
      </c>
      <c r="B18" s="188">
        <v>22327.610027520001</v>
      </c>
      <c r="C18" s="364">
        <v>1.9940277526342198E-2</v>
      </c>
      <c r="D18" s="188">
        <v>22091.411327379999</v>
      </c>
      <c r="E18" s="364">
        <v>3.5489263141272653E-2</v>
      </c>
      <c r="F18" s="188">
        <v>236.19870014000003</v>
      </c>
      <c r="G18" s="364">
        <v>-0.57580919704091882</v>
      </c>
    </row>
    <row r="19" spans="1:9" ht="19.5" customHeight="1" thickBot="1">
      <c r="A19" s="328">
        <v>2008</v>
      </c>
      <c r="B19" s="188">
        <v>22243.624231310001</v>
      </c>
      <c r="C19" s="364">
        <v>-3.761521994807393E-3</v>
      </c>
      <c r="D19" s="188">
        <v>22986.427970659999</v>
      </c>
      <c r="E19" s="364">
        <v>4.0514235601177617E-2</v>
      </c>
      <c r="F19" s="188">
        <v>-742.80373934999989</v>
      </c>
      <c r="G19" s="364">
        <v>-4.1448256866347029</v>
      </c>
    </row>
    <row r="20" spans="1:9" s="265" customFormat="1" ht="26.25" customHeight="1" thickBot="1">
      <c r="A20" s="376">
        <v>2009</v>
      </c>
      <c r="B20" s="298">
        <v>23404.08514187</v>
      </c>
      <c r="C20" s="377">
        <v>5.217049607080404E-2</v>
      </c>
      <c r="D20" s="298">
        <v>23827.526591220001</v>
      </c>
      <c r="E20" s="377">
        <v>3.6591097217609558E-2</v>
      </c>
      <c r="F20" s="298">
        <v>-423.44144935000003</v>
      </c>
      <c r="G20" s="377">
        <v>0.42994168322235699</v>
      </c>
      <c r="I20" s="438"/>
    </row>
    <row r="21" spans="1:9" ht="20" customHeight="1">
      <c r="A21" s="140" t="s">
        <v>1837</v>
      </c>
      <c r="B21" s="140"/>
      <c r="C21" s="372"/>
      <c r="D21" s="140"/>
      <c r="E21" s="372"/>
      <c r="F21" s="140"/>
      <c r="G21" s="372"/>
    </row>
    <row r="22" spans="1:9" ht="13.5" customHeight="1">
      <c r="A22" s="141"/>
      <c r="B22" s="141"/>
      <c r="C22" s="373"/>
      <c r="D22" s="141"/>
      <c r="E22" s="373"/>
      <c r="F22" s="141"/>
      <c r="G22" s="373"/>
    </row>
    <row r="23" spans="1:9">
      <c r="A23" s="141" t="s">
        <v>864</v>
      </c>
    </row>
    <row r="24" spans="1:9">
      <c r="A24" s="2" t="s">
        <v>2004</v>
      </c>
    </row>
    <row r="25" spans="1:9">
      <c r="A25" s="2" t="s">
        <v>635</v>
      </c>
    </row>
    <row r="26" spans="1:9">
      <c r="A26" s="2" t="s">
        <v>865</v>
      </c>
    </row>
    <row r="28" spans="1:9">
      <c r="A28" s="2" t="s">
        <v>632</v>
      </c>
    </row>
    <row r="31" spans="1:9">
      <c r="A31" s="2" t="s">
        <v>710</v>
      </c>
    </row>
  </sheetData>
  <phoneticPr fontId="0" type="noConversion"/>
  <pageMargins left="0.67" right="0.78740157480314965" top="1.1000000000000001" bottom="0.49" header="0.59" footer="0.4921259845"/>
  <pageSetup paperSize="9" scale="74" orientation="portrait" horizontalDpi="4294967292" verticalDpi="4294967292"/>
  <headerFooter alignWithMargins="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3865D-EAEA-BB43-B5BC-850D8F8942B5}">
  <sheetPr>
    <pageSetUpPr fitToPage="1"/>
  </sheetPr>
  <dimension ref="A1:D48"/>
  <sheetViews>
    <sheetView topLeftCell="A2" zoomScale="75" workbookViewId="0">
      <selection activeCell="A44" sqref="A44"/>
    </sheetView>
  </sheetViews>
  <sheetFormatPr baseColWidth="10" defaultColWidth="11.3984375" defaultRowHeight="13"/>
  <cols>
    <col min="1" max="1" width="10.59765625" style="2" customWidth="1"/>
    <col min="2" max="2" width="60.3984375" style="87" customWidth="1"/>
    <col min="3" max="3" width="18.3984375" style="7" customWidth="1"/>
    <col min="4" max="4" width="17" style="374" customWidth="1"/>
    <col min="5" max="16384" width="11.3984375" style="2"/>
  </cols>
  <sheetData>
    <row r="1" spans="1:4" s="1" customFormat="1" ht="14" customHeight="1">
      <c r="B1" s="289"/>
      <c r="C1" s="144"/>
      <c r="D1" s="355"/>
    </row>
    <row r="2" spans="1:4" s="1" customFormat="1" ht="28" customHeight="1">
      <c r="A2" s="48" t="s">
        <v>1863</v>
      </c>
      <c r="B2" s="289"/>
      <c r="C2" s="144"/>
      <c r="D2" s="398">
        <v>2009</v>
      </c>
    </row>
    <row r="3" spans="1:4" ht="39" customHeight="1">
      <c r="A3" s="119" t="s">
        <v>1382</v>
      </c>
      <c r="B3" s="306"/>
      <c r="C3" s="147" t="s">
        <v>2010</v>
      </c>
      <c r="D3" s="357" t="s">
        <v>2029</v>
      </c>
    </row>
    <row r="4" spans="1:4" ht="38" customHeight="1">
      <c r="A4" s="291"/>
      <c r="B4" s="292"/>
      <c r="C4" s="154" t="s">
        <v>2528</v>
      </c>
      <c r="D4" s="359" t="s">
        <v>2030</v>
      </c>
    </row>
    <row r="5" spans="1:4" ht="30" customHeight="1" thickBot="1">
      <c r="A5" s="131">
        <v>60</v>
      </c>
      <c r="B5" s="131" t="s">
        <v>806</v>
      </c>
      <c r="C5" s="170">
        <v>267723268.72999999</v>
      </c>
      <c r="D5" s="375">
        <v>1.1439168295070079E-2</v>
      </c>
    </row>
    <row r="6" spans="1:4" ht="16" customHeight="1" thickBot="1">
      <c r="A6" s="135">
        <v>600</v>
      </c>
      <c r="B6" s="135" t="s">
        <v>1864</v>
      </c>
      <c r="C6" s="188">
        <v>278405854.38</v>
      </c>
      <c r="D6" s="364">
        <v>1.1895609364449408E-2</v>
      </c>
    </row>
    <row r="7" spans="1:4" ht="16" customHeight="1" thickBot="1">
      <c r="A7" s="135">
        <v>601</v>
      </c>
      <c r="B7" s="135" t="s">
        <v>1865</v>
      </c>
      <c r="C7" s="188">
        <v>-10682585.65</v>
      </c>
      <c r="D7" s="364">
        <v>-4.564410693793287E-4</v>
      </c>
    </row>
    <row r="8" spans="1:4" ht="19.5" customHeight="1" thickBot="1">
      <c r="A8" s="135">
        <v>61</v>
      </c>
      <c r="B8" s="135" t="s">
        <v>1861</v>
      </c>
      <c r="C8" s="188">
        <v>20239085216.369999</v>
      </c>
      <c r="D8" s="364">
        <v>0.86476720169515175</v>
      </c>
    </row>
    <row r="9" spans="1:4" ht="18" customHeight="1" thickBot="1">
      <c r="A9" s="135">
        <v>63</v>
      </c>
      <c r="B9" s="135" t="s">
        <v>1862</v>
      </c>
      <c r="C9" s="188">
        <v>2096714499.6500001</v>
      </c>
      <c r="D9" s="364">
        <v>8.9587543667706535E-2</v>
      </c>
    </row>
    <row r="10" spans="1:4" ht="21.75" customHeight="1" thickBot="1">
      <c r="A10" s="136" t="s">
        <v>1866</v>
      </c>
      <c r="B10" s="136" t="s">
        <v>2332</v>
      </c>
      <c r="C10" s="188">
        <v>22603522984.75</v>
      </c>
      <c r="D10" s="364">
        <v>0.96579391365792844</v>
      </c>
    </row>
    <row r="11" spans="1:4" ht="16" customHeight="1" thickBot="1">
      <c r="A11" s="135">
        <v>64</v>
      </c>
      <c r="B11" s="135" t="s">
        <v>1867</v>
      </c>
      <c r="C11" s="188">
        <v>-112644605.55</v>
      </c>
      <c r="D11" s="364">
        <v>-4.8130317791605691E-3</v>
      </c>
    </row>
    <row r="12" spans="1:4" ht="16" customHeight="1" thickBot="1">
      <c r="A12" s="135">
        <v>65</v>
      </c>
      <c r="B12" s="135" t="s">
        <v>1868</v>
      </c>
      <c r="C12" s="188">
        <v>10263605.289999999</v>
      </c>
      <c r="D12" s="364">
        <v>4.3853905110088535E-4</v>
      </c>
    </row>
    <row r="13" spans="1:4" ht="21.75" customHeight="1" thickBot="1">
      <c r="A13" s="136" t="s">
        <v>1869</v>
      </c>
      <c r="B13" s="136" t="s">
        <v>2533</v>
      </c>
      <c r="C13" s="188">
        <v>22501141984.490002</v>
      </c>
      <c r="D13" s="364">
        <v>0.96141942092986887</v>
      </c>
    </row>
    <row r="14" spans="1:4" ht="16" customHeight="1" thickBot="1">
      <c r="A14" s="135">
        <v>66</v>
      </c>
      <c r="B14" s="135" t="s">
        <v>1870</v>
      </c>
      <c r="C14" s="188">
        <v>-25298407.370000001</v>
      </c>
      <c r="D14" s="364">
        <v>-1.0809398110050905E-3</v>
      </c>
    </row>
    <row r="15" spans="1:4" ht="21.75" customHeight="1" thickBot="1">
      <c r="A15" s="136" t="s">
        <v>1871</v>
      </c>
      <c r="B15" s="136" t="s">
        <v>2536</v>
      </c>
      <c r="C15" s="188">
        <v>22475843577.119999</v>
      </c>
      <c r="D15" s="364">
        <v>0.96033848111886366</v>
      </c>
    </row>
    <row r="16" spans="1:4" ht="16" customHeight="1" thickBot="1">
      <c r="A16" s="135">
        <v>67</v>
      </c>
      <c r="B16" s="135" t="s">
        <v>1872</v>
      </c>
      <c r="C16" s="188">
        <v>1815834418.76</v>
      </c>
      <c r="D16" s="364">
        <v>7.7586216583679452E-2</v>
      </c>
    </row>
    <row r="17" spans="1:4" ht="16" customHeight="1" thickBot="1">
      <c r="A17" s="135">
        <v>670</v>
      </c>
      <c r="B17" s="135" t="s">
        <v>1873</v>
      </c>
      <c r="C17" s="188">
        <v>1746806429.03</v>
      </c>
      <c r="D17" s="364">
        <v>7.4636817394966512E-2</v>
      </c>
    </row>
    <row r="18" spans="1:4" ht="16" customHeight="1" thickBot="1">
      <c r="A18" s="135">
        <v>672</v>
      </c>
      <c r="B18" s="135" t="s">
        <v>1874</v>
      </c>
      <c r="C18" s="188">
        <v>53152887.25</v>
      </c>
      <c r="D18" s="364">
        <v>2.2710944233795011E-3</v>
      </c>
    </row>
    <row r="19" spans="1:4" ht="16" customHeight="1" thickBot="1">
      <c r="A19" s="135">
        <v>673</v>
      </c>
      <c r="B19" s="135" t="s">
        <v>1875</v>
      </c>
      <c r="C19" s="188">
        <v>15009549.08</v>
      </c>
      <c r="D19" s="364">
        <v>6.4132176024038891E-4</v>
      </c>
    </row>
    <row r="20" spans="1:4" ht="16" customHeight="1" thickBot="1">
      <c r="A20" s="135">
        <v>675</v>
      </c>
      <c r="B20" s="135" t="s">
        <v>1876</v>
      </c>
      <c r="C20" s="188">
        <v>865553.4</v>
      </c>
      <c r="D20" s="364">
        <v>3.6983005093051965E-5</v>
      </c>
    </row>
    <row r="21" spans="1:4" ht="16" customHeight="1" thickBot="1">
      <c r="A21" s="135">
        <v>68</v>
      </c>
      <c r="B21" s="135" t="s">
        <v>1877</v>
      </c>
      <c r="C21" s="188">
        <v>-1763326748.1800001</v>
      </c>
      <c r="D21" s="364">
        <v>-7.5342690709383958E-2</v>
      </c>
    </row>
    <row r="22" spans="1:4" ht="21.75" customHeight="1" thickBot="1">
      <c r="A22" s="136" t="s">
        <v>1878</v>
      </c>
      <c r="B22" s="136" t="s">
        <v>1879</v>
      </c>
      <c r="C22" s="188">
        <v>52507670.579999998</v>
      </c>
      <c r="D22" s="364">
        <v>2.2435258742954907E-3</v>
      </c>
    </row>
    <row r="23" spans="1:4" ht="16" customHeight="1" thickBot="1">
      <c r="A23" s="135">
        <v>69</v>
      </c>
      <c r="B23" s="135" t="s">
        <v>2539</v>
      </c>
      <c r="C23" s="188">
        <v>155464219.52000001</v>
      </c>
      <c r="D23" s="364">
        <v>6.6426104065855545E-3</v>
      </c>
    </row>
    <row r="24" spans="1:4" ht="21.75" customHeight="1" thickBot="1">
      <c r="A24" s="136">
        <v>6</v>
      </c>
      <c r="B24" s="136" t="s">
        <v>2540</v>
      </c>
      <c r="C24" s="188">
        <v>22683815467.220001</v>
      </c>
      <c r="D24" s="364">
        <v>0.96922461739974475</v>
      </c>
    </row>
    <row r="25" spans="1:4" ht="16" customHeight="1" thickBot="1">
      <c r="A25" s="135">
        <v>70</v>
      </c>
      <c r="B25" s="135" t="s">
        <v>1880</v>
      </c>
      <c r="C25" s="188">
        <v>69195419.099999994</v>
      </c>
      <c r="D25" s="364">
        <v>2.9565530410846576E-3</v>
      </c>
    </row>
    <row r="26" spans="1:4" ht="16" customHeight="1" thickBot="1">
      <c r="A26" s="135">
        <v>701</v>
      </c>
      <c r="B26" s="135" t="s">
        <v>1881</v>
      </c>
      <c r="C26" s="188">
        <v>69195419.099999994</v>
      </c>
      <c r="D26" s="364">
        <v>2.9565530410846576E-3</v>
      </c>
    </row>
    <row r="27" spans="1:4" ht="16" customHeight="1" thickBot="1">
      <c r="A27" s="135">
        <v>72</v>
      </c>
      <c r="B27" s="135" t="s">
        <v>1882</v>
      </c>
      <c r="C27" s="188">
        <v>659364616.30000007</v>
      </c>
      <c r="D27" s="364">
        <v>2.8173056639603237E-2</v>
      </c>
    </row>
    <row r="28" spans="1:4" ht="16" customHeight="1" thickBot="1">
      <c r="A28" s="135">
        <v>720</v>
      </c>
      <c r="B28" s="135" t="s">
        <v>1883</v>
      </c>
      <c r="C28" s="188">
        <v>631357720.44000006</v>
      </c>
      <c r="D28" s="364">
        <v>2.6976389660730581E-2</v>
      </c>
    </row>
    <row r="29" spans="1:4" ht="16" customHeight="1" thickBot="1">
      <c r="A29" s="135">
        <v>721</v>
      </c>
      <c r="B29" s="135" t="s">
        <v>1884</v>
      </c>
      <c r="C29" s="188">
        <v>-311046137.04000002</v>
      </c>
      <c r="D29" s="364">
        <v>-1.3290249764283129E-2</v>
      </c>
    </row>
    <row r="30" spans="1:4" ht="16" customHeight="1" thickBot="1">
      <c r="A30" s="135">
        <v>722</v>
      </c>
      <c r="B30" s="135" t="s">
        <v>1885</v>
      </c>
      <c r="C30" s="188">
        <v>203571140.62</v>
      </c>
      <c r="D30" s="364">
        <v>8.6981028904142225E-3</v>
      </c>
    </row>
    <row r="31" spans="1:4" ht="16" customHeight="1" thickBot="1">
      <c r="A31" s="135">
        <v>723</v>
      </c>
      <c r="B31" s="135" t="s">
        <v>1886</v>
      </c>
      <c r="C31" s="188">
        <v>655762.18000000005</v>
      </c>
      <c r="D31" s="364">
        <v>2.8019133242121008E-5</v>
      </c>
    </row>
    <row r="32" spans="1:4" ht="16" customHeight="1" thickBot="1">
      <c r="A32" s="135">
        <v>724</v>
      </c>
      <c r="B32" s="135" t="s">
        <v>1887</v>
      </c>
      <c r="C32" s="188">
        <v>134826130.09999999</v>
      </c>
      <c r="D32" s="364">
        <v>5.7607947194994397E-3</v>
      </c>
    </row>
    <row r="33" spans="1:4" ht="16" customHeight="1" thickBot="1">
      <c r="A33" s="135">
        <v>76</v>
      </c>
      <c r="B33" s="135" t="s">
        <v>857</v>
      </c>
      <c r="C33" s="188">
        <v>-8290360.75</v>
      </c>
      <c r="D33" s="364">
        <v>-3.5422708043257427E-4</v>
      </c>
    </row>
    <row r="34" spans="1:4" ht="21.75" customHeight="1" thickBot="1">
      <c r="A34" s="136">
        <v>7</v>
      </c>
      <c r="B34" s="136" t="s">
        <v>858</v>
      </c>
      <c r="C34" s="188">
        <v>720269674.64999998</v>
      </c>
      <c r="D34" s="364">
        <v>3.0775382600255318E-2</v>
      </c>
    </row>
    <row r="35" spans="1:4" s="277" customFormat="1" ht="21.75" customHeight="1" thickBot="1">
      <c r="A35" s="415" t="s">
        <v>859</v>
      </c>
      <c r="B35" s="415" t="s">
        <v>860</v>
      </c>
      <c r="C35" s="295">
        <v>23404085141.869999</v>
      </c>
      <c r="D35" s="365">
        <v>1</v>
      </c>
    </row>
    <row r="36" spans="1:4" ht="21.75" customHeight="1" thickBot="1">
      <c r="A36" s="136" t="s">
        <v>1852</v>
      </c>
      <c r="B36" s="136" t="s">
        <v>861</v>
      </c>
      <c r="C36" s="188">
        <v>477222641.68000001</v>
      </c>
      <c r="D36" s="364" t="s">
        <v>1854</v>
      </c>
    </row>
    <row r="37" spans="1:4" s="265" customFormat="1" ht="35.25" customHeight="1" thickBot="1">
      <c r="A37" s="351"/>
      <c r="B37" s="351" t="s">
        <v>1855</v>
      </c>
      <c r="C37" s="296">
        <v>23881307783.549999</v>
      </c>
      <c r="D37" s="369" t="s">
        <v>1854</v>
      </c>
    </row>
    <row r="38" spans="1:4" ht="20" customHeight="1">
      <c r="A38" s="140" t="s">
        <v>1837</v>
      </c>
      <c r="B38" s="321"/>
      <c r="C38" s="164"/>
      <c r="D38" s="372"/>
    </row>
    <row r="39" spans="1:4" ht="11.25" customHeight="1">
      <c r="A39" s="141"/>
      <c r="B39" s="353"/>
      <c r="C39" s="166"/>
      <c r="D39" s="373"/>
    </row>
    <row r="40" spans="1:4" ht="11.25" customHeight="1">
      <c r="A40" s="141" t="s">
        <v>1856</v>
      </c>
      <c r="B40" s="353"/>
      <c r="C40" s="166"/>
      <c r="D40" s="373"/>
    </row>
    <row r="41" spans="1:4" ht="11.25" customHeight="1">
      <c r="A41" s="141" t="s">
        <v>1857</v>
      </c>
      <c r="B41" s="353"/>
      <c r="C41" s="166"/>
      <c r="D41" s="373"/>
    </row>
    <row r="42" spans="1:4">
      <c r="A42" s="141" t="s">
        <v>1858</v>
      </c>
    </row>
    <row r="43" spans="1:4">
      <c r="A43" s="2" t="s">
        <v>1859</v>
      </c>
    </row>
    <row r="45" spans="1:4">
      <c r="A45" s="2" t="s">
        <v>862</v>
      </c>
    </row>
    <row r="48" spans="1:4">
      <c r="A48" s="418" t="s">
        <v>710</v>
      </c>
    </row>
  </sheetData>
  <phoneticPr fontId="0" type="noConversion"/>
  <pageMargins left="0.69" right="0.71" top="0.85" bottom="0.49" header="0.44" footer="0.4921259845"/>
  <pageSetup paperSize="9" scale="83" orientation="portrait" horizontalDpi="1200" verticalDpi="1200"/>
  <headerFooter alignWithMargins="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160B-2F67-7640-8603-9849FE731046}">
  <sheetPr>
    <pageSetUpPr fitToPage="1"/>
  </sheetPr>
  <dimension ref="A1:D41"/>
  <sheetViews>
    <sheetView topLeftCell="A14" zoomScale="75" workbookViewId="0">
      <selection activeCell="F8" sqref="F8"/>
    </sheetView>
  </sheetViews>
  <sheetFormatPr baseColWidth="10" defaultColWidth="11.3984375" defaultRowHeight="13"/>
  <cols>
    <col min="1" max="1" width="10.59765625" style="2" customWidth="1"/>
    <col min="2" max="2" width="60.59765625" style="87" customWidth="1"/>
    <col min="3" max="3" width="17" style="7" customWidth="1"/>
    <col min="4" max="4" width="17" style="437" customWidth="1"/>
    <col min="5" max="16384" width="11.3984375" style="2"/>
  </cols>
  <sheetData>
    <row r="1" spans="1:4" s="1" customFormat="1" ht="14" customHeight="1">
      <c r="B1" s="289"/>
      <c r="C1" s="144"/>
      <c r="D1" s="429"/>
    </row>
    <row r="2" spans="1:4" s="1" customFormat="1" ht="28" customHeight="1">
      <c r="A2" s="48" t="s">
        <v>1401</v>
      </c>
      <c r="B2" s="289"/>
      <c r="C2" s="144"/>
      <c r="D2" s="398">
        <v>2009</v>
      </c>
    </row>
    <row r="3" spans="1:4" ht="39" customHeight="1">
      <c r="A3" s="119" t="s">
        <v>1382</v>
      </c>
      <c r="B3" s="306"/>
      <c r="C3" s="147" t="s">
        <v>2010</v>
      </c>
      <c r="D3" s="430" t="s">
        <v>2029</v>
      </c>
    </row>
    <row r="4" spans="1:4" ht="38" customHeight="1">
      <c r="A4" s="291"/>
      <c r="B4" s="292"/>
      <c r="C4" s="154" t="s">
        <v>2528</v>
      </c>
      <c r="D4" s="152" t="s">
        <v>2030</v>
      </c>
    </row>
    <row r="5" spans="1:4" ht="30" customHeight="1" thickBot="1">
      <c r="A5" s="131">
        <v>30</v>
      </c>
      <c r="B5" s="131" t="s">
        <v>806</v>
      </c>
      <c r="C5" s="170">
        <v>197197090.63</v>
      </c>
      <c r="D5" s="375">
        <v>8.2760201683150549E-3</v>
      </c>
    </row>
    <row r="6" spans="1:4" ht="16" customHeight="1" thickBot="1">
      <c r="A6" s="135">
        <v>31</v>
      </c>
      <c r="B6" s="135" t="s">
        <v>1861</v>
      </c>
      <c r="C6" s="170">
        <v>23731184722.130001</v>
      </c>
      <c r="D6" s="375">
        <v>0.99595669870638193</v>
      </c>
    </row>
    <row r="7" spans="1:4" ht="16" customHeight="1" thickBot="1">
      <c r="A7" s="135">
        <v>32</v>
      </c>
      <c r="B7" s="135" t="s">
        <v>1402</v>
      </c>
      <c r="C7" s="170">
        <v>-3438089704.23</v>
      </c>
      <c r="D7" s="375">
        <v>-0.14429066697576876</v>
      </c>
    </row>
    <row r="8" spans="1:4" ht="18.75" customHeight="1" thickBot="1">
      <c r="A8" s="135">
        <v>33</v>
      </c>
      <c r="B8" s="135" t="s">
        <v>1862</v>
      </c>
      <c r="C8" s="170">
        <v>1804349726.03</v>
      </c>
      <c r="D8" s="375">
        <v>7.5725431220161524E-2</v>
      </c>
    </row>
    <row r="9" spans="1:4" ht="21.75" customHeight="1" thickBot="1">
      <c r="A9" s="136" t="s">
        <v>1403</v>
      </c>
      <c r="B9" s="136" t="s">
        <v>2544</v>
      </c>
      <c r="C9" s="170">
        <v>22294641834.560001</v>
      </c>
      <c r="D9" s="375">
        <v>0.93566748311908965</v>
      </c>
    </row>
    <row r="10" spans="1:4" ht="16" customHeight="1" thickBot="1">
      <c r="A10" s="135">
        <v>34</v>
      </c>
      <c r="B10" s="135" t="s">
        <v>2545</v>
      </c>
      <c r="C10" s="170">
        <v>100976862.34</v>
      </c>
      <c r="D10" s="375">
        <v>4.2378239282799962E-3</v>
      </c>
    </row>
    <row r="11" spans="1:4" ht="39" customHeight="1" thickBot="1">
      <c r="A11" s="431">
        <v>35</v>
      </c>
      <c r="B11" s="431" t="s">
        <v>1404</v>
      </c>
      <c r="C11" s="319">
        <v>-112256008.01000001</v>
      </c>
      <c r="D11" s="432">
        <v>-4.7111901262703549E-3</v>
      </c>
    </row>
    <row r="12" spans="1:4" ht="21.75" customHeight="1" thickBot="1">
      <c r="A12" s="136" t="s">
        <v>1405</v>
      </c>
      <c r="B12" s="136" t="s">
        <v>2548</v>
      </c>
      <c r="C12" s="170">
        <v>22283362688.889999</v>
      </c>
      <c r="D12" s="375">
        <v>0.93519411692109922</v>
      </c>
    </row>
    <row r="13" spans="1:4" ht="16" customHeight="1" thickBot="1">
      <c r="A13" s="135">
        <v>36</v>
      </c>
      <c r="B13" s="135" t="s">
        <v>1406</v>
      </c>
      <c r="C13" s="170">
        <v>-15479422.720000001</v>
      </c>
      <c r="D13" s="375">
        <v>-6.4964454706364189E-4</v>
      </c>
    </row>
    <row r="14" spans="1:4" ht="16" customHeight="1" thickBot="1">
      <c r="A14" s="136">
        <v>37</v>
      </c>
      <c r="B14" s="136" t="s">
        <v>2550</v>
      </c>
      <c r="C14" s="170">
        <v>-12362189.199999999</v>
      </c>
      <c r="D14" s="375">
        <v>-5.1881965812411413E-4</v>
      </c>
    </row>
    <row r="15" spans="1:4" ht="21.75" customHeight="1" thickBot="1">
      <c r="A15" s="136">
        <v>3</v>
      </c>
      <c r="B15" s="136" t="s">
        <v>2551</v>
      </c>
      <c r="C15" s="170">
        <v>22255521076.970001</v>
      </c>
      <c r="D15" s="375">
        <v>0.93402565271591154</v>
      </c>
    </row>
    <row r="16" spans="1:4" ht="16" customHeight="1" thickBot="1">
      <c r="A16" s="135">
        <v>400</v>
      </c>
      <c r="B16" s="135" t="s">
        <v>1407</v>
      </c>
      <c r="C16" s="170">
        <v>1227678041.74</v>
      </c>
      <c r="D16" s="375">
        <v>5.1523519952439228E-2</v>
      </c>
    </row>
    <row r="17" spans="1:4" ht="16" customHeight="1" thickBot="1">
      <c r="A17" s="135">
        <v>410</v>
      </c>
      <c r="B17" s="135" t="s">
        <v>1408</v>
      </c>
      <c r="C17" s="170">
        <v>124659085.04000001</v>
      </c>
      <c r="D17" s="375">
        <v>5.2317257757645121E-3</v>
      </c>
    </row>
    <row r="18" spans="1:4" ht="16" customHeight="1" thickBot="1">
      <c r="A18" s="135">
        <v>420</v>
      </c>
      <c r="B18" s="135" t="s">
        <v>1409</v>
      </c>
      <c r="C18" s="170">
        <v>189320394.28</v>
      </c>
      <c r="D18" s="375">
        <v>7.9454488721360204E-3</v>
      </c>
    </row>
    <row r="19" spans="1:4" ht="16" customHeight="1" thickBot="1">
      <c r="A19" s="135">
        <v>430</v>
      </c>
      <c r="B19" s="135" t="s">
        <v>1410</v>
      </c>
      <c r="C19" s="170">
        <v>43146016.009999998</v>
      </c>
      <c r="D19" s="375">
        <v>1.8107635236423783E-3</v>
      </c>
    </row>
    <row r="20" spans="1:4" ht="16" customHeight="1" thickBot="1">
      <c r="A20" s="136">
        <v>450</v>
      </c>
      <c r="B20" s="136" t="s">
        <v>1411</v>
      </c>
      <c r="C20" s="170">
        <v>85896498.930000007</v>
      </c>
      <c r="D20" s="375">
        <v>3.6049272089219392E-3</v>
      </c>
    </row>
    <row r="21" spans="1:4" ht="16" customHeight="1" thickBot="1">
      <c r="A21" s="135">
        <v>453</v>
      </c>
      <c r="B21" s="135" t="s">
        <v>1412</v>
      </c>
      <c r="C21" s="170">
        <v>51044300.140000001</v>
      </c>
      <c r="D21" s="375">
        <v>2.1422408215382655E-3</v>
      </c>
    </row>
    <row r="22" spans="1:4" ht="16" customHeight="1" thickBot="1">
      <c r="A22" s="136">
        <v>460</v>
      </c>
      <c r="B22" s="136" t="s">
        <v>1413</v>
      </c>
      <c r="C22" s="170">
        <v>414421588.80000001</v>
      </c>
      <c r="D22" s="375">
        <v>1.7392555925326576E-2</v>
      </c>
    </row>
    <row r="23" spans="1:4" ht="16" customHeight="1" thickBot="1">
      <c r="A23" s="135">
        <v>470</v>
      </c>
      <c r="B23" s="135" t="s">
        <v>1848</v>
      </c>
      <c r="C23" s="170">
        <v>-660724229.00999999</v>
      </c>
      <c r="D23" s="375">
        <v>-2.7729450913862985E-2</v>
      </c>
    </row>
    <row r="24" spans="1:4" ht="21.75" customHeight="1" thickBot="1">
      <c r="A24" s="136" t="s">
        <v>1849</v>
      </c>
      <c r="B24" s="136" t="s">
        <v>1850</v>
      </c>
      <c r="C24" s="170">
        <v>1475441695.9100001</v>
      </c>
      <c r="D24" s="375">
        <v>6.1921731165066572E-2</v>
      </c>
    </row>
    <row r="25" spans="1:4" ht="16" customHeight="1" thickBot="1">
      <c r="A25" s="135">
        <v>48</v>
      </c>
      <c r="B25" s="135" t="s">
        <v>2554</v>
      </c>
      <c r="C25" s="170">
        <v>79103083.549999997</v>
      </c>
      <c r="D25" s="375">
        <v>3.3198193378219964E-3</v>
      </c>
    </row>
    <row r="26" spans="1:4" ht="16" customHeight="1" thickBot="1">
      <c r="A26" s="135">
        <v>49</v>
      </c>
      <c r="B26" s="135" t="s">
        <v>2555</v>
      </c>
      <c r="C26" s="170">
        <v>17460734.789999999</v>
      </c>
      <c r="D26" s="375">
        <v>7.3279678119985618E-4</v>
      </c>
    </row>
    <row r="27" spans="1:4" ht="21.75" customHeight="1" thickBot="1">
      <c r="A27" s="136">
        <v>4</v>
      </c>
      <c r="B27" s="136" t="s">
        <v>2556</v>
      </c>
      <c r="C27" s="170">
        <v>1572005514.25</v>
      </c>
      <c r="D27" s="375">
        <v>6.5974347284088422E-2</v>
      </c>
    </row>
    <row r="28" spans="1:4" s="277" customFormat="1" ht="21.75" customHeight="1" thickBot="1">
      <c r="A28" s="415" t="s">
        <v>1851</v>
      </c>
      <c r="B28" s="415" t="s">
        <v>2558</v>
      </c>
      <c r="C28" s="307">
        <v>23827526591.220001</v>
      </c>
      <c r="D28" s="362">
        <v>1</v>
      </c>
    </row>
    <row r="29" spans="1:4" ht="21.75" customHeight="1" thickBot="1">
      <c r="A29" s="136" t="s">
        <v>1852</v>
      </c>
      <c r="B29" s="136" t="s">
        <v>1853</v>
      </c>
      <c r="C29" s="319">
        <v>53781192.329999998</v>
      </c>
      <c r="D29" s="433" t="s">
        <v>1854</v>
      </c>
    </row>
    <row r="30" spans="1:4" ht="35.25" customHeight="1" thickBot="1">
      <c r="A30" s="351"/>
      <c r="B30" s="351" t="s">
        <v>1855</v>
      </c>
      <c r="C30" s="319">
        <v>23881307783.549999</v>
      </c>
      <c r="D30" s="434" t="s">
        <v>1854</v>
      </c>
    </row>
    <row r="31" spans="1:4" ht="20" customHeight="1">
      <c r="A31" s="140" t="s">
        <v>1837</v>
      </c>
      <c r="B31" s="321"/>
      <c r="C31" s="164"/>
      <c r="D31" s="435"/>
    </row>
    <row r="32" spans="1:4" ht="15.75" customHeight="1">
      <c r="A32" s="141"/>
      <c r="B32" s="353"/>
      <c r="C32" s="166"/>
      <c r="D32" s="436"/>
    </row>
    <row r="33" spans="1:4" ht="15.75" customHeight="1">
      <c r="A33" s="141" t="s">
        <v>1856</v>
      </c>
      <c r="B33" s="353"/>
      <c r="C33" s="166"/>
      <c r="D33" s="436"/>
    </row>
    <row r="34" spans="1:4" ht="15.75" customHeight="1">
      <c r="A34" s="141" t="s">
        <v>1857</v>
      </c>
      <c r="B34" s="353"/>
      <c r="C34" s="166"/>
      <c r="D34" s="436"/>
    </row>
    <row r="35" spans="1:4">
      <c r="A35" s="141" t="s">
        <v>1858</v>
      </c>
    </row>
    <row r="36" spans="1:4">
      <c r="A36" s="2" t="s">
        <v>1859</v>
      </c>
    </row>
    <row r="38" spans="1:4">
      <c r="A38" s="2" t="s">
        <v>1860</v>
      </c>
    </row>
    <row r="41" spans="1:4">
      <c r="A41" s="418" t="s">
        <v>710</v>
      </c>
    </row>
  </sheetData>
  <phoneticPr fontId="0" type="noConversion"/>
  <pageMargins left="0.65" right="0.74" top="0.83" bottom="0.49" header="0.53" footer="0.4921259845"/>
  <pageSetup paperSize="9" scale="84" orientation="portrait" horizontalDpi="1200" verticalDpi="1200"/>
  <headerFooter alignWithMargins="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C9664-4EA9-374A-ABA3-757C7DDFE808}">
  <dimension ref="A1:K30"/>
  <sheetViews>
    <sheetView topLeftCell="A11" zoomScale="75" workbookViewId="0">
      <selection activeCell="A19" sqref="A19:IV19"/>
    </sheetView>
  </sheetViews>
  <sheetFormatPr baseColWidth="10" defaultColWidth="11.3984375" defaultRowHeight="13"/>
  <cols>
    <col min="1" max="1" width="13.796875" style="2" customWidth="1"/>
    <col min="2" max="6" width="15" style="2" customWidth="1"/>
    <col min="7" max="7" width="15" style="374" customWidth="1"/>
    <col min="8" max="16384" width="11.3984375" style="2"/>
  </cols>
  <sheetData>
    <row r="1" spans="1:11" s="1" customFormat="1" ht="14" customHeight="1">
      <c r="G1" s="355"/>
    </row>
    <row r="2" spans="1:11" s="1" customFormat="1" ht="28" customHeight="1">
      <c r="A2" s="48" t="s">
        <v>636</v>
      </c>
      <c r="G2" s="398"/>
    </row>
    <row r="3" spans="1:11" ht="24" customHeight="1">
      <c r="A3" s="119" t="s">
        <v>633</v>
      </c>
      <c r="B3" s="120" t="s">
        <v>637</v>
      </c>
      <c r="C3" s="121"/>
      <c r="D3" s="120" t="s">
        <v>638</v>
      </c>
      <c r="E3" s="121"/>
      <c r="F3" s="120" t="s">
        <v>639</v>
      </c>
      <c r="G3" s="357" t="s">
        <v>1801</v>
      </c>
    </row>
    <row r="4" spans="1:11" ht="15" customHeight="1">
      <c r="A4" s="325"/>
      <c r="B4" s="123" t="s">
        <v>640</v>
      </c>
      <c r="C4" s="124" t="s">
        <v>641</v>
      </c>
      <c r="D4" s="123" t="s">
        <v>642</v>
      </c>
      <c r="E4" s="124" t="s">
        <v>643</v>
      </c>
      <c r="F4" s="123" t="s">
        <v>644</v>
      </c>
      <c r="G4" s="358" t="s">
        <v>1802</v>
      </c>
    </row>
    <row r="5" spans="1:11" ht="15" customHeight="1">
      <c r="A5" s="325"/>
      <c r="B5" s="123" t="s">
        <v>645</v>
      </c>
      <c r="C5" s="124" t="s">
        <v>645</v>
      </c>
      <c r="D5" s="123" t="s">
        <v>646</v>
      </c>
      <c r="E5" s="124" t="s">
        <v>2088</v>
      </c>
      <c r="F5" s="123"/>
      <c r="G5" s="358" t="s">
        <v>1806</v>
      </c>
    </row>
    <row r="6" spans="1:11" ht="24" customHeight="1">
      <c r="A6" s="326"/>
      <c r="B6" s="129"/>
      <c r="C6" s="128"/>
      <c r="D6" s="129"/>
      <c r="E6" s="128"/>
      <c r="F6" s="129"/>
      <c r="G6" s="359"/>
    </row>
    <row r="7" spans="1:11" ht="1.5" customHeight="1" thickBot="1">
      <c r="A7" s="327">
        <v>1996</v>
      </c>
      <c r="B7" s="439">
        <v>4170.9064983500002</v>
      </c>
      <c r="C7" s="440">
        <v>8662.5285187900008</v>
      </c>
      <c r="D7" s="439">
        <v>8044.1419523000004</v>
      </c>
      <c r="E7" s="440">
        <v>4789.2930648399997</v>
      </c>
      <c r="F7" s="439">
        <v>12833.435017170003</v>
      </c>
      <c r="G7" s="375">
        <v>-6.5875098254165963E-3</v>
      </c>
      <c r="I7" s="8"/>
      <c r="J7" s="8"/>
      <c r="K7" s="8"/>
    </row>
    <row r="8" spans="1:11" ht="19.5" hidden="1" customHeight="1" thickBot="1">
      <c r="A8" s="328">
        <v>1997</v>
      </c>
      <c r="B8" s="441">
        <v>4394.7098477299996</v>
      </c>
      <c r="C8" s="442">
        <v>9362.3509974099998</v>
      </c>
      <c r="D8" s="441">
        <v>9077.9116548700003</v>
      </c>
      <c r="E8" s="442">
        <v>4679.1491902700009</v>
      </c>
      <c r="F8" s="441">
        <v>13757.060845139998</v>
      </c>
      <c r="G8" s="364">
        <v>7.1970273487516487E-2</v>
      </c>
    </row>
    <row r="9" spans="1:11" ht="0.75" hidden="1" customHeight="1" thickBot="1">
      <c r="A9" s="328">
        <v>1998</v>
      </c>
      <c r="B9" s="441">
        <v>4492.0042062100001</v>
      </c>
      <c r="C9" s="442">
        <v>10278.585833719999</v>
      </c>
      <c r="D9" s="441">
        <v>9968.5479871799998</v>
      </c>
      <c r="E9" s="442">
        <v>4802.0420530199999</v>
      </c>
      <c r="F9" s="441">
        <v>14770.59003996</v>
      </c>
      <c r="G9" s="364">
        <v>7.3673381707696217E-2</v>
      </c>
    </row>
    <row r="10" spans="1:11" ht="20" customHeight="1" thickBot="1">
      <c r="A10" s="328">
        <v>1999</v>
      </c>
      <c r="B10" s="441">
        <v>4039.0720529599998</v>
      </c>
      <c r="C10" s="442">
        <v>10698.624229800002</v>
      </c>
      <c r="D10" s="441">
        <v>9829.3330688500009</v>
      </c>
      <c r="E10" s="442">
        <v>4908.3632139400006</v>
      </c>
      <c r="F10" s="441">
        <v>14737.696282749999</v>
      </c>
      <c r="G10" s="364">
        <v>-2.2269765203022374E-3</v>
      </c>
    </row>
    <row r="11" spans="1:11" ht="20" customHeight="1" thickBot="1">
      <c r="A11" s="328">
        <v>2000</v>
      </c>
      <c r="B11" s="441">
        <v>4332.0125006399994</v>
      </c>
      <c r="C11" s="442">
        <v>10499.430512299999</v>
      </c>
      <c r="D11" s="441">
        <v>10459.0563088</v>
      </c>
      <c r="E11" s="442">
        <v>4372.38670413</v>
      </c>
      <c r="F11" s="441">
        <v>14831.443012869999</v>
      </c>
      <c r="G11" s="364">
        <v>6.361016560622712E-3</v>
      </c>
    </row>
    <row r="12" spans="1:11" ht="20" customHeight="1" thickBot="1">
      <c r="A12" s="328">
        <v>2001</v>
      </c>
      <c r="B12" s="441">
        <v>4480.2212955000005</v>
      </c>
      <c r="C12" s="442">
        <v>9101.4192862999989</v>
      </c>
      <c r="D12" s="441">
        <v>10583.525388</v>
      </c>
      <c r="E12" s="442">
        <v>2998.1151934999998</v>
      </c>
      <c r="F12" s="441">
        <v>13581.640582</v>
      </c>
      <c r="G12" s="364">
        <v>-8.4267082426536799E-2</v>
      </c>
    </row>
    <row r="13" spans="1:11" ht="20" customHeight="1" thickBot="1">
      <c r="A13" s="328">
        <v>2002</v>
      </c>
      <c r="B13" s="441">
        <v>5055.0187533999997</v>
      </c>
      <c r="C13" s="442">
        <v>8256.3197148999989</v>
      </c>
      <c r="D13" s="441">
        <v>10485.582893000001</v>
      </c>
      <c r="E13" s="442">
        <v>2730.3161460000001</v>
      </c>
      <c r="F13" s="441">
        <v>13311.318467999999</v>
      </c>
      <c r="G13" s="364">
        <v>-1.9903494895768592E-2</v>
      </c>
    </row>
    <row r="14" spans="1:11" ht="20" customHeight="1" thickBot="1">
      <c r="A14" s="328">
        <v>2003</v>
      </c>
      <c r="B14" s="441">
        <v>6067.1959962000001</v>
      </c>
      <c r="C14" s="442">
        <v>8398.4942018000002</v>
      </c>
      <c r="D14" s="441">
        <v>11252.005746999999</v>
      </c>
      <c r="E14" s="442">
        <v>3213.6844504999999</v>
      </c>
      <c r="F14" s="441">
        <v>14465.690198</v>
      </c>
      <c r="G14" s="364">
        <v>8.6721066194537677E-2</v>
      </c>
    </row>
    <row r="15" spans="1:11" ht="20" customHeight="1" thickBot="1">
      <c r="A15" s="328">
        <v>2004</v>
      </c>
      <c r="B15" s="441">
        <v>6542.9172908</v>
      </c>
      <c r="C15" s="442">
        <v>8401.4767168999988</v>
      </c>
      <c r="D15" s="441">
        <v>11192.037166</v>
      </c>
      <c r="E15" s="442">
        <v>3752.3568421999998</v>
      </c>
      <c r="F15" s="441">
        <v>14944.394007999999</v>
      </c>
      <c r="G15" s="364">
        <v>3.3092358777750075E-2</v>
      </c>
    </row>
    <row r="16" spans="1:11" ht="20" customHeight="1" thickBot="1">
      <c r="A16" s="328">
        <v>2005</v>
      </c>
      <c r="B16" s="441">
        <v>6906.5407365000001</v>
      </c>
      <c r="C16" s="442">
        <v>9245.4417635000009</v>
      </c>
      <c r="D16" s="441">
        <v>12133.7989425</v>
      </c>
      <c r="E16" s="442">
        <v>4018.1835572</v>
      </c>
      <c r="F16" s="441">
        <v>16151.982499600001</v>
      </c>
      <c r="G16" s="364">
        <v>8.0805450589268357E-2</v>
      </c>
    </row>
    <row r="17" spans="1:7" ht="20" customHeight="1" thickBot="1">
      <c r="A17" s="328">
        <v>2006</v>
      </c>
      <c r="B17" s="441">
        <v>7617.7471638000006</v>
      </c>
      <c r="C17" s="442">
        <v>10441.159153100001</v>
      </c>
      <c r="D17" s="441">
        <v>13475.7956639</v>
      </c>
      <c r="E17" s="442">
        <v>4583.1106529999997</v>
      </c>
      <c r="F17" s="441">
        <v>18058.9063169</v>
      </c>
      <c r="G17" s="364">
        <v>0.11806128550146866</v>
      </c>
    </row>
    <row r="18" spans="1:7" ht="20" customHeight="1" thickBot="1">
      <c r="A18" s="328">
        <v>2007</v>
      </c>
      <c r="B18" s="441">
        <v>7365.8641676499992</v>
      </c>
      <c r="C18" s="442">
        <v>11399.08539328</v>
      </c>
      <c r="D18" s="441">
        <v>13954.63675686</v>
      </c>
      <c r="E18" s="442">
        <v>4810.3128043300003</v>
      </c>
      <c r="F18" s="441">
        <v>18764.949561189998</v>
      </c>
      <c r="G18" s="364">
        <v>3.9096677943849967E-2</v>
      </c>
    </row>
    <row r="19" spans="1:7" ht="20" customHeight="1" thickBot="1">
      <c r="A19" s="328">
        <v>2008</v>
      </c>
      <c r="B19" s="441">
        <v>7264.3011704499995</v>
      </c>
      <c r="C19" s="442">
        <v>10486.349606420001</v>
      </c>
      <c r="D19" s="441">
        <v>13652.812469889999</v>
      </c>
      <c r="E19" s="442">
        <v>4097.8383069800002</v>
      </c>
      <c r="F19" s="441">
        <v>17750.650776869999</v>
      </c>
      <c r="G19" s="364">
        <v>-5.4052838299005646E-2</v>
      </c>
    </row>
    <row r="20" spans="1:7" s="265" customFormat="1" ht="27.75" customHeight="1" thickBot="1">
      <c r="A20" s="376">
        <v>2009</v>
      </c>
      <c r="B20" s="443">
        <v>6894.4859353700003</v>
      </c>
      <c r="C20" s="444">
        <v>10208.640743260001</v>
      </c>
      <c r="D20" s="443">
        <v>13357.56575199</v>
      </c>
      <c r="E20" s="444">
        <v>3745.5609266199999</v>
      </c>
      <c r="F20" s="443">
        <v>17103.126678610002</v>
      </c>
      <c r="G20" s="377">
        <v>-3.6478893444501392E-2</v>
      </c>
    </row>
    <row r="21" spans="1:7" ht="20" customHeight="1">
      <c r="A21" s="140" t="s">
        <v>1837</v>
      </c>
      <c r="B21" s="140"/>
      <c r="C21" s="140"/>
      <c r="D21" s="140"/>
      <c r="E21" s="140"/>
      <c r="F21" s="140"/>
      <c r="G21" s="372"/>
    </row>
    <row r="22" spans="1:7" ht="10.5" customHeight="1">
      <c r="A22" s="141"/>
      <c r="B22" s="141"/>
      <c r="C22" s="141"/>
      <c r="D22" s="141"/>
      <c r="E22" s="141"/>
      <c r="F22" s="141"/>
      <c r="G22" s="373"/>
    </row>
    <row r="23" spans="1:7">
      <c r="A23" s="141" t="s">
        <v>2089</v>
      </c>
    </row>
    <row r="24" spans="1:7">
      <c r="A24" s="2" t="s">
        <v>2090</v>
      </c>
    </row>
    <row r="25" spans="1:7">
      <c r="A25" s="2" t="s">
        <v>2091</v>
      </c>
    </row>
    <row r="27" spans="1:7">
      <c r="A27" s="2" t="s">
        <v>2092</v>
      </c>
    </row>
    <row r="30" spans="1:7">
      <c r="A30" s="2" t="s">
        <v>710</v>
      </c>
    </row>
  </sheetData>
  <phoneticPr fontId="0" type="noConversion"/>
  <pageMargins left="0.65" right="0.61" top="0.99" bottom="0.49" header="0.56000000000000005" footer="0.4921259845"/>
  <pageSetup paperSize="9" scale="80" orientation="portrait" horizontalDpi="4294967292" verticalDpi="4294967292"/>
  <headerFooter alignWithMargins="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6C0A-70F7-D644-835E-0C47201EF9B5}">
  <sheetPr>
    <pageSetUpPr fitToPage="1"/>
  </sheetPr>
  <dimension ref="A1:I28"/>
  <sheetViews>
    <sheetView topLeftCell="A7" zoomScale="75" workbookViewId="0">
      <selection activeCell="A19" sqref="A19:IV19"/>
    </sheetView>
  </sheetViews>
  <sheetFormatPr baseColWidth="10" defaultColWidth="11.3984375" defaultRowHeight="13"/>
  <cols>
    <col min="1" max="1" width="14.19921875" style="2" customWidth="1"/>
    <col min="2" max="2" width="14" style="2" customWidth="1"/>
    <col min="3" max="5" width="14" style="374" customWidth="1"/>
    <col min="6" max="8" width="14" style="2" customWidth="1"/>
    <col min="9" max="16384" width="11.3984375" style="2"/>
  </cols>
  <sheetData>
    <row r="1" spans="1:9" s="1" customFormat="1" ht="14" customHeight="1">
      <c r="C1" s="355"/>
      <c r="D1" s="355"/>
      <c r="E1" s="355"/>
    </row>
    <row r="2" spans="1:9" s="1" customFormat="1" ht="33" customHeight="1">
      <c r="A2" s="2014" t="s">
        <v>2093</v>
      </c>
      <c r="B2" s="2018"/>
      <c r="C2" s="2018"/>
      <c r="D2" s="2018"/>
      <c r="E2" s="2018"/>
      <c r="F2" s="2018"/>
      <c r="G2" s="2018"/>
      <c r="H2" s="398"/>
    </row>
    <row r="3" spans="1:9" ht="24" customHeight="1">
      <c r="A3" s="119" t="s">
        <v>1065</v>
      </c>
      <c r="B3" s="120" t="s">
        <v>2073</v>
      </c>
      <c r="C3" s="357" t="s">
        <v>1801</v>
      </c>
      <c r="D3" s="445" t="s">
        <v>2094</v>
      </c>
      <c r="E3" s="357" t="s">
        <v>2095</v>
      </c>
      <c r="F3" s="445" t="s">
        <v>1801</v>
      </c>
      <c r="G3" s="357" t="s">
        <v>2096</v>
      </c>
      <c r="H3" s="445" t="s">
        <v>1801</v>
      </c>
    </row>
    <row r="4" spans="1:9" ht="15" customHeight="1">
      <c r="A4" s="325"/>
      <c r="B4" s="123" t="s">
        <v>2334</v>
      </c>
      <c r="C4" s="358" t="s">
        <v>1802</v>
      </c>
      <c r="D4" s="446" t="s">
        <v>2101</v>
      </c>
      <c r="E4" s="358" t="s">
        <v>2097</v>
      </c>
      <c r="F4" s="446" t="s">
        <v>1802</v>
      </c>
      <c r="G4" s="358" t="s">
        <v>2098</v>
      </c>
      <c r="H4" s="446" t="s">
        <v>1802</v>
      </c>
    </row>
    <row r="5" spans="1:9" ht="15" customHeight="1">
      <c r="A5" s="325"/>
      <c r="B5" s="123"/>
      <c r="C5" s="358" t="s">
        <v>1806</v>
      </c>
      <c r="D5" s="446"/>
      <c r="E5" s="122" t="s">
        <v>2334</v>
      </c>
      <c r="F5" s="446" t="s">
        <v>1806</v>
      </c>
      <c r="G5" s="122" t="s">
        <v>2334</v>
      </c>
      <c r="H5" s="446" t="s">
        <v>1806</v>
      </c>
    </row>
    <row r="6" spans="1:9" ht="24" customHeight="1">
      <c r="A6" s="326"/>
      <c r="B6" s="129"/>
      <c r="C6" s="359"/>
      <c r="D6" s="447"/>
      <c r="E6" s="359"/>
      <c r="F6" s="127"/>
      <c r="G6" s="359"/>
      <c r="H6" s="447"/>
    </row>
    <row r="7" spans="1:9" ht="1.5" customHeight="1" thickBot="1">
      <c r="A7" s="327">
        <v>1996</v>
      </c>
      <c r="B7" s="439">
        <v>4007.8366596000001</v>
      </c>
      <c r="C7" s="375">
        <v>-1.767505493939879E-2</v>
      </c>
      <c r="D7" s="448">
        <v>0.24196501185861982</v>
      </c>
      <c r="E7" s="440">
        <v>7634.4120938999995</v>
      </c>
      <c r="F7" s="448" t="s">
        <v>744</v>
      </c>
      <c r="G7" s="440">
        <v>878.70776672</v>
      </c>
      <c r="H7" s="448" t="s">
        <v>744</v>
      </c>
      <c r="I7" s="8"/>
    </row>
    <row r="8" spans="1:9" ht="0.75" hidden="1" customHeight="1" thickBot="1">
      <c r="A8" s="328">
        <v>1997</v>
      </c>
      <c r="B8" s="441">
        <v>4017.3956079</v>
      </c>
      <c r="C8" s="364">
        <v>2.385064340659509E-3</v>
      </c>
      <c r="D8" s="449">
        <v>0.22399999999999998</v>
      </c>
      <c r="E8" s="442">
        <v>8314.1764980999997</v>
      </c>
      <c r="F8" s="449">
        <v>8.9039522079655792E-2</v>
      </c>
      <c r="G8" s="442">
        <v>892.88593902000002</v>
      </c>
      <c r="H8" s="449">
        <v>1.6135253194499075E-2</v>
      </c>
    </row>
    <row r="9" spans="1:9" ht="19.5" hidden="1" customHeight="1" thickBot="1">
      <c r="A9" s="328">
        <v>1998</v>
      </c>
      <c r="B9" s="441">
        <v>4117.6667946999996</v>
      </c>
      <c r="C9" s="364">
        <v>2.4959251362455213E-2</v>
      </c>
      <c r="D9" s="449">
        <v>0.22</v>
      </c>
      <c r="E9" s="442">
        <v>9206.9689780000008</v>
      </c>
      <c r="F9" s="449">
        <v>0.1073819493853693</v>
      </c>
      <c r="G9" s="442">
        <v>910.20990798000003</v>
      </c>
      <c r="H9" s="449">
        <v>1.9402219480591416E-2</v>
      </c>
    </row>
    <row r="10" spans="1:9" ht="20" customHeight="1" thickBot="1">
      <c r="A10" s="328">
        <v>1999</v>
      </c>
      <c r="B10" s="441">
        <v>4531.0035571000008</v>
      </c>
      <c r="C10" s="364">
        <v>0.10038130402683909</v>
      </c>
      <c r="D10" s="449">
        <v>0.248</v>
      </c>
      <c r="E10" s="442">
        <v>9587.3624237999993</v>
      </c>
      <c r="F10" s="449">
        <v>4.1315817041302827E-2</v>
      </c>
      <c r="G10" s="442">
        <v>929.94977453999991</v>
      </c>
      <c r="H10" s="449">
        <v>2.168715851908054E-2</v>
      </c>
    </row>
    <row r="11" spans="1:9" ht="20" customHeight="1" thickBot="1">
      <c r="A11" s="328">
        <v>2000</v>
      </c>
      <c r="B11" s="441">
        <v>4046.3173426999997</v>
      </c>
      <c r="C11" s="364">
        <v>-0.10697105139997221</v>
      </c>
      <c r="D11" s="449">
        <v>0.22899999999999998</v>
      </c>
      <c r="E11" s="442">
        <v>9383.0818280000003</v>
      </c>
      <c r="F11" s="449">
        <v>-2.1307277932133384E-2</v>
      </c>
      <c r="G11" s="442">
        <v>935.15434852999999</v>
      </c>
      <c r="H11" s="449">
        <v>5.5966183685292048E-3</v>
      </c>
    </row>
    <row r="12" spans="1:9" ht="20" customHeight="1" thickBot="1">
      <c r="A12" s="328">
        <v>2001</v>
      </c>
      <c r="B12" s="441">
        <v>2721.4537870999998</v>
      </c>
      <c r="C12" s="364">
        <v>-0.32742453035479269</v>
      </c>
      <c r="D12" s="449">
        <v>0.16266572127677031</v>
      </c>
      <c r="E12" s="442">
        <v>7961.4574869999997</v>
      </c>
      <c r="F12" s="449">
        <v>-0.15150931933234768</v>
      </c>
      <c r="G12" s="442">
        <v>954.93160932000001</v>
      </c>
      <c r="H12" s="449">
        <v>2.1148659385574753E-2</v>
      </c>
    </row>
    <row r="13" spans="1:9" ht="20" customHeight="1" thickBot="1">
      <c r="A13" s="328">
        <v>2002</v>
      </c>
      <c r="B13" s="441">
        <v>2517.2839804</v>
      </c>
      <c r="C13" s="364">
        <v>-7.5022330957000949E-2</v>
      </c>
      <c r="D13" s="449">
        <v>0.13972376589664312</v>
      </c>
      <c r="E13" s="442">
        <v>7106.5237452000001</v>
      </c>
      <c r="F13" s="449">
        <v>-0.10738407423464769</v>
      </c>
      <c r="G13" s="442">
        <v>984.65094364999993</v>
      </c>
      <c r="H13" s="449">
        <v>3.1121950556399325E-2</v>
      </c>
    </row>
    <row r="14" spans="1:9" ht="20" customHeight="1" thickBot="1">
      <c r="A14" s="328">
        <v>2003</v>
      </c>
      <c r="B14" s="441">
        <v>3007.4782717600006</v>
      </c>
      <c r="C14" s="364">
        <v>0.19473142290529655</v>
      </c>
      <c r="D14" s="449">
        <v>0.15444074863234167</v>
      </c>
      <c r="E14" s="442">
        <v>7378.0453514999999</v>
      </c>
      <c r="F14" s="449">
        <v>3.820737339875846E-2</v>
      </c>
      <c r="G14" s="442">
        <v>885.89521162999995</v>
      </c>
      <c r="H14" s="449">
        <v>-0.1002951682084644</v>
      </c>
    </row>
    <row r="15" spans="1:9" ht="20" customHeight="1" thickBot="1">
      <c r="A15" s="328">
        <v>2004</v>
      </c>
      <c r="B15" s="441">
        <v>3581.7878758600004</v>
      </c>
      <c r="C15" s="364">
        <v>0.19096051648742551</v>
      </c>
      <c r="D15" s="449">
        <v>0.17609858201884715</v>
      </c>
      <c r="E15" s="442">
        <v>7386.4198756999995</v>
      </c>
      <c r="F15" s="449">
        <v>1.1350600058723792E-3</v>
      </c>
      <c r="G15" s="442">
        <v>876.33966492999991</v>
      </c>
      <c r="H15" s="449">
        <v>-1.0786317133849699E-2</v>
      </c>
    </row>
    <row r="16" spans="1:9" ht="20" customHeight="1" thickBot="1">
      <c r="A16" s="328">
        <v>2005</v>
      </c>
      <c r="B16" s="441">
        <v>3869.5470762</v>
      </c>
      <c r="C16" s="364">
        <v>8.0339542796321384E-2</v>
      </c>
      <c r="D16" s="449">
        <v>0.18526823405593668</v>
      </c>
      <c r="E16" s="442">
        <v>8227.3219200000003</v>
      </c>
      <c r="F16" s="449">
        <v>0.11384433303966635</v>
      </c>
      <c r="G16" s="442">
        <v>864.96945500000004</v>
      </c>
      <c r="H16" s="449">
        <v>-1.2974660836455598E-2</v>
      </c>
    </row>
    <row r="17" spans="1:8" ht="20" customHeight="1" thickBot="1">
      <c r="A17" s="328">
        <v>2006</v>
      </c>
      <c r="B17" s="441">
        <v>4510.5379199999998</v>
      </c>
      <c r="C17" s="364">
        <v>0.16565009578058176</v>
      </c>
      <c r="D17" s="449">
        <v>0.20772626624087148</v>
      </c>
      <c r="E17" s="442">
        <v>9466.6831490000004</v>
      </c>
      <c r="F17" s="449">
        <v>0.15063969066133254</v>
      </c>
      <c r="G17" s="442">
        <v>858.28986799999996</v>
      </c>
      <c r="H17" s="449">
        <v>-7.7223385882453366E-3</v>
      </c>
    </row>
    <row r="18" spans="1:8" ht="20" customHeight="1" thickBot="1">
      <c r="A18" s="328">
        <v>2007</v>
      </c>
      <c r="B18" s="441">
        <v>4787.9201766100005</v>
      </c>
      <c r="C18" s="364">
        <v>6.1496491445082624E-2</v>
      </c>
      <c r="D18" s="449">
        <v>0.21638748853648229</v>
      </c>
      <c r="E18" s="442">
        <v>10372.83324</v>
      </c>
      <c r="F18" s="449">
        <v>9.5719913378078836E-2</v>
      </c>
      <c r="G18" s="442">
        <v>895.33742199999995</v>
      </c>
      <c r="H18" s="449">
        <v>4.3164384645864251E-2</v>
      </c>
    </row>
    <row r="19" spans="1:8" ht="20" customHeight="1" thickBot="1">
      <c r="A19" s="328">
        <v>2008</v>
      </c>
      <c r="B19" s="441">
        <v>4080.91032378</v>
      </c>
      <c r="C19" s="364">
        <v>-0.1476653383412474</v>
      </c>
      <c r="D19" s="449">
        <v>0.18391331751178366</v>
      </c>
      <c r="E19" s="442">
        <v>9350.3630895499991</v>
      </c>
      <c r="F19" s="449">
        <v>-9.8571925990974529E-2</v>
      </c>
      <c r="G19" s="442">
        <v>999.65196694000008</v>
      </c>
      <c r="H19" s="449">
        <v>0.11650863951043489</v>
      </c>
    </row>
    <row r="20" spans="1:8" s="265" customFormat="1" ht="28.5" customHeight="1" thickBot="1">
      <c r="A20" s="376">
        <v>2009</v>
      </c>
      <c r="B20" s="443">
        <v>3730.97067328</v>
      </c>
      <c r="C20" s="377">
        <v>-8.5750389676748306E-2</v>
      </c>
      <c r="D20" s="450">
        <v>0.16506146744457434</v>
      </c>
      <c r="E20" s="444">
        <v>9018.8227868199992</v>
      </c>
      <c r="F20" s="451">
        <v>-3.5457478982878321E-2</v>
      </c>
      <c r="G20" s="452">
        <v>1016.50244943</v>
      </c>
      <c r="H20" s="451">
        <v>1.6856349056742603E-2</v>
      </c>
    </row>
    <row r="21" spans="1:8" ht="20" customHeight="1">
      <c r="A21" s="140" t="s">
        <v>1837</v>
      </c>
      <c r="B21" s="140"/>
      <c r="C21" s="372"/>
      <c r="D21" s="372"/>
      <c r="E21" s="372"/>
    </row>
    <row r="22" spans="1:8" ht="11.25" customHeight="1">
      <c r="A22" s="141"/>
      <c r="B22" s="141"/>
      <c r="C22" s="373"/>
      <c r="D22" s="373"/>
      <c r="E22" s="373"/>
    </row>
    <row r="23" spans="1:8">
      <c r="A23" s="2" t="s">
        <v>2099</v>
      </c>
    </row>
    <row r="25" spans="1:8">
      <c r="A25" s="2" t="s">
        <v>2100</v>
      </c>
    </row>
    <row r="28" spans="1:8">
      <c r="A28" s="2" t="s">
        <v>710</v>
      </c>
    </row>
  </sheetData>
  <mergeCells count="1">
    <mergeCell ref="A2:G2"/>
  </mergeCells>
  <phoneticPr fontId="0" type="noConversion"/>
  <pageMargins left="0.69" right="0.56000000000000005" top="1.08" bottom="0.49" header="0.53" footer="0.4921259845"/>
  <pageSetup paperSize="9" scale="80" orientation="portrait" horizontalDpi="4294967292" verticalDpi="4294967292"/>
  <headerFooter alignWithMargins="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A2F35-3F11-5646-9338-42CDFD68065F}">
  <sheetPr>
    <pageSetUpPr fitToPage="1"/>
  </sheetPr>
  <dimension ref="A1:D33"/>
  <sheetViews>
    <sheetView zoomScale="75" workbookViewId="0">
      <selection activeCell="C17" sqref="C17"/>
    </sheetView>
  </sheetViews>
  <sheetFormatPr baseColWidth="10" defaultColWidth="11.3984375" defaultRowHeight="13"/>
  <cols>
    <col min="1" max="1" width="10.59765625" style="2" customWidth="1"/>
    <col min="2" max="2" width="60.59765625" style="87" customWidth="1"/>
    <col min="3" max="3" width="17" style="7" customWidth="1"/>
    <col min="4" max="4" width="17" style="374" customWidth="1"/>
    <col min="5" max="16384" width="11.3984375" style="2"/>
  </cols>
  <sheetData>
    <row r="1" spans="1:4" s="1" customFormat="1" ht="14" customHeight="1">
      <c r="B1" s="289"/>
      <c r="C1" s="144"/>
      <c r="D1" s="355"/>
    </row>
    <row r="2" spans="1:4" s="1" customFormat="1" ht="28" customHeight="1">
      <c r="A2" s="48" t="s">
        <v>2080</v>
      </c>
      <c r="B2" s="289"/>
      <c r="C2" s="144"/>
      <c r="D2" s="398">
        <v>2009</v>
      </c>
    </row>
    <row r="3" spans="1:4" ht="39" customHeight="1">
      <c r="A3" s="119" t="s">
        <v>1382</v>
      </c>
      <c r="B3" s="306"/>
      <c r="C3" s="147" t="s">
        <v>2010</v>
      </c>
      <c r="D3" s="357" t="s">
        <v>2029</v>
      </c>
    </row>
    <row r="4" spans="1:4" ht="38" customHeight="1">
      <c r="A4" s="291"/>
      <c r="B4" s="292"/>
      <c r="C4" s="154" t="s">
        <v>2528</v>
      </c>
      <c r="D4" s="359" t="s">
        <v>2030</v>
      </c>
    </row>
    <row r="5" spans="1:4" ht="30" customHeight="1" thickBot="1">
      <c r="A5" s="131"/>
      <c r="B5" s="424" t="s">
        <v>1528</v>
      </c>
      <c r="C5" s="307">
        <v>6894485935.3699999</v>
      </c>
      <c r="D5" s="375">
        <v>0.40311260419912087</v>
      </c>
    </row>
    <row r="6" spans="1:4" ht="21.75" customHeight="1" thickBot="1">
      <c r="A6" s="135">
        <v>10</v>
      </c>
      <c r="B6" s="135" t="s">
        <v>1529</v>
      </c>
      <c r="C6" s="170">
        <v>2462445252.1799998</v>
      </c>
      <c r="D6" s="364">
        <v>0.14397632073068686</v>
      </c>
    </row>
    <row r="7" spans="1:4" ht="21.75" customHeight="1" thickBot="1">
      <c r="A7" s="135">
        <v>11</v>
      </c>
      <c r="B7" s="135" t="s">
        <v>1530</v>
      </c>
      <c r="C7" s="170">
        <v>2854539562.8499999</v>
      </c>
      <c r="D7" s="364">
        <v>0.16690162076719503</v>
      </c>
    </row>
    <row r="8" spans="1:4" ht="18.75" customHeight="1" thickBot="1">
      <c r="A8" s="135"/>
      <c r="B8" s="421" t="s">
        <v>1531</v>
      </c>
      <c r="C8" s="427">
        <v>3078251927.8899999</v>
      </c>
      <c r="D8" s="364">
        <v>0.17998182354202005</v>
      </c>
    </row>
    <row r="9" spans="1:4" ht="18.75" customHeight="1" thickBot="1">
      <c r="A9" s="135"/>
      <c r="B9" s="421" t="s">
        <v>1532</v>
      </c>
      <c r="C9" s="427">
        <v>-223712365.03999999</v>
      </c>
      <c r="D9" s="364">
        <v>-1.3080202774825023E-2</v>
      </c>
    </row>
    <row r="10" spans="1:4" ht="21.75" customHeight="1" thickBot="1">
      <c r="A10" s="135">
        <v>12</v>
      </c>
      <c r="B10" s="135" t="s">
        <v>1533</v>
      </c>
      <c r="C10" s="170">
        <v>848763998.24000001</v>
      </c>
      <c r="D10" s="364">
        <v>4.9626247538732959E-2</v>
      </c>
    </row>
    <row r="11" spans="1:4" ht="18.75" customHeight="1" thickBot="1">
      <c r="A11" s="135"/>
      <c r="B11" s="421" t="s">
        <v>1534</v>
      </c>
      <c r="C11" s="427">
        <v>872206048.47000003</v>
      </c>
      <c r="D11" s="364">
        <v>5.0996877054053709E-2</v>
      </c>
    </row>
    <row r="12" spans="1:4" ht="18.75" customHeight="1" thickBot="1">
      <c r="A12" s="135"/>
      <c r="B12" s="421" t="s">
        <v>1535</v>
      </c>
      <c r="C12" s="427">
        <v>-23442050.23</v>
      </c>
      <c r="D12" s="364">
        <v>-1.3706295153207487E-3</v>
      </c>
    </row>
    <row r="13" spans="1:4" ht="24" customHeight="1" thickBot="1">
      <c r="A13" s="135">
        <v>13</v>
      </c>
      <c r="B13" s="135" t="s">
        <v>1536</v>
      </c>
      <c r="C13" s="170">
        <v>6009069.6699999999</v>
      </c>
      <c r="D13" s="364">
        <v>3.5134334106922142E-4</v>
      </c>
    </row>
    <row r="14" spans="1:4" ht="28.5" customHeight="1" thickBot="1">
      <c r="A14" s="135">
        <v>14</v>
      </c>
      <c r="B14" s="405" t="s">
        <v>1388</v>
      </c>
      <c r="C14" s="170">
        <v>367175833.69999999</v>
      </c>
      <c r="D14" s="364">
        <v>2.1468345560392683E-2</v>
      </c>
    </row>
    <row r="15" spans="1:4" ht="30.75" customHeight="1" thickBot="1">
      <c r="A15" s="135">
        <v>15</v>
      </c>
      <c r="B15" s="405" t="s">
        <v>1389</v>
      </c>
      <c r="C15" s="170">
        <v>39462952.969999999</v>
      </c>
      <c r="D15" s="364">
        <v>2.3073531355707103E-3</v>
      </c>
    </row>
    <row r="16" spans="1:4" ht="21.75" customHeight="1" thickBot="1">
      <c r="A16" s="135">
        <v>16</v>
      </c>
      <c r="B16" s="135" t="s">
        <v>1390</v>
      </c>
      <c r="C16" s="170">
        <v>316089265.75999999</v>
      </c>
      <c r="D16" s="364">
        <v>1.8481373125473422E-2</v>
      </c>
    </row>
    <row r="17" spans="1:4" ht="30" customHeight="1" thickBot="1">
      <c r="A17" s="135"/>
      <c r="B17" s="413" t="s">
        <v>1391</v>
      </c>
      <c r="C17" s="307">
        <v>10208640743.26</v>
      </c>
      <c r="D17" s="364">
        <v>0.59688739580087913</v>
      </c>
    </row>
    <row r="18" spans="1:4" ht="21.75" customHeight="1" thickBot="1">
      <c r="A18" s="135">
        <v>17</v>
      </c>
      <c r="B18" s="135" t="s">
        <v>1392</v>
      </c>
      <c r="C18" s="170">
        <v>9018822786.4099998</v>
      </c>
      <c r="D18" s="364">
        <v>0.52732011847160265</v>
      </c>
    </row>
    <row r="19" spans="1:4" ht="18.75" customHeight="1" thickBot="1">
      <c r="A19" s="135"/>
      <c r="B19" s="421" t="s">
        <v>1393</v>
      </c>
      <c r="C19" s="427">
        <v>9474437594.5699997</v>
      </c>
      <c r="D19" s="364">
        <v>0.55395938839698311</v>
      </c>
    </row>
    <row r="20" spans="1:4" ht="18.75" customHeight="1" thickBot="1">
      <c r="A20" s="136"/>
      <c r="B20" s="428" t="s">
        <v>1394</v>
      </c>
      <c r="C20" s="427">
        <v>-455614808.16000003</v>
      </c>
      <c r="D20" s="364">
        <v>-2.6639269925380443E-2</v>
      </c>
    </row>
    <row r="21" spans="1:4" ht="21.75" customHeight="1" thickBot="1">
      <c r="A21" s="135">
        <v>18</v>
      </c>
      <c r="B21" s="135" t="s">
        <v>2040</v>
      </c>
      <c r="C21" s="170">
        <v>1016502449.4299999</v>
      </c>
      <c r="D21" s="364">
        <v>5.9433720426107735E-2</v>
      </c>
    </row>
    <row r="22" spans="1:4" ht="18.75" customHeight="1" thickBot="1">
      <c r="A22" s="136"/>
      <c r="B22" s="428" t="s">
        <v>1395</v>
      </c>
      <c r="C22" s="427">
        <v>1430239146.26</v>
      </c>
      <c r="D22" s="364">
        <v>8.3624425704982588E-2</v>
      </c>
    </row>
    <row r="23" spans="1:4" ht="18.75" customHeight="1" thickBot="1">
      <c r="A23" s="135"/>
      <c r="B23" s="421" t="s">
        <v>1396</v>
      </c>
      <c r="C23" s="427">
        <v>-413736696.82999998</v>
      </c>
      <c r="D23" s="364">
        <v>-2.419070527887485E-2</v>
      </c>
    </row>
    <row r="24" spans="1:4" ht="21.75" customHeight="1" thickBot="1">
      <c r="A24" s="135">
        <v>19</v>
      </c>
      <c r="B24" s="135" t="s">
        <v>1397</v>
      </c>
      <c r="C24" s="170">
        <v>173315507.41999999</v>
      </c>
      <c r="D24" s="364">
        <v>1.0133556903168712E-2</v>
      </c>
    </row>
    <row r="25" spans="1:4" ht="18.75" customHeight="1" thickBot="1">
      <c r="A25" s="135"/>
      <c r="B25" s="421" t="s">
        <v>1398</v>
      </c>
      <c r="C25" s="427">
        <v>879504579.84000003</v>
      </c>
      <c r="D25" s="364">
        <v>5.1423613726659857E-2</v>
      </c>
    </row>
    <row r="26" spans="1:4" ht="18.75" customHeight="1" thickBot="1">
      <c r="A26" s="135"/>
      <c r="B26" s="421" t="s">
        <v>1394</v>
      </c>
      <c r="C26" s="427">
        <v>-706189072.41999996</v>
      </c>
      <c r="D26" s="364">
        <v>-4.1290056823491142E-2</v>
      </c>
    </row>
    <row r="27" spans="1:4" s="162" customFormat="1" ht="36" customHeight="1" thickBot="1">
      <c r="A27" s="137">
        <v>1</v>
      </c>
      <c r="B27" s="137" t="s">
        <v>1399</v>
      </c>
      <c r="C27" s="172">
        <v>17103126678.629999</v>
      </c>
      <c r="D27" s="377">
        <v>1</v>
      </c>
    </row>
    <row r="28" spans="1:4" ht="18.75" customHeight="1">
      <c r="A28" s="140" t="s">
        <v>1837</v>
      </c>
      <c r="B28" s="321"/>
      <c r="C28" s="164"/>
      <c r="D28" s="372"/>
    </row>
    <row r="30" spans="1:4">
      <c r="A30" s="2" t="s">
        <v>1400</v>
      </c>
    </row>
    <row r="33" spans="1:1">
      <c r="A33" s="418" t="s">
        <v>710</v>
      </c>
    </row>
  </sheetData>
  <phoneticPr fontId="0" type="noConversion"/>
  <pageMargins left="0.78740157480314965" right="0.78740157480314965" top="0.87" bottom="0.49" header="0.47" footer="0.4921259845"/>
  <pageSetup paperSize="9" scale="82" orientation="portrait" horizontalDpi="1200" verticalDpi="1200"/>
  <headerFooter alignWithMargins="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FAB2E-FA80-FF40-8D68-6B6D716E72E7}">
  <sheetPr>
    <pageSetUpPr fitToPage="1"/>
  </sheetPr>
  <dimension ref="A1:D44"/>
  <sheetViews>
    <sheetView topLeftCell="A28" zoomScale="75" workbookViewId="0">
      <selection activeCell="B19" sqref="B19"/>
    </sheetView>
  </sheetViews>
  <sheetFormatPr baseColWidth="10" defaultColWidth="11.3984375" defaultRowHeight="13"/>
  <cols>
    <col min="1" max="1" width="10.59765625" style="2" customWidth="1"/>
    <col min="2" max="2" width="60.59765625" style="87" customWidth="1"/>
    <col min="3" max="3" width="17.3984375" style="176" customWidth="1"/>
    <col min="4" max="4" width="16.796875" style="374" customWidth="1"/>
    <col min="5" max="16384" width="11.3984375" style="2"/>
  </cols>
  <sheetData>
    <row r="1" spans="1:4" s="1" customFormat="1" ht="14" customHeight="1">
      <c r="B1" s="289"/>
      <c r="C1" s="169"/>
      <c r="D1" s="355"/>
    </row>
    <row r="2" spans="1:4" s="1" customFormat="1" ht="28" customHeight="1">
      <c r="A2" s="48" t="s">
        <v>2051</v>
      </c>
      <c r="B2" s="289"/>
      <c r="C2" s="169"/>
      <c r="D2" s="398">
        <v>2009</v>
      </c>
    </row>
    <row r="3" spans="1:4" ht="39" customHeight="1">
      <c r="A3" s="119" t="s">
        <v>1382</v>
      </c>
      <c r="B3" s="306"/>
      <c r="C3" s="147" t="s">
        <v>2010</v>
      </c>
      <c r="D3" s="357" t="s">
        <v>2029</v>
      </c>
    </row>
    <row r="4" spans="1:4" ht="38" customHeight="1">
      <c r="A4" s="291"/>
      <c r="B4" s="292"/>
      <c r="C4" s="154" t="s">
        <v>2528</v>
      </c>
      <c r="D4" s="359" t="s">
        <v>2030</v>
      </c>
    </row>
    <row r="5" spans="1:4" ht="30" customHeight="1" thickBot="1">
      <c r="A5" s="131"/>
      <c r="B5" s="424" t="s">
        <v>2052</v>
      </c>
      <c r="C5" s="307">
        <v>13357565751.99</v>
      </c>
      <c r="D5" s="375">
        <v>0.78100139249366718</v>
      </c>
    </row>
    <row r="6" spans="1:4" ht="21.75" customHeight="1" thickBot="1">
      <c r="A6" s="135">
        <v>20</v>
      </c>
      <c r="B6" s="135" t="s">
        <v>2053</v>
      </c>
      <c r="C6" s="170">
        <v>496660856.36000001</v>
      </c>
      <c r="D6" s="375">
        <v>2.9039184804796433E-2</v>
      </c>
    </row>
    <row r="7" spans="1:4" ht="21.75" customHeight="1" thickBot="1">
      <c r="A7" s="135">
        <v>21</v>
      </c>
      <c r="B7" s="135" t="s">
        <v>2054</v>
      </c>
      <c r="C7" s="170">
        <v>3695121240.0100002</v>
      </c>
      <c r="D7" s="375">
        <v>0.21604945747325241</v>
      </c>
    </row>
    <row r="8" spans="1:4" ht="31.5" customHeight="1" thickBot="1">
      <c r="A8" s="135">
        <v>215</v>
      </c>
      <c r="B8" s="405" t="s">
        <v>2055</v>
      </c>
      <c r="C8" s="170">
        <v>-16521992.789999999</v>
      </c>
      <c r="D8" s="375">
        <v>-9.6602177487600577E-4</v>
      </c>
    </row>
    <row r="9" spans="1:4" ht="21.75" customHeight="1" thickBot="1">
      <c r="A9" s="135">
        <v>22</v>
      </c>
      <c r="B9" s="135" t="s">
        <v>2056</v>
      </c>
      <c r="C9" s="170">
        <v>931145592.49000001</v>
      </c>
      <c r="D9" s="375">
        <v>5.4443003901417382E-2</v>
      </c>
    </row>
    <row r="10" spans="1:4" ht="21.75" customHeight="1" thickBot="1">
      <c r="A10" s="135">
        <v>23</v>
      </c>
      <c r="B10" s="135" t="s">
        <v>2057</v>
      </c>
      <c r="C10" s="170">
        <v>8155542.6100000003</v>
      </c>
      <c r="D10" s="375">
        <v>4.7684512681530434E-4</v>
      </c>
    </row>
    <row r="11" spans="1:4" ht="21.75" customHeight="1" thickBot="1">
      <c r="A11" s="135">
        <v>24</v>
      </c>
      <c r="B11" s="135" t="s">
        <v>2058</v>
      </c>
      <c r="C11" s="170">
        <v>107323195.23</v>
      </c>
      <c r="D11" s="375">
        <v>6.2750628728151557E-3</v>
      </c>
    </row>
    <row r="12" spans="1:4" ht="21.75" customHeight="1" thickBot="1">
      <c r="A12" s="135">
        <v>25</v>
      </c>
      <c r="B12" s="135" t="s">
        <v>2059</v>
      </c>
      <c r="C12" s="170">
        <v>24298060.690000001</v>
      </c>
      <c r="D12" s="375">
        <v>1.4206794550839837E-3</v>
      </c>
    </row>
    <row r="13" spans="1:4" ht="21.75" customHeight="1" thickBot="1">
      <c r="A13" s="135">
        <v>26</v>
      </c>
      <c r="B13" s="135" t="s">
        <v>2060</v>
      </c>
      <c r="C13" s="170">
        <v>541526792.22000003</v>
      </c>
      <c r="D13" s="375">
        <v>3.1662444089668104E-2</v>
      </c>
    </row>
    <row r="14" spans="1:4" s="411" customFormat="1" ht="47.25" customHeight="1" thickBot="1">
      <c r="A14" s="405">
        <v>27</v>
      </c>
      <c r="B14" s="405" t="s">
        <v>2061</v>
      </c>
      <c r="C14" s="170">
        <v>7569856465.1700001</v>
      </c>
      <c r="D14" s="375">
        <v>0.44260073654469445</v>
      </c>
    </row>
    <row r="15" spans="1:4" s="411" customFormat="1" ht="21" customHeight="1" thickBot="1">
      <c r="A15" s="425">
        <v>270</v>
      </c>
      <c r="B15" s="1043" t="s">
        <v>1475</v>
      </c>
      <c r="C15" s="170">
        <v>5095222359.4300003</v>
      </c>
      <c r="D15" s="375">
        <v>0.2979117476690582</v>
      </c>
    </row>
    <row r="16" spans="1:4" ht="18.75" customHeight="1" thickBot="1">
      <c r="A16" s="420">
        <v>270.10000000000002</v>
      </c>
      <c r="B16" s="1042" t="s">
        <v>1476</v>
      </c>
      <c r="C16" s="170">
        <v>493772340.69</v>
      </c>
      <c r="D16" s="375">
        <v>2.8870296640411113E-2</v>
      </c>
    </row>
    <row r="17" spans="1:4" ht="31.5" customHeight="1" thickBot="1">
      <c r="A17" s="420">
        <v>270.2</v>
      </c>
      <c r="B17" s="1043" t="s">
        <v>1477</v>
      </c>
      <c r="C17" s="170">
        <v>55393862.509999998</v>
      </c>
      <c r="D17" s="375">
        <v>3.238814957692984E-3</v>
      </c>
    </row>
    <row r="18" spans="1:4" ht="30.75" customHeight="1" thickBot="1">
      <c r="A18" s="420">
        <v>270.3</v>
      </c>
      <c r="B18" s="1043" t="s">
        <v>1478</v>
      </c>
      <c r="C18" s="170">
        <v>3422226.94</v>
      </c>
      <c r="D18" s="375">
        <v>2.000936439464021E-4</v>
      </c>
    </row>
    <row r="19" spans="1:4" ht="18.75" customHeight="1" thickBot="1">
      <c r="A19" s="420">
        <v>271</v>
      </c>
      <c r="B19" s="421" t="s">
        <v>2062</v>
      </c>
      <c r="C19" s="170">
        <v>103419096.19</v>
      </c>
      <c r="D19" s="375">
        <v>6.0467947255130215E-3</v>
      </c>
    </row>
    <row r="20" spans="1:4" ht="18.75" customHeight="1" thickBot="1">
      <c r="A20" s="420">
        <v>272</v>
      </c>
      <c r="B20" s="421" t="s">
        <v>2063</v>
      </c>
      <c r="C20" s="170">
        <v>2150000</v>
      </c>
      <c r="D20" s="375">
        <v>1.2570800885716962E-4</v>
      </c>
    </row>
    <row r="21" spans="1:4" ht="18.75" customHeight="1" thickBot="1">
      <c r="A21" s="420">
        <v>273</v>
      </c>
      <c r="B21" s="421" t="s">
        <v>2064</v>
      </c>
      <c r="C21" s="170">
        <v>1322891644.6300001</v>
      </c>
      <c r="D21" s="375">
        <v>7.7347941665220341E-2</v>
      </c>
    </row>
    <row r="22" spans="1:4" ht="18.75" customHeight="1" thickBot="1">
      <c r="A22" s="420">
        <v>273.10000000000002</v>
      </c>
      <c r="B22" s="421" t="s">
        <v>2065</v>
      </c>
      <c r="C22" s="170">
        <v>295027335.35000002</v>
      </c>
      <c r="D22" s="375">
        <v>1.7249906458272072E-2</v>
      </c>
    </row>
    <row r="23" spans="1:4" ht="18.75" customHeight="1" thickBot="1">
      <c r="A23" s="420">
        <v>274</v>
      </c>
      <c r="B23" s="421" t="s">
        <v>2066</v>
      </c>
      <c r="C23" s="170">
        <v>195362428.65000001</v>
      </c>
      <c r="D23" s="375">
        <v>1.1422614842368544E-2</v>
      </c>
    </row>
    <row r="24" spans="1:4" ht="18.75" customHeight="1" thickBot="1">
      <c r="A24" s="420">
        <v>279</v>
      </c>
      <c r="B24" s="421" t="s">
        <v>2067</v>
      </c>
      <c r="C24" s="170">
        <v>3195170.78</v>
      </c>
      <c r="D24" s="375">
        <v>1.8681793335460908E-4</v>
      </c>
    </row>
    <row r="25" spans="1:4" ht="21.75" customHeight="1" thickBot="1">
      <c r="A25" s="135"/>
      <c r="B25" s="421" t="s">
        <v>2068</v>
      </c>
      <c r="C25" s="170">
        <v>3745560926.6199999</v>
      </c>
      <c r="D25" s="375">
        <v>0.21899860750633274</v>
      </c>
    </row>
    <row r="26" spans="1:4" ht="21.75" customHeight="1" thickBot="1">
      <c r="A26" s="135">
        <v>28</v>
      </c>
      <c r="B26" s="413" t="s">
        <v>2069</v>
      </c>
      <c r="C26" s="170">
        <v>14590253.35</v>
      </c>
      <c r="D26" s="375">
        <v>8.5307520806983655E-4</v>
      </c>
    </row>
    <row r="27" spans="1:4" ht="18.75" customHeight="1" thickBot="1">
      <c r="A27" s="420">
        <v>280</v>
      </c>
      <c r="B27" s="421" t="s">
        <v>2070</v>
      </c>
      <c r="C27" s="170">
        <v>14590253.35</v>
      </c>
      <c r="D27" s="375">
        <v>8.5307520806983655E-4</v>
      </c>
    </row>
    <row r="28" spans="1:4" ht="18.75" customHeight="1" thickBot="1">
      <c r="A28" s="420">
        <v>281</v>
      </c>
      <c r="B28" s="421" t="s">
        <v>2071</v>
      </c>
      <c r="C28" s="170">
        <v>0</v>
      </c>
      <c r="D28" s="375">
        <v>0</v>
      </c>
    </row>
    <row r="29" spans="1:4" ht="18.75" customHeight="1" thickBot="1">
      <c r="A29" s="420">
        <v>282</v>
      </c>
      <c r="B29" s="421" t="s">
        <v>2072</v>
      </c>
      <c r="C29" s="170">
        <v>0</v>
      </c>
      <c r="D29" s="375">
        <v>0</v>
      </c>
    </row>
    <row r="30" spans="1:4" ht="21.75" customHeight="1" thickBot="1">
      <c r="A30" s="135">
        <v>29</v>
      </c>
      <c r="B30" s="413" t="s">
        <v>2073</v>
      </c>
      <c r="C30" s="170">
        <v>3730970673.27</v>
      </c>
      <c r="D30" s="375">
        <v>0.21814553229826292</v>
      </c>
    </row>
    <row r="31" spans="1:4" ht="30" customHeight="1" thickBot="1">
      <c r="A31" s="420">
        <v>290</v>
      </c>
      <c r="B31" s="1043" t="s">
        <v>1474</v>
      </c>
      <c r="C31" s="170">
        <v>2770447852.25</v>
      </c>
      <c r="D31" s="375">
        <v>0.16198487588324165</v>
      </c>
    </row>
    <row r="32" spans="1:4" ht="30.75" customHeight="1" thickBot="1">
      <c r="A32" s="420">
        <v>290.5</v>
      </c>
      <c r="B32" s="1043" t="s">
        <v>1473</v>
      </c>
      <c r="C32" s="170">
        <v>13734783.939999999</v>
      </c>
      <c r="D32" s="375">
        <v>8.030569028748051E-4</v>
      </c>
    </row>
    <row r="33" spans="1:4" ht="18.75" customHeight="1" thickBot="1">
      <c r="A33" s="420">
        <v>290.89999999999998</v>
      </c>
      <c r="B33" s="1042" t="s">
        <v>1472</v>
      </c>
      <c r="C33" s="170">
        <v>92560544.439999998</v>
      </c>
      <c r="D33" s="375">
        <v>5.4119077861804477E-3</v>
      </c>
    </row>
    <row r="34" spans="1:4" ht="18.75" customHeight="1" thickBot="1">
      <c r="A34" s="420">
        <v>291</v>
      </c>
      <c r="B34" s="421" t="s">
        <v>2074</v>
      </c>
      <c r="C34" s="170">
        <v>490274531.81</v>
      </c>
      <c r="D34" s="375">
        <v>2.8665783808007522E-2</v>
      </c>
    </row>
    <row r="35" spans="1:4" ht="18.75" customHeight="1" thickBot="1">
      <c r="A35" s="420">
        <v>292</v>
      </c>
      <c r="B35" s="421" t="s">
        <v>2075</v>
      </c>
      <c r="C35" s="170">
        <v>-35604535.289999999</v>
      </c>
      <c r="D35" s="375">
        <v>-2.0817559244608037E-3</v>
      </c>
    </row>
    <row r="36" spans="1:4" ht="18.75" customHeight="1" thickBot="1">
      <c r="A36" s="420">
        <v>293</v>
      </c>
      <c r="B36" s="421" t="s">
        <v>2076</v>
      </c>
      <c r="C36" s="170">
        <v>399557496.13</v>
      </c>
      <c r="D36" s="375">
        <v>2.336166384300398E-2</v>
      </c>
    </row>
    <row r="37" spans="1:4" ht="18.75" customHeight="1" thickBot="1">
      <c r="A37" s="420">
        <v>299</v>
      </c>
      <c r="B37" s="421" t="s">
        <v>2077</v>
      </c>
      <c r="C37" s="170">
        <v>0</v>
      </c>
      <c r="D37" s="375">
        <v>0</v>
      </c>
    </row>
    <row r="38" spans="1:4" s="162" customFormat="1" ht="35.25" customHeight="1" thickBot="1">
      <c r="A38" s="137">
        <v>2</v>
      </c>
      <c r="B38" s="137" t="s">
        <v>2078</v>
      </c>
      <c r="C38" s="172">
        <v>17103126678.610001</v>
      </c>
      <c r="D38" s="426">
        <v>1</v>
      </c>
    </row>
    <row r="39" spans="1:4" ht="19.5" customHeight="1">
      <c r="A39" s="140" t="s">
        <v>1837</v>
      </c>
      <c r="B39" s="321"/>
      <c r="C39" s="174"/>
      <c r="D39" s="372"/>
    </row>
    <row r="41" spans="1:4">
      <c r="A41" s="2" t="s">
        <v>2079</v>
      </c>
    </row>
    <row r="44" spans="1:4">
      <c r="A44" s="418" t="s">
        <v>710</v>
      </c>
    </row>
  </sheetData>
  <phoneticPr fontId="0" type="noConversion"/>
  <pageMargins left="0.62" right="0.69" top="0.85" bottom="0.49" header="0.47" footer="0.4921259845"/>
  <pageSetup paperSize="9" scale="77" orientation="portrait" horizontalDpi="1200" verticalDpi="1200"/>
  <headerFooter alignWithMargins="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6046-59E6-154A-B131-5A97E9A035D0}">
  <sheetPr>
    <pageSetUpPr fitToPage="1"/>
  </sheetPr>
  <dimension ref="A1:D31"/>
  <sheetViews>
    <sheetView zoomScale="75" workbookViewId="0">
      <selection activeCell="F9" sqref="F9"/>
    </sheetView>
  </sheetViews>
  <sheetFormatPr baseColWidth="10" defaultColWidth="11.3984375" defaultRowHeight="13"/>
  <cols>
    <col min="1" max="1" width="10.59765625" style="2" customWidth="1"/>
    <col min="2" max="2" width="60.59765625" style="87" customWidth="1"/>
    <col min="3" max="3" width="17.3984375" style="7" customWidth="1"/>
    <col min="4" max="4" width="16.796875" style="374" customWidth="1"/>
    <col min="5" max="16384" width="11.3984375" style="2"/>
  </cols>
  <sheetData>
    <row r="1" spans="1:4" s="1" customFormat="1" ht="14" customHeight="1">
      <c r="B1" s="289"/>
      <c r="C1" s="144"/>
      <c r="D1" s="355"/>
    </row>
    <row r="2" spans="1:4" s="1" customFormat="1" ht="28" customHeight="1">
      <c r="A2" s="48" t="s">
        <v>2028</v>
      </c>
      <c r="B2" s="289"/>
      <c r="C2" s="144"/>
      <c r="D2" s="398">
        <v>2009</v>
      </c>
    </row>
    <row r="3" spans="1:4" ht="39" customHeight="1">
      <c r="A3" s="119" t="s">
        <v>1382</v>
      </c>
      <c r="B3" s="306"/>
      <c r="C3" s="147" t="s">
        <v>2010</v>
      </c>
      <c r="D3" s="357" t="s">
        <v>2029</v>
      </c>
    </row>
    <row r="4" spans="1:4" ht="38" customHeight="1">
      <c r="A4" s="291"/>
      <c r="B4" s="292"/>
      <c r="C4" s="154" t="s">
        <v>2528</v>
      </c>
      <c r="D4" s="359" t="s">
        <v>2030</v>
      </c>
    </row>
    <row r="5" spans="1:4" ht="39" customHeight="1" thickBot="1">
      <c r="A5" s="400">
        <v>17</v>
      </c>
      <c r="B5" s="419" t="s">
        <v>2031</v>
      </c>
      <c r="C5" s="401"/>
      <c r="D5" s="402"/>
    </row>
    <row r="6" spans="1:4" ht="21.75" customHeight="1" thickBot="1">
      <c r="A6" s="420">
        <v>170</v>
      </c>
      <c r="B6" s="421" t="s">
        <v>2050</v>
      </c>
      <c r="C6" s="188"/>
      <c r="D6" s="422"/>
    </row>
    <row r="7" spans="1:4" ht="33.75" customHeight="1" thickBot="1">
      <c r="A7" s="403"/>
      <c r="B7" s="405" t="s">
        <v>2032</v>
      </c>
      <c r="C7" s="188">
        <v>1550327513.78</v>
      </c>
      <c r="D7" s="422">
        <v>0.15448702232189201</v>
      </c>
    </row>
    <row r="8" spans="1:4" ht="18" customHeight="1" thickBot="1">
      <c r="A8" s="403"/>
      <c r="B8" s="405" t="s">
        <v>2033</v>
      </c>
      <c r="C8" s="188">
        <v>7433841424.8800001</v>
      </c>
      <c r="D8" s="422">
        <v>0.74076736427307643</v>
      </c>
    </row>
    <row r="9" spans="1:4" ht="19.5" customHeight="1" thickBot="1">
      <c r="A9" s="403"/>
      <c r="B9" s="405" t="s">
        <v>2034</v>
      </c>
      <c r="C9" s="188">
        <v>231503316.44</v>
      </c>
      <c r="D9" s="422">
        <v>2.3068840420214239E-2</v>
      </c>
    </row>
    <row r="10" spans="1:4" ht="28.5" customHeight="1" thickBot="1">
      <c r="A10" s="403"/>
      <c r="B10" s="405" t="s">
        <v>2035</v>
      </c>
      <c r="C10" s="188">
        <v>0</v>
      </c>
      <c r="D10" s="422">
        <v>0</v>
      </c>
    </row>
    <row r="11" spans="1:4" ht="30.75" customHeight="1" thickBot="1">
      <c r="A11" s="403"/>
      <c r="B11" s="405" t="s">
        <v>2036</v>
      </c>
      <c r="C11" s="188">
        <v>10557781</v>
      </c>
      <c r="D11" s="422">
        <v>1.0520616673052872E-3</v>
      </c>
    </row>
    <row r="12" spans="1:4" ht="21.75" customHeight="1" thickBot="1">
      <c r="A12" s="403"/>
      <c r="B12" s="135" t="s">
        <v>2037</v>
      </c>
      <c r="C12" s="188">
        <v>248207558.88</v>
      </c>
      <c r="D12" s="422">
        <v>2.4733384622494824E-2</v>
      </c>
    </row>
    <row r="13" spans="1:4" ht="21.75" customHeight="1" thickBot="1">
      <c r="A13" s="409">
        <v>170</v>
      </c>
      <c r="B13" s="405" t="s">
        <v>1567</v>
      </c>
      <c r="C13" s="423">
        <v>9474437594.9799995</v>
      </c>
      <c r="D13" s="422">
        <v>0.94410867330498272</v>
      </c>
    </row>
    <row r="14" spans="1:4" s="411" customFormat="1" ht="23.25" customHeight="1" thickBot="1">
      <c r="A14" s="403">
        <v>179</v>
      </c>
      <c r="B14" s="135" t="s">
        <v>2038</v>
      </c>
      <c r="C14" s="188">
        <v>-455614808.16000003</v>
      </c>
      <c r="D14" s="422">
        <v>-4.5401100356390056E-2</v>
      </c>
    </row>
    <row r="15" spans="1:4" s="411" customFormat="1" ht="27.75" customHeight="1" thickBot="1">
      <c r="A15" s="413">
        <v>17</v>
      </c>
      <c r="B15" s="413" t="s">
        <v>2039</v>
      </c>
      <c r="C15" s="295">
        <v>9018822786.8199997</v>
      </c>
      <c r="D15" s="402">
        <v>0.8987075729485926</v>
      </c>
    </row>
    <row r="16" spans="1:4" ht="24.75" customHeight="1" thickBot="1">
      <c r="A16" s="408">
        <v>18</v>
      </c>
      <c r="B16" s="410" t="s">
        <v>2040</v>
      </c>
      <c r="C16" s="188"/>
      <c r="D16" s="422"/>
    </row>
    <row r="17" spans="1:4" ht="16.5" customHeight="1" thickBot="1">
      <c r="A17" s="403">
        <v>180</v>
      </c>
      <c r="B17" s="405" t="s">
        <v>2041</v>
      </c>
      <c r="C17" s="188">
        <v>170789911.84999999</v>
      </c>
      <c r="D17" s="422">
        <v>1.7018871618935269E-2</v>
      </c>
    </row>
    <row r="18" spans="1:4" ht="22.5" customHeight="1" thickBot="1">
      <c r="A18" s="403"/>
      <c r="B18" s="405" t="s">
        <v>2042</v>
      </c>
      <c r="C18" s="188">
        <v>426681128.89999998</v>
      </c>
      <c r="D18" s="422">
        <v>4.2517917342501814E-2</v>
      </c>
    </row>
    <row r="19" spans="1:4" ht="18.75" customHeight="1" thickBot="1">
      <c r="A19" s="403"/>
      <c r="B19" s="135" t="s">
        <v>2043</v>
      </c>
      <c r="C19" s="188">
        <v>832768105.50999999</v>
      </c>
      <c r="D19" s="422">
        <v>8.2983668780543557E-2</v>
      </c>
    </row>
    <row r="20" spans="1:4" ht="18.75" customHeight="1" thickBot="1">
      <c r="A20" s="403">
        <v>180</v>
      </c>
      <c r="B20" s="135" t="s">
        <v>1567</v>
      </c>
      <c r="C20" s="188">
        <v>1430239146.26</v>
      </c>
      <c r="D20" s="422">
        <v>0.14252045774198063</v>
      </c>
    </row>
    <row r="21" spans="1:4" ht="21" customHeight="1" thickBot="1">
      <c r="A21" s="403">
        <v>189</v>
      </c>
      <c r="B21" s="135" t="s">
        <v>2044</v>
      </c>
      <c r="C21" s="188">
        <v>-413736696.82999998</v>
      </c>
      <c r="D21" s="422">
        <v>-4.122803069057332E-2</v>
      </c>
    </row>
    <row r="22" spans="1:4" ht="30.75" customHeight="1" thickBot="1">
      <c r="A22" s="413">
        <v>18</v>
      </c>
      <c r="B22" s="413" t="s">
        <v>2045</v>
      </c>
      <c r="C22" s="295">
        <v>1016502449.4299999</v>
      </c>
      <c r="D22" s="402">
        <v>0.10129242705140731</v>
      </c>
    </row>
    <row r="23" spans="1:4" ht="39" customHeight="1" thickBot="1">
      <c r="A23" s="415" t="s">
        <v>2046</v>
      </c>
      <c r="B23" s="416" t="s">
        <v>2047</v>
      </c>
      <c r="C23" s="298">
        <v>10035325236.25</v>
      </c>
      <c r="D23" s="417">
        <v>1</v>
      </c>
    </row>
    <row r="24" spans="1:4" ht="19.5" customHeight="1">
      <c r="A24" s="140" t="s">
        <v>1837</v>
      </c>
      <c r="B24" s="321"/>
      <c r="C24" s="164"/>
      <c r="D24" s="372"/>
    </row>
    <row r="25" spans="1:4" ht="14.25" customHeight="1">
      <c r="A25" s="141"/>
      <c r="B25" s="353"/>
      <c r="C25" s="166"/>
      <c r="D25" s="373"/>
    </row>
    <row r="26" spans="1:4" ht="14.25" customHeight="1">
      <c r="A26" s="141" t="s">
        <v>2048</v>
      </c>
      <c r="B26" s="353"/>
      <c r="C26" s="166"/>
      <c r="D26" s="373"/>
    </row>
    <row r="28" spans="1:4">
      <c r="A28" s="2" t="s">
        <v>2049</v>
      </c>
    </row>
    <row r="31" spans="1:4">
      <c r="A31" s="418" t="s">
        <v>710</v>
      </c>
    </row>
  </sheetData>
  <phoneticPr fontId="0" type="noConversion"/>
  <pageMargins left="0.78740157480314965" right="0.83" top="0.92" bottom="0.49" header="0.53" footer="0.4921259845"/>
  <pageSetup paperSize="9" scale="81" orientation="portrait" horizontalDpi="1200" verticalDpi="1200"/>
  <headerFooter alignWithMargins="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23D4A-E733-944F-843B-5AFD2574E83C}">
  <sheetPr>
    <pageSetUpPr fitToPage="1"/>
  </sheetPr>
  <dimension ref="A1:D27"/>
  <sheetViews>
    <sheetView zoomScale="75" workbookViewId="0">
      <selection activeCell="E12" sqref="E12"/>
    </sheetView>
  </sheetViews>
  <sheetFormatPr baseColWidth="10" defaultColWidth="11.3984375" defaultRowHeight="13"/>
  <cols>
    <col min="1" max="1" width="10.59765625" style="2" customWidth="1"/>
    <col min="2" max="2" width="60.59765625" style="87" customWidth="1"/>
    <col min="3" max="3" width="18.59765625" style="7" customWidth="1"/>
    <col min="4" max="4" width="18.3984375" style="374" customWidth="1"/>
    <col min="5" max="16384" width="11.3984375" style="2"/>
  </cols>
  <sheetData>
    <row r="1" spans="1:4" s="1" customFormat="1" ht="14" customHeight="1">
      <c r="B1" s="289"/>
      <c r="C1" s="144"/>
      <c r="D1" s="355"/>
    </row>
    <row r="2" spans="1:4" s="1" customFormat="1" ht="28" customHeight="1">
      <c r="A2" s="48" t="s">
        <v>2009</v>
      </c>
      <c r="B2" s="289"/>
      <c r="C2" s="144"/>
      <c r="D2" s="398">
        <v>2009</v>
      </c>
    </row>
    <row r="3" spans="1:4" ht="27.75" customHeight="1">
      <c r="A3" s="119"/>
      <c r="B3" s="306"/>
      <c r="C3" s="399" t="s">
        <v>2010</v>
      </c>
      <c r="D3" s="357" t="s">
        <v>2010</v>
      </c>
    </row>
    <row r="4" spans="1:4" ht="27.75" customHeight="1">
      <c r="A4" s="291"/>
      <c r="B4" s="292"/>
      <c r="C4" s="151" t="s">
        <v>2528</v>
      </c>
      <c r="D4" s="359" t="s">
        <v>2528</v>
      </c>
    </row>
    <row r="5" spans="1:4" ht="33" customHeight="1" thickBot="1">
      <c r="A5" s="400"/>
      <c r="B5" s="400" t="s">
        <v>2011</v>
      </c>
      <c r="C5" s="401"/>
      <c r="D5" s="402"/>
    </row>
    <row r="6" spans="1:4" ht="21.75" customHeight="1" thickBot="1">
      <c r="A6" s="403">
        <v>800</v>
      </c>
      <c r="B6" s="135" t="s">
        <v>2012</v>
      </c>
      <c r="C6" s="188" t="s">
        <v>744</v>
      </c>
      <c r="D6" s="404">
        <v>53781192.329999998</v>
      </c>
    </row>
    <row r="7" spans="1:4" ht="23.25" customHeight="1" thickBot="1">
      <c r="A7" s="403">
        <v>800</v>
      </c>
      <c r="B7" s="405" t="s">
        <v>2013</v>
      </c>
      <c r="C7" s="188">
        <v>477222641.68000001</v>
      </c>
      <c r="D7" s="404" t="s">
        <v>744</v>
      </c>
    </row>
    <row r="8" spans="1:4" ht="46.5" customHeight="1" thickBot="1">
      <c r="A8" s="403"/>
      <c r="B8" s="135"/>
      <c r="C8" s="406" t="s">
        <v>2014</v>
      </c>
      <c r="D8" s="407" t="s">
        <v>2015</v>
      </c>
    </row>
    <row r="9" spans="1:4" ht="26.25" customHeight="1" thickBot="1">
      <c r="A9" s="403"/>
      <c r="B9" s="408" t="s">
        <v>2016</v>
      </c>
      <c r="C9" s="188"/>
      <c r="D9" s="404"/>
    </row>
    <row r="10" spans="1:4" ht="21.75" customHeight="1" thickBot="1">
      <c r="A10" s="403">
        <v>280</v>
      </c>
      <c r="B10" s="405" t="s">
        <v>2017</v>
      </c>
      <c r="C10" s="188">
        <v>0</v>
      </c>
      <c r="D10" s="184">
        <v>2275040.37</v>
      </c>
    </row>
    <row r="11" spans="1:4" ht="24" customHeight="1" thickBot="1">
      <c r="A11" s="403">
        <v>281</v>
      </c>
      <c r="B11" s="405" t="s">
        <v>2018</v>
      </c>
      <c r="C11" s="188">
        <v>0</v>
      </c>
      <c r="D11" s="184">
        <v>0</v>
      </c>
    </row>
    <row r="12" spans="1:4" ht="21.75" customHeight="1" thickBot="1">
      <c r="A12" s="403">
        <v>282</v>
      </c>
      <c r="B12" s="135" t="s">
        <v>2019</v>
      </c>
      <c r="C12" s="188">
        <v>0</v>
      </c>
      <c r="D12" s="184">
        <v>0</v>
      </c>
    </row>
    <row r="13" spans="1:4" ht="28.5" customHeight="1" thickBot="1">
      <c r="A13" s="409"/>
      <c r="B13" s="410" t="s">
        <v>2020</v>
      </c>
      <c r="C13" s="188"/>
      <c r="D13" s="184"/>
    </row>
    <row r="14" spans="1:4" s="411" customFormat="1" ht="24.75" customHeight="1" thickBot="1">
      <c r="A14" s="403">
        <v>290</v>
      </c>
      <c r="B14" s="405" t="s">
        <v>2021</v>
      </c>
      <c r="C14" s="188">
        <v>32351978.829999998</v>
      </c>
      <c r="D14" s="184">
        <v>500210091.07999998</v>
      </c>
    </row>
    <row r="15" spans="1:4" s="411" customFormat="1" ht="30.75" customHeight="1" thickBot="1">
      <c r="A15" s="403">
        <v>290.5</v>
      </c>
      <c r="B15" s="405" t="s">
        <v>2022</v>
      </c>
      <c r="C15" s="188">
        <v>3785203.39</v>
      </c>
      <c r="D15" s="184">
        <v>9672781.4299999997</v>
      </c>
    </row>
    <row r="16" spans="1:4" ht="25.5" customHeight="1" thickBot="1">
      <c r="A16" s="403">
        <v>291</v>
      </c>
      <c r="B16" s="405" t="s">
        <v>2023</v>
      </c>
      <c r="C16" s="188">
        <v>27500038.870000001</v>
      </c>
      <c r="D16" s="184">
        <v>1220283.99</v>
      </c>
    </row>
    <row r="17" spans="1:4" ht="24" customHeight="1" thickBot="1">
      <c r="A17" s="403">
        <v>292</v>
      </c>
      <c r="B17" s="405" t="s">
        <v>2024</v>
      </c>
      <c r="C17" s="188">
        <v>2417480.23</v>
      </c>
      <c r="D17" s="184">
        <v>2766124.47</v>
      </c>
    </row>
    <row r="18" spans="1:4" ht="22.5" customHeight="1" thickBot="1">
      <c r="A18" s="403">
        <v>293</v>
      </c>
      <c r="B18" s="405" t="s">
        <v>2025</v>
      </c>
      <c r="C18" s="188">
        <v>27015985.59</v>
      </c>
      <c r="D18" s="184">
        <v>367814.92</v>
      </c>
    </row>
    <row r="19" spans="1:4" ht="13.5" customHeight="1" thickBot="1">
      <c r="A19" s="403"/>
      <c r="B19" s="135"/>
      <c r="C19" s="188"/>
      <c r="D19" s="184"/>
    </row>
    <row r="20" spans="1:4" s="277" customFormat="1" ht="33" customHeight="1" thickBot="1">
      <c r="A20" s="412"/>
      <c r="B20" s="413" t="s">
        <v>2026</v>
      </c>
      <c r="C20" s="295">
        <v>570293328.59000003</v>
      </c>
      <c r="D20" s="414">
        <v>570293328.59000003</v>
      </c>
    </row>
    <row r="21" spans="1:4" ht="2.25" customHeight="1" thickBot="1">
      <c r="A21" s="415"/>
      <c r="B21" s="416"/>
      <c r="C21" s="298"/>
      <c r="D21" s="417"/>
    </row>
    <row r="22" spans="1:4" ht="19.5" customHeight="1">
      <c r="A22" s="140" t="s">
        <v>1837</v>
      </c>
      <c r="B22" s="321"/>
      <c r="C22" s="164"/>
      <c r="D22" s="372"/>
    </row>
    <row r="23" spans="1:4" ht="14.25" customHeight="1">
      <c r="A23" s="141"/>
      <c r="B23" s="353"/>
      <c r="C23" s="166"/>
      <c r="D23" s="373"/>
    </row>
    <row r="24" spans="1:4">
      <c r="A24" s="2" t="s">
        <v>2027</v>
      </c>
    </row>
    <row r="27" spans="1:4">
      <c r="A27" s="418" t="s">
        <v>710</v>
      </c>
    </row>
  </sheetData>
  <phoneticPr fontId="0" type="noConversion"/>
  <pageMargins left="0.78740157480314965" right="0.78740157480314965" top="1.05" bottom="0.49" header="0.56000000000000005" footer="0.4921259845"/>
  <pageSetup paperSize="9" scale="80" orientation="portrait" horizontalDpi="1200" verticalDpi="1200"/>
  <headerFooter alignWithMargins="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D6FBA-C8C5-2F4A-A68A-B1BB6BE87BEC}">
  <sheetPr>
    <pageSetUpPr fitToPage="1"/>
  </sheetPr>
  <dimension ref="A1:B26"/>
  <sheetViews>
    <sheetView workbookViewId="0">
      <selection activeCell="I21" sqref="I21"/>
    </sheetView>
  </sheetViews>
  <sheetFormatPr baseColWidth="10" defaultColWidth="11.3984375" defaultRowHeight="13"/>
  <cols>
    <col min="1" max="1" width="5.59765625" style="1035" customWidth="1"/>
    <col min="2" max="8" width="11.3984375" style="1035"/>
    <col min="9" max="9" width="10.59765625" style="1035" customWidth="1"/>
    <col min="10" max="10" width="7.59765625" style="1035" customWidth="1"/>
    <col min="11" max="16384" width="11.3984375" style="1035"/>
  </cols>
  <sheetData>
    <row r="1" spans="1:2" ht="16">
      <c r="A1" s="1034" t="s">
        <v>432</v>
      </c>
    </row>
    <row r="2" spans="1:2" ht="16">
      <c r="A2" s="1036"/>
    </row>
    <row r="3" spans="1:2">
      <c r="A3" s="1037">
        <v>9.01</v>
      </c>
      <c r="B3" s="1038" t="s">
        <v>1230</v>
      </c>
    </row>
    <row r="4" spans="1:2">
      <c r="A4" s="1037">
        <v>9.02</v>
      </c>
      <c r="B4" s="1038" t="s">
        <v>1231</v>
      </c>
    </row>
    <row r="5" spans="1:2">
      <c r="A5" s="1037">
        <v>9.0299999999999994</v>
      </c>
      <c r="B5" s="1038" t="s">
        <v>1232</v>
      </c>
    </row>
    <row r="6" spans="1:2">
      <c r="A6" s="1037">
        <v>9.0399999999999991</v>
      </c>
      <c r="B6" s="1038" t="s">
        <v>1233</v>
      </c>
    </row>
    <row r="7" spans="1:2">
      <c r="A7" s="1037">
        <v>9.0500000000000007</v>
      </c>
      <c r="B7" s="1038" t="s">
        <v>1234</v>
      </c>
    </row>
    <row r="8" spans="1:2">
      <c r="A8" s="1037">
        <v>9.06</v>
      </c>
      <c r="B8" s="1038" t="s">
        <v>168</v>
      </c>
    </row>
    <row r="9" spans="1:2">
      <c r="A9" s="1037">
        <v>9.07</v>
      </c>
      <c r="B9" s="1038" t="s">
        <v>169</v>
      </c>
    </row>
    <row r="10" spans="1:2">
      <c r="A10" s="1037">
        <v>9.08</v>
      </c>
      <c r="B10" s="1038" t="s">
        <v>170</v>
      </c>
    </row>
    <row r="11" spans="1:2">
      <c r="A11" s="1037">
        <v>9.09</v>
      </c>
      <c r="B11" s="1038" t="s">
        <v>433</v>
      </c>
    </row>
    <row r="12" spans="1:2">
      <c r="A12" s="1037">
        <v>9.1</v>
      </c>
      <c r="B12" s="1038" t="s">
        <v>434</v>
      </c>
    </row>
    <row r="13" spans="1:2">
      <c r="A13" s="1037">
        <v>9.11</v>
      </c>
      <c r="B13" s="1038" t="s">
        <v>435</v>
      </c>
    </row>
    <row r="14" spans="1:2">
      <c r="A14" s="1037">
        <v>9.1199999999999992</v>
      </c>
      <c r="B14" s="1038" t="s">
        <v>436</v>
      </c>
    </row>
    <row r="15" spans="1:2">
      <c r="A15" s="1037">
        <v>9.1300000000000008</v>
      </c>
      <c r="B15" s="1038" t="s">
        <v>1585</v>
      </c>
    </row>
    <row r="16" spans="1:2">
      <c r="A16" s="1037">
        <v>9.14</v>
      </c>
      <c r="B16" s="1038" t="s">
        <v>1235</v>
      </c>
    </row>
    <row r="17" spans="1:2">
      <c r="A17" s="1037">
        <v>9.15</v>
      </c>
      <c r="B17" s="1039" t="s">
        <v>1586</v>
      </c>
    </row>
    <row r="18" spans="1:2">
      <c r="A18" s="1037">
        <v>9.16</v>
      </c>
      <c r="B18" s="1039" t="s">
        <v>1587</v>
      </c>
    </row>
    <row r="19" spans="1:2">
      <c r="A19" s="1037">
        <v>9.17</v>
      </c>
      <c r="B19" s="1038" t="s">
        <v>1588</v>
      </c>
    </row>
    <row r="20" spans="1:2">
      <c r="A20" s="1037">
        <v>9.18</v>
      </c>
      <c r="B20" s="1038" t="s">
        <v>1589</v>
      </c>
    </row>
    <row r="21" spans="1:2">
      <c r="A21" s="1037">
        <v>9.19</v>
      </c>
      <c r="B21" s="1038" t="s">
        <v>1265</v>
      </c>
    </row>
    <row r="22" spans="1:2">
      <c r="A22" s="1763">
        <v>9.1999999999999993</v>
      </c>
      <c r="B22" s="1039" t="s">
        <v>1590</v>
      </c>
    </row>
    <row r="25" spans="1:2">
      <c r="A25" s="1040" t="s">
        <v>710</v>
      </c>
    </row>
    <row r="26" spans="1:2">
      <c r="B26" s="1041"/>
    </row>
  </sheetData>
  <phoneticPr fontId="30" type="noConversion"/>
  <pageMargins left="0.46" right="0.3" top="0.78" bottom="0.984251969" header="0.34" footer="0.4921259845"/>
  <pageSetup paperSize="9" orientation="portrait"/>
  <headerFooter alignWithMargins="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1AA5B-EBE6-4E44-9DF9-56AF083C17A0}">
  <sheetPr>
    <pageSetUpPr fitToPage="1"/>
  </sheetPr>
  <dimension ref="A1:J45"/>
  <sheetViews>
    <sheetView zoomScale="75" workbookViewId="0">
      <selection activeCell="A3" sqref="A3"/>
    </sheetView>
  </sheetViews>
  <sheetFormatPr baseColWidth="10" defaultColWidth="11.3984375" defaultRowHeight="13"/>
  <cols>
    <col min="1" max="1" width="15.796875" style="2" customWidth="1"/>
    <col min="2" max="7" width="15.796875" style="168" customWidth="1"/>
    <col min="8" max="16384" width="11.3984375" style="2"/>
  </cols>
  <sheetData>
    <row r="1" spans="1:7" s="1" customFormat="1" ht="14" customHeight="1">
      <c r="A1" s="271"/>
      <c r="B1" s="1009"/>
      <c r="C1" s="1009"/>
      <c r="D1" s="1009"/>
      <c r="E1" s="1009"/>
      <c r="F1" s="1009"/>
      <c r="G1" s="1009"/>
    </row>
    <row r="2" spans="1:7" s="1" customFormat="1" ht="38.25" customHeight="1">
      <c r="A2" s="2019" t="s">
        <v>1270</v>
      </c>
      <c r="B2" s="2018"/>
      <c r="C2" s="2018"/>
      <c r="D2" s="2018"/>
      <c r="E2" s="2018"/>
      <c r="F2" s="2018"/>
      <c r="G2" s="398"/>
    </row>
    <row r="3" spans="1:7" ht="27" customHeight="1">
      <c r="A3" s="119" t="s">
        <v>2320</v>
      </c>
      <c r="B3" s="120" t="s">
        <v>250</v>
      </c>
      <c r="C3" s="121" t="s">
        <v>73</v>
      </c>
      <c r="D3" s="120" t="s">
        <v>74</v>
      </c>
      <c r="E3" s="121" t="s">
        <v>75</v>
      </c>
      <c r="F3" s="120" t="s">
        <v>74</v>
      </c>
      <c r="G3" s="121" t="s">
        <v>76</v>
      </c>
    </row>
    <row r="4" spans="1:7" ht="15" customHeight="1">
      <c r="A4" s="325"/>
      <c r="B4" s="392"/>
      <c r="C4" s="913" t="s">
        <v>2299</v>
      </c>
      <c r="D4" s="123" t="s">
        <v>77</v>
      </c>
      <c r="E4" s="124" t="s">
        <v>78</v>
      </c>
      <c r="F4" s="123" t="s">
        <v>79</v>
      </c>
      <c r="G4" s="124"/>
    </row>
    <row r="5" spans="1:7" ht="15" customHeight="1">
      <c r="A5" s="325"/>
      <c r="B5" s="123"/>
      <c r="C5" s="124" t="s">
        <v>251</v>
      </c>
      <c r="D5" s="123" t="s">
        <v>80</v>
      </c>
      <c r="E5" s="913" t="s">
        <v>252</v>
      </c>
      <c r="F5" s="392" t="s">
        <v>81</v>
      </c>
      <c r="G5" s="124"/>
    </row>
    <row r="6" spans="1:7" ht="25.5" customHeight="1">
      <c r="A6" s="291"/>
      <c r="B6" s="599"/>
      <c r="C6" s="128"/>
      <c r="D6" s="129" t="s">
        <v>253</v>
      </c>
      <c r="E6" s="128"/>
      <c r="F6" s="129" t="s">
        <v>254</v>
      </c>
      <c r="G6" s="600"/>
    </row>
    <row r="7" spans="1:7" ht="1.5" customHeight="1" thickBot="1">
      <c r="A7" s="941">
        <v>1996</v>
      </c>
      <c r="B7" s="439">
        <v>5976.68608119694</v>
      </c>
      <c r="C7" s="440">
        <v>2694.5104040117299</v>
      </c>
      <c r="D7" s="439">
        <v>2760.27</v>
      </c>
      <c r="E7" s="440">
        <v>25676.809374727298</v>
      </c>
      <c r="F7" s="439">
        <v>360.34572496402706</v>
      </c>
      <c r="G7" s="440">
        <v>37468.621584899993</v>
      </c>
    </row>
    <row r="8" spans="1:7" ht="18" hidden="1" customHeight="1" thickBot="1">
      <c r="A8" s="943">
        <v>1997</v>
      </c>
      <c r="B8" s="441">
        <v>5920.5324887865727</v>
      </c>
      <c r="C8" s="442">
        <v>2815.7448411451096</v>
      </c>
      <c r="D8" s="441">
        <v>3024.94</v>
      </c>
      <c r="E8" s="442">
        <v>26081.24258388106</v>
      </c>
      <c r="F8" s="441">
        <v>367.4485025408178</v>
      </c>
      <c r="G8" s="442">
        <v>38209.908416353559</v>
      </c>
    </row>
    <row r="9" spans="1:7" ht="17.25" customHeight="1" thickBot="1">
      <c r="A9" s="943">
        <v>1998</v>
      </c>
      <c r="B9" s="441">
        <v>5989.0401962979158</v>
      </c>
      <c r="C9" s="442">
        <v>2973.2056398412365</v>
      </c>
      <c r="D9" s="441">
        <v>3270.2</v>
      </c>
      <c r="E9" s="442">
        <v>27207.284732536304</v>
      </c>
      <c r="F9" s="441">
        <v>375.28251008174266</v>
      </c>
      <c r="G9" s="442">
        <v>39815.013078757198</v>
      </c>
    </row>
    <row r="10" spans="1:7" ht="18" customHeight="1" thickBot="1">
      <c r="A10" s="943">
        <v>1999</v>
      </c>
      <c r="B10" s="441">
        <v>6272.8466267392196</v>
      </c>
      <c r="C10" s="442">
        <v>3109.7236465190003</v>
      </c>
      <c r="D10" s="441">
        <v>3620.5</v>
      </c>
      <c r="E10" s="442">
        <v>27712.672600594233</v>
      </c>
      <c r="F10" s="441">
        <v>388.70889016736157</v>
      </c>
      <c r="G10" s="442">
        <v>41104.451764019817</v>
      </c>
    </row>
    <row r="11" spans="1:7" ht="18" customHeight="1" thickBot="1">
      <c r="A11" s="943">
        <v>2000</v>
      </c>
      <c r="B11" s="441">
        <v>6460.9578247170593</v>
      </c>
      <c r="C11" s="442">
        <v>3228.4015641373426</v>
      </c>
      <c r="D11" s="441">
        <v>3725.7</v>
      </c>
      <c r="E11" s="442">
        <v>29007.70945802291</v>
      </c>
      <c r="F11" s="441">
        <v>420.16510495683002</v>
      </c>
      <c r="G11" s="442">
        <v>42842.933951834144</v>
      </c>
    </row>
    <row r="12" spans="1:7" ht="18" customHeight="1" thickBot="1">
      <c r="A12" s="943">
        <v>2001</v>
      </c>
      <c r="B12" s="441">
        <v>7635.1420797467763</v>
      </c>
      <c r="C12" s="442">
        <v>3420.9561673120697</v>
      </c>
      <c r="D12" s="441">
        <v>3837.6</v>
      </c>
      <c r="E12" s="442">
        <v>30236.407469645612</v>
      </c>
      <c r="F12" s="441">
        <v>442.73533222173643</v>
      </c>
      <c r="G12" s="442">
        <v>45572.841048926202</v>
      </c>
    </row>
    <row r="13" spans="1:7" ht="18" customHeight="1" thickBot="1">
      <c r="A13" s="943">
        <v>2002</v>
      </c>
      <c r="B13" s="441">
        <v>8429.5101580943574</v>
      </c>
      <c r="C13" s="442">
        <v>3447.3545767100568</v>
      </c>
      <c r="D13" s="441">
        <v>4062.6</v>
      </c>
      <c r="E13" s="442">
        <v>30992.856823335846</v>
      </c>
      <c r="F13" s="441">
        <v>456.31192849787288</v>
      </c>
      <c r="G13" s="442">
        <v>47388.633486638137</v>
      </c>
    </row>
    <row r="14" spans="1:7" ht="18" customHeight="1" thickBot="1">
      <c r="A14" s="943">
        <v>2003</v>
      </c>
      <c r="B14" s="441">
        <v>8778.10319716105</v>
      </c>
      <c r="C14" s="442">
        <v>3663.0755838507671</v>
      </c>
      <c r="D14" s="441">
        <v>4268.5</v>
      </c>
      <c r="E14" s="442">
        <v>32093.321909615661</v>
      </c>
      <c r="F14" s="441">
        <v>462.16066224325607</v>
      </c>
      <c r="G14" s="442">
        <v>49265.161352870738</v>
      </c>
    </row>
    <row r="15" spans="1:7" ht="18" customHeight="1" thickBot="1">
      <c r="A15" s="943">
        <v>2004</v>
      </c>
      <c r="B15" s="441">
        <v>8632.7243540636446</v>
      </c>
      <c r="C15" s="442">
        <v>3771.1797269619269</v>
      </c>
      <c r="D15" s="441">
        <v>4550.2</v>
      </c>
      <c r="E15" s="442">
        <v>33593.067485006832</v>
      </c>
      <c r="F15" s="441">
        <v>460.54510480676191</v>
      </c>
      <c r="G15" s="442">
        <v>51007.71667083916</v>
      </c>
    </row>
    <row r="16" spans="1:7" ht="18" customHeight="1" thickBot="1">
      <c r="A16" s="943">
        <v>2005</v>
      </c>
      <c r="B16" s="441">
        <v>8704.8174549394607</v>
      </c>
      <c r="C16" s="442">
        <v>3968.7366137610011</v>
      </c>
      <c r="D16" s="441">
        <v>4782.4252710000001</v>
      </c>
      <c r="E16" s="442">
        <v>34106.094831624476</v>
      </c>
      <c r="F16" s="441">
        <v>480.96670935903251</v>
      </c>
      <c r="G16" s="442">
        <v>52043.04088068397</v>
      </c>
    </row>
    <row r="17" spans="1:8" ht="18" customHeight="1" thickBot="1">
      <c r="A17" s="943">
        <v>2006</v>
      </c>
      <c r="B17" s="441">
        <v>8536.5423231378227</v>
      </c>
      <c r="C17" s="442">
        <v>4049.5170354256738</v>
      </c>
      <c r="D17" s="441">
        <v>4933.240785</v>
      </c>
      <c r="E17" s="442">
        <v>34753.76548484189</v>
      </c>
      <c r="F17" s="441">
        <v>500.28122327763634</v>
      </c>
      <c r="G17" s="442">
        <v>52773.346851683025</v>
      </c>
    </row>
    <row r="18" spans="1:8" ht="18" customHeight="1" thickBot="1">
      <c r="A18" s="943">
        <v>2007</v>
      </c>
      <c r="B18" s="441">
        <v>8960.8447898915601</v>
      </c>
      <c r="C18" s="442">
        <v>4185.9254439417819</v>
      </c>
      <c r="D18" s="441">
        <v>5178.7248829999999</v>
      </c>
      <c r="E18" s="442">
        <v>36353.967010517714</v>
      </c>
      <c r="F18" s="441">
        <v>535.48298288401816</v>
      </c>
      <c r="G18" s="442">
        <v>55214.945110235072</v>
      </c>
    </row>
    <row r="19" spans="1:8" ht="18" customHeight="1" thickBot="1">
      <c r="A19" s="943">
        <v>2008</v>
      </c>
      <c r="B19" s="441">
        <v>10678.6</v>
      </c>
      <c r="C19" s="442">
        <v>3547.5</v>
      </c>
      <c r="D19" s="441">
        <v>4972.2</v>
      </c>
      <c r="E19" s="442">
        <v>38654.300000000003</v>
      </c>
      <c r="F19" s="441">
        <v>600.9</v>
      </c>
      <c r="G19" s="442">
        <v>58453.4</v>
      </c>
    </row>
    <row r="20" spans="1:8" ht="32.25" customHeight="1" thickBot="1">
      <c r="A20" s="1010" t="s">
        <v>255</v>
      </c>
      <c r="B20" s="763">
        <v>11289.3</v>
      </c>
      <c r="C20" s="764" t="s">
        <v>744</v>
      </c>
      <c r="D20" s="763" t="s">
        <v>744</v>
      </c>
      <c r="E20" s="764" t="s">
        <v>744</v>
      </c>
      <c r="F20" s="763">
        <v>637.4</v>
      </c>
      <c r="G20" s="764">
        <v>61378.1</v>
      </c>
    </row>
    <row r="21" spans="1:8" ht="20" customHeight="1">
      <c r="A21" s="1011" t="s">
        <v>414</v>
      </c>
      <c r="B21" s="1012"/>
      <c r="C21" s="1012"/>
      <c r="D21" s="1012"/>
      <c r="E21" s="1012"/>
      <c r="F21" s="1012"/>
      <c r="G21" s="1012"/>
    </row>
    <row r="22" spans="1:8" ht="12.75" customHeight="1">
      <c r="A22" s="1013"/>
      <c r="B22" s="713"/>
      <c r="C22" s="713"/>
      <c r="D22" s="713"/>
      <c r="E22" s="713"/>
      <c r="F22" s="713"/>
      <c r="G22" s="713"/>
      <c r="H22" s="3"/>
    </row>
    <row r="23" spans="1:8" ht="12.75" customHeight="1">
      <c r="A23" s="1013" t="s">
        <v>82</v>
      </c>
      <c r="B23" s="713"/>
      <c r="C23" s="713"/>
      <c r="D23" s="713"/>
      <c r="E23" s="713"/>
      <c r="F23" s="713"/>
      <c r="G23" s="713"/>
      <c r="H23" s="3"/>
    </row>
    <row r="24" spans="1:8" ht="12.75" customHeight="1">
      <c r="A24" s="1013" t="s">
        <v>83</v>
      </c>
      <c r="B24" s="713"/>
      <c r="C24" s="713"/>
      <c r="D24" s="713"/>
      <c r="E24" s="713"/>
      <c r="F24" s="713"/>
      <c r="G24" s="713"/>
      <c r="H24" s="3"/>
    </row>
    <row r="25" spans="1:8" ht="12.75" customHeight="1">
      <c r="A25" s="1013" t="s">
        <v>84</v>
      </c>
      <c r="B25" s="713"/>
      <c r="C25" s="713"/>
      <c r="D25" s="713"/>
      <c r="E25" s="713"/>
      <c r="F25" s="713"/>
      <c r="G25" s="713"/>
      <c r="H25" s="3"/>
    </row>
    <row r="26" spans="1:8" ht="12.75" customHeight="1">
      <c r="A26" s="1013" t="s">
        <v>85</v>
      </c>
      <c r="B26" s="713"/>
      <c r="C26" s="713"/>
      <c r="D26" s="713"/>
      <c r="E26" s="713"/>
      <c r="F26" s="713"/>
      <c r="G26" s="713"/>
      <c r="H26" s="3"/>
    </row>
    <row r="27" spans="1:8" ht="12.75" customHeight="1">
      <c r="A27" s="1013" t="s">
        <v>86</v>
      </c>
      <c r="B27" s="713"/>
      <c r="C27" s="713"/>
      <c r="D27" s="713"/>
      <c r="E27" s="713"/>
      <c r="F27" s="713"/>
      <c r="G27" s="713"/>
      <c r="H27" s="3"/>
    </row>
    <row r="28" spans="1:8" ht="12.75" customHeight="1">
      <c r="A28" s="1013" t="s">
        <v>245</v>
      </c>
      <c r="B28" s="713"/>
      <c r="C28" s="713"/>
      <c r="D28" s="713"/>
      <c r="E28" s="713"/>
      <c r="F28" s="713"/>
      <c r="G28" s="713"/>
      <c r="H28" s="3"/>
    </row>
    <row r="29" spans="1:8" ht="12.75" customHeight="1">
      <c r="A29" s="1013" t="s">
        <v>246</v>
      </c>
      <c r="B29" s="713"/>
      <c r="C29" s="713"/>
      <c r="D29" s="713"/>
      <c r="E29" s="713"/>
      <c r="F29" s="713"/>
      <c r="G29" s="713"/>
      <c r="H29" s="3"/>
    </row>
    <row r="30" spans="1:8" ht="12.75" customHeight="1">
      <c r="A30" s="1013" t="s">
        <v>247</v>
      </c>
      <c r="B30" s="713"/>
      <c r="C30" s="713"/>
      <c r="D30" s="713"/>
      <c r="E30" s="713"/>
      <c r="F30" s="713"/>
      <c r="G30" s="713"/>
      <c r="H30" s="3"/>
    </row>
    <row r="31" spans="1:8" ht="12.75" customHeight="1">
      <c r="A31" s="1013" t="s">
        <v>248</v>
      </c>
      <c r="B31" s="713"/>
      <c r="C31" s="713"/>
      <c r="D31" s="713"/>
      <c r="E31" s="713"/>
      <c r="F31" s="713"/>
      <c r="G31" s="713"/>
      <c r="H31" s="3"/>
    </row>
    <row r="32" spans="1:8" ht="12.75" customHeight="1">
      <c r="A32" s="1013"/>
      <c r="B32" s="713"/>
      <c r="C32" s="713"/>
      <c r="D32" s="713"/>
      <c r="E32" s="713"/>
      <c r="F32" s="713"/>
      <c r="G32" s="713"/>
      <c r="H32" s="3"/>
    </row>
    <row r="33" spans="1:10" ht="12.75" customHeight="1">
      <c r="A33" s="1013" t="s">
        <v>249</v>
      </c>
      <c r="B33" s="713"/>
      <c r="C33" s="713"/>
      <c r="D33" s="713"/>
      <c r="E33" s="713"/>
      <c r="F33" s="713"/>
      <c r="G33" s="713"/>
      <c r="H33" s="3"/>
    </row>
    <row r="34" spans="1:10" ht="13.5" customHeight="1">
      <c r="A34" s="44"/>
      <c r="B34" s="1014"/>
      <c r="C34" s="1014"/>
      <c r="D34" s="1014"/>
      <c r="E34" s="1014"/>
      <c r="F34" s="1014"/>
      <c r="G34" s="1014"/>
      <c r="H34" s="3"/>
    </row>
    <row r="35" spans="1:10" ht="12.75" customHeight="1">
      <c r="A35" s="1015"/>
      <c r="B35" s="1014"/>
      <c r="C35" s="1014"/>
      <c r="D35" s="1014"/>
      <c r="E35" s="1014"/>
      <c r="F35" s="1014"/>
      <c r="G35" s="1014"/>
      <c r="H35" s="3"/>
    </row>
    <row r="36" spans="1:10" ht="13.5" customHeight="1">
      <c r="A36" s="3" t="s">
        <v>710</v>
      </c>
      <c r="B36" s="1014"/>
      <c r="C36" s="1014"/>
      <c r="D36" s="1014"/>
      <c r="E36" s="1014"/>
      <c r="F36" s="1014"/>
      <c r="G36" s="1014"/>
      <c r="H36" s="3"/>
    </row>
    <row r="37" spans="1:10" ht="31" customHeight="1">
      <c r="A37" s="201"/>
      <c r="B37" s="1016"/>
      <c r="C37" s="1016"/>
      <c r="D37" s="1016"/>
      <c r="E37" s="1016"/>
      <c r="F37" s="1016"/>
      <c r="G37" s="1016"/>
    </row>
    <row r="38" spans="1:10" ht="31" customHeight="1">
      <c r="A38" s="201"/>
      <c r="B38" s="1016"/>
      <c r="C38" s="1016"/>
      <c r="D38" s="1016"/>
      <c r="E38" s="1016"/>
      <c r="F38" s="1016"/>
      <c r="G38" s="1016"/>
      <c r="J38" s="1"/>
    </row>
    <row r="39" spans="1:10" ht="31" customHeight="1">
      <c r="A39" s="201"/>
      <c r="B39" s="1016"/>
      <c r="C39" s="1016"/>
      <c r="D39" s="1016"/>
      <c r="E39" s="1016"/>
      <c r="F39" s="1016"/>
      <c r="G39" s="1016"/>
    </row>
    <row r="40" spans="1:10" ht="31" customHeight="1">
      <c r="A40" s="201"/>
      <c r="B40" s="1016"/>
      <c r="C40" s="1016"/>
      <c r="D40" s="1016"/>
      <c r="E40" s="1016"/>
      <c r="F40" s="1016"/>
      <c r="G40" s="1016"/>
    </row>
    <row r="41" spans="1:10" ht="31" customHeight="1">
      <c r="A41" s="201"/>
      <c r="B41" s="1016"/>
      <c r="C41" s="1016"/>
      <c r="D41" s="1016"/>
      <c r="E41" s="1016"/>
      <c r="F41" s="1016"/>
      <c r="G41" s="1016"/>
    </row>
    <row r="42" spans="1:10" ht="31" customHeight="1">
      <c r="A42" s="201"/>
      <c r="B42" s="1016"/>
      <c r="C42" s="1016"/>
      <c r="D42" s="1016"/>
      <c r="E42" s="1016"/>
      <c r="F42" s="1016"/>
      <c r="G42" s="1016"/>
    </row>
    <row r="43" spans="1:10" ht="31" customHeight="1">
      <c r="A43" s="201"/>
      <c r="B43" s="1016"/>
      <c r="C43" s="1016"/>
      <c r="D43" s="1016"/>
      <c r="E43" s="1016"/>
      <c r="F43" s="1016"/>
      <c r="G43" s="1016"/>
    </row>
    <row r="44" spans="1:10">
      <c r="A44" s="201"/>
      <c r="B44" s="1016"/>
      <c r="C44" s="1016"/>
      <c r="D44" s="1016"/>
      <c r="E44" s="1016"/>
      <c r="F44" s="1016"/>
      <c r="G44" s="1016"/>
    </row>
    <row r="45" spans="1:10">
      <c r="A45" s="201"/>
      <c r="B45" s="1016"/>
      <c r="C45" s="1016"/>
      <c r="D45" s="1016"/>
      <c r="E45" s="1016"/>
      <c r="F45" s="1016"/>
      <c r="G45" s="1016"/>
    </row>
  </sheetData>
  <mergeCells count="1">
    <mergeCell ref="A2:F2"/>
  </mergeCells>
  <phoneticPr fontId="0" type="noConversion"/>
  <pageMargins left="0.56000000000000005" right="0.51" top="1.02" bottom="0.49" header="0.68" footer="0.4921259845"/>
  <pageSetup paperSize="9" scale="75" orientation="portrait" horizontalDpi="4294967292" verticalDpi="4294967292"/>
  <headerFooter alignWithMargins="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DC681-E41C-AE4C-85CF-0FEC0C8F40D3}">
  <sheetPr>
    <pageSetUpPr fitToPage="1"/>
  </sheetPr>
  <dimension ref="A1:J46"/>
  <sheetViews>
    <sheetView zoomScale="75" workbookViewId="0">
      <selection activeCell="A3" sqref="A3"/>
    </sheetView>
  </sheetViews>
  <sheetFormatPr baseColWidth="10" defaultColWidth="11.3984375" defaultRowHeight="13"/>
  <cols>
    <col min="1" max="1" width="14.3984375" style="2" customWidth="1"/>
    <col min="2" max="7" width="14.3984375" style="168" customWidth="1"/>
    <col min="8" max="16384" width="11.3984375" style="2"/>
  </cols>
  <sheetData>
    <row r="1" spans="1:7" s="1" customFormat="1" ht="14" customHeight="1">
      <c r="A1" s="271"/>
      <c r="B1" s="1009"/>
      <c r="C1" s="1009"/>
      <c r="D1" s="1009"/>
      <c r="E1" s="1009"/>
      <c r="F1" s="1009"/>
      <c r="G1" s="1009"/>
    </row>
    <row r="2" spans="1:7" s="1" customFormat="1" ht="38.25" customHeight="1">
      <c r="A2" s="2019" t="s">
        <v>1269</v>
      </c>
      <c r="B2" s="2018"/>
      <c r="C2" s="2018"/>
      <c r="D2" s="2018"/>
      <c r="E2" s="2018"/>
      <c r="F2" s="2018"/>
      <c r="G2" s="398"/>
    </row>
    <row r="3" spans="1:7" ht="27" customHeight="1">
      <c r="A3" s="119" t="s">
        <v>2320</v>
      </c>
      <c r="B3" s="120" t="s">
        <v>250</v>
      </c>
      <c r="C3" s="121" t="s">
        <v>73</v>
      </c>
      <c r="D3" s="120" t="s">
        <v>256</v>
      </c>
      <c r="E3" s="121" t="s">
        <v>75</v>
      </c>
      <c r="F3" s="120" t="s">
        <v>74</v>
      </c>
      <c r="G3" s="121" t="s">
        <v>76</v>
      </c>
    </row>
    <row r="4" spans="1:7" ht="15" customHeight="1">
      <c r="A4" s="325"/>
      <c r="B4" s="392"/>
      <c r="C4" s="913" t="s">
        <v>2299</v>
      </c>
      <c r="D4" s="123" t="s">
        <v>2299</v>
      </c>
      <c r="E4" s="124" t="s">
        <v>78</v>
      </c>
      <c r="F4" s="123" t="s">
        <v>79</v>
      </c>
      <c r="G4" s="124"/>
    </row>
    <row r="5" spans="1:7" ht="15" customHeight="1">
      <c r="A5" s="325"/>
      <c r="B5" s="123"/>
      <c r="C5" s="124" t="s">
        <v>251</v>
      </c>
      <c r="D5" s="123" t="s">
        <v>257</v>
      </c>
      <c r="E5" s="913" t="s">
        <v>252</v>
      </c>
      <c r="F5" s="392" t="s">
        <v>81</v>
      </c>
      <c r="G5" s="124"/>
    </row>
    <row r="6" spans="1:7" ht="25.5" customHeight="1">
      <c r="A6" s="291"/>
      <c r="B6" s="599"/>
      <c r="C6" s="128"/>
      <c r="D6" s="129" t="s">
        <v>375</v>
      </c>
      <c r="E6" s="128"/>
      <c r="F6" s="129" t="s">
        <v>254</v>
      </c>
      <c r="G6" s="600"/>
    </row>
    <row r="7" spans="1:7" ht="2.25" customHeight="1" thickBot="1">
      <c r="A7" s="941">
        <v>1996</v>
      </c>
      <c r="B7" s="439">
        <v>5976.68608119694</v>
      </c>
      <c r="C7" s="440">
        <v>14434.210404011734</v>
      </c>
      <c r="D7" s="439">
        <v>4896.4666666666662</v>
      </c>
      <c r="E7" s="440">
        <v>11800.912708060619</v>
      </c>
      <c r="F7" s="439">
        <v>360.34572496402706</v>
      </c>
      <c r="G7" s="440">
        <v>37468.621584899985</v>
      </c>
    </row>
    <row r="8" spans="1:7" ht="18" hidden="1" customHeight="1" thickBot="1">
      <c r="A8" s="943">
        <v>1997</v>
      </c>
      <c r="B8" s="441">
        <v>5920.5324887865727</v>
      </c>
      <c r="C8" s="442">
        <v>15076.044841145113</v>
      </c>
      <c r="D8" s="441">
        <v>4463.3999999999996</v>
      </c>
      <c r="E8" s="442">
        <v>12382.482583881054</v>
      </c>
      <c r="F8" s="441">
        <v>367.4485025408178</v>
      </c>
      <c r="G8" s="442">
        <v>38209.908416353559</v>
      </c>
    </row>
    <row r="9" spans="1:7" ht="17.25" customHeight="1" thickBot="1">
      <c r="A9" s="943">
        <v>1998</v>
      </c>
      <c r="B9" s="441">
        <v>5989.0401962979158</v>
      </c>
      <c r="C9" s="442">
        <v>15771.905639841238</v>
      </c>
      <c r="D9" s="441">
        <v>4590.2</v>
      </c>
      <c r="E9" s="442">
        <v>13088.584732536303</v>
      </c>
      <c r="F9" s="441">
        <v>375.28251008174271</v>
      </c>
      <c r="G9" s="442">
        <v>39815.013078757198</v>
      </c>
    </row>
    <row r="10" spans="1:7" ht="18" customHeight="1" thickBot="1">
      <c r="A10" s="943">
        <v>1999</v>
      </c>
      <c r="B10" s="441">
        <v>6272.8466257392192</v>
      </c>
      <c r="C10" s="442">
        <v>16391.923646518997</v>
      </c>
      <c r="D10" s="441">
        <v>4331.8999999999996</v>
      </c>
      <c r="E10" s="442">
        <v>13719.072601594235</v>
      </c>
      <c r="F10" s="441">
        <v>388.70889016736163</v>
      </c>
      <c r="G10" s="442">
        <v>41104.451764019817</v>
      </c>
    </row>
    <row r="11" spans="1:7" ht="18" customHeight="1" thickBot="1">
      <c r="A11" s="943">
        <v>2000</v>
      </c>
      <c r="B11" s="441">
        <v>6460.9578237170608</v>
      </c>
      <c r="C11" s="442">
        <v>17287.501564137343</v>
      </c>
      <c r="D11" s="441">
        <v>4546.7</v>
      </c>
      <c r="E11" s="442">
        <v>14127.609459022913</v>
      </c>
      <c r="F11" s="441">
        <v>420.16510495683008</v>
      </c>
      <c r="G11" s="442">
        <v>42842.933951834151</v>
      </c>
    </row>
    <row r="12" spans="1:7" ht="18" customHeight="1" thickBot="1">
      <c r="A12" s="943">
        <v>2001</v>
      </c>
      <c r="B12" s="441">
        <v>7635.1420777467765</v>
      </c>
      <c r="C12" s="442">
        <v>18307.65616731207</v>
      </c>
      <c r="D12" s="441">
        <v>4699.8999999999996</v>
      </c>
      <c r="E12" s="442">
        <v>14487.407471645613</v>
      </c>
      <c r="F12" s="441">
        <v>442.73533222173643</v>
      </c>
      <c r="G12" s="442">
        <v>45572.841048926202</v>
      </c>
    </row>
    <row r="13" spans="1:7" ht="18" customHeight="1" thickBot="1">
      <c r="A13" s="943">
        <v>2002</v>
      </c>
      <c r="B13" s="441">
        <v>8429.5101560943567</v>
      </c>
      <c r="C13" s="442">
        <v>18930.654576710058</v>
      </c>
      <c r="D13" s="441">
        <v>4615.5</v>
      </c>
      <c r="E13" s="442">
        <v>14956.656825335853</v>
      </c>
      <c r="F13" s="441">
        <v>456.31192849787288</v>
      </c>
      <c r="G13" s="442">
        <v>47388.633486638137</v>
      </c>
    </row>
    <row r="14" spans="1:7" ht="18" customHeight="1" thickBot="1">
      <c r="A14" s="943">
        <v>2003</v>
      </c>
      <c r="B14" s="441">
        <v>8778.10319716105</v>
      </c>
      <c r="C14" s="442">
        <v>19967.283583850771</v>
      </c>
      <c r="D14" s="441">
        <v>4477.9040000000005</v>
      </c>
      <c r="E14" s="442">
        <v>15579.71663887125</v>
      </c>
      <c r="F14" s="441">
        <v>462.16066224325613</v>
      </c>
      <c r="G14" s="442">
        <v>49265.168082126329</v>
      </c>
    </row>
    <row r="15" spans="1:7" ht="18" customHeight="1" thickBot="1">
      <c r="A15" s="943">
        <v>2004</v>
      </c>
      <c r="B15" s="441">
        <v>8632.7243530636424</v>
      </c>
      <c r="C15" s="442">
        <v>21150.983726961927</v>
      </c>
      <c r="D15" s="441">
        <v>4511.7479999999996</v>
      </c>
      <c r="E15" s="442">
        <v>16251.715486006822</v>
      </c>
      <c r="F15" s="441">
        <v>460.54510480676197</v>
      </c>
      <c r="G15" s="442">
        <v>51007.71667083916</v>
      </c>
    </row>
    <row r="16" spans="1:7" ht="18" customHeight="1" thickBot="1">
      <c r="A16" s="943">
        <v>2005</v>
      </c>
      <c r="B16" s="441">
        <v>8704.8174529394601</v>
      </c>
      <c r="C16" s="442">
        <v>22241.413529341</v>
      </c>
      <c r="D16" s="441">
        <v>4674.7509002500001</v>
      </c>
      <c r="E16" s="442">
        <v>15941.092288794471</v>
      </c>
      <c r="F16" s="441">
        <v>480.96670935903251</v>
      </c>
      <c r="G16" s="442">
        <v>52043.040880683962</v>
      </c>
    </row>
    <row r="17" spans="1:8" ht="18" customHeight="1" thickBot="1">
      <c r="A17" s="943">
        <v>2006</v>
      </c>
      <c r="B17" s="441">
        <v>8536.5423231378227</v>
      </c>
      <c r="C17" s="442">
        <v>22665.685294776315</v>
      </c>
      <c r="D17" s="441">
        <v>4820.2721687900003</v>
      </c>
      <c r="E17" s="442">
        <v>16250.566423088485</v>
      </c>
      <c r="F17" s="441">
        <v>500.28122327763629</v>
      </c>
      <c r="G17" s="442">
        <v>52773.347433070259</v>
      </c>
    </row>
    <row r="18" spans="1:8" ht="18" customHeight="1" thickBot="1">
      <c r="A18" s="943">
        <v>2007</v>
      </c>
      <c r="B18" s="441">
        <v>8960.8447878915576</v>
      </c>
      <c r="C18" s="442">
        <v>23662.497744611785</v>
      </c>
      <c r="D18" s="441">
        <v>5090.8464520100015</v>
      </c>
      <c r="E18" s="442">
        <v>16965.273142837719</v>
      </c>
      <c r="F18" s="441">
        <v>535.48298288401816</v>
      </c>
      <c r="G18" s="442">
        <v>55214.945110235072</v>
      </c>
    </row>
    <row r="19" spans="1:8" ht="18" customHeight="1" thickBot="1">
      <c r="A19" s="943">
        <v>2008</v>
      </c>
      <c r="B19" s="441">
        <v>10678.6</v>
      </c>
      <c r="C19" s="442">
        <v>24099.8</v>
      </c>
      <c r="D19" s="441">
        <v>5247.4</v>
      </c>
      <c r="E19" s="442">
        <v>17826.7</v>
      </c>
      <c r="F19" s="441">
        <v>600.9</v>
      </c>
      <c r="G19" s="442">
        <v>58453.4</v>
      </c>
    </row>
    <row r="20" spans="1:8" ht="30" customHeight="1" thickBot="1">
      <c r="A20" s="1010" t="s">
        <v>255</v>
      </c>
      <c r="B20" s="763">
        <v>11289.3</v>
      </c>
      <c r="C20" s="764">
        <v>25085.5</v>
      </c>
      <c r="D20" s="763">
        <v>5560.3</v>
      </c>
      <c r="E20" s="764">
        <v>18789.099999999999</v>
      </c>
      <c r="F20" s="763">
        <v>637.4</v>
      </c>
      <c r="G20" s="764">
        <v>61378.1</v>
      </c>
    </row>
    <row r="21" spans="1:8" ht="20" customHeight="1">
      <c r="A21" s="1011" t="s">
        <v>414</v>
      </c>
      <c r="B21" s="1012"/>
      <c r="C21" s="1012"/>
      <c r="D21" s="1012"/>
      <c r="E21" s="1012"/>
      <c r="F21" s="1012"/>
      <c r="G21" s="1012"/>
    </row>
    <row r="22" spans="1:8" ht="12.75" customHeight="1">
      <c r="A22" s="1013"/>
      <c r="B22" s="713"/>
      <c r="C22" s="713"/>
      <c r="D22" s="713"/>
      <c r="E22" s="713"/>
      <c r="F22" s="713"/>
      <c r="G22" s="713"/>
      <c r="H22" s="3"/>
    </row>
    <row r="23" spans="1:8" ht="12.75" customHeight="1">
      <c r="A23" s="1013" t="s">
        <v>258</v>
      </c>
      <c r="B23" s="1013"/>
      <c r="C23" s="713"/>
      <c r="D23" s="713"/>
      <c r="E23" s="713"/>
      <c r="F23" s="713"/>
      <c r="G23" s="713"/>
      <c r="H23" s="3"/>
    </row>
    <row r="24" spans="1:8" ht="12.75" customHeight="1">
      <c r="A24" s="1013" t="s">
        <v>370</v>
      </c>
      <c r="B24" s="713"/>
      <c r="C24" s="713"/>
      <c r="D24" s="713"/>
      <c r="E24" s="713"/>
      <c r="F24" s="713"/>
      <c r="G24" s="713"/>
      <c r="H24" s="3"/>
    </row>
    <row r="25" spans="1:8" ht="12.75" customHeight="1">
      <c r="A25" s="1013" t="s">
        <v>371</v>
      </c>
      <c r="B25" s="713"/>
      <c r="C25" s="713"/>
      <c r="D25" s="713"/>
      <c r="E25" s="713"/>
      <c r="F25" s="713"/>
      <c r="G25" s="713"/>
      <c r="H25" s="3"/>
    </row>
    <row r="26" spans="1:8" ht="12.75" customHeight="1">
      <c r="A26" s="1013" t="s">
        <v>372</v>
      </c>
      <c r="B26" s="713"/>
      <c r="C26" s="713"/>
      <c r="D26" s="713"/>
      <c r="E26" s="713"/>
      <c r="F26" s="713"/>
      <c r="G26" s="713"/>
      <c r="H26" s="3"/>
    </row>
    <row r="27" spans="1:8" ht="12.75" customHeight="1">
      <c r="A27" s="1013" t="s">
        <v>373</v>
      </c>
      <c r="B27" s="713"/>
      <c r="C27" s="713"/>
      <c r="D27" s="713"/>
      <c r="E27" s="713"/>
      <c r="F27" s="713"/>
      <c r="G27" s="713"/>
      <c r="H27" s="3"/>
    </row>
    <row r="28" spans="1:8" ht="12.75" customHeight="1">
      <c r="A28" s="1013" t="s">
        <v>374</v>
      </c>
      <c r="B28" s="713"/>
      <c r="C28" s="713"/>
      <c r="D28" s="713"/>
      <c r="E28" s="713"/>
      <c r="F28" s="713"/>
      <c r="G28" s="713"/>
      <c r="H28" s="3"/>
    </row>
    <row r="29" spans="1:8" ht="12.75" customHeight="1">
      <c r="A29" s="1013" t="s">
        <v>247</v>
      </c>
      <c r="B29" s="713"/>
      <c r="C29" s="713"/>
      <c r="D29" s="713"/>
      <c r="E29" s="713"/>
      <c r="F29" s="713"/>
      <c r="G29" s="713"/>
      <c r="H29" s="3"/>
    </row>
    <row r="30" spans="1:8" ht="12.75" customHeight="1">
      <c r="A30" s="1013" t="s">
        <v>248</v>
      </c>
      <c r="B30" s="713"/>
      <c r="C30" s="713"/>
      <c r="D30" s="713"/>
      <c r="E30" s="713"/>
      <c r="F30" s="713"/>
      <c r="G30" s="713"/>
      <c r="H30" s="3"/>
    </row>
    <row r="31" spans="1:8" ht="12.75" customHeight="1">
      <c r="A31" s="1013"/>
      <c r="B31" s="713"/>
      <c r="C31" s="713"/>
      <c r="D31" s="713"/>
      <c r="E31" s="713"/>
      <c r="F31" s="713"/>
      <c r="G31" s="713"/>
      <c r="H31" s="3"/>
    </row>
    <row r="32" spans="1:8" ht="12.75" customHeight="1">
      <c r="A32" s="1013" t="s">
        <v>249</v>
      </c>
      <c r="B32" s="713"/>
      <c r="C32" s="713"/>
      <c r="D32" s="713"/>
      <c r="E32" s="713"/>
      <c r="F32" s="713"/>
      <c r="G32" s="713"/>
      <c r="H32" s="3"/>
    </row>
    <row r="33" spans="1:10" ht="13.5" customHeight="1">
      <c r="A33" s="44"/>
      <c r="B33" s="1014"/>
      <c r="C33" s="1014"/>
      <c r="D33" s="1014"/>
      <c r="E33" s="1014"/>
      <c r="F33" s="1014"/>
      <c r="G33" s="1014"/>
      <c r="H33" s="3"/>
    </row>
    <row r="34" spans="1:10" ht="15.75" customHeight="1">
      <c r="A34" s="1015"/>
      <c r="B34" s="1014"/>
      <c r="C34" s="1014"/>
      <c r="D34" s="1014"/>
      <c r="E34" s="1014"/>
      <c r="F34" s="1014"/>
      <c r="G34" s="1014"/>
      <c r="H34" s="3"/>
    </row>
    <row r="35" spans="1:10" ht="13.5" customHeight="1">
      <c r="A35" s="3" t="s">
        <v>710</v>
      </c>
      <c r="B35" s="1014"/>
      <c r="C35" s="1014"/>
      <c r="D35" s="1014"/>
      <c r="E35" s="1014"/>
      <c r="F35" s="1014"/>
      <c r="G35" s="1014"/>
      <c r="H35" s="3"/>
    </row>
    <row r="36" spans="1:10" ht="31" customHeight="1">
      <c r="A36" s="3"/>
      <c r="B36" s="1014"/>
      <c r="C36" s="1014"/>
      <c r="D36" s="1014"/>
      <c r="E36" s="1014"/>
      <c r="F36" s="1014"/>
      <c r="G36" s="1014"/>
      <c r="H36" s="3"/>
    </row>
    <row r="37" spans="1:10" ht="31" customHeight="1">
      <c r="A37" s="3"/>
      <c r="B37" s="1014"/>
      <c r="C37" s="1014"/>
      <c r="D37" s="1014"/>
      <c r="E37" s="1014"/>
      <c r="F37" s="1014"/>
      <c r="G37" s="1014"/>
      <c r="H37" s="3"/>
      <c r="J37" s="1"/>
    </row>
    <row r="38" spans="1:10" ht="31" customHeight="1">
      <c r="A38" s="3"/>
      <c r="B38" s="1014"/>
      <c r="C38" s="1014"/>
      <c r="D38" s="1014"/>
      <c r="E38" s="1014"/>
      <c r="F38" s="1014"/>
      <c r="G38" s="1014"/>
      <c r="H38" s="3"/>
    </row>
    <row r="39" spans="1:10" ht="31" customHeight="1">
      <c r="A39" s="3"/>
      <c r="B39" s="1014"/>
      <c r="C39" s="1014"/>
      <c r="D39" s="1014"/>
      <c r="E39" s="1014"/>
      <c r="F39" s="1014"/>
      <c r="G39" s="1014"/>
      <c r="H39" s="3"/>
    </row>
    <row r="40" spans="1:10" ht="31" customHeight="1">
      <c r="A40" s="3"/>
      <c r="B40" s="1014"/>
      <c r="C40" s="1014"/>
      <c r="D40" s="1014"/>
      <c r="E40" s="1014"/>
      <c r="F40" s="1014"/>
      <c r="G40" s="1014"/>
      <c r="H40" s="3"/>
    </row>
    <row r="41" spans="1:10" ht="31" customHeight="1">
      <c r="A41" s="3"/>
      <c r="B41" s="1014"/>
      <c r="C41" s="1014"/>
      <c r="D41" s="1014"/>
      <c r="E41" s="1014"/>
      <c r="F41" s="1014"/>
      <c r="G41" s="1014"/>
      <c r="H41" s="3"/>
    </row>
    <row r="42" spans="1:10" ht="31" customHeight="1">
      <c r="A42" s="3"/>
      <c r="B42" s="1014"/>
      <c r="C42" s="1014"/>
      <c r="D42" s="1014"/>
      <c r="E42" s="1014"/>
      <c r="F42" s="1014"/>
      <c r="G42" s="1014"/>
      <c r="H42" s="3"/>
    </row>
    <row r="43" spans="1:10">
      <c r="A43" s="3"/>
      <c r="B43" s="1014"/>
      <c r="C43" s="1014"/>
      <c r="D43" s="1014"/>
      <c r="E43" s="1014"/>
      <c r="F43" s="1014"/>
      <c r="G43" s="1014"/>
      <c r="H43" s="3"/>
    </row>
    <row r="44" spans="1:10">
      <c r="A44" s="3"/>
      <c r="B44" s="1014"/>
      <c r="C44" s="1014"/>
      <c r="D44" s="1014"/>
      <c r="E44" s="1014"/>
      <c r="F44" s="1014"/>
      <c r="G44" s="1014"/>
      <c r="H44" s="3"/>
    </row>
    <row r="45" spans="1:10">
      <c r="A45" s="3"/>
      <c r="B45" s="1014"/>
      <c r="C45" s="1014"/>
      <c r="D45" s="1014"/>
      <c r="E45" s="1014"/>
      <c r="F45" s="1014"/>
      <c r="G45" s="1014"/>
      <c r="H45" s="3"/>
    </row>
    <row r="46" spans="1:10">
      <c r="A46" s="3"/>
      <c r="B46" s="1014"/>
      <c r="C46" s="1014"/>
      <c r="D46" s="1014"/>
      <c r="E46" s="1014"/>
      <c r="F46" s="1014"/>
      <c r="G46" s="1014"/>
      <c r="H46" s="3"/>
    </row>
  </sheetData>
  <mergeCells count="1">
    <mergeCell ref="A2:F2"/>
  </mergeCells>
  <phoneticPr fontId="0" type="noConversion"/>
  <pageMargins left="0.56000000000000005" right="0.51" top="1.02" bottom="0.49" header="0.68" footer="0.4921259845"/>
  <pageSetup paperSize="9" scale="83" orientation="portrait" horizontalDpi="4294967292" verticalDpi="4294967292"/>
  <headerFooter alignWithMargins="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69700-0B54-BA46-A427-94230BA78651}">
  <sheetPr>
    <pageSetUpPr fitToPage="1"/>
  </sheetPr>
  <dimension ref="A1:L44"/>
  <sheetViews>
    <sheetView zoomScale="75" workbookViewId="0">
      <selection activeCell="A3" sqref="A3"/>
    </sheetView>
  </sheetViews>
  <sheetFormatPr baseColWidth="10" defaultColWidth="11.3984375" defaultRowHeight="13"/>
  <cols>
    <col min="1" max="1" width="10.3984375" style="2" customWidth="1"/>
    <col min="2" max="9" width="13.3984375" style="168" customWidth="1"/>
    <col min="10" max="10" width="8.59765625" style="2" customWidth="1"/>
    <col min="11" max="16384" width="11.3984375" style="2"/>
  </cols>
  <sheetData>
    <row r="1" spans="1:9" s="1" customFormat="1" ht="14" customHeight="1">
      <c r="A1" s="271"/>
      <c r="B1" s="1009"/>
      <c r="C1" s="1009"/>
      <c r="D1" s="1009"/>
      <c r="E1" s="1009"/>
      <c r="F1" s="1009"/>
      <c r="G1" s="1009"/>
      <c r="H1" s="1009"/>
      <c r="I1" s="1009"/>
    </row>
    <row r="2" spans="1:9" s="1" customFormat="1" ht="39" customHeight="1">
      <c r="A2" s="2019" t="s">
        <v>1268</v>
      </c>
      <c r="B2" s="2018"/>
      <c r="C2" s="2018"/>
      <c r="D2" s="2018"/>
      <c r="E2" s="2018"/>
      <c r="F2" s="2018"/>
      <c r="G2" s="2018"/>
      <c r="H2" s="2018"/>
      <c r="I2" s="398"/>
    </row>
    <row r="3" spans="1:9" ht="27" customHeight="1">
      <c r="A3" s="119" t="s">
        <v>2320</v>
      </c>
      <c r="B3" s="120" t="s">
        <v>2358</v>
      </c>
      <c r="C3" s="121" t="s">
        <v>376</v>
      </c>
      <c r="D3" s="120" t="s">
        <v>909</v>
      </c>
      <c r="E3" s="121" t="s">
        <v>377</v>
      </c>
      <c r="F3" s="120" t="s">
        <v>392</v>
      </c>
      <c r="G3" s="121" t="s">
        <v>2333</v>
      </c>
      <c r="H3" s="120" t="s">
        <v>378</v>
      </c>
      <c r="I3" s="121" t="s">
        <v>76</v>
      </c>
    </row>
    <row r="4" spans="1:9" ht="18.75" customHeight="1">
      <c r="A4" s="325"/>
      <c r="B4" s="392" t="s">
        <v>393</v>
      </c>
      <c r="C4" s="913" t="s">
        <v>379</v>
      </c>
      <c r="D4" s="123" t="s">
        <v>380</v>
      </c>
      <c r="E4" s="124" t="s">
        <v>394</v>
      </c>
      <c r="F4" s="123"/>
      <c r="G4" s="124" t="s">
        <v>395</v>
      </c>
      <c r="H4" s="123" t="s">
        <v>381</v>
      </c>
      <c r="I4" s="124"/>
    </row>
    <row r="5" spans="1:9" ht="16.5" customHeight="1">
      <c r="A5" s="325"/>
      <c r="B5" s="123"/>
      <c r="C5" s="124" t="s">
        <v>382</v>
      </c>
      <c r="D5" s="123" t="s">
        <v>396</v>
      </c>
      <c r="E5" s="913"/>
      <c r="F5" s="392"/>
      <c r="G5" s="913"/>
      <c r="H5" s="392" t="s">
        <v>383</v>
      </c>
      <c r="I5" s="124"/>
    </row>
    <row r="6" spans="1:9" ht="23.25" customHeight="1">
      <c r="A6" s="291"/>
      <c r="B6" s="599"/>
      <c r="C6" s="128" t="s">
        <v>397</v>
      </c>
      <c r="D6" s="129"/>
      <c r="E6" s="128"/>
      <c r="F6" s="129"/>
      <c r="G6" s="128"/>
      <c r="H6" s="129" t="s">
        <v>384</v>
      </c>
      <c r="I6" s="128"/>
    </row>
    <row r="7" spans="1:9" ht="2.25" customHeight="1" thickBot="1">
      <c r="A7" s="1017">
        <v>1996</v>
      </c>
      <c r="B7" s="439">
        <v>13184.001550929997</v>
      </c>
      <c r="C7" s="440">
        <v>5983.4068869585872</v>
      </c>
      <c r="D7" s="439">
        <v>11678.598705823826</v>
      </c>
      <c r="E7" s="440">
        <v>3544.7</v>
      </c>
      <c r="F7" s="439">
        <v>869.07117945000005</v>
      </c>
      <c r="G7" s="440">
        <v>1796.8786666666667</v>
      </c>
      <c r="H7" s="439">
        <v>411.9645950709093</v>
      </c>
      <c r="I7" s="440">
        <v>37468.621584899985</v>
      </c>
    </row>
    <row r="8" spans="1:9" ht="18" hidden="1" customHeight="1" thickBot="1">
      <c r="A8" s="1018">
        <v>1997</v>
      </c>
      <c r="B8" s="441">
        <v>13300.503586459999</v>
      </c>
      <c r="C8" s="442">
        <v>6218.5068752889456</v>
      </c>
      <c r="D8" s="441">
        <v>11898.794609684615</v>
      </c>
      <c r="E8" s="442">
        <v>3699.7217000000001</v>
      </c>
      <c r="F8" s="441">
        <v>820.08564491999994</v>
      </c>
      <c r="G8" s="442">
        <v>1853.7959999999998</v>
      </c>
      <c r="H8" s="441">
        <v>418.5</v>
      </c>
      <c r="I8" s="442">
        <v>38209.908416353566</v>
      </c>
    </row>
    <row r="9" spans="1:9" ht="18" customHeight="1" thickBot="1">
      <c r="A9" s="1018">
        <v>1998</v>
      </c>
      <c r="B9" s="441">
        <v>13726.93413743</v>
      </c>
      <c r="C9" s="442">
        <v>6517.6187697704527</v>
      </c>
      <c r="D9" s="441">
        <v>12534.698426142464</v>
      </c>
      <c r="E9" s="442">
        <v>3814.7841952999997</v>
      </c>
      <c r="F9" s="441">
        <v>825.83928717999993</v>
      </c>
      <c r="G9" s="442">
        <v>1952.6</v>
      </c>
      <c r="H9" s="441">
        <v>442.53826293428619</v>
      </c>
      <c r="I9" s="442">
        <v>39815.013078757205</v>
      </c>
    </row>
    <row r="10" spans="1:9" ht="18" customHeight="1" thickBot="1">
      <c r="A10" s="1018">
        <v>1999</v>
      </c>
      <c r="B10" s="441">
        <v>14269.859986000003</v>
      </c>
      <c r="C10" s="442">
        <v>6635.9923296822863</v>
      </c>
      <c r="D10" s="441">
        <v>12923.16416135502</v>
      </c>
      <c r="E10" s="442">
        <v>3984.9651892603001</v>
      </c>
      <c r="F10" s="441">
        <v>869.39271499999995</v>
      </c>
      <c r="G10" s="442">
        <v>1951.2</v>
      </c>
      <c r="H10" s="441">
        <v>469.87738272220713</v>
      </c>
      <c r="I10" s="442">
        <v>41104.451764019817</v>
      </c>
    </row>
    <row r="11" spans="1:9" ht="18" customHeight="1" thickBot="1">
      <c r="A11" s="1018">
        <v>2000</v>
      </c>
      <c r="B11" s="441">
        <v>14895.513251</v>
      </c>
      <c r="C11" s="442">
        <v>7041.5148394749094</v>
      </c>
      <c r="D11" s="441">
        <v>13440.733995653636</v>
      </c>
      <c r="E11" s="442">
        <v>4130.4973544495606</v>
      </c>
      <c r="F11" s="441">
        <v>886.60889900000006</v>
      </c>
      <c r="G11" s="442">
        <v>1968</v>
      </c>
      <c r="H11" s="441">
        <v>480.06561225603991</v>
      </c>
      <c r="I11" s="442">
        <v>42842.933951834144</v>
      </c>
    </row>
    <row r="12" spans="1:9" ht="18" customHeight="1" thickBot="1">
      <c r="A12" s="1018">
        <v>2001</v>
      </c>
      <c r="B12" s="441">
        <v>16132.139821000001</v>
      </c>
      <c r="C12" s="442">
        <v>7546.7492306168624</v>
      </c>
      <c r="D12" s="441">
        <v>14118.389210237772</v>
      </c>
      <c r="E12" s="442">
        <v>4333.6230316924066</v>
      </c>
      <c r="F12" s="441">
        <v>926.76387199999999</v>
      </c>
      <c r="G12" s="442">
        <v>2014.6</v>
      </c>
      <c r="H12" s="441">
        <v>500.57588337914626</v>
      </c>
      <c r="I12" s="442">
        <v>45572.841048926188</v>
      </c>
    </row>
    <row r="13" spans="1:9" ht="18" customHeight="1" thickBot="1">
      <c r="A13" s="1018">
        <v>2002</v>
      </c>
      <c r="B13" s="441">
        <v>16982.807524247681</v>
      </c>
      <c r="C13" s="442">
        <v>8067.6588042943567</v>
      </c>
      <c r="D13" s="441">
        <v>14430.539223398549</v>
      </c>
      <c r="E13" s="442">
        <v>4415.9295005981339</v>
      </c>
      <c r="F13" s="441">
        <v>981.40087700000004</v>
      </c>
      <c r="G13" s="442">
        <v>2000.8014692328545</v>
      </c>
      <c r="H13" s="441">
        <v>509.49608786656427</v>
      </c>
      <c r="I13" s="442">
        <v>47388.633486638144</v>
      </c>
    </row>
    <row r="14" spans="1:9" ht="18" customHeight="1" thickBot="1">
      <c r="A14" s="1018">
        <v>2003</v>
      </c>
      <c r="B14" s="441">
        <v>17712.226343618662</v>
      </c>
      <c r="C14" s="442">
        <v>8374.8829930130487</v>
      </c>
      <c r="D14" s="441">
        <v>14813.56384014453</v>
      </c>
      <c r="E14" s="442">
        <v>4720.9651053618945</v>
      </c>
      <c r="F14" s="441">
        <v>1036.8831319999999</v>
      </c>
      <c r="G14" s="442">
        <v>2076.4031583018532</v>
      </c>
      <c r="H14" s="441">
        <v>530.23678043074028</v>
      </c>
      <c r="I14" s="442">
        <v>49265.161352870731</v>
      </c>
    </row>
    <row r="15" spans="1:9" ht="18" customHeight="1" thickBot="1">
      <c r="A15" s="1018">
        <v>2004</v>
      </c>
      <c r="B15" s="441">
        <v>18211.927869253603</v>
      </c>
      <c r="C15" s="442">
        <v>8629.9334146129404</v>
      </c>
      <c r="D15" s="441">
        <v>15519.799657335181</v>
      </c>
      <c r="E15" s="442">
        <v>4885.7901600000005</v>
      </c>
      <c r="F15" s="441">
        <v>1016.403946</v>
      </c>
      <c r="G15" s="442">
        <v>2188.6177220936333</v>
      </c>
      <c r="H15" s="441">
        <v>555.24390154379591</v>
      </c>
      <c r="I15" s="442">
        <v>51007.71667083916</v>
      </c>
    </row>
    <row r="16" spans="1:9" ht="18" customHeight="1" thickBot="1">
      <c r="A16" s="1018">
        <v>2005</v>
      </c>
      <c r="B16" s="441">
        <v>18296.451625528491</v>
      </c>
      <c r="C16" s="442">
        <v>8899.1731697869727</v>
      </c>
      <c r="D16" s="441">
        <v>16110.083387414588</v>
      </c>
      <c r="E16" s="442">
        <v>4948.2082112506641</v>
      </c>
      <c r="F16" s="441">
        <v>1023.603069</v>
      </c>
      <c r="G16" s="442">
        <v>2193.6107966786522</v>
      </c>
      <c r="H16" s="441">
        <v>571.91062102459728</v>
      </c>
      <c r="I16" s="442">
        <v>52043.040880683955</v>
      </c>
    </row>
    <row r="17" spans="1:9" ht="18" customHeight="1" thickBot="1">
      <c r="A17" s="1018">
        <v>2006</v>
      </c>
      <c r="B17" s="441">
        <v>18526.116825067013</v>
      </c>
      <c r="C17" s="442">
        <v>9005.2253979999987</v>
      </c>
      <c r="D17" s="441">
        <v>16448.330289598387</v>
      </c>
      <c r="E17" s="442">
        <v>4888.0334472825143</v>
      </c>
      <c r="F17" s="441">
        <v>1015.4241959999999</v>
      </c>
      <c r="G17" s="442">
        <v>2305.0175260594792</v>
      </c>
      <c r="H17" s="441">
        <v>585.19916967563006</v>
      </c>
      <c r="I17" s="442">
        <v>52773.346851683018</v>
      </c>
    </row>
    <row r="18" spans="1:9" ht="18" customHeight="1" thickBot="1">
      <c r="A18" s="1018">
        <v>2007</v>
      </c>
      <c r="B18" s="441">
        <v>19366.801673140202</v>
      </c>
      <c r="C18" s="442">
        <v>9516.8529053703569</v>
      </c>
      <c r="D18" s="441">
        <v>17123.532189955371</v>
      </c>
      <c r="E18" s="442">
        <v>5027.4809360453346</v>
      </c>
      <c r="F18" s="441">
        <v>1191.786634</v>
      </c>
      <c r="G18" s="442">
        <v>2380.5511198549602</v>
      </c>
      <c r="H18" s="441">
        <v>607.93965186885453</v>
      </c>
      <c r="I18" s="442">
        <v>55214.945110235072</v>
      </c>
    </row>
    <row r="19" spans="1:9" ht="18" customHeight="1" thickBot="1">
      <c r="A19" s="1018">
        <v>2008</v>
      </c>
      <c r="B19" s="441">
        <v>20699.263899999994</v>
      </c>
      <c r="C19" s="442">
        <v>9971.4403629999997</v>
      </c>
      <c r="D19" s="441">
        <v>18056.183910300602</v>
      </c>
      <c r="E19" s="442">
        <v>5215.226104815898</v>
      </c>
      <c r="F19" s="441">
        <v>1316.2</v>
      </c>
      <c r="G19" s="442">
        <v>2554.1634569586486</v>
      </c>
      <c r="H19" s="441">
        <v>640.87512878892312</v>
      </c>
      <c r="I19" s="442">
        <v>58453.352863864064</v>
      </c>
    </row>
    <row r="20" spans="1:9" s="277" customFormat="1" ht="30" customHeight="1" thickBot="1">
      <c r="A20" s="1010" t="s">
        <v>255</v>
      </c>
      <c r="B20" s="763">
        <v>21802.799999999999</v>
      </c>
      <c r="C20" s="764">
        <v>10684.2</v>
      </c>
      <c r="D20" s="763">
        <v>18845.2</v>
      </c>
      <c r="E20" s="764">
        <v>5426.9</v>
      </c>
      <c r="F20" s="763">
        <v>1346.7</v>
      </c>
      <c r="G20" s="764">
        <v>2616.1999999999998</v>
      </c>
      <c r="H20" s="763">
        <v>640.9</v>
      </c>
      <c r="I20" s="764">
        <v>61378.1</v>
      </c>
    </row>
    <row r="21" spans="1:9" ht="20" customHeight="1">
      <c r="A21" s="1019" t="s">
        <v>414</v>
      </c>
      <c r="B21" s="1020"/>
      <c r="C21" s="1020"/>
      <c r="D21" s="1020"/>
      <c r="E21" s="1020"/>
      <c r="F21" s="1020"/>
      <c r="G21" s="1020"/>
      <c r="H21" s="1020"/>
      <c r="I21" s="1020"/>
    </row>
    <row r="22" spans="1:9" ht="12.75" customHeight="1">
      <c r="A22" s="1013"/>
      <c r="B22" s="713"/>
      <c r="C22" s="713"/>
      <c r="D22" s="713"/>
      <c r="E22" s="713"/>
      <c r="F22" s="713"/>
      <c r="G22" s="713"/>
      <c r="H22" s="713"/>
      <c r="I22" s="713"/>
    </row>
    <row r="23" spans="1:9" ht="12.75" customHeight="1">
      <c r="A23" s="1013" t="s">
        <v>385</v>
      </c>
      <c r="B23" s="713"/>
      <c r="C23" s="713"/>
      <c r="D23" s="713"/>
      <c r="E23" s="713"/>
      <c r="F23" s="713"/>
      <c r="G23" s="713"/>
      <c r="H23" s="713"/>
      <c r="I23" s="713"/>
    </row>
    <row r="24" spans="1:9" ht="12.75" customHeight="1">
      <c r="A24" s="1013" t="s">
        <v>386</v>
      </c>
      <c r="B24" s="713"/>
      <c r="C24" s="713"/>
      <c r="D24" s="713"/>
      <c r="E24" s="713"/>
      <c r="F24" s="713"/>
      <c r="G24" s="713"/>
      <c r="H24" s="713"/>
      <c r="I24" s="713"/>
    </row>
    <row r="25" spans="1:9" ht="12.75" customHeight="1">
      <c r="A25" s="1013" t="s">
        <v>387</v>
      </c>
      <c r="B25" s="713"/>
      <c r="C25" s="713"/>
      <c r="D25" s="713"/>
      <c r="E25" s="713"/>
      <c r="F25" s="713"/>
      <c r="G25" s="713"/>
      <c r="H25" s="713"/>
      <c r="I25" s="713"/>
    </row>
    <row r="26" spans="1:9" ht="12.75" customHeight="1">
      <c r="A26" s="1013" t="s">
        <v>388</v>
      </c>
      <c r="B26" s="713"/>
      <c r="C26" s="713"/>
      <c r="D26" s="713"/>
      <c r="E26" s="713"/>
      <c r="F26" s="713"/>
      <c r="G26" s="713"/>
      <c r="H26" s="713"/>
      <c r="I26" s="713"/>
    </row>
    <row r="27" spans="1:9" ht="12.75" customHeight="1">
      <c r="A27" s="1013" t="s">
        <v>389</v>
      </c>
      <c r="B27" s="713"/>
      <c r="C27" s="713"/>
      <c r="D27" s="713"/>
      <c r="E27" s="713"/>
      <c r="F27" s="713"/>
      <c r="G27" s="713"/>
      <c r="H27" s="713"/>
      <c r="I27" s="713"/>
    </row>
    <row r="28" spans="1:9" ht="12.75" customHeight="1">
      <c r="A28" s="1013" t="s">
        <v>390</v>
      </c>
      <c r="B28" s="713"/>
      <c r="C28" s="713"/>
      <c r="D28" s="713"/>
      <c r="E28" s="713"/>
      <c r="F28" s="713"/>
      <c r="G28" s="713"/>
      <c r="H28" s="713"/>
      <c r="I28" s="713"/>
    </row>
    <row r="29" spans="1:9" ht="12.75" customHeight="1">
      <c r="A29" s="1013" t="s">
        <v>248</v>
      </c>
      <c r="B29" s="713"/>
      <c r="C29" s="713"/>
      <c r="D29" s="713"/>
      <c r="E29" s="713"/>
      <c r="F29" s="713"/>
      <c r="G29" s="713"/>
      <c r="H29" s="713"/>
      <c r="I29" s="713"/>
    </row>
    <row r="30" spans="1:9" ht="12.75" customHeight="1">
      <c r="A30" s="1013" t="s">
        <v>391</v>
      </c>
      <c r="B30" s="713"/>
      <c r="C30" s="713"/>
      <c r="D30" s="713"/>
      <c r="E30" s="713"/>
      <c r="F30" s="713"/>
      <c r="G30" s="713"/>
      <c r="H30" s="713"/>
      <c r="I30" s="713"/>
    </row>
    <row r="31" spans="1:9" ht="12.75" customHeight="1">
      <c r="A31" s="1013"/>
      <c r="B31" s="713"/>
      <c r="C31" s="713"/>
      <c r="D31" s="713"/>
      <c r="E31" s="713"/>
      <c r="F31" s="713"/>
      <c r="G31" s="713"/>
      <c r="H31" s="713"/>
      <c r="I31" s="713"/>
    </row>
    <row r="32" spans="1:9" ht="12.75" customHeight="1">
      <c r="A32" s="1013" t="s">
        <v>249</v>
      </c>
      <c r="B32" s="713"/>
      <c r="C32" s="713"/>
      <c r="D32" s="713"/>
      <c r="E32" s="713"/>
      <c r="F32" s="713"/>
      <c r="G32" s="713"/>
      <c r="H32" s="713"/>
      <c r="I32" s="713"/>
    </row>
    <row r="33" spans="1:12" ht="15" customHeight="1">
      <c r="A33" s="44"/>
      <c r="B33" s="1014"/>
      <c r="C33" s="1014"/>
      <c r="D33" s="1014"/>
      <c r="E33" s="1014"/>
      <c r="F33" s="1014"/>
      <c r="G33" s="1014"/>
      <c r="H33" s="1014"/>
      <c r="I33" s="1014"/>
    </row>
    <row r="34" spans="1:12" ht="15" customHeight="1">
      <c r="A34" s="1015"/>
      <c r="B34" s="1014"/>
      <c r="C34" s="1014"/>
      <c r="D34" s="1014"/>
      <c r="E34" s="1014"/>
      <c r="F34" s="1014"/>
      <c r="G34" s="1014"/>
      <c r="H34" s="1014"/>
      <c r="I34" s="1014"/>
    </row>
    <row r="35" spans="1:12" ht="18" customHeight="1">
      <c r="A35" s="3" t="s">
        <v>710</v>
      </c>
      <c r="B35" s="1014"/>
      <c r="C35" s="1014"/>
      <c r="D35" s="1014"/>
      <c r="E35" s="1014"/>
      <c r="F35" s="1014"/>
      <c r="G35" s="1014"/>
      <c r="H35" s="1014"/>
      <c r="I35" s="1014"/>
    </row>
    <row r="36" spans="1:12" ht="31" customHeight="1">
      <c r="A36" s="3"/>
      <c r="B36" s="1014"/>
      <c r="C36" s="1014"/>
      <c r="D36" s="1014"/>
      <c r="E36" s="1014"/>
      <c r="F36" s="1014"/>
      <c r="G36" s="1014"/>
      <c r="H36" s="1014"/>
      <c r="I36" s="1014"/>
    </row>
    <row r="37" spans="1:12" ht="31" customHeight="1">
      <c r="A37" s="201"/>
      <c r="B37" s="1016"/>
      <c r="C37" s="1016"/>
      <c r="D37" s="1016"/>
      <c r="E37" s="1016"/>
      <c r="F37" s="1016"/>
      <c r="G37" s="1016"/>
      <c r="H37" s="1016"/>
      <c r="I37" s="1016"/>
      <c r="L37" s="493"/>
    </row>
    <row r="38" spans="1:12" ht="31" customHeight="1">
      <c r="A38" s="201"/>
      <c r="B38" s="1016"/>
      <c r="C38" s="1016"/>
      <c r="D38" s="1016"/>
      <c r="E38" s="1016"/>
      <c r="F38" s="1016"/>
      <c r="G38" s="1016"/>
      <c r="H38" s="1016"/>
      <c r="I38" s="1016"/>
    </row>
    <row r="39" spans="1:12" ht="31" customHeight="1">
      <c r="A39" s="201"/>
      <c r="B39" s="1016"/>
      <c r="C39" s="1016"/>
      <c r="D39" s="1016"/>
      <c r="E39" s="1016"/>
      <c r="F39" s="1016"/>
      <c r="G39" s="1016"/>
      <c r="H39" s="1016"/>
      <c r="I39" s="1016"/>
    </row>
    <row r="40" spans="1:12" ht="31" customHeight="1">
      <c r="A40" s="201"/>
      <c r="B40" s="1016"/>
      <c r="C40" s="1016"/>
      <c r="D40" s="1016"/>
      <c r="E40" s="1016"/>
      <c r="F40" s="1016"/>
      <c r="G40" s="1016"/>
      <c r="H40" s="1016"/>
      <c r="I40" s="1016"/>
    </row>
    <row r="41" spans="1:12" ht="31" customHeight="1">
      <c r="A41" s="201"/>
      <c r="B41" s="1016"/>
      <c r="C41" s="1016"/>
      <c r="D41" s="1016"/>
      <c r="E41" s="1016"/>
      <c r="F41" s="1016"/>
      <c r="G41" s="1016"/>
      <c r="H41" s="1016"/>
      <c r="I41" s="1016"/>
    </row>
    <row r="42" spans="1:12" ht="31" customHeight="1">
      <c r="A42" s="201"/>
      <c r="B42" s="1016"/>
      <c r="C42" s="1016"/>
      <c r="D42" s="1016"/>
      <c r="E42" s="1016"/>
      <c r="F42" s="1016"/>
      <c r="G42" s="1016"/>
      <c r="H42" s="1016"/>
      <c r="I42" s="1016"/>
    </row>
    <row r="43" spans="1:12">
      <c r="A43" s="201"/>
      <c r="B43" s="1016"/>
      <c r="C43" s="1016"/>
      <c r="D43" s="1016"/>
      <c r="E43" s="1016"/>
      <c r="F43" s="1016"/>
      <c r="G43" s="1016"/>
      <c r="H43" s="1016"/>
      <c r="I43" s="1016"/>
    </row>
    <row r="44" spans="1:12">
      <c r="A44" s="201"/>
      <c r="B44" s="1016"/>
      <c r="C44" s="1016"/>
      <c r="D44" s="1016"/>
      <c r="E44" s="1016"/>
      <c r="F44" s="1016"/>
      <c r="G44" s="1016"/>
      <c r="H44" s="1016"/>
      <c r="I44" s="1016"/>
    </row>
  </sheetData>
  <mergeCells count="1">
    <mergeCell ref="A2:H2"/>
  </mergeCells>
  <phoneticPr fontId="0" type="noConversion"/>
  <pageMargins left="0.59" right="0.51" top="0.97" bottom="0.49" header="0.56999999999999995" footer="0.4921259845"/>
  <pageSetup paperSize="9" scale="78" orientation="portrait"/>
  <headerFooter alignWithMargins="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AB6F5-C680-8F4C-B2EF-31F341495EAE}">
  <sheetPr>
    <pageSetUpPr fitToPage="1"/>
  </sheetPr>
  <dimension ref="A1:K42"/>
  <sheetViews>
    <sheetView zoomScale="75" workbookViewId="0">
      <selection activeCell="A3" sqref="A3"/>
    </sheetView>
  </sheetViews>
  <sheetFormatPr baseColWidth="10" defaultColWidth="11.3984375" defaultRowHeight="13"/>
  <cols>
    <col min="1" max="1" width="10.59765625" style="2" customWidth="1"/>
    <col min="2" max="8" width="13.59765625" style="168" customWidth="1"/>
    <col min="9" max="9" width="8.59765625" style="2" customWidth="1"/>
    <col min="10" max="16384" width="11.3984375" style="2"/>
  </cols>
  <sheetData>
    <row r="1" spans="1:10" s="1" customFormat="1" ht="14" customHeight="1">
      <c r="A1" s="271"/>
      <c r="B1" s="1009"/>
      <c r="C1" s="1009"/>
      <c r="D1" s="1009"/>
      <c r="E1" s="1009"/>
      <c r="F1" s="1009"/>
      <c r="G1" s="1009"/>
      <c r="H1" s="1009"/>
    </row>
    <row r="2" spans="1:10" s="1" customFormat="1" ht="36" customHeight="1">
      <c r="A2" s="2019" t="s">
        <v>1267</v>
      </c>
      <c r="B2" s="2018"/>
      <c r="C2" s="2018"/>
      <c r="D2" s="2018"/>
      <c r="E2" s="2018"/>
      <c r="F2" s="2018"/>
      <c r="G2" s="2018"/>
      <c r="H2" s="398"/>
    </row>
    <row r="3" spans="1:10" ht="27" customHeight="1">
      <c r="A3" s="119" t="s">
        <v>2320</v>
      </c>
      <c r="B3" s="120" t="s">
        <v>398</v>
      </c>
      <c r="C3" s="121" t="s">
        <v>909</v>
      </c>
      <c r="D3" s="120" t="s">
        <v>74</v>
      </c>
      <c r="E3" s="121" t="s">
        <v>399</v>
      </c>
      <c r="F3" s="120" t="s">
        <v>409</v>
      </c>
      <c r="G3" s="121" t="s">
        <v>400</v>
      </c>
      <c r="H3" s="120" t="s">
        <v>1567</v>
      </c>
    </row>
    <row r="4" spans="1:10" ht="15" customHeight="1">
      <c r="A4" s="325"/>
      <c r="B4" s="392" t="s">
        <v>401</v>
      </c>
      <c r="C4" s="913" t="s">
        <v>910</v>
      </c>
      <c r="D4" s="123" t="s">
        <v>410</v>
      </c>
      <c r="E4" s="124" t="s">
        <v>402</v>
      </c>
      <c r="F4" s="123"/>
      <c r="G4" s="124"/>
      <c r="H4" s="123"/>
    </row>
    <row r="5" spans="1:10" ht="18.75" customHeight="1">
      <c r="A5" s="325"/>
      <c r="B5" s="123" t="s">
        <v>403</v>
      </c>
      <c r="C5" s="124"/>
      <c r="D5" s="123"/>
      <c r="E5" s="913" t="s">
        <v>411</v>
      </c>
      <c r="F5" s="392"/>
      <c r="G5" s="913"/>
      <c r="H5" s="392"/>
      <c r="J5" s="790"/>
    </row>
    <row r="6" spans="1:10" ht="21.75" customHeight="1">
      <c r="A6" s="291"/>
      <c r="B6" s="129" t="s">
        <v>412</v>
      </c>
      <c r="C6" s="128"/>
      <c r="D6" s="129"/>
      <c r="E6" s="128"/>
      <c r="F6" s="129"/>
      <c r="G6" s="128"/>
      <c r="H6" s="129"/>
    </row>
    <row r="7" spans="1:10" ht="2.25" customHeight="1" thickBot="1">
      <c r="A7" s="941">
        <v>1996</v>
      </c>
      <c r="B7" s="439">
        <v>17744.372332422729</v>
      </c>
      <c r="C7" s="440">
        <v>10932.716294797674</v>
      </c>
      <c r="D7" s="439">
        <v>1268.9714576684796</v>
      </c>
      <c r="E7" s="440">
        <v>4540.3470588235296</v>
      </c>
      <c r="F7" s="439">
        <v>966.86547804090924</v>
      </c>
      <c r="G7" s="440">
        <v>2015.3489631466664</v>
      </c>
      <c r="H7" s="439">
        <v>37468.621584899985</v>
      </c>
    </row>
    <row r="8" spans="1:10" ht="20.25" hidden="1" customHeight="1" thickBot="1">
      <c r="A8" s="943">
        <v>1997</v>
      </c>
      <c r="B8" s="441">
        <v>18024.21990591228</v>
      </c>
      <c r="C8" s="442">
        <v>11172.859777209607</v>
      </c>
      <c r="D8" s="441">
        <v>1237.2489177234406</v>
      </c>
      <c r="E8" s="442">
        <v>4778.8981705882352</v>
      </c>
      <c r="F8" s="441">
        <v>938.77448458000003</v>
      </c>
      <c r="G8" s="442">
        <v>2057.9071603399998</v>
      </c>
      <c r="H8" s="441">
        <v>38209.908416353559</v>
      </c>
    </row>
    <row r="9" spans="1:10" ht="18.75" customHeight="1" thickBot="1">
      <c r="A9" s="943">
        <v>1998</v>
      </c>
      <c r="B9" s="441">
        <v>18551.937219844131</v>
      </c>
      <c r="C9" s="442">
        <v>11874.35810787395</v>
      </c>
      <c r="D9" s="441">
        <v>1356.5677703307178</v>
      </c>
      <c r="E9" s="442">
        <v>4913.3724305941168</v>
      </c>
      <c r="F9" s="441">
        <v>983.21470195428628</v>
      </c>
      <c r="G9" s="442">
        <v>2135.5628481599997</v>
      </c>
      <c r="H9" s="441">
        <v>39815.013078757198</v>
      </c>
    </row>
    <row r="10" spans="1:10" ht="20.25" customHeight="1" thickBot="1">
      <c r="A10" s="943">
        <v>1999</v>
      </c>
      <c r="B10" s="441">
        <v>18978.566637981137</v>
      </c>
      <c r="C10" s="442">
        <v>12357.690062899601</v>
      </c>
      <c r="D10" s="441">
        <v>1393.9774232153918</v>
      </c>
      <c r="E10" s="442">
        <v>5198.8475422014762</v>
      </c>
      <c r="F10" s="441">
        <v>1015.086034722207</v>
      </c>
      <c r="G10" s="442">
        <v>2160.2840630000001</v>
      </c>
      <c r="H10" s="441">
        <v>41104.45176401981</v>
      </c>
    </row>
    <row r="11" spans="1:10" ht="20.25" customHeight="1" thickBot="1">
      <c r="A11" s="943">
        <v>2000</v>
      </c>
      <c r="B11" s="441">
        <v>19786.725959440424</v>
      </c>
      <c r="C11" s="442">
        <v>12926.336575347925</v>
      </c>
      <c r="D11" s="441">
        <v>1430.1583748696057</v>
      </c>
      <c r="E11" s="442">
        <v>5475.438530920148</v>
      </c>
      <c r="F11" s="441">
        <v>1014.11623525604</v>
      </c>
      <c r="G11" s="442">
        <v>2210.1582759999997</v>
      </c>
      <c r="H11" s="441">
        <v>42842.933951834144</v>
      </c>
    </row>
    <row r="12" spans="1:10" ht="20.25" customHeight="1" thickBot="1">
      <c r="A12" s="943">
        <v>2001</v>
      </c>
      <c r="B12" s="441">
        <v>21248.403601616865</v>
      </c>
      <c r="C12" s="442">
        <v>13690.949264204983</v>
      </c>
      <c r="D12" s="441">
        <v>1471.1430430916139</v>
      </c>
      <c r="E12" s="442">
        <v>5829.5053846335832</v>
      </c>
      <c r="F12" s="441">
        <v>1062.7870063791461</v>
      </c>
      <c r="G12" s="442">
        <v>2270.0527489999999</v>
      </c>
      <c r="H12" s="441">
        <v>45572.841048926195</v>
      </c>
    </row>
    <row r="13" spans="1:10" ht="20.25" customHeight="1" thickBot="1">
      <c r="A13" s="943">
        <v>2002</v>
      </c>
      <c r="B13" s="441">
        <v>22418.819866723858</v>
      </c>
      <c r="C13" s="442">
        <v>14164.252550727681</v>
      </c>
      <c r="D13" s="441">
        <v>1526.2390168419893</v>
      </c>
      <c r="E13" s="442">
        <v>5899.2236182451925</v>
      </c>
      <c r="F13" s="441">
        <v>1052.5616069842113</v>
      </c>
      <c r="G13" s="442">
        <v>2327.5368271152074</v>
      </c>
      <c r="H13" s="441">
        <v>47388.633486638137</v>
      </c>
    </row>
    <row r="14" spans="1:10" ht="20.25" customHeight="1" thickBot="1">
      <c r="A14" s="943">
        <v>2003</v>
      </c>
      <c r="B14" s="441">
        <v>23242.374321177165</v>
      </c>
      <c r="C14" s="442">
        <v>14647.207027090521</v>
      </c>
      <c r="D14" s="441">
        <v>1546.5271226262025</v>
      </c>
      <c r="E14" s="442">
        <v>6306.7298112442477</v>
      </c>
      <c r="F14" s="441">
        <v>1122.7699346072109</v>
      </c>
      <c r="G14" s="442">
        <v>2399.5531361253825</v>
      </c>
      <c r="H14" s="441">
        <v>49265.161352870731</v>
      </c>
    </row>
    <row r="15" spans="1:10" ht="20.25" customHeight="1" thickBot="1">
      <c r="A15" s="943">
        <v>2004</v>
      </c>
      <c r="B15" s="441">
        <v>23945.205223129917</v>
      </c>
      <c r="C15" s="442">
        <v>15193.377809727141</v>
      </c>
      <c r="D15" s="441">
        <v>1704.7484965799663</v>
      </c>
      <c r="E15" s="442">
        <v>6531.3195717647059</v>
      </c>
      <c r="F15" s="441">
        <v>1122.7977613085018</v>
      </c>
      <c r="G15" s="442">
        <v>2510.2678083289275</v>
      </c>
      <c r="H15" s="441">
        <v>51007.71667083916</v>
      </c>
    </row>
    <row r="16" spans="1:10" ht="20.25" customHeight="1" thickBot="1">
      <c r="A16" s="943">
        <v>2005</v>
      </c>
      <c r="B16" s="441">
        <v>23688.403109193729</v>
      </c>
      <c r="C16" s="442">
        <v>16202.451402570587</v>
      </c>
      <c r="D16" s="441">
        <v>1809.9095250833793</v>
      </c>
      <c r="E16" s="442">
        <v>6680.5273571330181</v>
      </c>
      <c r="F16" s="441">
        <v>1133.4662400245973</v>
      </c>
      <c r="G16" s="442">
        <v>2528.2832466786526</v>
      </c>
      <c r="H16" s="441">
        <v>52043.040880683955</v>
      </c>
    </row>
    <row r="17" spans="1:8" ht="20.25" customHeight="1" thickBot="1">
      <c r="A17" s="943">
        <v>2006</v>
      </c>
      <c r="B17" s="441">
        <v>24062.85220852038</v>
      </c>
      <c r="C17" s="442">
        <v>16588.221996927445</v>
      </c>
      <c r="D17" s="441">
        <v>1788.3078435812113</v>
      </c>
      <c r="E17" s="442">
        <v>6561.1769109188781</v>
      </c>
      <c r="F17" s="441">
        <v>1141.3716146756301</v>
      </c>
      <c r="G17" s="442">
        <v>2631.4162770594794</v>
      </c>
      <c r="H17" s="441">
        <v>52773.346851683018</v>
      </c>
    </row>
    <row r="18" spans="1:8" ht="20.25" customHeight="1" thickBot="1">
      <c r="A18" s="943">
        <v>2007</v>
      </c>
      <c r="B18" s="441">
        <v>25173.299610545928</v>
      </c>
      <c r="C18" s="442">
        <v>17405.941656934221</v>
      </c>
      <c r="D18" s="441">
        <v>1831.3062019557781</v>
      </c>
      <c r="E18" s="442">
        <v>6761.1122350753349</v>
      </c>
      <c r="F18" s="441">
        <v>1281.1703952217956</v>
      </c>
      <c r="G18" s="442">
        <v>2762.1150105020197</v>
      </c>
      <c r="H18" s="441">
        <v>55214.945110235072</v>
      </c>
    </row>
    <row r="19" spans="1:8" ht="20.25" customHeight="1" thickBot="1">
      <c r="A19" s="943">
        <v>2008</v>
      </c>
      <c r="B19" s="441">
        <v>26500.705282160561</v>
      </c>
      <c r="C19" s="442">
        <v>18519.296893594856</v>
      </c>
      <c r="D19" s="441">
        <v>2001.4310327792</v>
      </c>
      <c r="E19" s="442">
        <v>7063.2770695818781</v>
      </c>
      <c r="F19" s="441">
        <v>1444.933317671276</v>
      </c>
      <c r="G19" s="442">
        <v>2923.7092680762953</v>
      </c>
      <c r="H19" s="441">
        <v>58453.352863864064</v>
      </c>
    </row>
    <row r="20" spans="1:8" s="1023" customFormat="1" ht="30" customHeight="1" thickBot="1">
      <c r="A20" s="1010" t="s">
        <v>413</v>
      </c>
      <c r="B20" s="1021">
        <v>27895.200000000001</v>
      </c>
      <c r="C20" s="1022">
        <v>19559.3</v>
      </c>
      <c r="D20" s="1021">
        <v>2060.1</v>
      </c>
      <c r="E20" s="1022">
        <v>7370.3</v>
      </c>
      <c r="F20" s="1021">
        <v>1479.2</v>
      </c>
      <c r="G20" s="1022">
        <v>3005.4</v>
      </c>
      <c r="H20" s="1021">
        <v>61378.1</v>
      </c>
    </row>
    <row r="21" spans="1:8" ht="20" customHeight="1">
      <c r="A21" s="1011" t="s">
        <v>414</v>
      </c>
      <c r="B21" s="1012"/>
      <c r="C21" s="1012"/>
      <c r="D21" s="1012"/>
      <c r="E21" s="1012"/>
      <c r="F21" s="1012"/>
      <c r="G21" s="1012"/>
      <c r="H21" s="1012"/>
    </row>
    <row r="22" spans="1:8" ht="12.75" customHeight="1">
      <c r="A22" s="1024"/>
      <c r="B22" s="1025"/>
      <c r="C22" s="1025"/>
      <c r="D22" s="1025"/>
      <c r="E22" s="1025"/>
      <c r="F22" s="1025"/>
      <c r="G22" s="1025"/>
      <c r="H22" s="1025"/>
    </row>
    <row r="23" spans="1:8" ht="12.75" customHeight="1">
      <c r="A23" s="1024" t="s">
        <v>404</v>
      </c>
      <c r="B23" s="1025"/>
      <c r="C23" s="1025"/>
      <c r="D23" s="1025"/>
      <c r="E23" s="1025"/>
      <c r="F23" s="1025"/>
      <c r="G23" s="1025"/>
      <c r="H23" s="1025"/>
    </row>
    <row r="24" spans="1:8" ht="12.75" customHeight="1">
      <c r="A24" s="1024" t="s">
        <v>405</v>
      </c>
      <c r="B24" s="1025"/>
      <c r="C24" s="1025"/>
      <c r="D24" s="1025"/>
      <c r="E24" s="1025"/>
      <c r="F24" s="1025"/>
      <c r="G24" s="1025"/>
      <c r="H24" s="1025"/>
    </row>
    <row r="25" spans="1:8" ht="12.75" customHeight="1">
      <c r="A25" s="1024" t="s">
        <v>406</v>
      </c>
      <c r="B25" s="1025"/>
      <c r="C25" s="1025"/>
      <c r="D25" s="1025"/>
      <c r="E25" s="1025"/>
      <c r="F25" s="1025"/>
      <c r="G25" s="1025"/>
      <c r="H25" s="1025"/>
    </row>
    <row r="26" spans="1:8" ht="12.75" customHeight="1">
      <c r="A26" s="1024" t="s">
        <v>407</v>
      </c>
      <c r="B26" s="1025"/>
      <c r="C26" s="1025"/>
      <c r="D26" s="1025"/>
      <c r="E26" s="1025"/>
      <c r="F26" s="1025"/>
      <c r="G26" s="1025"/>
      <c r="H26" s="1025"/>
    </row>
    <row r="27" spans="1:8" ht="12.75" customHeight="1">
      <c r="A27" s="1013" t="s">
        <v>408</v>
      </c>
      <c r="B27" s="1025"/>
      <c r="C27" s="1025"/>
      <c r="D27" s="1025"/>
      <c r="E27" s="1025"/>
      <c r="F27" s="1025"/>
      <c r="G27" s="1025"/>
      <c r="H27" s="1025"/>
    </row>
    <row r="28" spans="1:8" ht="12.75" customHeight="1">
      <c r="A28" s="1013" t="s">
        <v>247</v>
      </c>
      <c r="B28" s="1025"/>
      <c r="C28" s="1025"/>
      <c r="D28" s="1025"/>
      <c r="E28" s="1025"/>
      <c r="F28" s="1025"/>
      <c r="G28" s="1025"/>
      <c r="H28" s="1025"/>
    </row>
    <row r="29" spans="1:8" ht="12.75" customHeight="1">
      <c r="A29" s="1024"/>
      <c r="B29" s="1025"/>
      <c r="C29" s="1025"/>
      <c r="D29" s="1025"/>
      <c r="E29" s="1025"/>
      <c r="F29" s="1025"/>
      <c r="G29" s="1025"/>
      <c r="H29" s="1025"/>
    </row>
    <row r="30" spans="1:8" ht="12.75" customHeight="1">
      <c r="A30" s="1024" t="s">
        <v>249</v>
      </c>
      <c r="B30" s="1025"/>
      <c r="C30" s="1025"/>
      <c r="D30" s="1025"/>
      <c r="E30" s="1025"/>
      <c r="F30" s="1025"/>
      <c r="G30" s="1025"/>
      <c r="H30" s="1025"/>
    </row>
    <row r="31" spans="1:8" ht="14.25" customHeight="1">
      <c r="A31" s="271"/>
      <c r="B31" s="1016"/>
      <c r="C31" s="1016"/>
      <c r="D31" s="1016"/>
      <c r="E31" s="1016"/>
      <c r="F31" s="1016"/>
      <c r="G31" s="1016"/>
      <c r="H31" s="1016"/>
    </row>
    <row r="32" spans="1:8" ht="14.25" customHeight="1">
      <c r="A32" s="493"/>
      <c r="B32" s="1016"/>
      <c r="C32" s="1016"/>
      <c r="D32" s="1016"/>
      <c r="E32" s="1016"/>
      <c r="F32" s="1016"/>
      <c r="G32" s="1016"/>
      <c r="H32" s="1016"/>
    </row>
    <row r="33" spans="1:11" ht="14.25" customHeight="1">
      <c r="A33" s="201" t="s">
        <v>710</v>
      </c>
      <c r="B33" s="1016"/>
      <c r="C33" s="1016"/>
      <c r="D33" s="1016"/>
      <c r="E33" s="1016"/>
      <c r="F33" s="1016"/>
      <c r="G33" s="1016"/>
      <c r="H33" s="1016"/>
    </row>
    <row r="34" spans="1:11" ht="18" customHeight="1">
      <c r="A34" s="201"/>
      <c r="B34" s="1016"/>
      <c r="C34" s="1016"/>
      <c r="D34" s="1016"/>
      <c r="E34" s="1016"/>
      <c r="F34" s="1016"/>
      <c r="G34" s="1016"/>
      <c r="H34" s="1016"/>
    </row>
    <row r="35" spans="1:11" ht="18" customHeight="1">
      <c r="A35" s="201"/>
      <c r="B35" s="1016"/>
      <c r="C35" s="1016"/>
      <c r="D35" s="1016"/>
      <c r="E35" s="1016"/>
      <c r="F35" s="1016"/>
      <c r="G35" s="1016"/>
      <c r="H35" s="1016"/>
      <c r="K35" s="493"/>
    </row>
    <row r="36" spans="1:11" ht="31" customHeight="1">
      <c r="A36" s="201"/>
      <c r="B36" s="1016"/>
      <c r="C36" s="1016"/>
      <c r="D36" s="1016"/>
      <c r="E36" s="1016"/>
      <c r="F36" s="1016"/>
      <c r="G36" s="1016"/>
      <c r="H36" s="1016"/>
    </row>
    <row r="37" spans="1:11" ht="31" customHeight="1">
      <c r="A37" s="201"/>
      <c r="B37" s="1016"/>
      <c r="C37" s="1016"/>
      <c r="D37" s="1016"/>
      <c r="E37" s="1016"/>
      <c r="F37" s="1016"/>
      <c r="G37" s="1016"/>
      <c r="H37" s="1016"/>
    </row>
    <row r="38" spans="1:11" ht="31" customHeight="1">
      <c r="A38" s="201"/>
      <c r="B38" s="1016"/>
      <c r="C38" s="1016"/>
      <c r="D38" s="1016"/>
      <c r="E38" s="1016"/>
      <c r="F38" s="1016"/>
      <c r="G38" s="1016"/>
      <c r="H38" s="1016"/>
    </row>
    <row r="39" spans="1:11" ht="31" customHeight="1">
      <c r="A39" s="201"/>
      <c r="B39" s="1016"/>
      <c r="C39" s="1016"/>
      <c r="D39" s="1016"/>
      <c r="E39" s="1016"/>
      <c r="F39" s="1016"/>
      <c r="G39" s="1016"/>
      <c r="H39" s="1016"/>
    </row>
    <row r="40" spans="1:11" ht="31" customHeight="1">
      <c r="A40" s="201"/>
      <c r="B40" s="1016"/>
      <c r="C40" s="1016"/>
      <c r="D40" s="1016"/>
      <c r="E40" s="1016"/>
      <c r="F40" s="1016"/>
      <c r="G40" s="1016"/>
      <c r="H40" s="1016"/>
    </row>
    <row r="41" spans="1:11">
      <c r="A41" s="201"/>
      <c r="B41" s="1016"/>
      <c r="C41" s="1016"/>
      <c r="D41" s="1016"/>
      <c r="E41" s="1016"/>
      <c r="F41" s="1016"/>
      <c r="G41" s="1016"/>
      <c r="H41" s="1016"/>
    </row>
    <row r="42" spans="1:11">
      <c r="A42" s="201"/>
      <c r="B42" s="1016"/>
      <c r="C42" s="1016"/>
      <c r="D42" s="1016"/>
      <c r="E42" s="1016"/>
      <c r="F42" s="1016"/>
      <c r="G42" s="1016"/>
      <c r="H42" s="1016"/>
    </row>
  </sheetData>
  <mergeCells count="1">
    <mergeCell ref="A2:G2"/>
  </mergeCells>
  <phoneticPr fontId="0" type="noConversion"/>
  <pageMargins left="0.59" right="0.51" top="1.05" bottom="0.49" header="0.6" footer="0.4921259845"/>
  <pageSetup paperSize="9" scale="80" orientation="portrait" horizontalDpi="4294967292" verticalDpi="4294967292"/>
  <headerFooter alignWithMargins="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E9C43-79DF-D743-A394-7592CE194633}">
  <sheetPr>
    <pageSetUpPr fitToPage="1"/>
  </sheetPr>
  <dimension ref="A1:H44"/>
  <sheetViews>
    <sheetView zoomScale="75" workbookViewId="0">
      <selection activeCell="A3" sqref="A3"/>
    </sheetView>
  </sheetViews>
  <sheetFormatPr baseColWidth="10" defaultColWidth="11.3984375" defaultRowHeight="13"/>
  <cols>
    <col min="1" max="1" width="11.59765625" style="2" customWidth="1"/>
    <col min="2" max="5" width="16.19921875" style="168" customWidth="1"/>
    <col min="6" max="6" width="13.3984375" style="2" customWidth="1"/>
    <col min="7" max="7" width="15.59765625" style="2" customWidth="1"/>
    <col min="8" max="8" width="12.59765625" style="2" customWidth="1"/>
    <col min="9" max="16384" width="11.3984375" style="2"/>
  </cols>
  <sheetData>
    <row r="1" spans="1:8" s="1" customFormat="1" ht="14" customHeight="1">
      <c r="A1" s="271"/>
      <c r="B1" s="1009"/>
      <c r="C1" s="1009"/>
      <c r="D1" s="1009"/>
      <c r="E1" s="1009"/>
    </row>
    <row r="2" spans="1:8" s="1" customFormat="1" ht="39" customHeight="1">
      <c r="A2" s="2033" t="s">
        <v>1266</v>
      </c>
      <c r="B2" s="2017"/>
      <c r="C2" s="2017"/>
      <c r="D2" s="2017"/>
      <c r="E2" s="2017"/>
      <c r="F2" s="2017"/>
      <c r="G2" s="2017"/>
      <c r="H2" s="398"/>
    </row>
    <row r="3" spans="1:8" ht="27" customHeight="1">
      <c r="A3" s="119" t="s">
        <v>2320</v>
      </c>
      <c r="B3" s="120" t="s">
        <v>250</v>
      </c>
      <c r="C3" s="121" t="s">
        <v>415</v>
      </c>
      <c r="D3" s="120" t="s">
        <v>75</v>
      </c>
      <c r="E3" s="121" t="s">
        <v>1567</v>
      </c>
      <c r="F3" s="120" t="s">
        <v>1801</v>
      </c>
      <c r="G3" s="121" t="s">
        <v>416</v>
      </c>
      <c r="H3" s="120" t="s">
        <v>1801</v>
      </c>
    </row>
    <row r="4" spans="1:8" ht="18" customHeight="1">
      <c r="A4" s="325"/>
      <c r="B4" s="392"/>
      <c r="C4" s="913" t="s">
        <v>424</v>
      </c>
      <c r="D4" s="123" t="s">
        <v>425</v>
      </c>
      <c r="E4" s="124"/>
      <c r="F4" s="123" t="s">
        <v>1802</v>
      </c>
      <c r="G4" s="124" t="s">
        <v>417</v>
      </c>
      <c r="H4" s="123" t="s">
        <v>1802</v>
      </c>
    </row>
    <row r="5" spans="1:8" ht="15" customHeight="1">
      <c r="A5" s="325"/>
      <c r="B5" s="123"/>
      <c r="C5" s="124"/>
      <c r="D5" s="123"/>
      <c r="E5" s="913"/>
      <c r="F5" s="123" t="s">
        <v>1806</v>
      </c>
      <c r="G5" s="913"/>
      <c r="H5" s="123" t="s">
        <v>1806</v>
      </c>
    </row>
    <row r="6" spans="1:8" ht="21.75" customHeight="1">
      <c r="A6" s="291"/>
      <c r="B6" s="129"/>
      <c r="C6" s="128"/>
      <c r="D6" s="129"/>
      <c r="E6" s="128"/>
      <c r="F6" s="129"/>
      <c r="G6" s="128"/>
      <c r="H6" s="129"/>
    </row>
    <row r="7" spans="1:8" ht="2.25" customHeight="1" thickBot="1">
      <c r="A7" s="941">
        <v>1996</v>
      </c>
      <c r="B7" s="439">
        <v>9177.687383202805</v>
      </c>
      <c r="C7" s="440">
        <v>2253.7791020058648</v>
      </c>
      <c r="D7" s="439">
        <v>26037.155099691325</v>
      </c>
      <c r="E7" s="440">
        <v>37468.621584899993</v>
      </c>
      <c r="F7" s="576">
        <v>4.8323025860493536E-2</v>
      </c>
      <c r="G7" s="440">
        <v>5273.2258587145679</v>
      </c>
      <c r="H7" s="576">
        <v>4.4699999999999997E-2</v>
      </c>
    </row>
    <row r="8" spans="1:8" ht="21" hidden="1" customHeight="1" thickBot="1">
      <c r="A8" s="943">
        <v>1997</v>
      </c>
      <c r="B8" s="441">
        <v>9418.8451093591284</v>
      </c>
      <c r="C8" s="442">
        <v>2342.3722205725544</v>
      </c>
      <c r="D8" s="441">
        <v>26448.691086421877</v>
      </c>
      <c r="E8" s="442">
        <v>38209.908416353559</v>
      </c>
      <c r="F8" s="457">
        <v>1.9784203424027424E-2</v>
      </c>
      <c r="G8" s="442">
        <v>5371.4148132973496</v>
      </c>
      <c r="H8" s="457">
        <v>1.8620282387585192E-2</v>
      </c>
    </row>
    <row r="9" spans="1:8" ht="18.75" customHeight="1" thickBot="1">
      <c r="A9" s="943">
        <v>1998</v>
      </c>
      <c r="B9" s="441">
        <v>9740.4616162185357</v>
      </c>
      <c r="C9" s="442">
        <v>2491.9842199206182</v>
      </c>
      <c r="D9" s="441">
        <v>27582.567242618046</v>
      </c>
      <c r="E9" s="442">
        <v>39815.013078757198</v>
      </c>
      <c r="F9" s="457">
        <v>4.2007550630942261E-2</v>
      </c>
      <c r="G9" s="442">
        <v>5582.675033421332</v>
      </c>
      <c r="H9" s="457">
        <v>3.9330460868706611E-2</v>
      </c>
    </row>
    <row r="10" spans="1:8" ht="21" customHeight="1" thickBot="1">
      <c r="A10" s="943">
        <v>1999</v>
      </c>
      <c r="B10" s="441">
        <v>10410.713149998719</v>
      </c>
      <c r="C10" s="442">
        <v>2592.3571232595004</v>
      </c>
      <c r="D10" s="441">
        <v>28101.381490761596</v>
      </c>
      <c r="E10" s="442">
        <v>41104.451764019817</v>
      </c>
      <c r="F10" s="457">
        <v>3.2385740592675662E-2</v>
      </c>
      <c r="G10" s="187">
        <v>5735.4478095920085</v>
      </c>
      <c r="H10" s="457">
        <v>2.7365514785668971E-2</v>
      </c>
    </row>
    <row r="11" spans="1:8" ht="21" customHeight="1" thickBot="1">
      <c r="A11" s="943">
        <v>2000</v>
      </c>
      <c r="B11" s="441">
        <v>10738.085506785732</v>
      </c>
      <c r="C11" s="442">
        <v>2676.9738820686712</v>
      </c>
      <c r="D11" s="441">
        <v>29427.874562979741</v>
      </c>
      <c r="E11" s="442">
        <v>42842.933951834144</v>
      </c>
      <c r="F11" s="457">
        <v>4.2294255566159421E-2</v>
      </c>
      <c r="G11" s="187">
        <v>5942.9441459536711</v>
      </c>
      <c r="H11" s="457">
        <v>3.6177878912025667E-2</v>
      </c>
    </row>
    <row r="12" spans="1:8" ht="21" customHeight="1" thickBot="1">
      <c r="A12" s="943">
        <v>2001</v>
      </c>
      <c r="B12" s="441">
        <v>12066.085763402813</v>
      </c>
      <c r="C12" s="442">
        <v>2827.6124836560352</v>
      </c>
      <c r="D12" s="441">
        <v>30679.142801867347</v>
      </c>
      <c r="E12" s="442">
        <v>45572.841048926195</v>
      </c>
      <c r="F12" s="457">
        <v>6.3718957720335617E-2</v>
      </c>
      <c r="G12" s="187">
        <v>6276.9577355721531</v>
      </c>
      <c r="H12" s="457">
        <v>5.6203386977126381E-2</v>
      </c>
    </row>
    <row r="13" spans="1:8" ht="21" customHeight="1" thickBot="1">
      <c r="A13" s="943">
        <v>2002</v>
      </c>
      <c r="B13" s="441">
        <v>13119.414911832959</v>
      </c>
      <c r="C13" s="442">
        <v>2820.0498229714558</v>
      </c>
      <c r="D13" s="441">
        <v>31449.168751833717</v>
      </c>
      <c r="E13" s="442">
        <v>47388.633486638129</v>
      </c>
      <c r="F13" s="457">
        <v>3.9843740173287234E-2</v>
      </c>
      <c r="G13" s="187">
        <v>6449.3898810983646</v>
      </c>
      <c r="H13" s="457">
        <v>2.7470655816116331E-2</v>
      </c>
    </row>
    <row r="14" spans="1:8" ht="21" customHeight="1" thickBot="1">
      <c r="A14" s="943">
        <v>2003</v>
      </c>
      <c r="B14" s="441">
        <v>13722.655861069588</v>
      </c>
      <c r="C14" s="442">
        <v>2987.0229199422301</v>
      </c>
      <c r="D14" s="441">
        <v>32555.482571858916</v>
      </c>
      <c r="E14" s="442">
        <v>49265.161352870738</v>
      </c>
      <c r="F14" s="457">
        <v>3.9598691250755769E-2</v>
      </c>
      <c r="G14" s="187">
        <v>6652.9131741119318</v>
      </c>
      <c r="H14" s="457">
        <v>3.1556983957512899E-2</v>
      </c>
    </row>
    <row r="15" spans="1:8" ht="21" customHeight="1" thickBot="1">
      <c r="A15" s="943">
        <v>2004</v>
      </c>
      <c r="B15" s="441">
        <v>13782.332559784953</v>
      </c>
      <c r="C15" s="442">
        <v>3171.7715212406179</v>
      </c>
      <c r="D15" s="441">
        <v>34053.612589813594</v>
      </c>
      <c r="E15" s="442">
        <v>51007.71667083916</v>
      </c>
      <c r="F15" s="457">
        <v>3.5370945108391096E-2</v>
      </c>
      <c r="G15" s="187">
        <v>6842.8964671900767</v>
      </c>
      <c r="H15" s="457">
        <v>2.8556406510371293E-2</v>
      </c>
    </row>
    <row r="16" spans="1:8" ht="21" customHeight="1" thickBot="1">
      <c r="A16" s="943">
        <v>2005</v>
      </c>
      <c r="B16" s="441">
        <v>14066.947446826567</v>
      </c>
      <c r="C16" s="442">
        <v>3389.0318928738943</v>
      </c>
      <c r="D16" s="441">
        <v>34587.061540983508</v>
      </c>
      <c r="E16" s="442">
        <v>52043.04088068397</v>
      </c>
      <c r="F16" s="457">
        <v>2.0297403558091422E-2</v>
      </c>
      <c r="G16" s="187">
        <v>6937.9111736214763</v>
      </c>
      <c r="H16" s="457">
        <v>1.3885159140865371E-2</v>
      </c>
    </row>
    <row r="17" spans="1:8" ht="21" customHeight="1" thickBot="1">
      <c r="A17" s="943">
        <v>2006</v>
      </c>
      <c r="B17" s="441">
        <v>14084.873263559057</v>
      </c>
      <c r="C17" s="442">
        <v>3434.4268800044406</v>
      </c>
      <c r="D17" s="441">
        <v>35254.046708119524</v>
      </c>
      <c r="E17" s="442">
        <v>52773.346851683018</v>
      </c>
      <c r="F17" s="457">
        <v>1.403273057532088E-2</v>
      </c>
      <c r="G17" s="187">
        <v>6982.8098875825699</v>
      </c>
      <c r="H17" s="457">
        <v>6.4715031423005619E-3</v>
      </c>
    </row>
    <row r="18" spans="1:8" ht="21" customHeight="1" thickBot="1">
      <c r="A18" s="943">
        <v>2007</v>
      </c>
      <c r="B18" s="441">
        <v>14773.435402819494</v>
      </c>
      <c r="C18" s="442">
        <v>3552.0597140138489</v>
      </c>
      <c r="D18" s="441">
        <v>36889.449993401729</v>
      </c>
      <c r="E18" s="442">
        <v>55214.945110235072</v>
      </c>
      <c r="F18" s="457">
        <v>4.6265745953427022E-2</v>
      </c>
      <c r="G18" s="187">
        <v>7247.388280999573</v>
      </c>
      <c r="H18" s="457">
        <v>3.7889960871983507E-2</v>
      </c>
    </row>
    <row r="19" spans="1:8" ht="21" customHeight="1" thickBot="1">
      <c r="A19" s="943">
        <v>2008</v>
      </c>
      <c r="B19" s="441">
        <v>15744.049318477075</v>
      </c>
      <c r="C19" s="442">
        <v>3454.1194395977645</v>
      </c>
      <c r="D19" s="441">
        <v>39255.184105789223</v>
      </c>
      <c r="E19" s="442">
        <v>58453.352863864064</v>
      </c>
      <c r="F19" s="457">
        <v>5.8650927700165223E-2</v>
      </c>
      <c r="G19" s="187">
        <v>7580.4601683432293</v>
      </c>
      <c r="H19" s="457">
        <v>4.5957505577128854E-2</v>
      </c>
    </row>
    <row r="20" spans="1:8" ht="26.25" customHeight="1" thickBot="1">
      <c r="A20" s="1026" t="s">
        <v>426</v>
      </c>
      <c r="B20" s="1027" t="s">
        <v>744</v>
      </c>
      <c r="C20" s="1028" t="s">
        <v>744</v>
      </c>
      <c r="D20" s="1027" t="s">
        <v>744</v>
      </c>
      <c r="E20" s="1029">
        <v>61378.1</v>
      </c>
      <c r="F20" s="1030">
        <v>5.0035575255153786E-2</v>
      </c>
      <c r="G20" s="1029">
        <v>7867.6980874159335</v>
      </c>
      <c r="H20" s="1030">
        <v>3.7891884225213612E-2</v>
      </c>
    </row>
    <row r="21" spans="1:8" ht="26.25" customHeight="1" thickBot="1">
      <c r="A21" s="1026" t="s">
        <v>427</v>
      </c>
      <c r="B21" s="1027" t="s">
        <v>744</v>
      </c>
      <c r="C21" s="1028" t="s">
        <v>744</v>
      </c>
      <c r="D21" s="1027" t="s">
        <v>744</v>
      </c>
      <c r="E21" s="1029">
        <v>63450.1</v>
      </c>
      <c r="F21" s="1030">
        <v>3.3757969047591985E-2</v>
      </c>
      <c r="G21" s="1028" t="s">
        <v>744</v>
      </c>
      <c r="H21" s="1030" t="s">
        <v>744</v>
      </c>
    </row>
    <row r="22" spans="1:8" ht="26.25" customHeight="1" thickBot="1">
      <c r="A22" s="1026" t="s">
        <v>428</v>
      </c>
      <c r="B22" s="1027" t="s">
        <v>744</v>
      </c>
      <c r="C22" s="1028" t="s">
        <v>744</v>
      </c>
      <c r="D22" s="1027" t="s">
        <v>744</v>
      </c>
      <c r="E22" s="1029">
        <v>65787.100000000006</v>
      </c>
      <c r="F22" s="1030">
        <v>3.6832093251232267E-2</v>
      </c>
      <c r="G22" s="1031" t="s">
        <v>744</v>
      </c>
      <c r="H22" s="1032" t="s">
        <v>744</v>
      </c>
    </row>
    <row r="23" spans="1:8" ht="20" customHeight="1">
      <c r="A23" s="1011" t="s">
        <v>414</v>
      </c>
      <c r="B23" s="1012"/>
      <c r="C23" s="1012"/>
      <c r="D23" s="1012"/>
      <c r="E23" s="1012"/>
      <c r="F23" s="1012"/>
    </row>
    <row r="24" spans="1:8" ht="10.5" customHeight="1">
      <c r="A24" s="1024"/>
      <c r="B24" s="1025"/>
      <c r="C24" s="1025"/>
      <c r="D24" s="1025"/>
      <c r="E24" s="1025"/>
    </row>
    <row r="25" spans="1:8" ht="12.75" customHeight="1">
      <c r="A25" s="1024" t="s">
        <v>418</v>
      </c>
      <c r="B25" s="1025"/>
      <c r="C25" s="1025"/>
      <c r="D25" s="1025"/>
      <c r="E25" s="1025"/>
    </row>
    <row r="26" spans="1:8" ht="12.75" customHeight="1">
      <c r="A26" s="1024" t="s">
        <v>419</v>
      </c>
      <c r="B26" s="1025"/>
      <c r="C26" s="1025"/>
      <c r="D26" s="1025"/>
      <c r="E26" s="1025"/>
      <c r="F26" s="1025"/>
      <c r="G26" s="1025"/>
    </row>
    <row r="27" spans="1:8" ht="12.75" customHeight="1">
      <c r="A27" s="1024" t="s">
        <v>420</v>
      </c>
      <c r="B27" s="1025"/>
      <c r="C27" s="1025"/>
      <c r="D27" s="1025"/>
      <c r="E27" s="1025"/>
      <c r="F27" s="1025"/>
      <c r="G27" s="1025"/>
    </row>
    <row r="28" spans="1:8" ht="12.75" customHeight="1">
      <c r="A28" s="1024" t="s">
        <v>421</v>
      </c>
      <c r="B28" s="1025"/>
      <c r="C28" s="1025"/>
      <c r="D28" s="1025"/>
      <c r="E28" s="1025"/>
      <c r="F28" s="1025"/>
      <c r="G28" s="1025"/>
    </row>
    <row r="29" spans="1:8" ht="12.75" customHeight="1">
      <c r="A29" s="1013" t="s">
        <v>422</v>
      </c>
      <c r="B29" s="1025"/>
      <c r="C29" s="1025"/>
      <c r="D29" s="1025"/>
      <c r="E29" s="1025"/>
      <c r="F29" s="1025"/>
      <c r="G29" s="1025"/>
    </row>
    <row r="30" spans="1:8" ht="12.75" customHeight="1">
      <c r="A30" s="1013" t="s">
        <v>423</v>
      </c>
      <c r="B30" s="1025"/>
      <c r="C30" s="1025"/>
      <c r="D30" s="1025"/>
      <c r="E30" s="1025"/>
      <c r="F30" s="1025"/>
      <c r="G30" s="1025"/>
    </row>
    <row r="31" spans="1:8" ht="12.75" customHeight="1">
      <c r="A31" s="1024"/>
      <c r="B31" s="1025"/>
      <c r="C31" s="1025"/>
      <c r="D31" s="1025"/>
      <c r="E31" s="1025"/>
      <c r="F31" s="1025"/>
      <c r="G31" s="1025"/>
    </row>
    <row r="32" spans="1:8" ht="12.75" customHeight="1">
      <c r="A32" s="1024" t="s">
        <v>429</v>
      </c>
      <c r="B32" s="1025"/>
      <c r="C32" s="1025"/>
      <c r="D32" s="1025"/>
      <c r="E32" s="1025"/>
    </row>
    <row r="33" spans="1:8" ht="15.75" customHeight="1">
      <c r="A33" s="271"/>
      <c r="B33" s="1016"/>
      <c r="C33" s="1016"/>
      <c r="D33" s="1016"/>
      <c r="E33" s="1016"/>
    </row>
    <row r="34" spans="1:8" ht="12" customHeight="1">
      <c r="A34" s="493"/>
      <c r="B34" s="1016"/>
      <c r="C34" s="1016"/>
      <c r="D34" s="1016"/>
      <c r="E34" s="1016"/>
    </row>
    <row r="35" spans="1:8" ht="15.75" customHeight="1">
      <c r="A35" s="201" t="s">
        <v>710</v>
      </c>
      <c r="B35" s="1016"/>
      <c r="C35" s="1016"/>
      <c r="D35" s="1016"/>
      <c r="E35" s="1016"/>
    </row>
    <row r="36" spans="1:8" ht="31" customHeight="1">
      <c r="A36" s="201"/>
      <c r="B36" s="1016"/>
      <c r="C36" s="1016"/>
      <c r="D36" s="1016"/>
      <c r="E36" s="1016"/>
    </row>
    <row r="37" spans="1:8" ht="31" customHeight="1">
      <c r="A37" s="201"/>
      <c r="B37" s="1016"/>
      <c r="C37" s="1016"/>
      <c r="D37" s="1016"/>
      <c r="E37" s="1016"/>
      <c r="H37" s="493"/>
    </row>
    <row r="38" spans="1:8" ht="31" customHeight="1">
      <c r="A38" s="201"/>
      <c r="B38" s="1016"/>
      <c r="C38" s="1016"/>
      <c r="D38" s="1016"/>
      <c r="E38" s="1016"/>
    </row>
    <row r="39" spans="1:8" ht="31" customHeight="1">
      <c r="A39" s="201"/>
      <c r="B39" s="1016"/>
      <c r="C39" s="1016"/>
      <c r="D39" s="1016"/>
      <c r="E39" s="1016"/>
    </row>
    <row r="40" spans="1:8" ht="31" customHeight="1">
      <c r="A40" s="201"/>
      <c r="B40" s="1016"/>
      <c r="C40" s="1016"/>
      <c r="D40" s="1016"/>
      <c r="E40" s="1016"/>
    </row>
    <row r="41" spans="1:8" ht="31" customHeight="1">
      <c r="A41" s="201"/>
      <c r="B41" s="1016"/>
      <c r="C41" s="1016"/>
      <c r="D41" s="1016"/>
      <c r="E41" s="1016"/>
    </row>
    <row r="42" spans="1:8" ht="31" customHeight="1">
      <c r="A42" s="201"/>
      <c r="B42" s="1016"/>
      <c r="C42" s="1016"/>
      <c r="D42" s="1016"/>
      <c r="E42" s="1016"/>
    </row>
    <row r="43" spans="1:8">
      <c r="A43" s="201"/>
      <c r="B43" s="1016"/>
      <c r="C43" s="1016"/>
      <c r="D43" s="1016"/>
      <c r="E43" s="1016"/>
    </row>
    <row r="44" spans="1:8">
      <c r="A44" s="201"/>
      <c r="B44" s="1016"/>
      <c r="C44" s="1016"/>
      <c r="D44" s="1016"/>
      <c r="E44" s="1016"/>
    </row>
  </sheetData>
  <mergeCells count="1">
    <mergeCell ref="A2:G2"/>
  </mergeCells>
  <phoneticPr fontId="0" type="noConversion"/>
  <pageMargins left="0.59" right="0.61" top="0.98" bottom="0.49" header="0.55000000000000004" footer="0.4921259845"/>
  <pageSetup paperSize="9" scale="70" orientation="portrait" horizontalDpi="4294967292" verticalDpi="4294967292"/>
  <headerFooter alignWithMargins="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A1ED5-6B1E-0548-9DAE-A3CE67BF55E9}">
  <sheetPr>
    <pageSetUpPr fitToPage="1"/>
  </sheetPr>
  <dimension ref="A1:AJ114"/>
  <sheetViews>
    <sheetView topLeftCell="A17" zoomScale="75" workbookViewId="0">
      <selection activeCell="B29" sqref="B29"/>
    </sheetView>
  </sheetViews>
  <sheetFormatPr baseColWidth="10" defaultColWidth="10.3984375" defaultRowHeight="13"/>
  <cols>
    <col min="1" max="1" width="3.59765625" style="1373" customWidth="1"/>
    <col min="2" max="2" width="47.3984375" style="1373" customWidth="1"/>
    <col min="3" max="3" width="0.3984375" style="1373" customWidth="1"/>
    <col min="4" max="4" width="10.3984375" style="1373" hidden="1" customWidth="1"/>
    <col min="5" max="10" width="10.3984375" style="1373" customWidth="1"/>
    <col min="11" max="11" width="11.59765625" style="1373" customWidth="1"/>
    <col min="12" max="15" width="11" style="1373" customWidth="1"/>
    <col min="16" max="16" width="2.59765625" style="1373" customWidth="1"/>
    <col min="17" max="18" width="10.3984375" style="1373" customWidth="1"/>
    <col min="19" max="19" width="3" style="1373" customWidth="1"/>
    <col min="20" max="20" width="11.3984375" style="1373" customWidth="1"/>
    <col min="21" max="16384" width="10.3984375" style="1373"/>
  </cols>
  <sheetData>
    <row r="1" spans="1:36" ht="18">
      <c r="A1" s="1371" t="s">
        <v>478</v>
      </c>
      <c r="B1" s="1372"/>
      <c r="C1" s="1372"/>
      <c r="D1" s="1372"/>
      <c r="E1" s="1372"/>
      <c r="F1" s="1372"/>
      <c r="G1" s="1372"/>
      <c r="H1" s="1372"/>
      <c r="I1" s="1372"/>
      <c r="J1" s="1372"/>
      <c r="K1" s="1372"/>
      <c r="L1" s="1372"/>
      <c r="M1" s="1372"/>
      <c r="N1" s="1372"/>
      <c r="O1" s="1372"/>
      <c r="P1" s="1372"/>
      <c r="Q1" s="1372"/>
      <c r="R1" s="1372"/>
      <c r="S1" s="1372"/>
      <c r="X1" s="1374"/>
      <c r="AD1" s="1374"/>
    </row>
    <row r="2" spans="1:36" ht="14" thickBot="1">
      <c r="A2" s="1375"/>
      <c r="B2" s="1375"/>
      <c r="C2" s="1375"/>
      <c r="D2" s="1375"/>
      <c r="E2" s="1375"/>
      <c r="F2" s="1375"/>
      <c r="G2" s="1375"/>
      <c r="H2" s="1375"/>
      <c r="I2" s="1375"/>
      <c r="J2" s="1375"/>
      <c r="K2" s="1375"/>
      <c r="L2" s="1375"/>
      <c r="M2" s="1375"/>
      <c r="N2" s="1375"/>
      <c r="O2" s="1375"/>
      <c r="P2" s="1375"/>
      <c r="Q2" s="1375"/>
      <c r="R2" s="1375"/>
      <c r="S2" s="1375"/>
      <c r="T2" s="1376"/>
    </row>
    <row r="3" spans="1:36" s="1383" customFormat="1" ht="10.5" customHeight="1">
      <c r="A3" s="1377"/>
      <c r="B3" s="1377"/>
      <c r="C3" s="1378"/>
      <c r="D3" s="1377"/>
      <c r="E3" s="1378"/>
      <c r="F3" s="1377"/>
      <c r="G3" s="1378"/>
      <c r="H3" s="1377"/>
      <c r="I3" s="1378"/>
      <c r="J3" s="1377"/>
      <c r="K3" s="1378"/>
      <c r="L3" s="1377"/>
      <c r="M3" s="1378"/>
      <c r="N3" s="1377"/>
      <c r="O3" s="1378"/>
      <c r="P3" s="1379"/>
      <c r="Q3" s="1380"/>
      <c r="R3" s="1381"/>
      <c r="S3" s="1382"/>
      <c r="T3" s="1378"/>
      <c r="V3" s="1373"/>
      <c r="W3" s="1384"/>
      <c r="X3" s="1384"/>
      <c r="Y3" s="1384"/>
      <c r="Z3" s="1384"/>
      <c r="AA3" s="1385"/>
      <c r="AB3" s="1385"/>
      <c r="AC3" s="1385"/>
      <c r="AD3" s="1385"/>
      <c r="AG3" s="1386"/>
      <c r="AH3" s="1386"/>
      <c r="AI3" s="1386"/>
      <c r="AJ3" s="1386"/>
    </row>
    <row r="4" spans="1:36" ht="13.5" customHeight="1">
      <c r="A4" s="1387" t="s">
        <v>467</v>
      </c>
      <c r="B4" s="1388"/>
      <c r="C4" s="1389">
        <v>1996</v>
      </c>
      <c r="D4" s="1390">
        <v>1997</v>
      </c>
      <c r="E4" s="1389">
        <v>1998</v>
      </c>
      <c r="F4" s="1390">
        <v>1999</v>
      </c>
      <c r="G4" s="1389">
        <v>2000</v>
      </c>
      <c r="H4" s="1390">
        <v>2001</v>
      </c>
      <c r="I4" s="1389">
        <v>2002</v>
      </c>
      <c r="J4" s="1390">
        <v>2003</v>
      </c>
      <c r="K4" s="1389">
        <v>2004</v>
      </c>
      <c r="L4" s="1390">
        <v>2005</v>
      </c>
      <c r="M4" s="1389">
        <v>2006</v>
      </c>
      <c r="N4" s="1390">
        <v>2007</v>
      </c>
      <c r="O4" s="1389">
        <v>2008</v>
      </c>
      <c r="P4" s="1391"/>
      <c r="Q4" s="1380" t="s">
        <v>1801</v>
      </c>
      <c r="R4" s="1381" t="s">
        <v>468</v>
      </c>
      <c r="S4" s="1382"/>
      <c r="T4" s="1392" t="s">
        <v>1964</v>
      </c>
      <c r="W4" s="1384"/>
      <c r="X4" s="1384"/>
      <c r="Y4" s="1384"/>
      <c r="Z4" s="1384"/>
      <c r="AA4" s="1393"/>
      <c r="AB4" s="1393"/>
      <c r="AC4" s="1393"/>
      <c r="AD4" s="1393"/>
      <c r="AG4" s="1386"/>
      <c r="AH4" s="1386"/>
      <c r="AI4" s="1386"/>
      <c r="AJ4" s="1386"/>
    </row>
    <row r="5" spans="1:36" ht="15" customHeight="1">
      <c r="A5" s="1387" t="s">
        <v>469</v>
      </c>
      <c r="B5" s="1394"/>
      <c r="C5" s="1395"/>
      <c r="D5" s="1396"/>
      <c r="E5" s="1395"/>
      <c r="F5" s="1396"/>
      <c r="G5" s="1395"/>
      <c r="H5" s="1396"/>
      <c r="I5" s="1395"/>
      <c r="J5" s="1396"/>
      <c r="K5" s="1395"/>
      <c r="L5" s="1396"/>
      <c r="M5" s="1395"/>
      <c r="N5" s="1396"/>
      <c r="O5" s="1395"/>
      <c r="P5" s="1397"/>
      <c r="Q5" s="1380" t="s">
        <v>325</v>
      </c>
      <c r="R5" s="1381" t="s">
        <v>89</v>
      </c>
      <c r="S5" s="1382"/>
      <c r="T5" s="1392" t="s">
        <v>479</v>
      </c>
      <c r="W5" s="1384"/>
      <c r="X5" s="1384"/>
      <c r="Y5" s="1384"/>
      <c r="Z5" s="1384"/>
      <c r="AA5" s="1393"/>
      <c r="AB5" s="1393"/>
      <c r="AC5" s="1393"/>
      <c r="AD5" s="1393"/>
      <c r="AG5" s="1386"/>
      <c r="AH5" s="1386"/>
      <c r="AI5" s="1386"/>
      <c r="AJ5" s="1386"/>
    </row>
    <row r="6" spans="1:36" ht="14.25" customHeight="1">
      <c r="A6" s="1398"/>
      <c r="B6" s="1398"/>
      <c r="C6" s="1399"/>
      <c r="D6" s="1400"/>
      <c r="E6" s="1399"/>
      <c r="F6" s="1400"/>
      <c r="G6" s="1399"/>
      <c r="H6" s="1400"/>
      <c r="I6" s="1399"/>
      <c r="J6" s="1400"/>
      <c r="K6" s="1399"/>
      <c r="L6" s="1400"/>
      <c r="M6" s="1399"/>
      <c r="N6" s="1400"/>
      <c r="O6" s="1399"/>
      <c r="P6" s="1401"/>
      <c r="Q6" s="1402"/>
      <c r="R6" s="1403" t="s">
        <v>44</v>
      </c>
      <c r="S6" s="1404"/>
      <c r="T6" s="1399"/>
      <c r="W6" s="1384"/>
      <c r="X6" s="1384"/>
      <c r="Y6" s="1384"/>
      <c r="Z6" s="1384"/>
      <c r="AA6" s="1405"/>
      <c r="AB6" s="1405"/>
      <c r="AC6" s="1405"/>
      <c r="AD6" s="1405"/>
      <c r="AG6" s="1405"/>
      <c r="AH6" s="1405"/>
      <c r="AI6" s="1405"/>
      <c r="AJ6" s="1405"/>
    </row>
    <row r="7" spans="1:36">
      <c r="A7" s="1406"/>
      <c r="B7" s="1407"/>
      <c r="C7" s="1408"/>
      <c r="D7" s="1407"/>
      <c r="E7" s="1408"/>
      <c r="F7" s="1407"/>
      <c r="G7" s="1408"/>
      <c r="H7" s="1407"/>
      <c r="I7" s="1408"/>
      <c r="J7" s="1407"/>
      <c r="K7" s="1408"/>
      <c r="L7" s="1407"/>
      <c r="M7" s="1408"/>
      <c r="N7" s="1407"/>
      <c r="O7" s="1408"/>
      <c r="P7" s="1409"/>
      <c r="Q7" s="1408"/>
      <c r="R7" s="1410" t="s">
        <v>326</v>
      </c>
      <c r="S7" s="1411"/>
      <c r="T7" s="1408"/>
      <c r="W7" s="1384"/>
      <c r="X7" s="1384"/>
      <c r="Y7" s="1384"/>
      <c r="Z7" s="1384"/>
      <c r="AA7" s="1393"/>
      <c r="AB7" s="1393"/>
      <c r="AC7" s="1393"/>
      <c r="AD7" s="1393"/>
      <c r="AG7" s="1386"/>
      <c r="AH7" s="1386"/>
      <c r="AI7" s="1386"/>
      <c r="AJ7" s="1386"/>
    </row>
    <row r="8" spans="1:36" ht="18" customHeight="1" thickBot="1">
      <c r="A8" s="1412" t="s">
        <v>480</v>
      </c>
      <c r="B8" s="1413"/>
      <c r="C8" s="1414">
        <v>5976.68608119694</v>
      </c>
      <c r="D8" s="1415">
        <v>5920.5324887865727</v>
      </c>
      <c r="E8" s="1414">
        <v>5989.0401962979158</v>
      </c>
      <c r="F8" s="1415">
        <v>6272.8466257392192</v>
      </c>
      <c r="G8" s="1414">
        <v>6460.9578237170608</v>
      </c>
      <c r="H8" s="1415">
        <v>7635.1420777467765</v>
      </c>
      <c r="I8" s="1414">
        <v>8429.5101560943567</v>
      </c>
      <c r="J8" s="1415">
        <v>8778.10319716105</v>
      </c>
      <c r="K8" s="1414">
        <v>8632.7243530636424</v>
      </c>
      <c r="L8" s="1415">
        <v>8704.8174529394601</v>
      </c>
      <c r="M8" s="1414">
        <v>8536.5423231378227</v>
      </c>
      <c r="N8" s="1415">
        <v>8960.8447878915576</v>
      </c>
      <c r="O8" s="1414">
        <v>10678.6</v>
      </c>
      <c r="P8" s="1416"/>
      <c r="Q8" s="1417">
        <v>0.19169567744657057</v>
      </c>
      <c r="R8" s="1418">
        <v>5.9535979809852257E-2</v>
      </c>
      <c r="S8" s="1419"/>
      <c r="T8" s="1420">
        <v>11289.3</v>
      </c>
      <c r="W8" s="1384"/>
      <c r="X8" s="1384"/>
      <c r="Y8" s="1384"/>
      <c r="Z8" s="1384"/>
      <c r="AG8" s="1386"/>
      <c r="AH8" s="1386"/>
      <c r="AI8" s="1386"/>
      <c r="AJ8" s="1386"/>
    </row>
    <row r="9" spans="1:36" ht="14" thickBot="1">
      <c r="A9" s="1421"/>
      <c r="B9" s="1422" t="s">
        <v>470</v>
      </c>
      <c r="C9" s="1423">
        <v>129.23078991</v>
      </c>
      <c r="D9" s="1424">
        <v>117.49672024</v>
      </c>
      <c r="E9" s="1423">
        <v>116.89201141000001</v>
      </c>
      <c r="F9" s="1424">
        <v>126.031144</v>
      </c>
      <c r="G9" s="1423">
        <v>145.00575000000001</v>
      </c>
      <c r="H9" s="1424">
        <v>164.3904</v>
      </c>
      <c r="I9" s="1423">
        <v>177.72408200000001</v>
      </c>
      <c r="J9" s="1424">
        <v>155.57770199999999</v>
      </c>
      <c r="K9" s="1423">
        <v>137.73953900000001</v>
      </c>
      <c r="L9" s="1424">
        <v>126.93680499999999</v>
      </c>
      <c r="M9" s="1423">
        <v>121.25849500000001</v>
      </c>
      <c r="N9" s="1424">
        <v>180.203757</v>
      </c>
      <c r="O9" s="1423">
        <v>190.7</v>
      </c>
      <c r="P9" s="1425"/>
      <c r="Q9" s="1426">
        <v>5.8246527013307459E-2</v>
      </c>
      <c r="R9" s="1427">
        <v>5.0162693484060439E-2</v>
      </c>
      <c r="S9" s="1428"/>
      <c r="T9" s="1429" t="s">
        <v>744</v>
      </c>
      <c r="W9" s="1384"/>
      <c r="X9" s="1384"/>
      <c r="Y9" s="1384"/>
      <c r="Z9" s="1384"/>
      <c r="AA9" s="1393"/>
      <c r="AB9" s="1393"/>
      <c r="AC9" s="1393"/>
      <c r="AD9" s="1393"/>
      <c r="AG9" s="1386"/>
      <c r="AH9" s="1386"/>
      <c r="AI9" s="1386"/>
      <c r="AJ9" s="1386"/>
    </row>
    <row r="10" spans="1:36" ht="14" thickBot="1">
      <c r="A10" s="1422"/>
      <c r="B10" s="1422" t="s">
        <v>471</v>
      </c>
      <c r="C10" s="1423">
        <v>4784.5780118902267</v>
      </c>
      <c r="D10" s="1424">
        <v>4715.2771265677929</v>
      </c>
      <c r="E10" s="1423">
        <v>4705.6176243116033</v>
      </c>
      <c r="F10" s="1424">
        <v>4970.909962638395</v>
      </c>
      <c r="G10" s="1423">
        <v>5115.6656802381985</v>
      </c>
      <c r="H10" s="1424">
        <v>6059.2656324562704</v>
      </c>
      <c r="I10" s="1423">
        <v>6823.5309806680871</v>
      </c>
      <c r="J10" s="1424">
        <v>7254.6764879217662</v>
      </c>
      <c r="K10" s="1423">
        <v>7117.8318535254821</v>
      </c>
      <c r="L10" s="1424">
        <v>7397.3768416285438</v>
      </c>
      <c r="M10" s="1423">
        <v>7523.1773202740087</v>
      </c>
      <c r="N10" s="1424">
        <v>7771.8251720893604</v>
      </c>
      <c r="O10" s="1423">
        <v>9143.6</v>
      </c>
      <c r="P10" s="1425"/>
      <c r="Q10" s="1426">
        <v>0.17650613562912332</v>
      </c>
      <c r="R10" s="1427">
        <v>6.8685848508840852E-2</v>
      </c>
      <c r="S10" s="1428"/>
      <c r="T10" s="1429" t="s">
        <v>744</v>
      </c>
      <c r="W10" s="1384"/>
      <c r="X10" s="1384"/>
      <c r="Y10" s="1384"/>
      <c r="Z10" s="1384"/>
      <c r="AA10" s="1393"/>
      <c r="AB10" s="1393"/>
      <c r="AC10" s="1393"/>
      <c r="AD10" s="1393"/>
      <c r="AG10" s="1386"/>
      <c r="AH10" s="1386"/>
      <c r="AI10" s="1386"/>
      <c r="AJ10" s="1386"/>
    </row>
    <row r="11" spans="1:36" ht="14" thickBot="1">
      <c r="A11" s="1422"/>
      <c r="B11" s="1422" t="s">
        <v>472</v>
      </c>
      <c r="C11" s="1423">
        <v>1062.8772793967141</v>
      </c>
      <c r="D11" s="1424">
        <v>1087.7586419787795</v>
      </c>
      <c r="E11" s="1423">
        <v>1166.5305605763128</v>
      </c>
      <c r="F11" s="1424">
        <v>1175.9055191008242</v>
      </c>
      <c r="G11" s="1423">
        <v>1200.286393478862</v>
      </c>
      <c r="H11" s="1424">
        <v>1411.4860452905059</v>
      </c>
      <c r="I11" s="1423">
        <v>1428.2550934262702</v>
      </c>
      <c r="J11" s="1424">
        <v>1367.8490072392833</v>
      </c>
      <c r="K11" s="1423">
        <v>1377.1529605381609</v>
      </c>
      <c r="L11" s="1424">
        <v>1180.5038063109164</v>
      </c>
      <c r="M11" s="1423">
        <v>892.10650786381348</v>
      </c>
      <c r="N11" s="1424">
        <v>1008.8158588021977</v>
      </c>
      <c r="O11" s="1423">
        <v>1344.3</v>
      </c>
      <c r="P11" s="1425"/>
      <c r="Q11" s="1426">
        <v>0.33255240614093262</v>
      </c>
      <c r="R11" s="1427">
        <v>1.4285011477242593E-2</v>
      </c>
      <c r="S11" s="1428"/>
      <c r="T11" s="1429" t="s">
        <v>744</v>
      </c>
      <c r="W11" s="1384"/>
      <c r="X11" s="1384"/>
      <c r="Y11" s="1384"/>
      <c r="Z11" s="1384"/>
      <c r="AA11" s="1393"/>
      <c r="AB11" s="1393"/>
      <c r="AC11" s="1393"/>
      <c r="AD11" s="1393"/>
      <c r="AG11" s="1386"/>
      <c r="AH11" s="1386"/>
      <c r="AI11" s="1386"/>
      <c r="AJ11" s="1386"/>
    </row>
    <row r="12" spans="1:36" s="1439" customFormat="1" ht="14" thickBot="1">
      <c r="A12" s="1422"/>
      <c r="B12" s="1430"/>
      <c r="C12" s="1431"/>
      <c r="D12" s="1432"/>
      <c r="E12" s="1431"/>
      <c r="F12" s="1432"/>
      <c r="G12" s="1431"/>
      <c r="H12" s="1432"/>
      <c r="I12" s="1431"/>
      <c r="J12" s="1432"/>
      <c r="K12" s="1431"/>
      <c r="L12" s="1432"/>
      <c r="M12" s="1431"/>
      <c r="N12" s="1432"/>
      <c r="O12" s="1431"/>
      <c r="P12" s="1433"/>
      <c r="Q12" s="1434"/>
      <c r="R12" s="1435"/>
      <c r="S12" s="1436"/>
      <c r="T12" s="1437"/>
      <c r="U12" s="1438"/>
    </row>
    <row r="13" spans="1:36" s="1439" customFormat="1" ht="15.75" customHeight="1" thickBot="1">
      <c r="A13" s="1421" t="s">
        <v>481</v>
      </c>
      <c r="B13" s="1422"/>
      <c r="C13" s="1440">
        <v>2694.5104040117299</v>
      </c>
      <c r="D13" s="1441">
        <v>2815.7448411451096</v>
      </c>
      <c r="E13" s="1440">
        <v>2973.2056398412365</v>
      </c>
      <c r="F13" s="1441">
        <v>3109.7236465190003</v>
      </c>
      <c r="G13" s="1440">
        <v>3228.4015641373426</v>
      </c>
      <c r="H13" s="1441">
        <v>3420.9561673120697</v>
      </c>
      <c r="I13" s="1440">
        <v>3447.3545767100568</v>
      </c>
      <c r="J13" s="1441">
        <v>3663.0755838507671</v>
      </c>
      <c r="K13" s="1440">
        <v>3771.1797269619269</v>
      </c>
      <c r="L13" s="1441">
        <v>3968.7366137610011</v>
      </c>
      <c r="M13" s="1440">
        <v>4049.5170354256738</v>
      </c>
      <c r="N13" s="1441">
        <v>4185.9254439417819</v>
      </c>
      <c r="O13" s="1440">
        <v>3547.5</v>
      </c>
      <c r="P13" s="1442"/>
      <c r="Q13" s="1443">
        <v>-0.15251715600089444</v>
      </c>
      <c r="R13" s="1444">
        <v>1.7817106060641574E-2</v>
      </c>
      <c r="S13" s="1445"/>
      <c r="T13" s="1446">
        <v>3006.4453890868272</v>
      </c>
    </row>
    <row r="14" spans="1:36" ht="14" thickBot="1">
      <c r="A14" s="1422"/>
      <c r="B14" s="1422" t="s">
        <v>473</v>
      </c>
      <c r="C14" s="1423">
        <v>1132.4277999999999</v>
      </c>
      <c r="D14" s="1424">
        <v>1151.4795999999999</v>
      </c>
      <c r="E14" s="1423">
        <v>1283.9227999999998</v>
      </c>
      <c r="F14" s="1424">
        <v>1378.5406000000003</v>
      </c>
      <c r="G14" s="1423">
        <v>1422.4462000000001</v>
      </c>
      <c r="H14" s="1424">
        <v>1475.3188</v>
      </c>
      <c r="I14" s="1423">
        <v>1413.5950692328547</v>
      </c>
      <c r="J14" s="1424">
        <v>1512.470256033693</v>
      </c>
      <c r="K14" s="1423">
        <v>1537.8133155193091</v>
      </c>
      <c r="L14" s="1424">
        <v>1654.441825486788</v>
      </c>
      <c r="M14" s="1423">
        <v>1635.3951577832072</v>
      </c>
      <c r="N14" s="1424">
        <v>1684.9588605859158</v>
      </c>
      <c r="O14" s="1423">
        <v>1749.6</v>
      </c>
      <c r="P14" s="1425"/>
      <c r="Q14" s="1426">
        <v>3.8363630665502635E-2</v>
      </c>
      <c r="R14" s="1427">
        <v>3.1430538677935216E-2</v>
      </c>
      <c r="S14" s="1428"/>
      <c r="T14" s="1429" t="s">
        <v>744</v>
      </c>
    </row>
    <row r="15" spans="1:36" ht="15" customHeight="1" thickBot="1">
      <c r="A15" s="1422"/>
      <c r="B15" s="1422" t="s">
        <v>482</v>
      </c>
      <c r="C15" s="1423">
        <v>1525.5826040117299</v>
      </c>
      <c r="D15" s="1424">
        <v>1627.0652411451097</v>
      </c>
      <c r="E15" s="1423">
        <v>1653.8828398412368</v>
      </c>
      <c r="F15" s="1424">
        <v>1690.0830465189999</v>
      </c>
      <c r="G15" s="1423">
        <v>1762.9553641373423</v>
      </c>
      <c r="H15" s="1424">
        <v>1900.4373673120701</v>
      </c>
      <c r="I15" s="1423">
        <v>1986.859507477202</v>
      </c>
      <c r="J15" s="1424">
        <v>2102.2053278170742</v>
      </c>
      <c r="K15" s="1423">
        <v>2185.2164114426178</v>
      </c>
      <c r="L15" s="1424">
        <v>2265.2797882742134</v>
      </c>
      <c r="M15" s="1423">
        <v>2366.2240814424667</v>
      </c>
      <c r="N15" s="1424">
        <v>2450.8155833558662</v>
      </c>
      <c r="O15" s="1423">
        <v>1745.9</v>
      </c>
      <c r="P15" s="1425"/>
      <c r="Q15" s="1426">
        <v>-0.28762489847997275</v>
      </c>
      <c r="R15" s="1427">
        <v>5.4291268186346109E-3</v>
      </c>
      <c r="S15" s="1428"/>
      <c r="T15" s="1429" t="s">
        <v>744</v>
      </c>
    </row>
    <row r="16" spans="1:36" ht="14" thickBot="1">
      <c r="A16" s="1422"/>
      <c r="B16" s="1422" t="s">
        <v>474</v>
      </c>
      <c r="C16" s="1423">
        <v>36.5</v>
      </c>
      <c r="D16" s="1424">
        <v>37.200000000000003</v>
      </c>
      <c r="E16" s="1423">
        <v>35.4</v>
      </c>
      <c r="F16" s="1424">
        <v>41.1</v>
      </c>
      <c r="G16" s="1423">
        <v>43</v>
      </c>
      <c r="H16" s="1424">
        <v>45.2</v>
      </c>
      <c r="I16" s="1423">
        <v>46.9</v>
      </c>
      <c r="J16" s="1424">
        <v>48.4</v>
      </c>
      <c r="K16" s="1423">
        <v>48.15</v>
      </c>
      <c r="L16" s="1424">
        <v>49.015000000000001</v>
      </c>
      <c r="M16" s="1423">
        <v>47.897796200000002</v>
      </c>
      <c r="N16" s="1424">
        <v>50.151000000000003</v>
      </c>
      <c r="O16" s="1423">
        <v>52</v>
      </c>
      <c r="P16" s="1425"/>
      <c r="Q16" s="1426">
        <v>3.6868656656896093E-2</v>
      </c>
      <c r="R16" s="1427">
        <v>3.9202082008023442E-2</v>
      </c>
      <c r="S16" s="1428"/>
      <c r="T16" s="1429" t="s">
        <v>744</v>
      </c>
    </row>
    <row r="17" spans="1:25" ht="14" thickBot="1">
      <c r="A17" s="1422"/>
      <c r="B17" s="1422"/>
      <c r="C17" s="1431"/>
      <c r="D17" s="1432"/>
      <c r="E17" s="1431"/>
      <c r="F17" s="1432"/>
      <c r="G17" s="1431"/>
      <c r="H17" s="1432"/>
      <c r="I17" s="1431"/>
      <c r="J17" s="1432"/>
      <c r="K17" s="1431"/>
      <c r="L17" s="1432"/>
      <c r="M17" s="1431"/>
      <c r="N17" s="1432"/>
      <c r="O17" s="1431"/>
      <c r="P17" s="1433"/>
      <c r="Q17" s="1434"/>
      <c r="R17" s="1435"/>
      <c r="S17" s="1436"/>
      <c r="T17" s="1437"/>
    </row>
    <row r="18" spans="1:25" ht="16" thickBot="1">
      <c r="A18" s="1421" t="s">
        <v>483</v>
      </c>
      <c r="B18" s="1422"/>
      <c r="C18" s="1440">
        <v>623.1</v>
      </c>
      <c r="D18" s="1441">
        <v>-213.6</v>
      </c>
      <c r="E18" s="1440">
        <v>-306.39999999999998</v>
      </c>
      <c r="F18" s="1441">
        <v>-200.29999999999927</v>
      </c>
      <c r="G18" s="1440">
        <v>98.828987000000325</v>
      </c>
      <c r="H18" s="1441">
        <v>454.38000000000136</v>
      </c>
      <c r="I18" s="1440">
        <v>-588.16000000000054</v>
      </c>
      <c r="J18" s="1441">
        <v>-1266.4017009999975</v>
      </c>
      <c r="K18" s="1440">
        <v>-1468.84478399</v>
      </c>
      <c r="L18" s="1441">
        <v>-918.22178139000243</v>
      </c>
      <c r="M18" s="1440">
        <v>-1381.5431163093563</v>
      </c>
      <c r="N18" s="1441">
        <v>-679.88308698999754</v>
      </c>
      <c r="O18" s="1440">
        <v>256.38141207000081</v>
      </c>
      <c r="P18" s="1442"/>
      <c r="Q18" s="1443" t="s">
        <v>744</v>
      </c>
      <c r="R18" s="1444" t="s">
        <v>744</v>
      </c>
      <c r="S18" s="1445"/>
      <c r="T18" s="1446">
        <v>1075.8442428651106</v>
      </c>
    </row>
    <row r="19" spans="1:25" ht="14" thickBot="1">
      <c r="A19" s="1422"/>
      <c r="B19" s="1447"/>
      <c r="C19" s="1431"/>
      <c r="D19" s="1432"/>
      <c r="E19" s="1448"/>
      <c r="F19" s="1449"/>
      <c r="G19" s="1448"/>
      <c r="H19" s="1449"/>
      <c r="I19" s="1448"/>
      <c r="J19" s="1449"/>
      <c r="K19" s="1448"/>
      <c r="L19" s="1449"/>
      <c r="M19" s="1448"/>
      <c r="N19" s="1449"/>
      <c r="O19" s="1448"/>
      <c r="P19" s="1450"/>
      <c r="Q19" s="1451"/>
      <c r="R19" s="1452"/>
      <c r="S19" s="1453"/>
      <c r="T19" s="1437"/>
    </row>
    <row r="20" spans="1:25" s="1439" customFormat="1" ht="14" thickBot="1">
      <c r="A20" s="1421" t="s">
        <v>475</v>
      </c>
      <c r="B20" s="1422"/>
      <c r="C20" s="1440">
        <v>2760.27</v>
      </c>
      <c r="D20" s="1441">
        <v>3024.94</v>
      </c>
      <c r="E20" s="1440">
        <v>3270.2</v>
      </c>
      <c r="F20" s="1441">
        <v>3620.5</v>
      </c>
      <c r="G20" s="1440">
        <v>3725.7</v>
      </c>
      <c r="H20" s="1441">
        <v>3837.6</v>
      </c>
      <c r="I20" s="1446">
        <v>4062.6</v>
      </c>
      <c r="J20" s="1441">
        <v>4268.5</v>
      </c>
      <c r="K20" s="1446">
        <v>4550.2</v>
      </c>
      <c r="L20" s="1441">
        <v>4782.4252710000001</v>
      </c>
      <c r="M20" s="1446">
        <v>4933.2407849999991</v>
      </c>
      <c r="N20" s="1441">
        <v>5178.7248829999999</v>
      </c>
      <c r="O20" s="1446">
        <v>4972.1539290000001</v>
      </c>
      <c r="P20" s="1442"/>
      <c r="Q20" s="1443">
        <v>-3.9888381535405082E-2</v>
      </c>
      <c r="R20" s="1444">
        <v>4.2790401742794915E-2</v>
      </c>
      <c r="S20" s="1445"/>
      <c r="T20" s="1446">
        <v>5191.264468017288</v>
      </c>
    </row>
    <row r="21" spans="1:25" s="1439" customFormat="1" ht="15.75" customHeight="1" thickBot="1">
      <c r="A21" s="1422" t="s">
        <v>484</v>
      </c>
      <c r="B21" s="1422"/>
      <c r="C21" s="1454">
        <v>1815.57</v>
      </c>
      <c r="D21" s="1455">
        <v>2087.14</v>
      </c>
      <c r="E21" s="1454">
        <v>2263.1999999999998</v>
      </c>
      <c r="F21" s="1455">
        <v>2476.6</v>
      </c>
      <c r="G21" s="1454">
        <v>2532.8000000000002</v>
      </c>
      <c r="H21" s="1455">
        <v>2671.6</v>
      </c>
      <c r="I21" s="1454">
        <v>2848.4</v>
      </c>
      <c r="J21" s="1455">
        <v>2961.1</v>
      </c>
      <c r="K21" s="1454">
        <v>3025.3</v>
      </c>
      <c r="L21" s="1455">
        <v>3119.6250399999999</v>
      </c>
      <c r="M21" s="1454">
        <v>3230.0145429999998</v>
      </c>
      <c r="N21" s="1455">
        <v>3432.1861340000005</v>
      </c>
      <c r="O21" s="1454">
        <v>3398.253929</v>
      </c>
      <c r="P21" s="1456"/>
      <c r="Q21" s="1457">
        <v>-9.8864699276827173E-3</v>
      </c>
      <c r="R21" s="1458">
        <v>4.1485647314643437E-2</v>
      </c>
      <c r="S21" s="1459"/>
      <c r="T21" s="1454">
        <v>3542.4140867700003</v>
      </c>
    </row>
    <row r="22" spans="1:25" s="1439" customFormat="1" ht="15.75" customHeight="1" thickBot="1">
      <c r="A22" s="1422" t="s">
        <v>485</v>
      </c>
      <c r="B22" s="1422"/>
      <c r="C22" s="1454">
        <v>293</v>
      </c>
      <c r="D22" s="1455">
        <v>237.5</v>
      </c>
      <c r="E22" s="1454">
        <v>264.39999999999998</v>
      </c>
      <c r="F22" s="1455">
        <v>277.10000000000002</v>
      </c>
      <c r="G22" s="1454">
        <v>317</v>
      </c>
      <c r="H22" s="1455">
        <v>315</v>
      </c>
      <c r="I22" s="1454">
        <v>343.8</v>
      </c>
      <c r="J22" s="1455">
        <v>375.1</v>
      </c>
      <c r="K22" s="1454">
        <v>421.4</v>
      </c>
      <c r="L22" s="1455">
        <v>447.8</v>
      </c>
      <c r="M22" s="1454">
        <v>476.1</v>
      </c>
      <c r="N22" s="1455">
        <v>496.7</v>
      </c>
      <c r="O22" s="1454">
        <v>306.89999999999998</v>
      </c>
      <c r="P22" s="1456"/>
      <c r="Q22" s="1457">
        <v>-0.38212200523454809</v>
      </c>
      <c r="R22" s="1458">
        <v>1.5017532115545906E-2</v>
      </c>
      <c r="S22" s="1459"/>
      <c r="T22" s="1460">
        <v>311.50888060626102</v>
      </c>
    </row>
    <row r="23" spans="1:25" ht="15.75" customHeight="1" thickBot="1">
      <c r="A23" s="1422" t="s">
        <v>486</v>
      </c>
      <c r="B23" s="1422"/>
      <c r="C23" s="1454">
        <v>203.5</v>
      </c>
      <c r="D23" s="1455">
        <v>228.6</v>
      </c>
      <c r="E23" s="1454">
        <v>266.2</v>
      </c>
      <c r="F23" s="1455">
        <v>375.1</v>
      </c>
      <c r="G23" s="1454">
        <v>378.5</v>
      </c>
      <c r="H23" s="1455">
        <v>314.89999999999998</v>
      </c>
      <c r="I23" s="1454">
        <v>319.7</v>
      </c>
      <c r="J23" s="1455">
        <v>367.7</v>
      </c>
      <c r="K23" s="1454">
        <v>381.7</v>
      </c>
      <c r="L23" s="1455">
        <v>412.4</v>
      </c>
      <c r="M23" s="1454">
        <v>405.9</v>
      </c>
      <c r="N23" s="1455">
        <v>394.24799999999999</v>
      </c>
      <c r="O23" s="1454">
        <v>391</v>
      </c>
      <c r="P23" s="1456"/>
      <c r="Q23" s="1457">
        <v>-8.2384691869077376E-3</v>
      </c>
      <c r="R23" s="1458">
        <v>3.919457438025109E-2</v>
      </c>
      <c r="S23" s="1459"/>
      <c r="T23" s="1460">
        <v>406.3250785826782</v>
      </c>
    </row>
    <row r="24" spans="1:25" ht="17.25" customHeight="1" thickBot="1">
      <c r="A24" s="1422" t="s">
        <v>487</v>
      </c>
      <c r="B24" s="1422"/>
      <c r="C24" s="1454">
        <v>448.2</v>
      </c>
      <c r="D24" s="1455">
        <v>471.7</v>
      </c>
      <c r="E24" s="1454">
        <v>476.4</v>
      </c>
      <c r="F24" s="1455">
        <v>491.7</v>
      </c>
      <c r="G24" s="1454">
        <v>497.4</v>
      </c>
      <c r="H24" s="1455">
        <v>536.1</v>
      </c>
      <c r="I24" s="1454">
        <v>550.70000000000005</v>
      </c>
      <c r="J24" s="1455">
        <v>564.6</v>
      </c>
      <c r="K24" s="1454">
        <v>721.8</v>
      </c>
      <c r="L24" s="1455">
        <v>802.60023099999989</v>
      </c>
      <c r="M24" s="1454">
        <v>821.22624199999996</v>
      </c>
      <c r="N24" s="1455">
        <v>855.59074899999996</v>
      </c>
      <c r="O24" s="1454">
        <v>876</v>
      </c>
      <c r="P24" s="1456"/>
      <c r="Q24" s="1457">
        <v>2.3853987462877591E-2</v>
      </c>
      <c r="R24" s="1458">
        <v>6.2804134769804065E-2</v>
      </c>
      <c r="S24" s="1459"/>
      <c r="T24" s="1460">
        <v>931.01642205834833</v>
      </c>
    </row>
    <row r="25" spans="1:25" s="1439" customFormat="1" ht="14" thickBot="1">
      <c r="A25" s="1461"/>
      <c r="B25" s="1461"/>
      <c r="C25" s="1462"/>
      <c r="D25" s="1463"/>
      <c r="E25" s="1462"/>
      <c r="F25" s="1463"/>
      <c r="G25" s="1462"/>
      <c r="H25" s="1463"/>
      <c r="I25" s="1462"/>
      <c r="J25" s="1463"/>
      <c r="K25" s="1462"/>
      <c r="L25" s="1463"/>
      <c r="M25" s="1462"/>
      <c r="N25" s="1463"/>
      <c r="O25" s="1462"/>
      <c r="P25" s="1464"/>
      <c r="Q25" s="1465"/>
      <c r="R25" s="1466"/>
      <c r="S25" s="1467"/>
      <c r="T25" s="1468"/>
    </row>
    <row r="26" spans="1:25" ht="13.5" customHeight="1" thickBot="1">
      <c r="A26" s="1421" t="s">
        <v>2399</v>
      </c>
      <c r="B26" s="1422"/>
      <c r="C26" s="1440">
        <v>25053.709374727299</v>
      </c>
      <c r="D26" s="1441">
        <v>26294.842583881065</v>
      </c>
      <c r="E26" s="1440">
        <v>27513.684732536305</v>
      </c>
      <c r="F26" s="1441">
        <v>27912.972601594232</v>
      </c>
      <c r="G26" s="1440">
        <v>28908.880472022902</v>
      </c>
      <c r="H26" s="1441">
        <v>29782.027471645619</v>
      </c>
      <c r="I26" s="1440">
        <v>31581.01682533585</v>
      </c>
      <c r="J26" s="1441">
        <v>33359.723610615663</v>
      </c>
      <c r="K26" s="1440">
        <v>35061.912269996828</v>
      </c>
      <c r="L26" s="1441">
        <v>35024.316615014475</v>
      </c>
      <c r="M26" s="1440">
        <v>36135.30860115125</v>
      </c>
      <c r="N26" s="1441">
        <v>37033.850099507705</v>
      </c>
      <c r="O26" s="1440">
        <v>38397.817522794059</v>
      </c>
      <c r="P26" s="1442"/>
      <c r="Q26" s="1443">
        <v>3.6830289576197384E-2</v>
      </c>
      <c r="R26" s="1444">
        <v>3.3893436719657943E-2</v>
      </c>
      <c r="S26" s="1445"/>
      <c r="T26" s="1446">
        <v>40177.845900030778</v>
      </c>
    </row>
    <row r="27" spans="1:25" ht="16.5" customHeight="1" thickBot="1">
      <c r="A27" s="1422" t="s">
        <v>476</v>
      </c>
      <c r="B27" s="1422"/>
      <c r="C27" s="1454">
        <v>14197.53</v>
      </c>
      <c r="D27" s="1455">
        <v>14850.16</v>
      </c>
      <c r="E27" s="1454">
        <v>15432.1</v>
      </c>
      <c r="F27" s="1455">
        <v>15337.8</v>
      </c>
      <c r="G27" s="1454">
        <v>15974.171012999999</v>
      </c>
      <c r="H27" s="1455">
        <v>16460.62</v>
      </c>
      <c r="I27" s="1454">
        <v>17838.560000000001</v>
      </c>
      <c r="J27" s="1455">
        <v>19087.413701000001</v>
      </c>
      <c r="K27" s="1454">
        <v>20335.09678399</v>
      </c>
      <c r="L27" s="1455">
        <v>20746.024557220004</v>
      </c>
      <c r="M27" s="1454">
        <v>21587.969001450001</v>
      </c>
      <c r="N27" s="1455">
        <v>21815.115705669999</v>
      </c>
      <c r="O27" s="1454">
        <v>22145.131914679998</v>
      </c>
      <c r="P27" s="1456"/>
      <c r="Q27" s="1457">
        <v>1.5127868834737601E-2</v>
      </c>
      <c r="R27" s="1458">
        <v>3.6776928598811987E-2</v>
      </c>
      <c r="S27" s="1459"/>
      <c r="T27" s="1454">
        <v>22210.408364849998</v>
      </c>
    </row>
    <row r="28" spans="1:25" ht="15" customHeight="1" thickBot="1">
      <c r="A28" s="1422"/>
      <c r="B28" s="1447" t="s">
        <v>488</v>
      </c>
      <c r="C28" s="1448">
        <v>9219.6299999999992</v>
      </c>
      <c r="D28" s="1449">
        <v>9837.66</v>
      </c>
      <c r="E28" s="1448">
        <v>10341</v>
      </c>
      <c r="F28" s="1449">
        <v>10472.9</v>
      </c>
      <c r="G28" s="1448">
        <v>10813.888999999999</v>
      </c>
      <c r="H28" s="1449">
        <v>11283.12</v>
      </c>
      <c r="I28" s="1448">
        <v>12447.76</v>
      </c>
      <c r="J28" s="1449">
        <v>13798.607467</v>
      </c>
      <c r="K28" s="1448">
        <v>14954.286842000001</v>
      </c>
      <c r="L28" s="1449">
        <v>15323.051681830002</v>
      </c>
      <c r="M28" s="1448">
        <v>16004.843842140001</v>
      </c>
      <c r="N28" s="1449">
        <v>16197.424153169999</v>
      </c>
      <c r="O28" s="1448">
        <v>16223.186031679999</v>
      </c>
      <c r="P28" s="1450"/>
      <c r="Q28" s="1451">
        <v>1.5904923070719779E-3</v>
      </c>
      <c r="R28" s="1452">
        <v>4.6061843742329689E-2</v>
      </c>
      <c r="S28" s="1453"/>
      <c r="T28" s="1448">
        <v>16515.228712849999</v>
      </c>
    </row>
    <row r="29" spans="1:25" ht="15" customHeight="1" thickBot="1">
      <c r="A29" s="1422"/>
      <c r="B29" s="1447" t="s">
        <v>489</v>
      </c>
      <c r="C29" s="1448">
        <v>4337.5</v>
      </c>
      <c r="D29" s="1449">
        <v>4410.6000000000004</v>
      </c>
      <c r="E29" s="1448">
        <v>4453.3</v>
      </c>
      <c r="F29" s="1449">
        <v>3766.7</v>
      </c>
      <c r="G29" s="1448">
        <v>2917.3519609999998</v>
      </c>
      <c r="H29" s="1449">
        <v>1987</v>
      </c>
      <c r="I29" s="1448">
        <v>1958.4</v>
      </c>
      <c r="J29" s="1449">
        <v>1882.6076640000001</v>
      </c>
      <c r="K29" s="1448">
        <v>1358.7895999899999</v>
      </c>
      <c r="L29" s="1449">
        <v>1397.6693543900001</v>
      </c>
      <c r="M29" s="1448">
        <v>1384.0624223099999</v>
      </c>
      <c r="N29" s="1449">
        <v>1410.6232075</v>
      </c>
      <c r="O29" s="1448">
        <v>1412.4505677400002</v>
      </c>
      <c r="P29" s="1450"/>
      <c r="Q29" s="1451">
        <v>1.2954276026968525E-3</v>
      </c>
      <c r="R29" s="1452">
        <v>-0.10848402332610196</v>
      </c>
      <c r="S29" s="1453"/>
      <c r="T29" s="1448">
        <v>1381.60592514</v>
      </c>
    </row>
    <row r="30" spans="1:25" ht="15" customHeight="1" thickBot="1">
      <c r="A30" s="1422"/>
      <c r="B30" s="1447" t="s">
        <v>490</v>
      </c>
      <c r="C30" s="1448">
        <v>640.4</v>
      </c>
      <c r="D30" s="1449">
        <v>601.9</v>
      </c>
      <c r="E30" s="1448">
        <v>637.79999999999995</v>
      </c>
      <c r="F30" s="1449">
        <v>1098.2</v>
      </c>
      <c r="G30" s="1448">
        <v>2242.9300519999997</v>
      </c>
      <c r="H30" s="1449">
        <v>3190.5</v>
      </c>
      <c r="I30" s="1448">
        <v>3432.4</v>
      </c>
      <c r="J30" s="1449">
        <v>3406.1985699999996</v>
      </c>
      <c r="K30" s="1448">
        <v>4022.0203419999989</v>
      </c>
      <c r="L30" s="1449">
        <v>4025.3035210000007</v>
      </c>
      <c r="M30" s="1448">
        <v>4199.0627370000002</v>
      </c>
      <c r="N30" s="1449">
        <v>4207.0683449999997</v>
      </c>
      <c r="O30" s="1448">
        <v>4509.4953152600001</v>
      </c>
      <c r="P30" s="1450"/>
      <c r="Q30" s="1451">
        <v>7.1885442654961329E-2</v>
      </c>
      <c r="R30" s="1452">
        <v>0.21603014899363093</v>
      </c>
      <c r="S30" s="1453"/>
      <c r="T30" s="1448">
        <v>4313.5737268599996</v>
      </c>
    </row>
    <row r="31" spans="1:25" ht="15.75" customHeight="1" thickBot="1">
      <c r="A31" s="1422" t="s">
        <v>491</v>
      </c>
      <c r="B31" s="1422"/>
      <c r="C31" s="1454">
        <v>1770.8</v>
      </c>
      <c r="D31" s="1455">
        <v>1884.4</v>
      </c>
      <c r="E31" s="1454">
        <v>2155</v>
      </c>
      <c r="F31" s="1455">
        <v>2249.6</v>
      </c>
      <c r="G31" s="1454">
        <v>2343.1</v>
      </c>
      <c r="H31" s="1455">
        <v>2428.3000000000002</v>
      </c>
      <c r="I31" s="1454">
        <v>2541</v>
      </c>
      <c r="J31" s="1455">
        <v>2627.5</v>
      </c>
      <c r="K31" s="1454">
        <v>2868.2</v>
      </c>
      <c r="L31" s="1455">
        <v>3031.6779155400004</v>
      </c>
      <c r="M31" s="1454">
        <v>3081.5039062299998</v>
      </c>
      <c r="N31" s="1455">
        <v>3200.9812532199999</v>
      </c>
      <c r="O31" s="1454">
        <v>3337.6332843099999</v>
      </c>
      <c r="P31" s="1456"/>
      <c r="Q31" s="1457">
        <v>4.2690668979250113E-2</v>
      </c>
      <c r="R31" s="1458">
        <v>4.4718136790229623E-2</v>
      </c>
      <c r="S31" s="1459"/>
      <c r="T31" s="1454">
        <v>3425.9949799299998</v>
      </c>
      <c r="V31" s="1393"/>
      <c r="W31" s="1393"/>
      <c r="X31" s="1393"/>
      <c r="Y31" s="1393"/>
    </row>
    <row r="32" spans="1:25" ht="13.5" customHeight="1" thickBot="1">
      <c r="A32" s="1422"/>
      <c r="B32" s="1447" t="s">
        <v>91</v>
      </c>
      <c r="C32" s="1469">
        <v>1678.5</v>
      </c>
      <c r="D32" s="1470">
        <v>1778</v>
      </c>
      <c r="E32" s="1469">
        <v>2097.1999999999998</v>
      </c>
      <c r="F32" s="1470">
        <v>2189.9</v>
      </c>
      <c r="G32" s="1469">
        <v>2288</v>
      </c>
      <c r="H32" s="1470">
        <v>2400.1999999999998</v>
      </c>
      <c r="I32" s="1469">
        <v>2502.83</v>
      </c>
      <c r="J32" s="1470">
        <v>2588.5</v>
      </c>
      <c r="K32" s="1469">
        <v>2832.3</v>
      </c>
      <c r="L32" s="1470">
        <v>2994.9866096700002</v>
      </c>
      <c r="M32" s="1469">
        <v>3038.7113187199998</v>
      </c>
      <c r="N32" s="1470">
        <v>3155.0668707</v>
      </c>
      <c r="O32" s="1469">
        <v>3290.4542289599999</v>
      </c>
      <c r="P32" s="1471"/>
      <c r="Q32" s="1472">
        <v>4.2911089941482627E-2</v>
      </c>
      <c r="R32" s="1473">
        <v>4.6072055210291563E-2</v>
      </c>
      <c r="S32" s="1474"/>
      <c r="T32" s="1469">
        <v>3382.4718481499999</v>
      </c>
    </row>
    <row r="33" spans="1:31" ht="13.5" customHeight="1" thickBot="1">
      <c r="A33" s="1422"/>
      <c r="B33" s="1447" t="s">
        <v>92</v>
      </c>
      <c r="C33" s="1469">
        <v>92.3</v>
      </c>
      <c r="D33" s="1470">
        <v>106.4</v>
      </c>
      <c r="E33" s="1469">
        <v>57.8</v>
      </c>
      <c r="F33" s="1470">
        <v>59.7</v>
      </c>
      <c r="G33" s="1469">
        <v>55.1</v>
      </c>
      <c r="H33" s="1470">
        <v>28.1</v>
      </c>
      <c r="I33" s="1469">
        <v>38.17</v>
      </c>
      <c r="J33" s="1470">
        <v>39</v>
      </c>
      <c r="K33" s="1469">
        <v>35.9</v>
      </c>
      <c r="L33" s="1470">
        <v>36.691305870000001</v>
      </c>
      <c r="M33" s="1469">
        <v>42.792587509999997</v>
      </c>
      <c r="N33" s="1470">
        <v>45.914382520000004</v>
      </c>
      <c r="O33" s="1469">
        <v>47.179055349999999</v>
      </c>
      <c r="P33" s="1471"/>
      <c r="Q33" s="1472">
        <v>2.7544154153638312E-2</v>
      </c>
      <c r="R33" s="1473">
        <v>-2.0099136781290827E-2</v>
      </c>
      <c r="S33" s="1474"/>
      <c r="T33" s="1469">
        <v>43.52313178</v>
      </c>
    </row>
    <row r="34" spans="1:31" ht="16.5" customHeight="1" thickBot="1">
      <c r="A34" s="1422" t="s">
        <v>492</v>
      </c>
      <c r="B34" s="1422"/>
      <c r="C34" s="1454">
        <v>9085.3793747272994</v>
      </c>
      <c r="D34" s="1455">
        <v>9560.2825838810622</v>
      </c>
      <c r="E34" s="1454">
        <v>9926.5847325363065</v>
      </c>
      <c r="F34" s="1455">
        <v>10325.572601594235</v>
      </c>
      <c r="G34" s="1454">
        <v>10591.609459022904</v>
      </c>
      <c r="H34" s="1455">
        <v>10893.107471645619</v>
      </c>
      <c r="I34" s="1454">
        <v>11201.456825335847</v>
      </c>
      <c r="J34" s="1455">
        <v>11644.809909615658</v>
      </c>
      <c r="K34" s="1454">
        <v>11858.615486006827</v>
      </c>
      <c r="L34" s="1455">
        <v>11246.614142254472</v>
      </c>
      <c r="M34" s="1454">
        <v>11465.835693471246</v>
      </c>
      <c r="N34" s="1455">
        <v>12017.753140617704</v>
      </c>
      <c r="O34" s="1454">
        <v>12915.052323804064</v>
      </c>
      <c r="P34" s="1456"/>
      <c r="Q34" s="1457">
        <v>7.4664471194175297E-2</v>
      </c>
      <c r="R34" s="1458">
        <v>2.666706810902042E-2</v>
      </c>
      <c r="S34" s="1459"/>
      <c r="T34" s="1460">
        <v>14541.442555250782</v>
      </c>
      <c r="U34" s="1475"/>
    </row>
    <row r="35" spans="1:31" ht="12.75" customHeight="1" thickBot="1">
      <c r="A35" s="1422"/>
      <c r="B35" s="1422"/>
      <c r="C35" s="1431"/>
      <c r="D35" s="1432"/>
      <c r="E35" s="1431"/>
      <c r="F35" s="1432"/>
      <c r="G35" s="1431"/>
      <c r="H35" s="1432"/>
      <c r="I35" s="1431"/>
      <c r="J35" s="1432"/>
      <c r="K35" s="1431"/>
      <c r="L35" s="1432"/>
      <c r="M35" s="1431"/>
      <c r="N35" s="1432"/>
      <c r="O35" s="1431"/>
      <c r="P35" s="1433"/>
      <c r="Q35" s="1434"/>
      <c r="R35" s="1435"/>
      <c r="S35" s="1436"/>
      <c r="T35" s="1437"/>
    </row>
    <row r="36" spans="1:31" ht="16.5" customHeight="1" thickBot="1">
      <c r="A36" s="1421" t="s">
        <v>493</v>
      </c>
      <c r="B36" s="1422"/>
      <c r="C36" s="1440">
        <v>360.34572496402706</v>
      </c>
      <c r="D36" s="1441">
        <v>367.4485025408178</v>
      </c>
      <c r="E36" s="1440">
        <v>375.28251008174271</v>
      </c>
      <c r="F36" s="1441">
        <v>388.70889016736163</v>
      </c>
      <c r="G36" s="1440">
        <v>420.16510495683008</v>
      </c>
      <c r="H36" s="1441">
        <v>442.73533222173643</v>
      </c>
      <c r="I36" s="1440">
        <v>456.31192849787288</v>
      </c>
      <c r="J36" s="1441">
        <v>462.16066224325613</v>
      </c>
      <c r="K36" s="1440">
        <v>460.54510480676197</v>
      </c>
      <c r="L36" s="1441">
        <v>480.96670935903251</v>
      </c>
      <c r="M36" s="1440">
        <v>500.28122327763629</v>
      </c>
      <c r="N36" s="1441">
        <v>535.48298288401816</v>
      </c>
      <c r="O36" s="1440">
        <v>600.9</v>
      </c>
      <c r="P36" s="1442"/>
      <c r="Q36" s="1443">
        <v>0.12216451167814357</v>
      </c>
      <c r="R36" s="1444">
        <v>4.8200561303448408E-2</v>
      </c>
      <c r="S36" s="1445"/>
      <c r="T36" s="1446">
        <v>637.4</v>
      </c>
    </row>
    <row r="37" spans="1:31" ht="12.75" customHeight="1" thickBot="1">
      <c r="A37" s="1421"/>
      <c r="B37" s="1447"/>
      <c r="C37" s="1476"/>
      <c r="D37" s="1477"/>
      <c r="E37" s="1431"/>
      <c r="F37" s="1432"/>
      <c r="G37" s="1431"/>
      <c r="H37" s="1432"/>
      <c r="I37" s="1437"/>
      <c r="J37" s="1432"/>
      <c r="K37" s="1437"/>
      <c r="L37" s="1432"/>
      <c r="M37" s="1437"/>
      <c r="N37" s="1432"/>
      <c r="O37" s="1437"/>
      <c r="P37" s="1433"/>
      <c r="Q37" s="1434"/>
      <c r="R37" s="1435"/>
      <c r="S37" s="1436"/>
      <c r="T37" s="1478"/>
    </row>
    <row r="38" spans="1:31" ht="17.25" customHeight="1" thickBot="1">
      <c r="A38" s="1479" t="s">
        <v>494</v>
      </c>
      <c r="B38" s="1480"/>
      <c r="C38" s="1481">
        <v>37468.621584899993</v>
      </c>
      <c r="D38" s="1482">
        <v>38209.908416353559</v>
      </c>
      <c r="E38" s="1481">
        <v>39815.013078757198</v>
      </c>
      <c r="F38" s="1482">
        <v>41104.451764019817</v>
      </c>
      <c r="G38" s="1481">
        <v>42842.933951834144</v>
      </c>
      <c r="H38" s="1482">
        <v>45572.841048926202</v>
      </c>
      <c r="I38" s="1481">
        <v>47388.633486638137</v>
      </c>
      <c r="J38" s="1482">
        <v>49265.161352870738</v>
      </c>
      <c r="K38" s="1481">
        <v>51007.71667083916</v>
      </c>
      <c r="L38" s="1482">
        <v>52043.04088068397</v>
      </c>
      <c r="M38" s="1481">
        <v>52773.346851683025</v>
      </c>
      <c r="N38" s="1482">
        <v>55214.945110235072</v>
      </c>
      <c r="O38" s="1481">
        <v>58453.352863864064</v>
      </c>
      <c r="P38" s="1483"/>
      <c r="Q38" s="1484">
        <v>5.8650927700165223E-2</v>
      </c>
      <c r="R38" s="1485">
        <v>3.914524924424434E-2</v>
      </c>
      <c r="S38" s="1486"/>
      <c r="T38" s="1487">
        <v>61378.1</v>
      </c>
    </row>
    <row r="39" spans="1:31" ht="14.25" customHeight="1">
      <c r="A39" s="1488" t="s">
        <v>323</v>
      </c>
      <c r="B39" s="1488"/>
      <c r="C39" s="1489"/>
      <c r="D39" s="1489"/>
      <c r="E39" s="1489"/>
      <c r="F39" s="1489"/>
      <c r="G39" s="1489"/>
      <c r="H39" s="1489"/>
      <c r="I39" s="1489"/>
      <c r="J39" s="1489"/>
      <c r="K39" s="1372"/>
      <c r="L39" s="1372"/>
      <c r="M39" s="1372"/>
      <c r="N39" s="1372"/>
      <c r="O39" s="1372"/>
      <c r="P39" s="1372"/>
      <c r="Q39" s="1489"/>
      <c r="R39" s="1489"/>
      <c r="S39" s="1489"/>
    </row>
    <row r="40" spans="1:31">
      <c r="A40" s="1372"/>
      <c r="B40" s="1489"/>
      <c r="C40" s="1372"/>
      <c r="D40" s="1489"/>
      <c r="E40" s="1372"/>
      <c r="F40" s="1372"/>
      <c r="G40" s="1372"/>
      <c r="H40" s="1372"/>
      <c r="I40" s="1372"/>
      <c r="J40" s="1372"/>
      <c r="K40" s="1372"/>
      <c r="L40" s="1372"/>
      <c r="M40" s="1372"/>
      <c r="N40" s="1372"/>
      <c r="O40" s="1372"/>
      <c r="P40" s="1372"/>
      <c r="Q40" s="1489"/>
      <c r="R40" s="1372"/>
      <c r="S40" s="1372"/>
      <c r="T40" s="1393"/>
      <c r="U40" s="1393"/>
      <c r="V40" s="1393"/>
      <c r="W40" s="1393"/>
      <c r="Z40" s="1393"/>
      <c r="AA40" s="1393"/>
      <c r="AB40" s="1393"/>
      <c r="AC40" s="1393"/>
      <c r="AD40" s="1384"/>
      <c r="AE40" s="1490"/>
    </row>
    <row r="41" spans="1:31">
      <c r="A41" s="1372" t="s">
        <v>477</v>
      </c>
      <c r="B41" s="1489"/>
      <c r="C41" s="1372"/>
      <c r="D41" s="1489"/>
      <c r="E41" s="1372"/>
      <c r="F41" s="1372"/>
      <c r="G41" s="1372"/>
      <c r="H41" s="1372"/>
      <c r="I41" s="1372"/>
      <c r="J41" s="1372"/>
      <c r="K41" s="1372"/>
      <c r="L41" s="1372"/>
      <c r="M41" s="1372"/>
      <c r="N41" s="1372"/>
      <c r="O41" s="1372"/>
      <c r="P41" s="1372"/>
      <c r="Q41" s="1489"/>
      <c r="R41" s="1372"/>
      <c r="S41" s="1372"/>
      <c r="T41" s="1393"/>
      <c r="U41" s="1393"/>
      <c r="V41" s="1393"/>
      <c r="W41" s="1393"/>
      <c r="Z41" s="1393"/>
      <c r="AA41" s="1393"/>
      <c r="AB41" s="1393"/>
      <c r="AC41" s="1393"/>
      <c r="AD41" s="1384"/>
      <c r="AE41" s="1490"/>
    </row>
    <row r="42" spans="1:31">
      <c r="A42" s="1372"/>
      <c r="B42" s="1489"/>
      <c r="C42" s="1372"/>
      <c r="D42" s="1372"/>
      <c r="E42" s="1372"/>
      <c r="F42" s="1372"/>
      <c r="G42" s="1372"/>
      <c r="H42" s="1372"/>
      <c r="I42" s="1372"/>
      <c r="J42" s="1372"/>
      <c r="K42" s="1372"/>
      <c r="L42" s="1372"/>
      <c r="M42" s="1372"/>
      <c r="N42" s="1372"/>
      <c r="O42" s="1372"/>
      <c r="P42" s="1372"/>
      <c r="Q42" s="1372"/>
      <c r="R42" s="1372"/>
      <c r="S42" s="1372"/>
    </row>
    <row r="43" spans="1:31">
      <c r="A43" s="1489"/>
      <c r="B43" s="1489"/>
      <c r="C43" s="1372"/>
      <c r="D43" s="1372"/>
      <c r="E43" s="1491"/>
      <c r="F43" s="1372"/>
      <c r="G43" s="1372"/>
      <c r="H43" s="1372"/>
      <c r="I43" s="1372"/>
      <c r="J43" s="1372"/>
      <c r="K43" s="1372"/>
      <c r="L43" s="1372"/>
      <c r="M43" s="1372"/>
      <c r="N43" s="1372"/>
      <c r="O43" s="1372"/>
      <c r="P43" s="1372"/>
      <c r="Q43" s="1372"/>
      <c r="R43" s="1491"/>
      <c r="S43" s="1372"/>
    </row>
    <row r="44" spans="1:31">
      <c r="A44" s="1489" t="s">
        <v>710</v>
      </c>
      <c r="B44" s="1489"/>
      <c r="C44" s="1372"/>
      <c r="D44" s="1372"/>
      <c r="E44" s="1372"/>
      <c r="F44" s="1372"/>
      <c r="G44" s="1372"/>
      <c r="H44" s="1372"/>
      <c r="I44" s="1372"/>
      <c r="J44" s="1372"/>
      <c r="K44" s="1372"/>
      <c r="L44" s="1372"/>
      <c r="M44" s="1372"/>
      <c r="N44" s="1372"/>
      <c r="O44" s="1372"/>
      <c r="P44" s="1372"/>
      <c r="Q44" s="1372"/>
      <c r="R44" s="1372"/>
      <c r="S44" s="1372"/>
    </row>
    <row r="45" spans="1:31">
      <c r="A45" s="1489"/>
      <c r="B45" s="1489"/>
      <c r="C45" s="1372"/>
      <c r="D45" s="1372"/>
      <c r="E45" s="1372"/>
      <c r="F45" s="1372"/>
      <c r="G45" s="1372"/>
      <c r="H45" s="1372"/>
      <c r="I45" s="1372"/>
      <c r="J45" s="1372"/>
      <c r="K45" s="1372"/>
      <c r="L45" s="1372"/>
      <c r="M45" s="1372"/>
      <c r="N45" s="1372"/>
      <c r="O45" s="1372"/>
      <c r="P45" s="1372"/>
      <c r="Q45" s="1372"/>
      <c r="R45" s="1372"/>
      <c r="S45" s="1372"/>
    </row>
    <row r="46" spans="1:31">
      <c r="A46" s="1489"/>
      <c r="B46" s="1489"/>
      <c r="C46" s="1372"/>
      <c r="D46" s="1372"/>
      <c r="E46" s="1372"/>
      <c r="F46" s="1372"/>
      <c r="G46" s="1372"/>
      <c r="H46" s="1372"/>
      <c r="I46" s="1372"/>
      <c r="J46" s="1372"/>
      <c r="K46" s="1372"/>
      <c r="L46" s="1372"/>
      <c r="M46" s="1372"/>
      <c r="N46" s="1372"/>
      <c r="O46" s="1372"/>
      <c r="P46" s="1372"/>
      <c r="Q46" s="1372"/>
      <c r="R46" s="1372"/>
      <c r="S46" s="1372"/>
    </row>
    <row r="47" spans="1:31">
      <c r="A47" s="1489"/>
      <c r="B47" s="1489"/>
      <c r="C47" s="1372"/>
      <c r="D47" s="1372"/>
      <c r="E47" s="1372"/>
      <c r="F47" s="1372"/>
      <c r="G47" s="1372"/>
      <c r="H47" s="1372"/>
      <c r="I47" s="1372"/>
      <c r="J47" s="1372"/>
      <c r="K47" s="1372"/>
      <c r="L47" s="1372"/>
      <c r="M47" s="1372"/>
      <c r="N47" s="1372"/>
      <c r="O47" s="1372"/>
      <c r="P47" s="1372"/>
      <c r="Q47" s="1372"/>
      <c r="R47" s="1372"/>
      <c r="S47" s="1372"/>
    </row>
    <row r="48" spans="1:31">
      <c r="A48" s="1489"/>
      <c r="B48" s="1489"/>
      <c r="C48" s="1372"/>
      <c r="D48" s="1372"/>
      <c r="E48" s="1372"/>
      <c r="F48" s="1372"/>
      <c r="G48" s="1372"/>
      <c r="H48" s="1372"/>
      <c r="I48" s="1372"/>
      <c r="J48" s="1372"/>
      <c r="K48" s="1372"/>
      <c r="L48" s="1372"/>
      <c r="M48" s="1372"/>
      <c r="N48" s="1372"/>
      <c r="O48" s="1372"/>
      <c r="P48" s="1372"/>
      <c r="Q48" s="1372"/>
      <c r="R48" s="1372"/>
      <c r="S48" s="1372"/>
    </row>
    <row r="49" spans="1:19">
      <c r="A49" s="1489"/>
      <c r="B49" s="1372"/>
      <c r="C49" s="1372"/>
      <c r="D49" s="1372"/>
      <c r="E49" s="1372"/>
      <c r="F49" s="1372"/>
      <c r="G49" s="1372"/>
      <c r="H49" s="1372"/>
      <c r="I49" s="1372"/>
      <c r="J49" s="1372"/>
      <c r="K49" s="1372"/>
      <c r="L49" s="1372"/>
      <c r="M49" s="1372"/>
      <c r="N49" s="1372"/>
      <c r="O49" s="1372"/>
      <c r="P49" s="1372"/>
      <c r="Q49" s="1372"/>
      <c r="R49" s="1372"/>
      <c r="S49" s="1372"/>
    </row>
    <row r="50" spans="1:19">
      <c r="A50" s="1489"/>
      <c r="B50" s="1372"/>
      <c r="C50" s="1372"/>
      <c r="D50" s="1372"/>
      <c r="E50" s="1372"/>
      <c r="F50" s="1372"/>
      <c r="G50" s="1372"/>
      <c r="H50" s="1372"/>
      <c r="I50" s="1372"/>
      <c r="J50" s="1372"/>
      <c r="K50" s="1372"/>
      <c r="L50" s="1372"/>
      <c r="M50" s="1372"/>
      <c r="N50" s="1372"/>
      <c r="O50" s="1372"/>
      <c r="P50" s="1372"/>
      <c r="Q50" s="1372"/>
      <c r="R50" s="1372"/>
      <c r="S50" s="1372"/>
    </row>
    <row r="51" spans="1:19">
      <c r="A51" s="1372"/>
      <c r="B51" s="1372"/>
      <c r="C51" s="1372"/>
      <c r="D51" s="1372"/>
      <c r="E51" s="1372"/>
      <c r="F51" s="1372"/>
      <c r="G51" s="1372"/>
      <c r="H51" s="1372"/>
      <c r="I51" s="1372"/>
      <c r="J51" s="1372"/>
      <c r="K51" s="1372"/>
      <c r="L51" s="1372"/>
      <c r="M51" s="1372"/>
      <c r="N51" s="1372"/>
      <c r="O51" s="1372"/>
      <c r="P51" s="1372"/>
      <c r="Q51" s="1372"/>
      <c r="R51" s="1372"/>
      <c r="S51" s="1372"/>
    </row>
    <row r="52" spans="1:19">
      <c r="A52" s="1372"/>
      <c r="B52" s="1372"/>
      <c r="C52" s="1372"/>
      <c r="D52" s="1372"/>
      <c r="E52" s="1372"/>
      <c r="F52" s="1372"/>
      <c r="G52" s="1372"/>
      <c r="H52" s="1372"/>
      <c r="I52" s="1372"/>
      <c r="J52" s="1372"/>
      <c r="K52" s="1372"/>
      <c r="L52" s="1372"/>
      <c r="M52" s="1372"/>
      <c r="N52" s="1372"/>
      <c r="O52" s="1372"/>
      <c r="P52" s="1372"/>
      <c r="Q52" s="1372"/>
      <c r="R52" s="1372"/>
      <c r="S52" s="1372"/>
    </row>
    <row r="53" spans="1:19">
      <c r="A53" s="1372"/>
      <c r="B53" s="1489"/>
      <c r="C53" s="1372"/>
      <c r="D53" s="1372"/>
      <c r="E53" s="1372"/>
      <c r="F53" s="1372"/>
      <c r="G53" s="1372"/>
      <c r="H53" s="1372"/>
      <c r="I53" s="1372"/>
      <c r="J53" s="1372"/>
      <c r="K53" s="1372"/>
      <c r="L53" s="1372"/>
      <c r="M53" s="1372"/>
      <c r="N53" s="1372"/>
      <c r="O53" s="1372"/>
      <c r="P53" s="1372"/>
      <c r="Q53" s="1372"/>
      <c r="R53" s="1372"/>
      <c r="S53" s="1372"/>
    </row>
    <row r="54" spans="1:19">
      <c r="A54" s="1372"/>
      <c r="B54" s="1489"/>
      <c r="C54" s="1372"/>
      <c r="D54" s="1372"/>
      <c r="E54" s="1372"/>
      <c r="F54" s="1372"/>
      <c r="G54" s="1372"/>
      <c r="H54" s="1372"/>
      <c r="I54" s="1372"/>
      <c r="J54" s="1372"/>
      <c r="K54" s="1372"/>
      <c r="L54" s="1372"/>
      <c r="M54" s="1372"/>
      <c r="N54" s="1372"/>
      <c r="O54" s="1372"/>
      <c r="P54" s="1372"/>
      <c r="Q54" s="1372"/>
      <c r="R54" s="1372"/>
      <c r="S54" s="1372"/>
    </row>
    <row r="55" spans="1:19" ht="16">
      <c r="A55" s="1371"/>
      <c r="B55" s="1489"/>
      <c r="C55" s="1372"/>
      <c r="D55" s="1372"/>
      <c r="E55" s="1372"/>
      <c r="F55" s="1372"/>
      <c r="G55" s="1372"/>
      <c r="H55" s="1372"/>
      <c r="I55" s="1372"/>
      <c r="J55" s="1372"/>
      <c r="K55" s="1372"/>
      <c r="L55" s="1372"/>
      <c r="M55" s="1372"/>
      <c r="N55" s="1372"/>
      <c r="O55" s="1372"/>
      <c r="P55" s="1372"/>
      <c r="Q55" s="1372"/>
      <c r="R55" s="1372"/>
      <c r="S55" s="1372"/>
    </row>
    <row r="56" spans="1:19">
      <c r="A56" s="1489"/>
      <c r="B56" s="1489"/>
      <c r="C56" s="1372"/>
      <c r="D56" s="1372"/>
      <c r="E56" s="1372"/>
      <c r="F56" s="1372"/>
      <c r="G56" s="1372"/>
      <c r="H56" s="1372"/>
      <c r="I56" s="1372"/>
      <c r="J56" s="1372"/>
      <c r="K56" s="1372"/>
      <c r="L56" s="1372"/>
      <c r="M56" s="1372"/>
      <c r="N56" s="1372"/>
      <c r="O56" s="1372"/>
      <c r="P56" s="1372"/>
      <c r="Q56" s="1372"/>
      <c r="R56" s="1372"/>
      <c r="S56" s="1372"/>
    </row>
    <row r="57" spans="1:19">
      <c r="A57" s="1489"/>
      <c r="B57" s="1489"/>
      <c r="C57" s="1372"/>
      <c r="D57" s="1372"/>
      <c r="E57" s="1372"/>
      <c r="F57" s="1372"/>
      <c r="G57" s="1372"/>
      <c r="H57" s="1372"/>
      <c r="I57" s="1372"/>
      <c r="J57" s="1372"/>
      <c r="K57" s="1372"/>
      <c r="L57" s="1372"/>
      <c r="M57" s="1372"/>
      <c r="N57" s="1372"/>
      <c r="O57" s="1372"/>
      <c r="P57" s="1372"/>
      <c r="Q57" s="1372"/>
      <c r="R57" s="1372"/>
      <c r="S57" s="1372"/>
    </row>
    <row r="58" spans="1:19">
      <c r="A58" s="1489"/>
      <c r="B58" s="1489"/>
      <c r="C58" s="1372"/>
      <c r="D58" s="1372"/>
      <c r="E58" s="1372"/>
      <c r="F58" s="1372"/>
      <c r="G58" s="1372"/>
      <c r="H58" s="1372"/>
      <c r="I58" s="1372"/>
      <c r="J58" s="1372"/>
      <c r="K58" s="1372"/>
      <c r="L58" s="1372"/>
      <c r="M58" s="1372"/>
      <c r="N58" s="1372"/>
      <c r="O58" s="1372"/>
      <c r="P58" s="1372"/>
      <c r="Q58" s="1372"/>
      <c r="R58" s="1372"/>
      <c r="S58" s="1372"/>
    </row>
    <row r="59" spans="1:19">
      <c r="A59" s="1489"/>
      <c r="B59" s="1489"/>
      <c r="C59" s="1372"/>
      <c r="D59" s="1372"/>
      <c r="E59" s="1372"/>
      <c r="F59" s="1372"/>
      <c r="G59" s="1372"/>
      <c r="H59" s="1372"/>
      <c r="I59" s="1372"/>
      <c r="J59" s="1372"/>
      <c r="K59" s="1372"/>
      <c r="L59" s="1372"/>
      <c r="M59" s="1372"/>
      <c r="N59" s="1372"/>
      <c r="O59" s="1372"/>
      <c r="P59" s="1372"/>
      <c r="Q59" s="1372"/>
      <c r="R59" s="1372"/>
      <c r="S59" s="1372"/>
    </row>
    <row r="60" spans="1:19">
      <c r="A60" s="1489"/>
      <c r="B60" s="1489"/>
      <c r="C60" s="1372"/>
      <c r="D60" s="1372"/>
      <c r="E60" s="1372"/>
      <c r="F60" s="1372"/>
      <c r="G60" s="1372"/>
      <c r="H60" s="1372"/>
      <c r="I60" s="1372"/>
      <c r="J60" s="1372"/>
      <c r="K60" s="1372"/>
      <c r="L60" s="1372"/>
      <c r="M60" s="1372"/>
      <c r="N60" s="1372"/>
      <c r="O60" s="1372"/>
      <c r="P60" s="1372"/>
      <c r="Q60" s="1372"/>
      <c r="R60" s="1372"/>
      <c r="S60" s="1372"/>
    </row>
    <row r="61" spans="1:19">
      <c r="A61" s="1489"/>
      <c r="B61" s="1489"/>
      <c r="C61" s="1372"/>
      <c r="D61" s="1372"/>
      <c r="E61" s="1372"/>
      <c r="F61" s="1372"/>
      <c r="G61" s="1372"/>
      <c r="H61" s="1372"/>
      <c r="I61" s="1372"/>
      <c r="J61" s="1372"/>
      <c r="K61" s="1372"/>
      <c r="L61" s="1372"/>
      <c r="M61" s="1372"/>
      <c r="N61" s="1372"/>
      <c r="O61" s="1372"/>
      <c r="P61" s="1372"/>
      <c r="Q61" s="1372"/>
      <c r="R61" s="1372"/>
      <c r="S61" s="1372"/>
    </row>
    <row r="62" spans="1:19">
      <c r="A62" s="1489"/>
      <c r="B62" s="1489"/>
      <c r="C62" s="1372"/>
      <c r="D62" s="1372"/>
      <c r="E62" s="1372"/>
      <c r="F62" s="1372"/>
      <c r="G62" s="1372"/>
      <c r="H62" s="1372"/>
      <c r="I62" s="1372"/>
      <c r="J62" s="1372"/>
      <c r="K62" s="1372"/>
      <c r="L62" s="1372"/>
      <c r="M62" s="1372"/>
      <c r="N62" s="1372"/>
      <c r="O62" s="1372"/>
      <c r="P62" s="1372"/>
      <c r="Q62" s="1372"/>
      <c r="R62" s="1372"/>
      <c r="S62" s="1372"/>
    </row>
    <row r="63" spans="1:19">
      <c r="A63" s="1489"/>
      <c r="B63" s="1489"/>
      <c r="C63" s="1372"/>
      <c r="D63" s="1372"/>
      <c r="E63" s="1372"/>
      <c r="F63" s="1372"/>
      <c r="G63" s="1372"/>
      <c r="H63" s="1372"/>
      <c r="I63" s="1372"/>
      <c r="J63" s="1372"/>
      <c r="K63" s="1372"/>
      <c r="L63" s="1372"/>
      <c r="M63" s="1372"/>
      <c r="N63" s="1372"/>
      <c r="O63" s="1372"/>
      <c r="P63" s="1372"/>
      <c r="Q63" s="1372"/>
      <c r="R63" s="1372"/>
      <c r="S63" s="1372"/>
    </row>
    <row r="64" spans="1:19">
      <c r="A64" s="1489"/>
      <c r="B64" s="1489"/>
      <c r="C64" s="1372"/>
      <c r="D64" s="1372"/>
      <c r="E64" s="1372"/>
      <c r="F64" s="1372"/>
      <c r="G64" s="1372"/>
      <c r="H64" s="1372"/>
      <c r="I64" s="1372"/>
      <c r="J64" s="1372"/>
      <c r="K64" s="1372"/>
      <c r="L64" s="1372"/>
      <c r="M64" s="1372"/>
      <c r="N64" s="1372"/>
      <c r="O64" s="1372"/>
      <c r="P64" s="1372"/>
      <c r="Q64" s="1372"/>
      <c r="R64" s="1372"/>
      <c r="S64" s="1372"/>
    </row>
    <row r="65" spans="1:19">
      <c r="A65" s="1372"/>
      <c r="B65" s="1489"/>
      <c r="C65" s="1372"/>
      <c r="D65" s="1372"/>
      <c r="E65" s="1372"/>
      <c r="F65" s="1372"/>
      <c r="G65" s="1372"/>
      <c r="H65" s="1372"/>
      <c r="I65" s="1372"/>
      <c r="J65" s="1372"/>
      <c r="K65" s="1372"/>
      <c r="L65" s="1372"/>
      <c r="M65" s="1372"/>
      <c r="N65" s="1372"/>
      <c r="O65" s="1372"/>
      <c r="P65" s="1372"/>
      <c r="Q65" s="1372"/>
      <c r="R65" s="1372"/>
      <c r="S65" s="1372"/>
    </row>
    <row r="66" spans="1:19">
      <c r="A66" s="1489"/>
      <c r="B66" s="1489"/>
      <c r="C66" s="1372"/>
      <c r="D66" s="1372"/>
      <c r="E66" s="1372"/>
      <c r="F66" s="1372"/>
      <c r="G66" s="1372"/>
      <c r="H66" s="1372"/>
      <c r="I66" s="1372"/>
      <c r="J66" s="1372"/>
      <c r="K66" s="1372"/>
      <c r="L66" s="1372"/>
      <c r="M66" s="1372"/>
      <c r="N66" s="1372"/>
      <c r="O66" s="1372"/>
      <c r="P66" s="1372"/>
      <c r="Q66" s="1372"/>
      <c r="R66" s="1372"/>
      <c r="S66" s="1372"/>
    </row>
    <row r="67" spans="1:19">
      <c r="A67" s="1489"/>
      <c r="B67" s="1489"/>
      <c r="C67" s="1372"/>
      <c r="D67" s="1372"/>
      <c r="E67" s="1372"/>
      <c r="F67" s="1372"/>
      <c r="G67" s="1372"/>
      <c r="H67" s="1372"/>
      <c r="I67" s="1372"/>
      <c r="J67" s="1372"/>
      <c r="K67" s="1372"/>
      <c r="L67" s="1372"/>
      <c r="M67" s="1372"/>
      <c r="N67" s="1372"/>
      <c r="O67" s="1372"/>
      <c r="P67" s="1372"/>
      <c r="Q67" s="1372"/>
      <c r="R67" s="1372"/>
      <c r="S67" s="1372"/>
    </row>
    <row r="68" spans="1:19">
      <c r="A68" s="1489"/>
      <c r="B68" s="1489"/>
      <c r="C68" s="1372"/>
      <c r="D68" s="1372"/>
      <c r="E68" s="1372"/>
      <c r="F68" s="1372"/>
      <c r="G68" s="1372"/>
      <c r="H68" s="1372"/>
      <c r="I68" s="1372"/>
      <c r="J68" s="1372"/>
      <c r="K68" s="1372"/>
      <c r="L68" s="1372"/>
      <c r="M68" s="1372"/>
      <c r="N68" s="1372"/>
      <c r="O68" s="1372"/>
      <c r="P68" s="1372"/>
      <c r="Q68" s="1372"/>
      <c r="R68" s="1372"/>
      <c r="S68" s="1372"/>
    </row>
    <row r="69" spans="1:19">
      <c r="A69" s="1489"/>
      <c r="B69" s="1489"/>
      <c r="C69" s="1372"/>
      <c r="D69" s="1372"/>
      <c r="E69" s="1372"/>
      <c r="F69" s="1372"/>
      <c r="G69" s="1372"/>
      <c r="H69" s="1372"/>
      <c r="I69" s="1372"/>
      <c r="J69" s="1372"/>
      <c r="K69" s="1372"/>
      <c r="L69" s="1372"/>
      <c r="M69" s="1372"/>
      <c r="N69" s="1372"/>
      <c r="O69" s="1372"/>
      <c r="P69" s="1372"/>
      <c r="Q69" s="1372"/>
      <c r="R69" s="1372"/>
      <c r="S69" s="1372"/>
    </row>
    <row r="70" spans="1:19">
      <c r="A70" s="1489"/>
      <c r="B70" s="1489"/>
      <c r="C70" s="1372"/>
      <c r="D70" s="1372"/>
      <c r="E70" s="1372"/>
      <c r="F70" s="1372"/>
      <c r="G70" s="1372"/>
      <c r="H70" s="1372"/>
      <c r="I70" s="1372"/>
      <c r="J70" s="1372"/>
      <c r="K70" s="1372"/>
      <c r="L70" s="1372"/>
      <c r="M70" s="1372"/>
      <c r="N70" s="1372"/>
      <c r="O70" s="1372"/>
      <c r="P70" s="1372"/>
      <c r="Q70" s="1372"/>
      <c r="R70" s="1372"/>
      <c r="S70" s="1372"/>
    </row>
    <row r="71" spans="1:19">
      <c r="A71" s="1489"/>
      <c r="B71" s="1489"/>
      <c r="C71" s="1372"/>
      <c r="D71" s="1372"/>
      <c r="E71" s="1372"/>
      <c r="F71" s="1372"/>
      <c r="G71" s="1372"/>
      <c r="H71" s="1372"/>
      <c r="I71" s="1372"/>
      <c r="J71" s="1372"/>
      <c r="K71" s="1372"/>
      <c r="L71" s="1372"/>
      <c r="M71" s="1372"/>
      <c r="N71" s="1372"/>
      <c r="O71" s="1372"/>
      <c r="P71" s="1372"/>
      <c r="Q71" s="1372"/>
      <c r="R71" s="1372"/>
      <c r="S71" s="1372"/>
    </row>
    <row r="72" spans="1:19">
      <c r="A72" s="1489"/>
      <c r="B72" s="1372"/>
      <c r="C72" s="1372"/>
      <c r="D72" s="1372"/>
      <c r="E72" s="1372"/>
      <c r="F72" s="1372"/>
      <c r="G72" s="1372"/>
      <c r="H72" s="1372"/>
      <c r="I72" s="1372"/>
      <c r="J72" s="1372"/>
      <c r="K72" s="1372"/>
      <c r="L72" s="1372"/>
      <c r="M72" s="1372"/>
      <c r="N72" s="1372"/>
      <c r="O72" s="1372"/>
      <c r="P72" s="1372"/>
      <c r="Q72" s="1372"/>
      <c r="R72" s="1372"/>
      <c r="S72" s="1372"/>
    </row>
    <row r="73" spans="1:19">
      <c r="A73" s="1372"/>
      <c r="B73" s="1372"/>
      <c r="C73" s="1372"/>
      <c r="D73" s="1372"/>
      <c r="E73" s="1372"/>
      <c r="F73" s="1372"/>
      <c r="G73" s="1372"/>
      <c r="H73" s="1372"/>
      <c r="I73" s="1372"/>
      <c r="J73" s="1372"/>
      <c r="K73" s="1372"/>
      <c r="L73" s="1372"/>
      <c r="M73" s="1372"/>
      <c r="N73" s="1372"/>
      <c r="O73" s="1372"/>
      <c r="P73" s="1372"/>
      <c r="Q73" s="1372"/>
      <c r="R73" s="1372"/>
      <c r="S73" s="1372"/>
    </row>
    <row r="74" spans="1:19">
      <c r="A74" s="1372"/>
      <c r="B74" s="1372"/>
      <c r="C74" s="1372"/>
      <c r="D74" s="1372"/>
      <c r="E74" s="1372"/>
      <c r="F74" s="1372"/>
      <c r="G74" s="1372"/>
      <c r="H74" s="1372"/>
      <c r="I74" s="1372"/>
      <c r="J74" s="1372"/>
      <c r="K74" s="1372"/>
      <c r="L74" s="1372"/>
      <c r="M74" s="1372"/>
      <c r="N74" s="1372"/>
      <c r="O74" s="1372"/>
      <c r="P74" s="1372"/>
      <c r="Q74" s="1372"/>
      <c r="R74" s="1372"/>
      <c r="S74" s="1372"/>
    </row>
    <row r="75" spans="1:19">
      <c r="A75" s="1372"/>
      <c r="B75" s="1372"/>
      <c r="C75" s="1372"/>
      <c r="D75" s="1372"/>
      <c r="E75" s="1372"/>
      <c r="F75" s="1372"/>
      <c r="G75" s="1372"/>
      <c r="H75" s="1372"/>
      <c r="I75" s="1372"/>
      <c r="J75" s="1372"/>
      <c r="K75" s="1372"/>
      <c r="L75" s="1372"/>
      <c r="M75" s="1372"/>
      <c r="N75" s="1372"/>
      <c r="O75" s="1372"/>
      <c r="P75" s="1372"/>
      <c r="Q75" s="1372"/>
      <c r="R75" s="1372"/>
      <c r="S75" s="1372"/>
    </row>
    <row r="76" spans="1:19">
      <c r="A76" s="1372"/>
      <c r="B76" s="1489"/>
      <c r="C76" s="1372"/>
      <c r="D76" s="1372"/>
      <c r="E76" s="1372"/>
      <c r="F76" s="1372"/>
      <c r="G76" s="1372"/>
      <c r="H76" s="1372"/>
      <c r="I76" s="1372"/>
      <c r="J76" s="1372"/>
      <c r="K76" s="1372"/>
      <c r="L76" s="1372"/>
      <c r="M76" s="1372"/>
      <c r="N76" s="1372"/>
      <c r="O76" s="1372"/>
      <c r="P76" s="1372"/>
      <c r="Q76" s="1372"/>
      <c r="R76" s="1372"/>
      <c r="S76" s="1372"/>
    </row>
    <row r="77" spans="1:19">
      <c r="A77" s="1372"/>
      <c r="B77" s="1489"/>
      <c r="C77" s="1372"/>
      <c r="D77" s="1372"/>
      <c r="E77" s="1372"/>
      <c r="F77" s="1372"/>
      <c r="G77" s="1372"/>
      <c r="H77" s="1372"/>
      <c r="I77" s="1372"/>
      <c r="J77" s="1372"/>
      <c r="K77" s="1372"/>
      <c r="L77" s="1372"/>
      <c r="M77" s="1372"/>
      <c r="N77" s="1372"/>
      <c r="O77" s="1372"/>
      <c r="P77" s="1372"/>
      <c r="Q77" s="1372"/>
      <c r="R77" s="1372"/>
      <c r="S77" s="1372"/>
    </row>
    <row r="78" spans="1:19">
      <c r="A78" s="1372"/>
      <c r="B78" s="1489"/>
      <c r="C78" s="1372"/>
      <c r="D78" s="1372"/>
      <c r="E78" s="1372"/>
      <c r="F78" s="1372"/>
      <c r="G78" s="1372"/>
      <c r="H78" s="1372"/>
      <c r="I78" s="1372"/>
      <c r="J78" s="1372"/>
      <c r="K78" s="1372"/>
      <c r="L78" s="1372"/>
      <c r="M78" s="1372"/>
      <c r="N78" s="1372"/>
      <c r="O78" s="1372"/>
      <c r="P78" s="1372"/>
      <c r="Q78" s="1372"/>
      <c r="R78" s="1372"/>
      <c r="S78" s="1372"/>
    </row>
    <row r="79" spans="1:19">
      <c r="A79" s="1489"/>
      <c r="B79" s="1489"/>
      <c r="C79" s="1372"/>
      <c r="D79" s="1372"/>
      <c r="E79" s="1372"/>
      <c r="F79" s="1372"/>
      <c r="G79" s="1372"/>
      <c r="H79" s="1372"/>
      <c r="I79" s="1372"/>
      <c r="J79" s="1372"/>
      <c r="K79" s="1372"/>
      <c r="L79" s="1372"/>
      <c r="M79" s="1372"/>
      <c r="N79" s="1372"/>
      <c r="O79" s="1372"/>
      <c r="P79" s="1372"/>
      <c r="Q79" s="1372"/>
      <c r="R79" s="1372"/>
      <c r="S79" s="1372"/>
    </row>
    <row r="80" spans="1:19">
      <c r="A80" s="1489"/>
      <c r="B80" s="1489"/>
      <c r="C80" s="1372"/>
      <c r="D80" s="1372"/>
      <c r="E80" s="1372"/>
      <c r="F80" s="1372"/>
      <c r="G80" s="1372"/>
      <c r="H80" s="1372"/>
      <c r="I80" s="1372"/>
      <c r="J80" s="1372"/>
      <c r="K80" s="1372"/>
      <c r="L80" s="1372"/>
      <c r="M80" s="1372"/>
      <c r="N80" s="1372"/>
      <c r="O80" s="1372"/>
      <c r="P80" s="1372"/>
      <c r="Q80" s="1372"/>
      <c r="R80" s="1372"/>
      <c r="S80" s="1372"/>
    </row>
    <row r="81" spans="1:19">
      <c r="A81" s="1489"/>
      <c r="B81" s="1489"/>
      <c r="C81" s="1372"/>
      <c r="D81" s="1372"/>
      <c r="E81" s="1372"/>
      <c r="F81" s="1372"/>
      <c r="G81" s="1372"/>
      <c r="H81" s="1372"/>
      <c r="I81" s="1372"/>
      <c r="J81" s="1372"/>
      <c r="K81" s="1372"/>
      <c r="L81" s="1372"/>
      <c r="M81" s="1372"/>
      <c r="N81" s="1372"/>
      <c r="O81" s="1372"/>
      <c r="P81" s="1372"/>
      <c r="Q81" s="1372"/>
      <c r="R81" s="1372"/>
      <c r="S81" s="1372"/>
    </row>
    <row r="82" spans="1:19">
      <c r="A82" s="1489"/>
      <c r="B82" s="1489"/>
      <c r="C82" s="1372"/>
      <c r="D82" s="1372"/>
      <c r="E82" s="1372"/>
      <c r="F82" s="1372"/>
      <c r="G82" s="1372"/>
      <c r="H82" s="1372"/>
      <c r="I82" s="1372"/>
      <c r="J82" s="1372"/>
      <c r="K82" s="1372"/>
      <c r="L82" s="1372"/>
      <c r="M82" s="1372"/>
      <c r="N82" s="1372"/>
      <c r="O82" s="1372"/>
      <c r="P82" s="1372"/>
      <c r="Q82" s="1372"/>
      <c r="R82" s="1372"/>
      <c r="S82" s="1372"/>
    </row>
    <row r="83" spans="1:19">
      <c r="A83" s="1489"/>
      <c r="B83" s="1489"/>
      <c r="C83" s="1372"/>
      <c r="D83" s="1372"/>
      <c r="E83" s="1372"/>
      <c r="F83" s="1372"/>
      <c r="G83" s="1372"/>
      <c r="H83" s="1372"/>
      <c r="I83" s="1372"/>
      <c r="J83" s="1372"/>
      <c r="K83" s="1372"/>
      <c r="L83" s="1372"/>
      <c r="M83" s="1372"/>
      <c r="N83" s="1372"/>
      <c r="O83" s="1372"/>
      <c r="P83" s="1372"/>
      <c r="Q83" s="1372"/>
      <c r="R83" s="1372"/>
      <c r="S83" s="1372"/>
    </row>
    <row r="84" spans="1:19">
      <c r="A84" s="1489"/>
      <c r="B84" s="1489"/>
      <c r="C84" s="1372"/>
      <c r="D84" s="1372"/>
      <c r="E84" s="1372"/>
      <c r="F84" s="1372"/>
      <c r="G84" s="1372"/>
      <c r="H84" s="1372"/>
      <c r="I84" s="1372"/>
      <c r="J84" s="1372"/>
      <c r="K84" s="1372"/>
      <c r="L84" s="1372"/>
      <c r="M84" s="1372"/>
      <c r="N84" s="1372"/>
      <c r="O84" s="1372"/>
      <c r="P84" s="1372"/>
      <c r="Q84" s="1372"/>
      <c r="R84" s="1372"/>
      <c r="S84" s="1372"/>
    </row>
    <row r="85" spans="1:19" ht="16">
      <c r="A85" s="1371"/>
      <c r="B85" s="1489"/>
      <c r="C85" s="1372"/>
      <c r="D85" s="1372"/>
      <c r="E85" s="1372"/>
      <c r="F85" s="1372"/>
      <c r="G85" s="1372"/>
      <c r="H85" s="1372"/>
      <c r="I85" s="1372"/>
      <c r="J85" s="1372"/>
      <c r="K85" s="1372"/>
      <c r="L85" s="1372"/>
      <c r="M85" s="1372"/>
      <c r="N85" s="1372"/>
      <c r="O85" s="1372"/>
      <c r="P85" s="1372"/>
      <c r="Q85" s="1372"/>
      <c r="R85" s="1372"/>
      <c r="S85" s="1372"/>
    </row>
    <row r="86" spans="1:19">
      <c r="A86" s="1489"/>
      <c r="B86" s="1489"/>
      <c r="C86" s="1372"/>
      <c r="D86" s="1372"/>
      <c r="E86" s="1372"/>
      <c r="F86" s="1372"/>
      <c r="G86" s="1372"/>
      <c r="H86" s="1372"/>
      <c r="I86" s="1372"/>
      <c r="J86" s="1372"/>
      <c r="K86" s="1372"/>
      <c r="L86" s="1372"/>
      <c r="M86" s="1372"/>
      <c r="N86" s="1372"/>
      <c r="O86" s="1372"/>
      <c r="P86" s="1372"/>
      <c r="Q86" s="1372"/>
      <c r="R86" s="1372"/>
      <c r="S86" s="1372"/>
    </row>
    <row r="87" spans="1:19">
      <c r="A87" s="1372"/>
      <c r="B87" s="1489"/>
      <c r="C87" s="1372"/>
      <c r="D87" s="1372"/>
      <c r="E87" s="1372"/>
      <c r="F87" s="1372"/>
      <c r="G87" s="1372"/>
      <c r="H87" s="1372"/>
      <c r="I87" s="1372"/>
      <c r="J87" s="1372"/>
      <c r="K87" s="1372"/>
      <c r="L87" s="1372"/>
      <c r="M87" s="1372"/>
      <c r="N87" s="1372"/>
      <c r="O87" s="1372"/>
      <c r="P87" s="1372"/>
      <c r="Q87" s="1372"/>
      <c r="R87" s="1372"/>
      <c r="S87" s="1372"/>
    </row>
    <row r="88" spans="1:19">
      <c r="A88" s="1489"/>
      <c r="B88" s="1489"/>
      <c r="C88" s="1372"/>
      <c r="D88" s="1372"/>
      <c r="E88" s="1372"/>
      <c r="F88" s="1372"/>
      <c r="G88" s="1372"/>
      <c r="H88" s="1372"/>
      <c r="I88" s="1372"/>
      <c r="J88" s="1372"/>
      <c r="K88" s="1372"/>
      <c r="L88" s="1372"/>
      <c r="M88" s="1372"/>
      <c r="N88" s="1372"/>
      <c r="O88" s="1372"/>
      <c r="P88" s="1372"/>
      <c r="Q88" s="1372"/>
      <c r="R88" s="1372"/>
      <c r="S88" s="1372"/>
    </row>
    <row r="89" spans="1:19">
      <c r="A89" s="1489"/>
      <c r="B89" s="1489"/>
      <c r="C89" s="1372"/>
      <c r="D89" s="1372"/>
      <c r="E89" s="1372"/>
      <c r="F89" s="1372"/>
      <c r="G89" s="1372"/>
      <c r="H89" s="1372"/>
      <c r="I89" s="1372"/>
      <c r="J89" s="1372"/>
      <c r="K89" s="1372"/>
      <c r="L89" s="1372"/>
      <c r="M89" s="1372"/>
      <c r="N89" s="1372"/>
      <c r="O89" s="1372"/>
      <c r="P89" s="1372"/>
      <c r="Q89" s="1372"/>
      <c r="R89" s="1372"/>
      <c r="S89" s="1372"/>
    </row>
    <row r="90" spans="1:19">
      <c r="A90" s="1489"/>
      <c r="B90" s="1489"/>
      <c r="C90" s="1372"/>
      <c r="D90" s="1372"/>
      <c r="E90" s="1372"/>
      <c r="F90" s="1372"/>
      <c r="G90" s="1372"/>
      <c r="H90" s="1372"/>
      <c r="I90" s="1372"/>
      <c r="J90" s="1372"/>
      <c r="K90" s="1372"/>
      <c r="L90" s="1372"/>
      <c r="M90" s="1372"/>
      <c r="N90" s="1372"/>
      <c r="O90" s="1372"/>
      <c r="P90" s="1372"/>
      <c r="Q90" s="1372"/>
      <c r="R90" s="1372"/>
      <c r="S90" s="1372"/>
    </row>
    <row r="91" spans="1:19">
      <c r="A91" s="1489"/>
      <c r="B91" s="1489"/>
      <c r="C91" s="1372"/>
      <c r="D91" s="1372"/>
      <c r="E91" s="1372"/>
      <c r="F91" s="1372"/>
      <c r="G91" s="1372"/>
      <c r="H91" s="1372"/>
      <c r="I91" s="1372"/>
      <c r="J91" s="1372"/>
      <c r="K91" s="1372"/>
      <c r="L91" s="1372"/>
      <c r="M91" s="1372"/>
      <c r="N91" s="1372"/>
      <c r="O91" s="1372"/>
      <c r="P91" s="1372"/>
      <c r="Q91" s="1372"/>
      <c r="R91" s="1372"/>
      <c r="S91" s="1372"/>
    </row>
    <row r="92" spans="1:19">
      <c r="A92" s="1372"/>
      <c r="B92" s="1372"/>
      <c r="C92" s="1372"/>
      <c r="D92" s="1372"/>
      <c r="E92" s="1372"/>
      <c r="F92" s="1372"/>
      <c r="G92" s="1372"/>
      <c r="H92" s="1372"/>
      <c r="I92" s="1372"/>
      <c r="J92" s="1372"/>
      <c r="K92" s="1372"/>
      <c r="L92" s="1372"/>
      <c r="M92" s="1372"/>
      <c r="N92" s="1372"/>
      <c r="O92" s="1372"/>
      <c r="P92" s="1372"/>
      <c r="Q92" s="1372"/>
      <c r="R92" s="1372"/>
      <c r="S92" s="1372"/>
    </row>
    <row r="93" spans="1:19">
      <c r="A93" s="1372"/>
      <c r="B93" s="1372"/>
      <c r="C93" s="1372"/>
      <c r="D93" s="1372"/>
      <c r="E93" s="1372"/>
      <c r="F93" s="1372"/>
      <c r="G93" s="1372"/>
      <c r="H93" s="1372"/>
      <c r="I93" s="1372"/>
      <c r="J93" s="1372"/>
      <c r="K93" s="1372"/>
      <c r="L93" s="1372"/>
      <c r="M93" s="1372"/>
      <c r="N93" s="1372"/>
      <c r="O93" s="1372"/>
      <c r="P93" s="1372"/>
      <c r="Q93" s="1372"/>
      <c r="R93" s="1372"/>
      <c r="S93" s="1372"/>
    </row>
    <row r="94" spans="1:19">
      <c r="A94" s="1372"/>
      <c r="B94" s="1372"/>
      <c r="C94" s="1372"/>
      <c r="D94" s="1372"/>
      <c r="E94" s="1372"/>
      <c r="F94" s="1372"/>
      <c r="G94" s="1372"/>
      <c r="H94" s="1372"/>
      <c r="I94" s="1372"/>
      <c r="J94" s="1372"/>
      <c r="K94" s="1372"/>
      <c r="L94" s="1372"/>
      <c r="M94" s="1372"/>
      <c r="N94" s="1372"/>
      <c r="O94" s="1372"/>
      <c r="P94" s="1372"/>
      <c r="Q94" s="1372"/>
      <c r="R94" s="1372"/>
      <c r="S94" s="1372"/>
    </row>
    <row r="95" spans="1:19">
      <c r="A95" s="1372"/>
      <c r="B95" s="1372"/>
      <c r="C95" s="1372"/>
      <c r="D95" s="1372"/>
      <c r="E95" s="1372"/>
      <c r="F95" s="1372"/>
      <c r="G95" s="1372"/>
      <c r="H95" s="1372"/>
      <c r="I95" s="1372"/>
      <c r="J95" s="1372"/>
      <c r="K95" s="1372"/>
      <c r="L95" s="1372"/>
      <c r="M95" s="1372"/>
      <c r="N95" s="1372"/>
      <c r="O95" s="1372"/>
      <c r="P95" s="1372"/>
      <c r="Q95" s="1372"/>
      <c r="R95" s="1372"/>
      <c r="S95" s="1372"/>
    </row>
    <row r="96" spans="1:19">
      <c r="A96" s="1372"/>
      <c r="B96" s="1372"/>
      <c r="C96" s="1372"/>
      <c r="D96" s="1372"/>
      <c r="E96" s="1372"/>
      <c r="F96" s="1372"/>
      <c r="G96" s="1372"/>
      <c r="H96" s="1372"/>
      <c r="I96" s="1372"/>
      <c r="J96" s="1372"/>
      <c r="K96" s="1372"/>
      <c r="L96" s="1372"/>
      <c r="M96" s="1372"/>
      <c r="N96" s="1372"/>
      <c r="O96" s="1372"/>
      <c r="P96" s="1372"/>
      <c r="Q96" s="1372"/>
      <c r="R96" s="1372"/>
      <c r="S96" s="1372"/>
    </row>
    <row r="97" spans="1:19">
      <c r="A97" s="1372"/>
      <c r="B97" s="1372"/>
      <c r="C97" s="1372"/>
      <c r="D97" s="1372"/>
      <c r="E97" s="1372"/>
      <c r="F97" s="1372"/>
      <c r="G97" s="1372"/>
      <c r="H97" s="1372"/>
      <c r="I97" s="1372"/>
      <c r="J97" s="1372"/>
      <c r="K97" s="1372"/>
      <c r="L97" s="1372"/>
      <c r="M97" s="1372"/>
      <c r="N97" s="1372"/>
      <c r="O97" s="1372"/>
      <c r="P97" s="1372"/>
      <c r="Q97" s="1372"/>
      <c r="R97" s="1372"/>
      <c r="S97" s="1372"/>
    </row>
    <row r="98" spans="1:19">
      <c r="A98" s="1372"/>
      <c r="B98" s="1372"/>
      <c r="C98" s="1372"/>
      <c r="D98" s="1372"/>
      <c r="E98" s="1372"/>
      <c r="F98" s="1372"/>
      <c r="G98" s="1372"/>
      <c r="H98" s="1372"/>
      <c r="I98" s="1372"/>
      <c r="J98" s="1372"/>
      <c r="K98" s="1372"/>
      <c r="L98" s="1372"/>
      <c r="M98" s="1372"/>
      <c r="N98" s="1372"/>
      <c r="O98" s="1372"/>
      <c r="P98" s="1372"/>
      <c r="Q98" s="1372"/>
      <c r="R98" s="1372"/>
      <c r="S98" s="1372"/>
    </row>
    <row r="99" spans="1:19">
      <c r="A99" s="1372"/>
      <c r="B99" s="1372"/>
      <c r="C99" s="1372"/>
      <c r="D99" s="1372"/>
      <c r="E99" s="1372"/>
      <c r="F99" s="1372"/>
      <c r="G99" s="1372"/>
      <c r="H99" s="1372"/>
      <c r="I99" s="1372"/>
      <c r="J99" s="1372"/>
      <c r="K99" s="1372"/>
      <c r="L99" s="1372"/>
      <c r="M99" s="1372"/>
      <c r="N99" s="1372"/>
      <c r="O99" s="1372"/>
      <c r="P99" s="1372"/>
      <c r="Q99" s="1372"/>
      <c r="R99" s="1372"/>
      <c r="S99" s="1372"/>
    </row>
    <row r="100" spans="1:19">
      <c r="A100" s="1372"/>
      <c r="B100" s="1372"/>
      <c r="C100" s="1372"/>
      <c r="D100" s="1372"/>
      <c r="E100" s="1372"/>
      <c r="F100" s="1372"/>
      <c r="G100" s="1372"/>
      <c r="H100" s="1372"/>
      <c r="I100" s="1372"/>
      <c r="J100" s="1372"/>
      <c r="K100" s="1372"/>
      <c r="L100" s="1372"/>
      <c r="M100" s="1372"/>
      <c r="N100" s="1372"/>
      <c r="O100" s="1372"/>
      <c r="P100" s="1372"/>
      <c r="Q100" s="1372"/>
      <c r="R100" s="1372"/>
      <c r="S100" s="1372"/>
    </row>
    <row r="101" spans="1:19">
      <c r="A101" s="1372"/>
      <c r="B101" s="1372"/>
      <c r="C101" s="1372"/>
      <c r="D101" s="1372"/>
      <c r="E101" s="1372"/>
      <c r="F101" s="1372"/>
      <c r="G101" s="1372"/>
      <c r="H101" s="1372"/>
      <c r="I101" s="1372"/>
      <c r="J101" s="1372"/>
      <c r="K101" s="1372"/>
      <c r="L101" s="1372"/>
      <c r="M101" s="1372"/>
      <c r="N101" s="1372"/>
      <c r="O101" s="1372"/>
      <c r="P101" s="1372"/>
      <c r="Q101" s="1372"/>
      <c r="R101" s="1372"/>
      <c r="S101" s="1372"/>
    </row>
    <row r="102" spans="1:19">
      <c r="A102" s="1372"/>
      <c r="B102" s="1372"/>
      <c r="C102" s="1372"/>
      <c r="D102" s="1372"/>
      <c r="E102" s="1372"/>
      <c r="F102" s="1372"/>
      <c r="G102" s="1372"/>
      <c r="H102" s="1372"/>
      <c r="I102" s="1372"/>
      <c r="J102" s="1372"/>
      <c r="K102" s="1372"/>
      <c r="L102" s="1372"/>
      <c r="M102" s="1372"/>
      <c r="N102" s="1372"/>
      <c r="O102" s="1372"/>
      <c r="P102" s="1372"/>
      <c r="Q102" s="1372"/>
      <c r="R102" s="1372"/>
      <c r="S102" s="1372"/>
    </row>
    <row r="103" spans="1:19">
      <c r="A103" s="1372"/>
      <c r="B103" s="1372"/>
      <c r="C103" s="1372"/>
      <c r="D103" s="1372"/>
      <c r="E103" s="1372"/>
      <c r="F103" s="1372"/>
      <c r="G103" s="1372"/>
      <c r="H103" s="1372"/>
      <c r="I103" s="1372"/>
      <c r="J103" s="1372"/>
      <c r="K103" s="1372"/>
      <c r="L103" s="1372"/>
      <c r="M103" s="1372"/>
      <c r="N103" s="1372"/>
      <c r="O103" s="1372"/>
      <c r="P103" s="1372"/>
      <c r="Q103" s="1372"/>
      <c r="R103" s="1372"/>
      <c r="S103" s="1372"/>
    </row>
    <row r="104" spans="1:19">
      <c r="A104" s="1372"/>
      <c r="B104" s="1372"/>
      <c r="C104" s="1372"/>
      <c r="D104" s="1372"/>
      <c r="E104" s="1372"/>
      <c r="F104" s="1372"/>
      <c r="G104" s="1372"/>
      <c r="H104" s="1372"/>
      <c r="I104" s="1372"/>
      <c r="J104" s="1372"/>
      <c r="K104" s="1372"/>
      <c r="L104" s="1372"/>
      <c r="M104" s="1372"/>
      <c r="N104" s="1372"/>
      <c r="O104" s="1372"/>
      <c r="P104" s="1372"/>
      <c r="Q104" s="1372"/>
      <c r="R104" s="1372"/>
      <c r="S104" s="1372"/>
    </row>
    <row r="105" spans="1:19">
      <c r="A105" s="1372"/>
      <c r="B105" s="1372"/>
      <c r="C105" s="1372"/>
      <c r="D105" s="1372"/>
      <c r="E105" s="1372"/>
      <c r="F105" s="1372"/>
      <c r="G105" s="1372"/>
      <c r="H105" s="1372"/>
      <c r="I105" s="1372"/>
      <c r="J105" s="1372"/>
      <c r="K105" s="1372"/>
      <c r="L105" s="1372"/>
      <c r="M105" s="1372"/>
      <c r="N105" s="1372"/>
      <c r="O105" s="1372"/>
      <c r="P105" s="1372"/>
      <c r="Q105" s="1372"/>
      <c r="R105" s="1372"/>
      <c r="S105" s="1372"/>
    </row>
    <row r="106" spans="1:19">
      <c r="A106" s="1372"/>
      <c r="B106" s="1372"/>
      <c r="C106" s="1372"/>
      <c r="D106" s="1372"/>
      <c r="E106" s="1372"/>
      <c r="F106" s="1372"/>
      <c r="G106" s="1372"/>
      <c r="H106" s="1372"/>
      <c r="I106" s="1372"/>
      <c r="J106" s="1372"/>
      <c r="K106" s="1372"/>
      <c r="L106" s="1372"/>
      <c r="M106" s="1372"/>
      <c r="N106" s="1372"/>
      <c r="O106" s="1372"/>
      <c r="P106" s="1372"/>
      <c r="Q106" s="1372"/>
      <c r="R106" s="1372"/>
      <c r="S106" s="1372"/>
    </row>
    <row r="107" spans="1:19">
      <c r="A107" s="1372"/>
      <c r="B107" s="1372"/>
      <c r="C107" s="1372"/>
      <c r="D107" s="1372"/>
      <c r="E107" s="1372"/>
      <c r="F107" s="1372"/>
      <c r="G107" s="1372"/>
      <c r="H107" s="1372"/>
      <c r="I107" s="1372"/>
      <c r="J107" s="1372"/>
      <c r="K107" s="1372"/>
      <c r="L107" s="1372"/>
      <c r="M107" s="1372"/>
      <c r="N107" s="1372"/>
      <c r="O107" s="1372"/>
      <c r="P107" s="1372"/>
      <c r="Q107" s="1372"/>
      <c r="R107" s="1372"/>
      <c r="S107" s="1372"/>
    </row>
    <row r="108" spans="1:19">
      <c r="A108" s="1372"/>
      <c r="B108" s="1372"/>
      <c r="C108" s="1372"/>
      <c r="D108" s="1372"/>
      <c r="E108" s="1372"/>
      <c r="F108" s="1372"/>
      <c r="G108" s="1372"/>
      <c r="H108" s="1372"/>
      <c r="I108" s="1372"/>
      <c r="J108" s="1372"/>
      <c r="K108" s="1372"/>
      <c r="L108" s="1372"/>
      <c r="M108" s="1372"/>
      <c r="N108" s="1372"/>
      <c r="O108" s="1372"/>
      <c r="P108" s="1372"/>
      <c r="Q108" s="1372"/>
      <c r="R108" s="1372"/>
      <c r="S108" s="1372"/>
    </row>
    <row r="109" spans="1:19">
      <c r="A109" s="1372"/>
      <c r="B109" s="1372"/>
      <c r="C109" s="1372"/>
      <c r="D109" s="1372"/>
      <c r="E109" s="1372"/>
      <c r="F109" s="1372"/>
      <c r="G109" s="1372"/>
      <c r="H109" s="1372"/>
      <c r="I109" s="1372"/>
      <c r="J109" s="1372"/>
      <c r="K109" s="1372"/>
      <c r="L109" s="1372"/>
      <c r="M109" s="1372"/>
      <c r="N109" s="1372"/>
      <c r="O109" s="1372"/>
      <c r="P109" s="1372"/>
      <c r="Q109" s="1372"/>
      <c r="R109" s="1372"/>
      <c r="S109" s="1372"/>
    </row>
    <row r="110" spans="1:19">
      <c r="A110" s="1372"/>
      <c r="B110" s="1372"/>
      <c r="C110" s="1372"/>
      <c r="D110" s="1372"/>
      <c r="E110" s="1372"/>
      <c r="F110" s="1372"/>
      <c r="G110" s="1372"/>
      <c r="H110" s="1372"/>
      <c r="I110" s="1372"/>
      <c r="J110" s="1372"/>
      <c r="K110" s="1372"/>
      <c r="L110" s="1372"/>
      <c r="M110" s="1372"/>
      <c r="N110" s="1372"/>
      <c r="O110" s="1372"/>
      <c r="P110" s="1372"/>
      <c r="Q110" s="1372"/>
      <c r="R110" s="1372"/>
      <c r="S110" s="1372"/>
    </row>
    <row r="111" spans="1:19">
      <c r="A111" s="1372"/>
      <c r="B111" s="1372"/>
      <c r="C111" s="1372"/>
      <c r="D111" s="1372"/>
      <c r="E111" s="1372"/>
      <c r="F111" s="1372"/>
      <c r="G111" s="1372"/>
      <c r="H111" s="1372"/>
      <c r="I111" s="1372"/>
      <c r="J111" s="1372"/>
      <c r="K111" s="1372"/>
      <c r="L111" s="1372"/>
      <c r="M111" s="1372"/>
      <c r="N111" s="1372"/>
      <c r="O111" s="1372"/>
      <c r="P111" s="1372"/>
      <c r="Q111" s="1372"/>
      <c r="R111" s="1372"/>
      <c r="S111" s="1372"/>
    </row>
    <row r="112" spans="1:19">
      <c r="A112" s="1372"/>
      <c r="B112" s="1372"/>
      <c r="C112" s="1372"/>
      <c r="D112" s="1372"/>
      <c r="E112" s="1372"/>
      <c r="F112" s="1372"/>
      <c r="G112" s="1372"/>
      <c r="H112" s="1372"/>
      <c r="I112" s="1372"/>
      <c r="J112" s="1372"/>
      <c r="K112" s="1372"/>
      <c r="L112" s="1372"/>
      <c r="M112" s="1372"/>
      <c r="N112" s="1372"/>
      <c r="O112" s="1372"/>
      <c r="P112" s="1372"/>
      <c r="Q112" s="1372"/>
      <c r="R112" s="1372"/>
      <c r="S112" s="1372"/>
    </row>
    <row r="113" spans="1:19">
      <c r="A113" s="1372"/>
      <c r="B113" s="1372"/>
      <c r="C113" s="1372"/>
      <c r="D113" s="1372"/>
      <c r="E113" s="1372"/>
      <c r="F113" s="1372"/>
      <c r="G113" s="1372"/>
      <c r="H113" s="1372"/>
      <c r="I113" s="1372"/>
      <c r="J113" s="1372"/>
      <c r="K113" s="1372"/>
      <c r="L113" s="1372"/>
      <c r="M113" s="1372"/>
      <c r="N113" s="1372"/>
      <c r="O113" s="1372"/>
      <c r="P113" s="1372"/>
      <c r="Q113" s="1372"/>
      <c r="R113" s="1372"/>
      <c r="S113" s="1372"/>
    </row>
    <row r="114" spans="1:19">
      <c r="A114" s="1372"/>
      <c r="B114" s="1372"/>
      <c r="C114" s="1372"/>
      <c r="D114" s="1372"/>
      <c r="E114" s="1372"/>
      <c r="F114" s="1372"/>
      <c r="G114" s="1372"/>
      <c r="H114" s="1372"/>
      <c r="I114" s="1372"/>
      <c r="J114" s="1372"/>
      <c r="K114" s="1372"/>
      <c r="L114" s="1372"/>
      <c r="M114" s="1372"/>
      <c r="N114" s="1372"/>
      <c r="O114" s="1372"/>
      <c r="P114" s="1372"/>
      <c r="Q114" s="1372"/>
      <c r="R114" s="1372"/>
      <c r="S114" s="1372"/>
    </row>
  </sheetData>
  <phoneticPr fontId="88" type="noConversion"/>
  <pageMargins left="0.35" right="0.23" top="0.59055118110236227" bottom="0.35433070866141736" header="0.23622047244094491" footer="0.19685039370078741"/>
  <pageSetup paperSize="9" scale="70" orientation="landscape" cellComments="asDisplayed"/>
  <headerFooter alignWithMargins="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3653C-7AB4-8D4B-BC4F-23E1A7A42626}">
  <sheetPr>
    <pageSetUpPr fitToPage="1"/>
  </sheetPr>
  <dimension ref="A1:AK86"/>
  <sheetViews>
    <sheetView topLeftCell="A25" zoomScale="75" workbookViewId="0">
      <selection activeCell="B2" sqref="B2"/>
    </sheetView>
  </sheetViews>
  <sheetFormatPr baseColWidth="10" defaultColWidth="10.3984375" defaultRowHeight="13"/>
  <cols>
    <col min="1" max="1" width="3.59765625" style="1494" customWidth="1"/>
    <col min="2" max="2" width="45" style="1494" customWidth="1"/>
    <col min="3" max="3" width="0.3984375" style="1494" customWidth="1"/>
    <col min="4" max="4" width="9.59765625" style="1494" hidden="1" customWidth="1"/>
    <col min="5" max="11" width="9.59765625" style="1494" customWidth="1"/>
    <col min="12" max="12" width="10.3984375" style="1494" customWidth="1"/>
    <col min="13" max="13" width="9.59765625" style="1494" customWidth="1"/>
    <col min="14" max="14" width="10.3984375" style="1494" customWidth="1"/>
    <col min="15" max="15" width="9.59765625" style="1494" customWidth="1"/>
    <col min="16" max="16" width="3.19921875" style="1494" customWidth="1"/>
    <col min="17" max="17" width="11" style="1494" customWidth="1"/>
    <col min="18" max="18" width="11.3984375" style="1494" customWidth="1"/>
    <col min="19" max="19" width="3.3984375" style="1494" customWidth="1"/>
    <col min="20" max="20" width="11.796875" style="1494" customWidth="1"/>
    <col min="21" max="16384" width="10.3984375" style="1494"/>
  </cols>
  <sheetData>
    <row r="1" spans="1:37" ht="18">
      <c r="A1" s="1492" t="s">
        <v>498</v>
      </c>
      <c r="B1" s="1493"/>
      <c r="C1" s="1493"/>
      <c r="D1" s="1493"/>
      <c r="E1" s="1493"/>
      <c r="F1" s="1493"/>
      <c r="G1" s="1493"/>
      <c r="H1" s="1493"/>
      <c r="I1" s="1493"/>
      <c r="J1" s="1493"/>
      <c r="K1" s="1493"/>
      <c r="L1" s="1493"/>
      <c r="M1" s="1493"/>
      <c r="N1" s="1493"/>
      <c r="O1" s="1493"/>
      <c r="P1" s="1493"/>
      <c r="Q1" s="1493"/>
      <c r="R1" s="1493"/>
      <c r="S1" s="1493"/>
      <c r="X1" s="1495"/>
      <c r="AD1" s="1495"/>
    </row>
    <row r="2" spans="1:37" ht="14" thickBot="1">
      <c r="A2" s="1496"/>
      <c r="B2" s="1496"/>
      <c r="C2" s="1496"/>
      <c r="D2" s="1496"/>
      <c r="E2" s="1496"/>
      <c r="F2" s="1496"/>
      <c r="G2" s="1496"/>
      <c r="H2" s="1496"/>
      <c r="I2" s="1496"/>
      <c r="J2" s="1496"/>
      <c r="K2" s="1496"/>
      <c r="L2" s="1496"/>
      <c r="M2" s="1496"/>
      <c r="N2" s="1496"/>
      <c r="O2" s="1496"/>
      <c r="P2" s="1496"/>
      <c r="Q2" s="1496"/>
      <c r="R2" s="1496"/>
      <c r="S2" s="1496"/>
      <c r="T2" s="1497"/>
    </row>
    <row r="3" spans="1:37" s="1506" customFormat="1" ht="10.5" customHeight="1">
      <c r="A3" s="1498"/>
      <c r="B3" s="1498"/>
      <c r="C3" s="1499"/>
      <c r="D3" s="1498"/>
      <c r="E3" s="1499"/>
      <c r="F3" s="1498"/>
      <c r="G3" s="1499"/>
      <c r="H3" s="1498"/>
      <c r="I3" s="1499"/>
      <c r="J3" s="1498"/>
      <c r="K3" s="1499"/>
      <c r="L3" s="1498"/>
      <c r="M3" s="1499"/>
      <c r="N3" s="1498"/>
      <c r="O3" s="1499"/>
      <c r="P3" s="1500"/>
      <c r="Q3" s="1501"/>
      <c r="R3" s="1502"/>
      <c r="S3" s="1503"/>
      <c r="T3" s="1499"/>
      <c r="U3" s="1494"/>
      <c r="V3" s="1504"/>
      <c r="W3" s="1504"/>
      <c r="X3" s="1504"/>
      <c r="Y3" s="1504"/>
      <c r="Z3" s="1505"/>
      <c r="AA3" s="1505"/>
      <c r="AB3" s="1505"/>
      <c r="AC3" s="1505"/>
      <c r="AF3" s="1507"/>
      <c r="AG3" s="1507"/>
      <c r="AH3" s="1507"/>
      <c r="AI3" s="1507"/>
    </row>
    <row r="4" spans="1:37" ht="13.5" customHeight="1">
      <c r="A4" s="1508" t="s">
        <v>467</v>
      </c>
      <c r="B4" s="1509"/>
      <c r="C4" s="1510">
        <v>1996</v>
      </c>
      <c r="D4" s="1511">
        <v>1997</v>
      </c>
      <c r="E4" s="1510">
        <v>1998</v>
      </c>
      <c r="F4" s="1511">
        <v>1999</v>
      </c>
      <c r="G4" s="1510">
        <v>2000</v>
      </c>
      <c r="H4" s="1511">
        <v>2001</v>
      </c>
      <c r="I4" s="1510">
        <v>2002</v>
      </c>
      <c r="J4" s="1511">
        <v>2003</v>
      </c>
      <c r="K4" s="1510">
        <v>2004</v>
      </c>
      <c r="L4" s="1511">
        <v>2005</v>
      </c>
      <c r="M4" s="1510">
        <v>2006</v>
      </c>
      <c r="N4" s="1511">
        <v>2007</v>
      </c>
      <c r="O4" s="1510">
        <v>2008</v>
      </c>
      <c r="P4" s="1512"/>
      <c r="Q4" s="1501" t="s">
        <v>1801</v>
      </c>
      <c r="R4" s="1502" t="s">
        <v>468</v>
      </c>
      <c r="S4" s="1503"/>
      <c r="T4" s="1513" t="s">
        <v>1964</v>
      </c>
      <c r="V4" s="1504"/>
      <c r="W4" s="1504"/>
      <c r="X4" s="1504"/>
      <c r="Y4" s="1504"/>
      <c r="Z4" s="1514"/>
      <c r="AA4" s="1514"/>
      <c r="AB4" s="1514"/>
      <c r="AC4" s="1514"/>
      <c r="AF4" s="1507"/>
      <c r="AG4" s="1507"/>
      <c r="AH4" s="1507"/>
      <c r="AI4" s="1507"/>
    </row>
    <row r="5" spans="1:37" ht="15.75" customHeight="1">
      <c r="A5" s="1508" t="s">
        <v>469</v>
      </c>
      <c r="B5" s="1515"/>
      <c r="C5" s="1516"/>
      <c r="D5" s="1517"/>
      <c r="E5" s="1516"/>
      <c r="F5" s="1517"/>
      <c r="G5" s="1516"/>
      <c r="H5" s="1517"/>
      <c r="I5" s="1516"/>
      <c r="J5" s="1517"/>
      <c r="K5" s="1516"/>
      <c r="L5" s="1517"/>
      <c r="M5" s="1516"/>
      <c r="N5" s="1517"/>
      <c r="O5" s="1516"/>
      <c r="P5" s="1518"/>
      <c r="Q5" s="1501" t="s">
        <v>325</v>
      </c>
      <c r="R5" s="1502" t="s">
        <v>89</v>
      </c>
      <c r="S5" s="1503"/>
      <c r="T5" s="1513" t="s">
        <v>499</v>
      </c>
      <c r="V5" s="1504"/>
      <c r="W5" s="1504"/>
      <c r="X5" s="1504"/>
      <c r="Y5" s="1504"/>
      <c r="Z5" s="1514"/>
      <c r="AA5" s="1514"/>
      <c r="AB5" s="1514"/>
      <c r="AC5" s="1514"/>
      <c r="AF5" s="1507"/>
      <c r="AG5" s="1507"/>
      <c r="AH5" s="1507"/>
      <c r="AI5" s="1507"/>
    </row>
    <row r="6" spans="1:37" ht="14.25" customHeight="1">
      <c r="A6" s="1519"/>
      <c r="B6" s="1519"/>
      <c r="C6" s="1520"/>
      <c r="D6" s="1521"/>
      <c r="E6" s="1520"/>
      <c r="F6" s="1521"/>
      <c r="G6" s="1520"/>
      <c r="H6" s="1521"/>
      <c r="I6" s="1520"/>
      <c r="J6" s="1521"/>
      <c r="K6" s="1520"/>
      <c r="L6" s="1521"/>
      <c r="M6" s="1520"/>
      <c r="N6" s="1521"/>
      <c r="O6" s="1520"/>
      <c r="P6" s="1522"/>
      <c r="Q6" s="1523"/>
      <c r="R6" s="1524" t="s">
        <v>44</v>
      </c>
      <c r="S6" s="1525"/>
      <c r="T6" s="1520"/>
      <c r="V6" s="1504"/>
      <c r="W6" s="1504"/>
      <c r="X6" s="1504"/>
      <c r="Y6" s="1504"/>
      <c r="Z6" s="1526"/>
      <c r="AA6" s="1526"/>
      <c r="AB6" s="1526"/>
      <c r="AC6" s="1526"/>
      <c r="AF6" s="1526"/>
      <c r="AG6" s="1526"/>
      <c r="AH6" s="1526"/>
      <c r="AI6" s="1526"/>
    </row>
    <row r="7" spans="1:37">
      <c r="A7" s="1527"/>
      <c r="B7" s="1528"/>
      <c r="C7" s="1529"/>
      <c r="D7" s="1528"/>
      <c r="E7" s="1529"/>
      <c r="F7" s="1528"/>
      <c r="G7" s="1529"/>
      <c r="H7" s="1528"/>
      <c r="I7" s="1529"/>
      <c r="J7" s="1528"/>
      <c r="K7" s="1529"/>
      <c r="L7" s="1528"/>
      <c r="M7" s="1529"/>
      <c r="N7" s="1528"/>
      <c r="O7" s="1529"/>
      <c r="P7" s="1530"/>
      <c r="Q7" s="1529"/>
      <c r="R7" s="1531" t="s">
        <v>326</v>
      </c>
      <c r="S7" s="1532"/>
      <c r="T7" s="1529"/>
      <c r="V7" s="1504"/>
      <c r="W7" s="1504"/>
      <c r="X7" s="1504"/>
      <c r="Y7" s="1504"/>
      <c r="Z7" s="1514"/>
      <c r="AA7" s="1514"/>
      <c r="AB7" s="1514"/>
      <c r="AC7" s="1514"/>
      <c r="AF7" s="1507"/>
      <c r="AG7" s="1507"/>
      <c r="AH7" s="1507"/>
      <c r="AI7" s="1507"/>
    </row>
    <row r="8" spans="1:37" ht="18" customHeight="1" thickBot="1">
      <c r="A8" s="1533" t="s">
        <v>480</v>
      </c>
      <c r="B8" s="1534"/>
      <c r="C8" s="1535">
        <v>5976.68608119694</v>
      </c>
      <c r="D8" s="1536">
        <v>5920.5324887865727</v>
      </c>
      <c r="E8" s="1535">
        <v>5989.0401962979158</v>
      </c>
      <c r="F8" s="1536">
        <v>6272.8466257392192</v>
      </c>
      <c r="G8" s="1535">
        <v>6460.9578237170608</v>
      </c>
      <c r="H8" s="1536">
        <v>7635.1420777467765</v>
      </c>
      <c r="I8" s="1535">
        <v>8429.5101560943567</v>
      </c>
      <c r="J8" s="1536">
        <v>8778.10319716105</v>
      </c>
      <c r="K8" s="1535">
        <v>8632.7243530636424</v>
      </c>
      <c r="L8" s="1536">
        <v>8704.8174529394601</v>
      </c>
      <c r="M8" s="1535">
        <v>8536.5423231378227</v>
      </c>
      <c r="N8" s="1536">
        <v>8960.8447878915576</v>
      </c>
      <c r="O8" s="1535">
        <v>10678.6</v>
      </c>
      <c r="P8" s="1537"/>
      <c r="Q8" s="1538">
        <v>0.19169567744657057</v>
      </c>
      <c r="R8" s="1539">
        <v>5.9535979809852257E-2</v>
      </c>
      <c r="S8" s="1540"/>
      <c r="T8" s="1541">
        <v>11289.3</v>
      </c>
      <c r="V8" s="1504"/>
      <c r="W8" s="1504"/>
      <c r="X8" s="1504"/>
      <c r="Y8" s="1504"/>
      <c r="AF8" s="1507"/>
      <c r="AG8" s="1507"/>
      <c r="AH8" s="1507"/>
      <c r="AI8" s="1507"/>
    </row>
    <row r="9" spans="1:37" s="1551" customFormat="1" ht="14" thickBot="1">
      <c r="A9" s="1542"/>
      <c r="B9" s="1543"/>
      <c r="C9" s="1544"/>
      <c r="D9" s="1545"/>
      <c r="E9" s="1544"/>
      <c r="F9" s="1545"/>
      <c r="G9" s="1544"/>
      <c r="H9" s="1545"/>
      <c r="I9" s="1544"/>
      <c r="J9" s="1545"/>
      <c r="K9" s="1544"/>
      <c r="L9" s="1545"/>
      <c r="M9" s="1544"/>
      <c r="N9" s="1545"/>
      <c r="O9" s="1544"/>
      <c r="P9" s="1546"/>
      <c r="Q9" s="1547"/>
      <c r="R9" s="1548"/>
      <c r="S9" s="1549"/>
      <c r="T9" s="1550"/>
    </row>
    <row r="10" spans="1:37" s="1551" customFormat="1" ht="16.5" customHeight="1" thickBot="1">
      <c r="A10" s="1552" t="s">
        <v>481</v>
      </c>
      <c r="B10" s="1542"/>
      <c r="C10" s="1553">
        <v>2694.5104040117299</v>
      </c>
      <c r="D10" s="1554">
        <v>2815.7448411451096</v>
      </c>
      <c r="E10" s="1553">
        <v>2973.2056398412365</v>
      </c>
      <c r="F10" s="1554">
        <v>3109.7236465190003</v>
      </c>
      <c r="G10" s="1553">
        <v>3228.4015641373426</v>
      </c>
      <c r="H10" s="1554">
        <v>3420.9561673120697</v>
      </c>
      <c r="I10" s="1553">
        <v>3447.3545767100568</v>
      </c>
      <c r="J10" s="1554">
        <v>3663.0755838507671</v>
      </c>
      <c r="K10" s="1553">
        <v>3771.1797269619269</v>
      </c>
      <c r="L10" s="1554">
        <v>3968.7366137610011</v>
      </c>
      <c r="M10" s="1553">
        <v>4049.5170354256738</v>
      </c>
      <c r="N10" s="1554">
        <v>4185.9254439417819</v>
      </c>
      <c r="O10" s="1553">
        <v>3547.5</v>
      </c>
      <c r="P10" s="1555"/>
      <c r="Q10" s="1556">
        <v>-0.15251715600089444</v>
      </c>
      <c r="R10" s="1557">
        <v>1.7817106060641574E-2</v>
      </c>
      <c r="S10" s="1558"/>
      <c r="T10" s="1559">
        <v>3006.4453890868272</v>
      </c>
    </row>
    <row r="11" spans="1:37" ht="14" thickBot="1">
      <c r="A11" s="1542"/>
      <c r="B11" s="1560"/>
      <c r="C11" s="1544"/>
      <c r="D11" s="1545"/>
      <c r="E11" s="1544"/>
      <c r="F11" s="1545"/>
      <c r="G11" s="1544"/>
      <c r="H11" s="1545"/>
      <c r="I11" s="1544"/>
      <c r="J11" s="1545"/>
      <c r="K11" s="1544"/>
      <c r="L11" s="1545"/>
      <c r="M11" s="1544"/>
      <c r="N11" s="1545"/>
      <c r="O11" s="1544"/>
      <c r="P11" s="1546"/>
      <c r="Q11" s="1547"/>
      <c r="R11" s="1548"/>
      <c r="S11" s="1549"/>
      <c r="T11" s="1550"/>
    </row>
    <row r="12" spans="1:37" s="1551" customFormat="1" ht="14" thickBot="1">
      <c r="A12" s="1552" t="s">
        <v>475</v>
      </c>
      <c r="B12" s="1542"/>
      <c r="C12" s="1553">
        <v>944.7</v>
      </c>
      <c r="D12" s="1554">
        <v>937.8</v>
      </c>
      <c r="E12" s="1553">
        <v>1007</v>
      </c>
      <c r="F12" s="1554">
        <v>1143.9000000000001</v>
      </c>
      <c r="G12" s="1553">
        <v>1192.9000000000001</v>
      </c>
      <c r="H12" s="1554">
        <v>1166</v>
      </c>
      <c r="I12" s="1553">
        <v>1214.2</v>
      </c>
      <c r="J12" s="1554">
        <v>1307.4000000000001</v>
      </c>
      <c r="K12" s="1553">
        <v>1524.9</v>
      </c>
      <c r="L12" s="1554">
        <v>1662.8002309999999</v>
      </c>
      <c r="M12" s="1553">
        <v>1703.226242</v>
      </c>
      <c r="N12" s="1554">
        <v>1746.5387489999998</v>
      </c>
      <c r="O12" s="1553">
        <v>1573.9</v>
      </c>
      <c r="P12" s="1555"/>
      <c r="Q12" s="1556">
        <v>-9.8846217468032682E-2</v>
      </c>
      <c r="R12" s="1557">
        <v>4.5670284306777553E-2</v>
      </c>
      <c r="S12" s="1558"/>
      <c r="T12" s="1559">
        <v>1648.8503812472875</v>
      </c>
    </row>
    <row r="13" spans="1:37" s="1551" customFormat="1" ht="15.75" customHeight="1" thickBot="1">
      <c r="A13" s="1561" t="s">
        <v>500</v>
      </c>
      <c r="B13" s="1542"/>
      <c r="C13" s="1562">
        <v>293</v>
      </c>
      <c r="D13" s="1563">
        <v>237.5</v>
      </c>
      <c r="E13" s="1562">
        <v>264.39999999999998</v>
      </c>
      <c r="F13" s="1563">
        <v>277.10000000000002</v>
      </c>
      <c r="G13" s="1562">
        <v>317</v>
      </c>
      <c r="H13" s="1563">
        <v>315</v>
      </c>
      <c r="I13" s="1562">
        <v>343.8</v>
      </c>
      <c r="J13" s="1563">
        <v>375.1</v>
      </c>
      <c r="K13" s="1562">
        <v>421.4</v>
      </c>
      <c r="L13" s="1563">
        <v>447.8</v>
      </c>
      <c r="M13" s="1562">
        <v>476.1</v>
      </c>
      <c r="N13" s="1563">
        <v>496.7</v>
      </c>
      <c r="O13" s="1562">
        <v>306.89999999999998</v>
      </c>
      <c r="P13" s="1564"/>
      <c r="Q13" s="1565">
        <v>-0.38212200523454809</v>
      </c>
      <c r="R13" s="1566">
        <v>1.5017532115545906E-2</v>
      </c>
      <c r="S13" s="1567"/>
      <c r="T13" s="1568">
        <v>311.50888060626102</v>
      </c>
      <c r="U13" s="1569"/>
      <c r="V13" s="1569"/>
      <c r="W13" s="1569"/>
      <c r="X13" s="1569"/>
      <c r="Y13" s="1569"/>
      <c r="Z13" s="1569"/>
      <c r="AA13" s="1569"/>
      <c r="AB13" s="1569"/>
      <c r="AC13" s="1569"/>
      <c r="AD13" s="1569"/>
      <c r="AE13" s="1569"/>
      <c r="AF13" s="1569"/>
      <c r="AG13" s="1569"/>
      <c r="AH13" s="1569"/>
      <c r="AI13" s="1569"/>
      <c r="AJ13" s="1569"/>
      <c r="AK13" s="1569"/>
    </row>
    <row r="14" spans="1:37" ht="15" customHeight="1" thickBot="1">
      <c r="A14" s="1561" t="s">
        <v>501</v>
      </c>
      <c r="B14" s="1542"/>
      <c r="C14" s="1562">
        <v>203.5</v>
      </c>
      <c r="D14" s="1563">
        <v>228.6</v>
      </c>
      <c r="E14" s="1562">
        <v>266.2</v>
      </c>
      <c r="F14" s="1563">
        <v>375.1</v>
      </c>
      <c r="G14" s="1562">
        <v>378.5</v>
      </c>
      <c r="H14" s="1563">
        <v>314.89999999999998</v>
      </c>
      <c r="I14" s="1562">
        <v>319.7</v>
      </c>
      <c r="J14" s="1563">
        <v>367.7</v>
      </c>
      <c r="K14" s="1562">
        <v>381.7</v>
      </c>
      <c r="L14" s="1563">
        <v>412.4</v>
      </c>
      <c r="M14" s="1562">
        <v>405.9</v>
      </c>
      <c r="N14" s="1563">
        <v>394.24799999999999</v>
      </c>
      <c r="O14" s="1562">
        <v>391</v>
      </c>
      <c r="P14" s="1564"/>
      <c r="Q14" s="1565">
        <v>-8.2384691869077376E-3</v>
      </c>
      <c r="R14" s="1566">
        <v>3.919457438025109E-2</v>
      </c>
      <c r="S14" s="1567"/>
      <c r="T14" s="1568">
        <v>406.3250785826782</v>
      </c>
      <c r="U14" s="1569"/>
      <c r="V14" s="1569"/>
      <c r="W14" s="1569"/>
      <c r="X14" s="1569"/>
      <c r="Y14" s="1569"/>
      <c r="Z14" s="1569"/>
      <c r="AA14" s="1569"/>
      <c r="AB14" s="1569"/>
      <c r="AC14" s="1569"/>
      <c r="AD14" s="1569"/>
      <c r="AE14" s="1569"/>
      <c r="AF14" s="1569"/>
      <c r="AG14" s="1569"/>
      <c r="AH14" s="1569"/>
      <c r="AI14" s="1569"/>
      <c r="AJ14" s="1569"/>
      <c r="AK14" s="1569"/>
    </row>
    <row r="15" spans="1:37" ht="15" customHeight="1" thickBot="1">
      <c r="A15" s="1561" t="s">
        <v>502</v>
      </c>
      <c r="B15" s="1542"/>
      <c r="C15" s="1562">
        <v>448.2</v>
      </c>
      <c r="D15" s="1563">
        <v>471.7</v>
      </c>
      <c r="E15" s="1562">
        <v>476.4</v>
      </c>
      <c r="F15" s="1563">
        <v>491.7</v>
      </c>
      <c r="G15" s="1562">
        <v>497.4</v>
      </c>
      <c r="H15" s="1563">
        <v>536.1</v>
      </c>
      <c r="I15" s="1562">
        <v>550.70000000000005</v>
      </c>
      <c r="J15" s="1563">
        <v>564.6</v>
      </c>
      <c r="K15" s="1562">
        <v>721.8</v>
      </c>
      <c r="L15" s="1563">
        <v>802.60023099999989</v>
      </c>
      <c r="M15" s="1562">
        <v>821.22624199999996</v>
      </c>
      <c r="N15" s="1563">
        <v>855.59074899999996</v>
      </c>
      <c r="O15" s="1562">
        <v>876</v>
      </c>
      <c r="P15" s="1564"/>
      <c r="Q15" s="1565">
        <v>2.3853987462877591E-2</v>
      </c>
      <c r="R15" s="1566">
        <v>6.2804134769804065E-2</v>
      </c>
      <c r="S15" s="1567"/>
      <c r="T15" s="1568">
        <v>931.01642205834833</v>
      </c>
      <c r="U15" s="1569"/>
      <c r="V15" s="1569"/>
      <c r="W15" s="1569"/>
      <c r="X15" s="1569"/>
      <c r="Y15" s="1569"/>
      <c r="Z15" s="1569"/>
      <c r="AA15" s="1569"/>
      <c r="AB15" s="1569"/>
      <c r="AC15" s="1569"/>
      <c r="AD15" s="1569"/>
      <c r="AE15" s="1569"/>
      <c r="AF15" s="1569"/>
      <c r="AG15" s="1569"/>
      <c r="AH15" s="1569"/>
      <c r="AI15" s="1569"/>
      <c r="AJ15" s="1569"/>
      <c r="AK15" s="1569"/>
    </row>
    <row r="16" spans="1:37" s="1551" customFormat="1" ht="14" thickBot="1">
      <c r="A16" s="1570"/>
      <c r="B16" s="1570"/>
      <c r="C16" s="1571"/>
      <c r="D16" s="1572"/>
      <c r="E16" s="1571"/>
      <c r="F16" s="1572"/>
      <c r="G16" s="1571"/>
      <c r="H16" s="1572"/>
      <c r="I16" s="1571"/>
      <c r="J16" s="1572"/>
      <c r="K16" s="1571"/>
      <c r="L16" s="1572"/>
      <c r="M16" s="1571"/>
      <c r="N16" s="1572"/>
      <c r="O16" s="1571"/>
      <c r="P16" s="1573"/>
      <c r="Q16" s="1574"/>
      <c r="R16" s="1575"/>
      <c r="S16" s="1576"/>
      <c r="T16" s="1577"/>
    </row>
    <row r="17" spans="1:20" s="1579" customFormat="1" ht="16.5" customHeight="1" thickBot="1">
      <c r="A17" s="1578" t="s">
        <v>503</v>
      </c>
      <c r="B17" s="1578"/>
      <c r="C17" s="1553">
        <v>16873.599999999999</v>
      </c>
      <c r="D17" s="1554">
        <v>17009.099999999999</v>
      </c>
      <c r="E17" s="1553">
        <v>17841.5</v>
      </c>
      <c r="F17" s="1554">
        <v>18231.2</v>
      </c>
      <c r="G17" s="1553">
        <v>19316.223118000002</v>
      </c>
      <c r="H17" s="1554">
        <v>20344.518999999997</v>
      </c>
      <c r="I17" s="1553">
        <v>20951.55</v>
      </c>
      <c r="J17" s="1554">
        <v>21678.133227000002</v>
      </c>
      <c r="K17" s="1553">
        <v>22971.142229620003</v>
      </c>
      <c r="L17" s="1554">
        <v>24341.551358520002</v>
      </c>
      <c r="M17" s="1553">
        <v>24619.755745440005</v>
      </c>
      <c r="N17" s="1554">
        <v>25832.508284429998</v>
      </c>
      <c r="O17" s="1553">
        <v>27138.537360089998</v>
      </c>
      <c r="P17" s="1555"/>
      <c r="Q17" s="1556">
        <v>5.0557578895549238E-2</v>
      </c>
      <c r="R17" s="1557">
        <v>4.2834780613016266E-2</v>
      </c>
      <c r="S17" s="1558"/>
      <c r="T17" s="1553">
        <v>28087.912385849995</v>
      </c>
    </row>
    <row r="18" spans="1:20" ht="14" thickBot="1">
      <c r="A18" s="1542"/>
      <c r="B18" s="1561" t="s">
        <v>91</v>
      </c>
      <c r="C18" s="1562">
        <v>12459</v>
      </c>
      <c r="D18" s="1563">
        <v>13138.5</v>
      </c>
      <c r="E18" s="1562">
        <v>14024.1</v>
      </c>
      <c r="F18" s="1563">
        <v>14620.5</v>
      </c>
      <c r="G18" s="1562">
        <v>15478.308999999999</v>
      </c>
      <c r="H18" s="1563">
        <v>16386.458999999999</v>
      </c>
      <c r="I18" s="1562">
        <v>17095.580000000002</v>
      </c>
      <c r="J18" s="1563">
        <v>17924.119704000001</v>
      </c>
      <c r="K18" s="1562">
        <v>19139.808546</v>
      </c>
      <c r="L18" s="1563">
        <v>20347.706646750001</v>
      </c>
      <c r="M18" s="1562">
        <v>20602.626921510004</v>
      </c>
      <c r="N18" s="1563">
        <v>21578.68886531</v>
      </c>
      <c r="O18" s="1562">
        <v>22721.911483739997</v>
      </c>
      <c r="P18" s="1564"/>
      <c r="Q18" s="1565">
        <v>5.2979243806969611E-2</v>
      </c>
      <c r="R18" s="1566">
        <v>4.9438484469246591E-2</v>
      </c>
      <c r="S18" s="1567"/>
      <c r="T18" s="1562">
        <v>23656.322442069995</v>
      </c>
    </row>
    <row r="19" spans="1:20" ht="15" customHeight="1" thickBot="1">
      <c r="A19" s="1542"/>
      <c r="B19" s="1560" t="s">
        <v>504</v>
      </c>
      <c r="C19" s="1580">
        <v>1678.5</v>
      </c>
      <c r="D19" s="1581">
        <v>1778</v>
      </c>
      <c r="E19" s="1580">
        <v>2097.1999999999998</v>
      </c>
      <c r="F19" s="1581">
        <v>2189.9</v>
      </c>
      <c r="G19" s="1580">
        <v>2288</v>
      </c>
      <c r="H19" s="1581">
        <v>2400.1999999999998</v>
      </c>
      <c r="I19" s="1580">
        <v>2502.83</v>
      </c>
      <c r="J19" s="1581">
        <v>2588.5</v>
      </c>
      <c r="K19" s="1580">
        <v>2832.3</v>
      </c>
      <c r="L19" s="1581">
        <v>2994.9866096700002</v>
      </c>
      <c r="M19" s="1580">
        <v>3038.7113187199998</v>
      </c>
      <c r="N19" s="1581">
        <v>3155.0668707</v>
      </c>
      <c r="O19" s="1580">
        <v>3290.4542289599999</v>
      </c>
      <c r="P19" s="1582"/>
      <c r="Q19" s="1583">
        <v>4.2911089941482627E-2</v>
      </c>
      <c r="R19" s="1584">
        <v>4.6072055210291563E-2</v>
      </c>
      <c r="S19" s="1585"/>
      <c r="T19" s="1580">
        <v>3382.4718481499999</v>
      </c>
    </row>
    <row r="20" spans="1:20" s="1551" customFormat="1" ht="16.5" customHeight="1" thickBot="1">
      <c r="A20" s="1542"/>
      <c r="B20" s="1560" t="s">
        <v>505</v>
      </c>
      <c r="C20" s="1586">
        <v>1815.57</v>
      </c>
      <c r="D20" s="1587">
        <v>2087.14</v>
      </c>
      <c r="E20" s="1586">
        <v>2263.1999999999998</v>
      </c>
      <c r="F20" s="1587">
        <v>2476.6</v>
      </c>
      <c r="G20" s="1586">
        <v>2532.8000000000002</v>
      </c>
      <c r="H20" s="1587">
        <v>2671.6</v>
      </c>
      <c r="I20" s="1586">
        <v>2848.4</v>
      </c>
      <c r="J20" s="1587">
        <v>2961.1</v>
      </c>
      <c r="K20" s="1586">
        <v>3025.3</v>
      </c>
      <c r="L20" s="1587">
        <v>3119.6250399999999</v>
      </c>
      <c r="M20" s="1586">
        <v>3230.0145429999998</v>
      </c>
      <c r="N20" s="1587">
        <v>3432.1861340000005</v>
      </c>
      <c r="O20" s="1586">
        <v>3398.253929</v>
      </c>
      <c r="P20" s="1588"/>
      <c r="Q20" s="1589">
        <v>-9.8864699276827173E-3</v>
      </c>
      <c r="R20" s="1590">
        <v>4.1485647314643437E-2</v>
      </c>
      <c r="S20" s="1591"/>
      <c r="T20" s="1586">
        <v>3542.4140867700003</v>
      </c>
    </row>
    <row r="21" spans="1:20" ht="17.25" customHeight="1" thickBot="1">
      <c r="A21" s="1542"/>
      <c r="B21" s="1561" t="s">
        <v>506</v>
      </c>
      <c r="C21" s="1562">
        <v>3901.9</v>
      </c>
      <c r="D21" s="1563">
        <v>3394.7</v>
      </c>
      <c r="E21" s="1562">
        <v>3357.3</v>
      </c>
      <c r="F21" s="1563">
        <v>2846.8</v>
      </c>
      <c r="G21" s="1562">
        <v>2254.1563019999999</v>
      </c>
      <c r="H21" s="1563">
        <v>1604.76</v>
      </c>
      <c r="I21" s="1562">
        <v>1460.47</v>
      </c>
      <c r="J21" s="1563">
        <v>1393.5729260000001</v>
      </c>
      <c r="K21" s="1562">
        <v>1076.3591796200001</v>
      </c>
      <c r="L21" s="1563">
        <v>1181.10792477</v>
      </c>
      <c r="M21" s="1562">
        <v>1126.0691719299998</v>
      </c>
      <c r="N21" s="1563">
        <v>1216.0416881200003</v>
      </c>
      <c r="O21" s="1562">
        <v>1288.55575733</v>
      </c>
      <c r="P21" s="1564"/>
      <c r="Q21" s="1565">
        <v>5.9631236263048226E-2</v>
      </c>
      <c r="R21" s="1566">
        <v>-9.1319294537903994E-2</v>
      </c>
      <c r="S21" s="1567"/>
      <c r="T21" s="1562">
        <v>1272.7774214100002</v>
      </c>
    </row>
    <row r="22" spans="1:20" ht="15" customHeight="1" thickBot="1">
      <c r="A22" s="1542"/>
      <c r="B22" s="1560" t="s">
        <v>507</v>
      </c>
      <c r="C22" s="1580">
        <v>92.3</v>
      </c>
      <c r="D22" s="1581">
        <v>106.4</v>
      </c>
      <c r="E22" s="1580">
        <v>57.8</v>
      </c>
      <c r="F22" s="1581">
        <v>59.7</v>
      </c>
      <c r="G22" s="1580">
        <v>55.1</v>
      </c>
      <c r="H22" s="1581">
        <v>28.1</v>
      </c>
      <c r="I22" s="1580">
        <v>38.17</v>
      </c>
      <c r="J22" s="1581">
        <v>39</v>
      </c>
      <c r="K22" s="1580">
        <v>35.9</v>
      </c>
      <c r="L22" s="1581">
        <v>36.691305870000001</v>
      </c>
      <c r="M22" s="1580">
        <v>42.792587509999997</v>
      </c>
      <c r="N22" s="1581">
        <v>45.914382520000004</v>
      </c>
      <c r="O22" s="1580">
        <v>47.179055349999999</v>
      </c>
      <c r="P22" s="1582"/>
      <c r="Q22" s="1583">
        <v>2.7544154153638312E-2</v>
      </c>
      <c r="R22" s="1584">
        <v>-2.0099136781290827E-2</v>
      </c>
      <c r="S22" s="1585"/>
      <c r="T22" s="1580">
        <v>43.52313178</v>
      </c>
    </row>
    <row r="23" spans="1:20" ht="16.5" customHeight="1" thickBot="1">
      <c r="A23" s="1542"/>
      <c r="B23" s="1561" t="s">
        <v>508</v>
      </c>
      <c r="C23" s="1562">
        <v>512.70000000000005</v>
      </c>
      <c r="D23" s="1563">
        <v>475.9</v>
      </c>
      <c r="E23" s="1562">
        <v>460.1</v>
      </c>
      <c r="F23" s="1563">
        <v>763.9</v>
      </c>
      <c r="G23" s="1562">
        <v>1583.757816</v>
      </c>
      <c r="H23" s="1563">
        <v>2353.3000000000002</v>
      </c>
      <c r="I23" s="1562">
        <v>2395.5</v>
      </c>
      <c r="J23" s="1563">
        <v>2360.4405969999998</v>
      </c>
      <c r="K23" s="1562">
        <v>2754.9745040000003</v>
      </c>
      <c r="L23" s="1563">
        <v>2812.7367870000003</v>
      </c>
      <c r="M23" s="1562">
        <v>2891.0596519999999</v>
      </c>
      <c r="N23" s="1563">
        <v>3037.7777310000001</v>
      </c>
      <c r="O23" s="1562">
        <v>3128.0701190199998</v>
      </c>
      <c r="P23" s="1592"/>
      <c r="Q23" s="1593">
        <v>2.9723171349431254E-2</v>
      </c>
      <c r="R23" s="1594">
        <v>0.21127408214118915</v>
      </c>
      <c r="S23" s="1595"/>
      <c r="T23" s="1562">
        <v>3158.8125223699999</v>
      </c>
    </row>
    <row r="24" spans="1:20" ht="13.5" customHeight="1" thickBot="1">
      <c r="A24" s="1542"/>
      <c r="B24" s="1560"/>
      <c r="C24" s="1586"/>
      <c r="D24" s="1587"/>
      <c r="E24" s="1586"/>
      <c r="F24" s="1587"/>
      <c r="G24" s="1586"/>
      <c r="H24" s="1587"/>
      <c r="I24" s="1586"/>
      <c r="J24" s="1587"/>
      <c r="K24" s="1586"/>
      <c r="L24" s="1587"/>
      <c r="M24" s="1586"/>
      <c r="N24" s="1587"/>
      <c r="O24" s="1586"/>
      <c r="P24" s="1588"/>
      <c r="Q24" s="1589"/>
      <c r="R24" s="1590"/>
      <c r="S24" s="1591"/>
      <c r="T24" s="1586"/>
    </row>
    <row r="25" spans="1:20" ht="17.25" customHeight="1" thickBot="1">
      <c r="A25" s="1552" t="s">
        <v>509</v>
      </c>
      <c r="B25" s="1560"/>
      <c r="C25" s="1553">
        <v>1533.4</v>
      </c>
      <c r="D25" s="1554">
        <v>1599</v>
      </c>
      <c r="E25" s="1553">
        <v>1702.4</v>
      </c>
      <c r="F25" s="1554">
        <v>1632.5</v>
      </c>
      <c r="G25" s="1553">
        <v>1632.6768820000002</v>
      </c>
      <c r="H25" s="1554">
        <v>1670.33</v>
      </c>
      <c r="I25" s="1553">
        <v>1688.25</v>
      </c>
      <c r="J25" s="1554">
        <v>1731.4787729999994</v>
      </c>
      <c r="K25" s="1553">
        <v>1788.6097703800008</v>
      </c>
      <c r="L25" s="1554">
        <v>1637.5543728499972</v>
      </c>
      <c r="M25" s="1553">
        <v>1898.1885889306407</v>
      </c>
      <c r="N25" s="1554">
        <v>1935.891721470005</v>
      </c>
      <c r="O25" s="1553">
        <v>1998.8631799700033</v>
      </c>
      <c r="P25" s="1588"/>
      <c r="Q25" s="1556">
        <v>3.2528399084315263E-2</v>
      </c>
      <c r="R25" s="1557">
        <v>1.6183516048493551E-2</v>
      </c>
      <c r="S25" s="1591"/>
      <c r="T25" s="1559">
        <v>2166.7492885651159</v>
      </c>
    </row>
    <row r="26" spans="1:20" ht="13.5" customHeight="1" thickBot="1">
      <c r="A26" s="1542"/>
      <c r="B26" s="1561" t="s">
        <v>495</v>
      </c>
      <c r="C26" s="1562">
        <v>72.599999999999739</v>
      </c>
      <c r="D26" s="1563">
        <v>80.999999999998636</v>
      </c>
      <c r="E26" s="1562">
        <v>106.80000000000098</v>
      </c>
      <c r="F26" s="1563">
        <v>50.400000000001</v>
      </c>
      <c r="G26" s="1562">
        <v>32.676882000000205</v>
      </c>
      <c r="H26" s="1563">
        <v>42.130000000000337</v>
      </c>
      <c r="I26" s="1562">
        <v>72.150000000000091</v>
      </c>
      <c r="J26" s="1563">
        <v>58.37477299999955</v>
      </c>
      <c r="K26" s="1562">
        <v>57.557770380000875</v>
      </c>
      <c r="L26" s="1563">
        <v>-94.35827220000283</v>
      </c>
      <c r="M26" s="1562">
        <v>59.529167040640459</v>
      </c>
      <c r="N26" s="1563">
        <v>55.906676890004746</v>
      </c>
      <c r="O26" s="1562">
        <v>2.844109160003427</v>
      </c>
      <c r="P26" s="1564"/>
      <c r="Q26" s="1565">
        <v>-0.94912755831295148</v>
      </c>
      <c r="R26" s="1566">
        <v>-0.30411495900634311</v>
      </c>
      <c r="S26" s="1567"/>
      <c r="T26" s="1568">
        <v>98.522917489999998</v>
      </c>
    </row>
    <row r="27" spans="1:20" ht="13.5" customHeight="1" thickBot="1">
      <c r="A27" s="1542"/>
      <c r="B27" s="1561" t="s">
        <v>496</v>
      </c>
      <c r="C27" s="1562">
        <v>1460.8</v>
      </c>
      <c r="D27" s="1563">
        <v>1518</v>
      </c>
      <c r="E27" s="1562">
        <v>1595.6</v>
      </c>
      <c r="F27" s="1563">
        <v>1582.1</v>
      </c>
      <c r="G27" s="1562">
        <v>1600</v>
      </c>
      <c r="H27" s="1563">
        <v>1628.2</v>
      </c>
      <c r="I27" s="1562">
        <v>1616.1</v>
      </c>
      <c r="J27" s="1563">
        <v>1673.1039999999998</v>
      </c>
      <c r="K27" s="1562">
        <v>1731.0519999999999</v>
      </c>
      <c r="L27" s="1563">
        <v>1731.91264505</v>
      </c>
      <c r="M27" s="1562">
        <v>1838.6594218900002</v>
      </c>
      <c r="N27" s="1563">
        <v>1879.9850445800002</v>
      </c>
      <c r="O27" s="1562">
        <v>1996.0190708099999</v>
      </c>
      <c r="P27" s="1564"/>
      <c r="Q27" s="1565">
        <v>6.1720717707050898E-2</v>
      </c>
      <c r="R27" s="1566">
        <v>2.2643037504268992E-2</v>
      </c>
      <c r="S27" s="1567"/>
      <c r="T27" s="1568">
        <v>2068.2263710751158</v>
      </c>
    </row>
    <row r="28" spans="1:20" ht="13.5" customHeight="1" thickBot="1">
      <c r="A28" s="1542"/>
      <c r="B28" s="1560"/>
      <c r="C28" s="1586"/>
      <c r="D28" s="1587"/>
      <c r="E28" s="1586"/>
      <c r="F28" s="1587"/>
      <c r="G28" s="1586"/>
      <c r="H28" s="1587"/>
      <c r="I28" s="1586"/>
      <c r="J28" s="1587"/>
      <c r="K28" s="1586"/>
      <c r="L28" s="1587"/>
      <c r="M28" s="1586"/>
      <c r="N28" s="1587"/>
      <c r="O28" s="1586"/>
      <c r="P28" s="1588"/>
      <c r="Q28" s="1589"/>
      <c r="R28" s="1590"/>
      <c r="S28" s="1591"/>
      <c r="T28" s="1586"/>
    </row>
    <row r="29" spans="1:20" ht="16.5" customHeight="1" thickBot="1">
      <c r="A29" s="1552" t="s">
        <v>510</v>
      </c>
      <c r="B29" s="1542"/>
      <c r="C29" s="1553">
        <v>9085.3793747272994</v>
      </c>
      <c r="D29" s="1554">
        <v>9560.2825838810586</v>
      </c>
      <c r="E29" s="1553">
        <v>9926.5847325363065</v>
      </c>
      <c r="F29" s="1554">
        <v>10325.572601594233</v>
      </c>
      <c r="G29" s="1553">
        <v>10591.609459022906</v>
      </c>
      <c r="H29" s="1554">
        <v>10893.15847164562</v>
      </c>
      <c r="I29" s="1553">
        <v>11201.456825335847</v>
      </c>
      <c r="J29" s="1554">
        <v>11644.809909615662</v>
      </c>
      <c r="K29" s="1553">
        <v>11858.615486006824</v>
      </c>
      <c r="L29" s="1554">
        <v>11246.614142254475</v>
      </c>
      <c r="M29" s="1553">
        <v>11465.835693471246</v>
      </c>
      <c r="N29" s="1554">
        <v>12017.753140617706</v>
      </c>
      <c r="O29" s="1553">
        <v>12915.052323804062</v>
      </c>
      <c r="P29" s="1596"/>
      <c r="Q29" s="1556">
        <v>7.4664471194175075E-2</v>
      </c>
      <c r="R29" s="1557">
        <v>2.666706810902042E-2</v>
      </c>
      <c r="S29" s="1597"/>
      <c r="T29" s="1559">
        <v>14541.442555250784</v>
      </c>
    </row>
    <row r="30" spans="1:20" ht="12.75" customHeight="1" thickBot="1">
      <c r="A30" s="1542"/>
      <c r="B30" s="1542"/>
      <c r="C30" s="1544"/>
      <c r="D30" s="1545"/>
      <c r="E30" s="1544"/>
      <c r="F30" s="1545"/>
      <c r="G30" s="1544"/>
      <c r="H30" s="1545"/>
      <c r="I30" s="1544"/>
      <c r="J30" s="1545"/>
      <c r="K30" s="1544"/>
      <c r="L30" s="1545"/>
      <c r="M30" s="1544"/>
      <c r="N30" s="1545"/>
      <c r="O30" s="1544"/>
      <c r="P30" s="1546"/>
      <c r="Q30" s="1547"/>
      <c r="R30" s="1548"/>
      <c r="S30" s="1549"/>
      <c r="T30" s="1544"/>
    </row>
    <row r="31" spans="1:20" ht="16.5" customHeight="1" thickBot="1">
      <c r="A31" s="1552" t="s">
        <v>493</v>
      </c>
      <c r="B31" s="1542"/>
      <c r="C31" s="1553">
        <v>360.34572496402706</v>
      </c>
      <c r="D31" s="1554">
        <v>367.4485025408178</v>
      </c>
      <c r="E31" s="1553">
        <v>375.28251008174271</v>
      </c>
      <c r="F31" s="1554">
        <v>388.70889016736163</v>
      </c>
      <c r="G31" s="1553">
        <v>420.16510495683008</v>
      </c>
      <c r="H31" s="1554">
        <v>442.73533222173643</v>
      </c>
      <c r="I31" s="1553">
        <v>456.31192849787288</v>
      </c>
      <c r="J31" s="1554">
        <v>462.16066224325613</v>
      </c>
      <c r="K31" s="1553">
        <v>460.54510480676197</v>
      </c>
      <c r="L31" s="1554">
        <v>480.96670935903251</v>
      </c>
      <c r="M31" s="1553">
        <v>500.28122327763629</v>
      </c>
      <c r="N31" s="1554">
        <v>535.48298288401816</v>
      </c>
      <c r="O31" s="1553">
        <v>600.9</v>
      </c>
      <c r="P31" s="1555"/>
      <c r="Q31" s="1556">
        <v>0.12216451167814357</v>
      </c>
      <c r="R31" s="1557">
        <v>4.8200561303448408E-2</v>
      </c>
      <c r="S31" s="1558"/>
      <c r="T31" s="1559">
        <v>637.4</v>
      </c>
    </row>
    <row r="32" spans="1:20" ht="12.75" customHeight="1" thickBot="1">
      <c r="A32" s="1552"/>
      <c r="B32" s="1560"/>
      <c r="C32" s="1598"/>
      <c r="D32" s="1599"/>
      <c r="E32" s="1544"/>
      <c r="F32" s="1545"/>
      <c r="G32" s="1544"/>
      <c r="H32" s="1545"/>
      <c r="I32" s="1544"/>
      <c r="J32" s="1545"/>
      <c r="K32" s="1544"/>
      <c r="L32" s="1545"/>
      <c r="M32" s="1544"/>
      <c r="N32" s="1545"/>
      <c r="O32" s="1544"/>
      <c r="P32" s="1546"/>
      <c r="Q32" s="1547"/>
      <c r="R32" s="1548"/>
      <c r="S32" s="1549"/>
      <c r="T32" s="1600"/>
    </row>
    <row r="33" spans="1:31" ht="17.25" customHeight="1" thickBot="1">
      <c r="A33" s="1601" t="s">
        <v>494</v>
      </c>
      <c r="B33" s="1602"/>
      <c r="C33" s="1603">
        <v>37468.621584899993</v>
      </c>
      <c r="D33" s="1604">
        <v>38209.908416353559</v>
      </c>
      <c r="E33" s="1603">
        <v>39815.013078757198</v>
      </c>
      <c r="F33" s="1604">
        <v>41104.451764019817</v>
      </c>
      <c r="G33" s="1603">
        <v>42842.933951834144</v>
      </c>
      <c r="H33" s="1604">
        <v>45572.841048926202</v>
      </c>
      <c r="I33" s="1603">
        <v>47388.633486638137</v>
      </c>
      <c r="J33" s="1604">
        <v>49265.161352870738</v>
      </c>
      <c r="K33" s="1603">
        <v>51007.71667083916</v>
      </c>
      <c r="L33" s="1604">
        <v>52043.04088068397</v>
      </c>
      <c r="M33" s="1603">
        <v>52773.346851683025</v>
      </c>
      <c r="N33" s="1604">
        <v>55214.945110235072</v>
      </c>
      <c r="O33" s="1603">
        <v>58453.352863864064</v>
      </c>
      <c r="P33" s="1605"/>
      <c r="Q33" s="1606">
        <v>5.8650927700165223E-2</v>
      </c>
      <c r="R33" s="1607">
        <v>3.914524924424434E-2</v>
      </c>
      <c r="S33" s="1608"/>
      <c r="T33" s="1609">
        <v>61378.1</v>
      </c>
    </row>
    <row r="34" spans="1:31" ht="14.25" customHeight="1">
      <c r="A34" s="1610" t="s">
        <v>323</v>
      </c>
      <c r="B34" s="1610"/>
      <c r="C34" s="1611"/>
      <c r="D34" s="1611"/>
      <c r="E34" s="1611"/>
      <c r="F34" s="1611"/>
      <c r="G34" s="1611"/>
      <c r="H34" s="1611"/>
      <c r="I34" s="1611"/>
      <c r="J34" s="1611"/>
      <c r="K34" s="1611"/>
      <c r="L34" s="1493"/>
      <c r="M34" s="1611"/>
      <c r="N34" s="1493"/>
      <c r="O34" s="1611"/>
      <c r="P34" s="1493"/>
      <c r="Q34" s="1493"/>
      <c r="R34" s="1611"/>
      <c r="S34" s="1611"/>
    </row>
    <row r="35" spans="1:31">
      <c r="A35" s="1612"/>
      <c r="B35" s="1610"/>
      <c r="C35" s="1493"/>
      <c r="D35" s="1611"/>
      <c r="E35" s="1493"/>
      <c r="F35" s="1493"/>
      <c r="G35" s="1493"/>
      <c r="H35" s="1493"/>
      <c r="I35" s="1493"/>
      <c r="J35" s="1493"/>
      <c r="K35" s="1493"/>
      <c r="L35" s="1493"/>
      <c r="M35" s="1493"/>
      <c r="N35" s="1493"/>
      <c r="O35" s="1493"/>
      <c r="P35" s="1493"/>
      <c r="Q35" s="1493"/>
      <c r="R35" s="1611"/>
      <c r="S35" s="1493"/>
      <c r="T35" s="1514"/>
      <c r="U35" s="1514"/>
      <c r="V35" s="1514"/>
      <c r="W35" s="1514"/>
      <c r="Z35" s="1514"/>
      <c r="AA35" s="1514"/>
      <c r="AB35" s="1514"/>
      <c r="AC35" s="1514"/>
      <c r="AD35" s="1504"/>
      <c r="AE35" s="1613"/>
    </row>
    <row r="36" spans="1:31">
      <c r="A36" s="1610" t="s">
        <v>497</v>
      </c>
      <c r="B36" s="1610"/>
      <c r="T36" s="1514"/>
      <c r="U36" s="1514"/>
      <c r="V36" s="1514"/>
      <c r="W36" s="1514"/>
    </row>
    <row r="37" spans="1:31">
      <c r="A37" s="1610"/>
      <c r="B37" s="1610"/>
    </row>
    <row r="38" spans="1:31">
      <c r="A38" s="1610"/>
      <c r="B38" s="1610"/>
      <c r="E38" s="1514"/>
      <c r="S38" s="1514"/>
    </row>
    <row r="39" spans="1:31">
      <c r="A39" s="1610" t="s">
        <v>710</v>
      </c>
      <c r="B39" s="1610"/>
    </row>
    <row r="40" spans="1:31">
      <c r="A40" s="1614"/>
      <c r="B40" s="1614"/>
    </row>
    <row r="41" spans="1:31">
      <c r="A41" s="1614"/>
      <c r="B41" s="1614"/>
    </row>
    <row r="42" spans="1:31">
      <c r="A42" s="1614"/>
      <c r="B42" s="1614"/>
    </row>
    <row r="43" spans="1:31">
      <c r="A43" s="1614"/>
      <c r="B43" s="1614"/>
    </row>
    <row r="44" spans="1:31">
      <c r="A44" s="1614"/>
    </row>
    <row r="45" spans="1:31">
      <c r="A45" s="1614"/>
    </row>
    <row r="48" spans="1:31">
      <c r="B48" s="1614"/>
    </row>
    <row r="49" spans="1:2">
      <c r="B49" s="1614"/>
    </row>
    <row r="50" spans="1:2" ht="16">
      <c r="A50" s="1615"/>
      <c r="B50" s="1614"/>
    </row>
    <row r="51" spans="1:2">
      <c r="A51" s="1614"/>
      <c r="B51" s="1614"/>
    </row>
    <row r="52" spans="1:2">
      <c r="A52" s="1614"/>
      <c r="B52" s="1614"/>
    </row>
    <row r="53" spans="1:2">
      <c r="A53" s="1614"/>
      <c r="B53" s="1614"/>
    </row>
    <row r="54" spans="1:2">
      <c r="A54" s="1614"/>
      <c r="B54" s="1614"/>
    </row>
    <row r="55" spans="1:2">
      <c r="A55" s="1614"/>
      <c r="B55" s="1614"/>
    </row>
    <row r="56" spans="1:2">
      <c r="A56" s="1614"/>
      <c r="B56" s="1614"/>
    </row>
    <row r="57" spans="1:2">
      <c r="A57" s="1614"/>
      <c r="B57" s="1614"/>
    </row>
    <row r="58" spans="1:2">
      <c r="A58" s="1614"/>
      <c r="B58" s="1614"/>
    </row>
    <row r="59" spans="1:2">
      <c r="A59" s="1614"/>
      <c r="B59" s="1614"/>
    </row>
    <row r="60" spans="1:2">
      <c r="B60" s="1614"/>
    </row>
    <row r="61" spans="1:2">
      <c r="A61" s="1614"/>
      <c r="B61" s="1614"/>
    </row>
    <row r="62" spans="1:2">
      <c r="A62" s="1614"/>
      <c r="B62" s="1614"/>
    </row>
    <row r="63" spans="1:2">
      <c r="A63" s="1614"/>
      <c r="B63" s="1614"/>
    </row>
    <row r="64" spans="1:2">
      <c r="A64" s="1614"/>
      <c r="B64" s="1614"/>
    </row>
    <row r="65" spans="1:2">
      <c r="A65" s="1614"/>
      <c r="B65" s="1614"/>
    </row>
    <row r="66" spans="1:2">
      <c r="A66" s="1614"/>
      <c r="B66" s="1614"/>
    </row>
    <row r="67" spans="1:2">
      <c r="A67" s="1614"/>
    </row>
    <row r="71" spans="1:2">
      <c r="B71" s="1614"/>
    </row>
    <row r="72" spans="1:2">
      <c r="B72" s="1614"/>
    </row>
    <row r="73" spans="1:2">
      <c r="B73" s="1614"/>
    </row>
    <row r="74" spans="1:2">
      <c r="A74" s="1614"/>
      <c r="B74" s="1614"/>
    </row>
    <row r="75" spans="1:2">
      <c r="A75" s="1614"/>
      <c r="B75" s="1614"/>
    </row>
    <row r="76" spans="1:2">
      <c r="A76" s="1614"/>
      <c r="B76" s="1614"/>
    </row>
    <row r="77" spans="1:2">
      <c r="A77" s="1614"/>
      <c r="B77" s="1614"/>
    </row>
    <row r="78" spans="1:2">
      <c r="A78" s="1614"/>
      <c r="B78" s="1614"/>
    </row>
    <row r="79" spans="1:2">
      <c r="A79" s="1614"/>
      <c r="B79" s="1614"/>
    </row>
    <row r="80" spans="1:2" ht="16">
      <c r="A80" s="1615"/>
      <c r="B80" s="1614"/>
    </row>
    <row r="81" spans="1:2">
      <c r="A81" s="1614"/>
      <c r="B81" s="1614"/>
    </row>
    <row r="82" spans="1:2">
      <c r="B82" s="1614"/>
    </row>
    <row r="83" spans="1:2">
      <c r="A83" s="1614"/>
      <c r="B83" s="1614"/>
    </row>
    <row r="84" spans="1:2">
      <c r="A84" s="1614"/>
      <c r="B84" s="1614"/>
    </row>
    <row r="85" spans="1:2">
      <c r="A85" s="1614"/>
      <c r="B85" s="1614"/>
    </row>
    <row r="86" spans="1:2">
      <c r="A86" s="1614"/>
      <c r="B86" s="1614"/>
    </row>
  </sheetData>
  <phoneticPr fontId="88" type="noConversion"/>
  <pageMargins left="0.28000000000000003" right="0.35433070866141736" top="0.59055118110236227" bottom="0.35433070866141736" header="0.23622047244094491" footer="0.19685039370078741"/>
  <pageSetup paperSize="9" scale="72" orientation="landscape" cellComments="asDisplayed"/>
  <headerFooter alignWithMargins="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C9041-0793-5F43-A738-479F8FE34249}">
  <dimension ref="A1:V110"/>
  <sheetViews>
    <sheetView topLeftCell="A83" zoomScale="75" workbookViewId="0">
      <selection activeCell="B80" sqref="B80"/>
    </sheetView>
  </sheetViews>
  <sheetFormatPr baseColWidth="10" defaultColWidth="10.3984375" defaultRowHeight="13"/>
  <cols>
    <col min="1" max="1" width="3.59765625" style="1221" customWidth="1"/>
    <col min="2" max="2" width="3" style="1221" customWidth="1"/>
    <col min="3" max="3" width="49.3984375" style="1221" customWidth="1"/>
    <col min="4" max="4" width="0.3984375" style="1221" customWidth="1"/>
    <col min="5" max="5" width="10.3984375" style="1221" hidden="1" customWidth="1"/>
    <col min="6" max="6" width="10.19921875" style="1221" customWidth="1"/>
    <col min="7" max="12" width="10.3984375" style="1221" customWidth="1"/>
    <col min="13" max="13" width="9.3984375" style="1221" customWidth="1"/>
    <col min="14" max="14" width="10.3984375" style="1221" customWidth="1"/>
    <col min="15" max="15" width="9.3984375" style="1221" customWidth="1"/>
    <col min="16" max="16" width="10.3984375" style="1221" customWidth="1"/>
    <col min="17" max="17" width="2.796875" style="1221" customWidth="1"/>
    <col min="18" max="18" width="10.796875" style="1221" customWidth="1"/>
    <col min="19" max="19" width="10.59765625" style="1221" customWidth="1"/>
    <col min="20" max="20" width="2.796875" style="1221" customWidth="1"/>
    <col min="21" max="21" width="11.3984375" style="1221" customWidth="1"/>
    <col min="22" max="16384" width="10.3984375" style="1221"/>
  </cols>
  <sheetData>
    <row r="1" spans="1:22" ht="16">
      <c r="A1" s="1219"/>
      <c r="B1" s="1220" t="s">
        <v>87</v>
      </c>
      <c r="C1" s="1219"/>
      <c r="D1" s="1219"/>
      <c r="E1" s="1219"/>
      <c r="F1" s="1219"/>
      <c r="G1" s="1219"/>
      <c r="H1" s="1219"/>
      <c r="I1" s="1219"/>
      <c r="J1" s="1219"/>
      <c r="K1" s="1219"/>
      <c r="L1" s="1219"/>
      <c r="M1" s="1219"/>
      <c r="N1" s="1219"/>
      <c r="O1" s="1219"/>
      <c r="P1" s="1219"/>
      <c r="Q1" s="1219"/>
      <c r="R1" s="1219"/>
      <c r="S1" s="1219"/>
      <c r="T1" s="1219"/>
    </row>
    <row r="2" spans="1:22" ht="14.25" customHeight="1" thickBot="1">
      <c r="A2" s="1219"/>
      <c r="B2" s="1222"/>
      <c r="C2" s="1222"/>
      <c r="D2" s="1222"/>
      <c r="E2" s="1222"/>
      <c r="F2" s="1222"/>
      <c r="G2" s="1222"/>
      <c r="H2" s="1222"/>
      <c r="I2" s="1222"/>
      <c r="J2" s="1222"/>
      <c r="K2" s="1222"/>
      <c r="L2" s="1222"/>
      <c r="M2" s="1222"/>
      <c r="N2" s="1222"/>
      <c r="O2" s="1222"/>
      <c r="P2" s="1222"/>
      <c r="Q2" s="1222"/>
      <c r="R2" s="1222"/>
      <c r="S2" s="1222"/>
      <c r="T2" s="1222"/>
    </row>
    <row r="3" spans="1:22" ht="13.5" customHeight="1">
      <c r="A3" s="1219"/>
      <c r="B3" s="1223"/>
      <c r="C3" s="1223"/>
      <c r="D3" s="1224"/>
      <c r="E3" s="1223"/>
      <c r="F3" s="1224"/>
      <c r="G3" s="1223"/>
      <c r="H3" s="1224"/>
      <c r="I3" s="1225"/>
      <c r="J3" s="1226"/>
      <c r="K3" s="1225"/>
      <c r="L3" s="1226"/>
      <c r="M3" s="1225"/>
      <c r="N3" s="1226"/>
      <c r="O3" s="1225"/>
      <c r="P3" s="1226"/>
      <c r="Q3" s="1227"/>
      <c r="R3" s="1226" t="s">
        <v>1801</v>
      </c>
      <c r="S3" s="1228" t="s">
        <v>88</v>
      </c>
      <c r="T3" s="1229"/>
      <c r="U3" s="1230" t="s">
        <v>1964</v>
      </c>
    </row>
    <row r="4" spans="1:22" ht="15.75" customHeight="1">
      <c r="A4" s="1219"/>
      <c r="B4" s="1231" t="s">
        <v>448</v>
      </c>
      <c r="C4" s="1232"/>
      <c r="D4" s="1233">
        <v>1996</v>
      </c>
      <c r="E4" s="1234">
        <v>1997</v>
      </c>
      <c r="F4" s="1233">
        <v>1998</v>
      </c>
      <c r="G4" s="1234">
        <v>1999</v>
      </c>
      <c r="H4" s="1233">
        <v>2000</v>
      </c>
      <c r="I4" s="1234">
        <v>2001</v>
      </c>
      <c r="J4" s="1233">
        <v>2002</v>
      </c>
      <c r="K4" s="1234">
        <v>2003</v>
      </c>
      <c r="L4" s="1233">
        <v>2004</v>
      </c>
      <c r="M4" s="1234">
        <v>2005</v>
      </c>
      <c r="N4" s="1233">
        <v>2006</v>
      </c>
      <c r="O4" s="1234">
        <v>2007</v>
      </c>
      <c r="P4" s="1233">
        <v>2008</v>
      </c>
      <c r="Q4" s="1235"/>
      <c r="R4" s="1226" t="s">
        <v>325</v>
      </c>
      <c r="S4" s="1236" t="s">
        <v>89</v>
      </c>
      <c r="T4" s="1237"/>
      <c r="U4" s="1238" t="s">
        <v>449</v>
      </c>
    </row>
    <row r="5" spans="1:22" ht="9.75" customHeight="1">
      <c r="A5" s="1219"/>
      <c r="B5" s="1231"/>
      <c r="C5" s="1232"/>
      <c r="D5" s="1239"/>
      <c r="E5" s="1240"/>
      <c r="F5" s="1239"/>
      <c r="G5" s="1240"/>
      <c r="H5" s="1239"/>
      <c r="I5" s="1241"/>
      <c r="J5" s="1242"/>
      <c r="K5" s="1241"/>
      <c r="L5" s="1242"/>
      <c r="M5" s="1241"/>
      <c r="N5" s="1242"/>
      <c r="O5" s="1241"/>
      <c r="P5" s="1242"/>
      <c r="Q5" s="1243"/>
      <c r="R5" s="1242"/>
      <c r="S5" s="1236" t="s">
        <v>44</v>
      </c>
      <c r="T5" s="1237"/>
      <c r="U5" s="1239"/>
    </row>
    <row r="6" spans="1:22" ht="9.75" customHeight="1">
      <c r="A6" s="1219"/>
      <c r="B6" s="1244"/>
      <c r="C6" s="1245"/>
      <c r="D6" s="1246"/>
      <c r="E6" s="1247"/>
      <c r="F6" s="1246"/>
      <c r="G6" s="1247"/>
      <c r="H6" s="1246"/>
      <c r="I6" s="1248"/>
      <c r="J6" s="1249"/>
      <c r="K6" s="1248"/>
      <c r="L6" s="1249"/>
      <c r="M6" s="1248"/>
      <c r="N6" s="1249"/>
      <c r="O6" s="1248"/>
      <c r="P6" s="1249"/>
      <c r="Q6" s="1250"/>
      <c r="R6" s="1249"/>
      <c r="S6" s="1251" t="s">
        <v>326</v>
      </c>
      <c r="T6" s="1252"/>
      <c r="U6" s="1246"/>
    </row>
    <row r="7" spans="1:22" ht="17.25" customHeight="1" thickBot="1">
      <c r="A7" s="2036" t="s">
        <v>90</v>
      </c>
      <c r="B7" s="1253" t="s">
        <v>450</v>
      </c>
      <c r="C7" s="1254"/>
      <c r="D7" s="1255">
        <v>15102.8</v>
      </c>
      <c r="E7" s="1256">
        <v>15124.7</v>
      </c>
      <c r="F7" s="1255">
        <v>15686.5</v>
      </c>
      <c r="G7" s="1256">
        <v>15981.6</v>
      </c>
      <c r="H7" s="1255">
        <v>16973.123118</v>
      </c>
      <c r="I7" s="1256">
        <v>17916.27</v>
      </c>
      <c r="J7" s="1255">
        <v>18410.55</v>
      </c>
      <c r="K7" s="1256">
        <v>19050.633227000002</v>
      </c>
      <c r="L7" s="1255">
        <v>20102.942229619999</v>
      </c>
      <c r="M7" s="1256">
        <v>21309.873442980002</v>
      </c>
      <c r="N7" s="1255">
        <v>21538.251839210003</v>
      </c>
      <c r="O7" s="1256">
        <v>22631.527031209996</v>
      </c>
      <c r="P7" s="1255">
        <v>23800.904075779996</v>
      </c>
      <c r="Q7" s="1257"/>
      <c r="R7" s="1258">
        <v>5.1670267011031612E-2</v>
      </c>
      <c r="S7" s="1259">
        <v>4.2573639544947861E-2</v>
      </c>
      <c r="T7" s="1260"/>
      <c r="U7" s="1255">
        <v>24661.917405919998</v>
      </c>
    </row>
    <row r="8" spans="1:22" ht="14" thickBot="1">
      <c r="A8" s="2037"/>
      <c r="B8" s="1261"/>
      <c r="C8" s="1262" t="s">
        <v>91</v>
      </c>
      <c r="D8" s="1263">
        <v>10780.5</v>
      </c>
      <c r="E8" s="1264">
        <v>11360.5</v>
      </c>
      <c r="F8" s="1263">
        <v>11926.9</v>
      </c>
      <c r="G8" s="1264">
        <v>12430.6</v>
      </c>
      <c r="H8" s="1263">
        <v>13190.308999999999</v>
      </c>
      <c r="I8" s="1264">
        <v>13986.27</v>
      </c>
      <c r="J8" s="1263">
        <v>14592.75</v>
      </c>
      <c r="K8" s="1264">
        <v>15335.619704000001</v>
      </c>
      <c r="L8" s="1263">
        <v>16307.508545999999</v>
      </c>
      <c r="M8" s="1264">
        <v>17352.720037080002</v>
      </c>
      <c r="N8" s="1263">
        <v>17563.915602790003</v>
      </c>
      <c r="O8" s="1264">
        <v>18423.621994609999</v>
      </c>
      <c r="P8" s="1263">
        <v>19431.457254779998</v>
      </c>
      <c r="Q8" s="1265"/>
      <c r="R8" s="1266">
        <v>5.4703426962670498E-2</v>
      </c>
      <c r="S8" s="1267">
        <v>5.0020503120237647E-2</v>
      </c>
      <c r="T8" s="1268"/>
      <c r="U8" s="1263">
        <v>20273.850593919997</v>
      </c>
    </row>
    <row r="9" spans="1:22" ht="14" thickBot="1">
      <c r="A9" s="2037"/>
      <c r="B9" s="1261"/>
      <c r="C9" s="1262" t="s">
        <v>92</v>
      </c>
      <c r="D9" s="1263">
        <v>3809.6</v>
      </c>
      <c r="E9" s="1264">
        <v>3288.3</v>
      </c>
      <c r="F9" s="1263">
        <v>3299.5</v>
      </c>
      <c r="G9" s="1264">
        <v>2787.1</v>
      </c>
      <c r="H9" s="1263">
        <v>2199.056302</v>
      </c>
      <c r="I9" s="1264">
        <v>1576.7</v>
      </c>
      <c r="J9" s="1263">
        <v>1422.3</v>
      </c>
      <c r="K9" s="1264">
        <v>1354.5729260000001</v>
      </c>
      <c r="L9" s="1263">
        <v>1040.45917962</v>
      </c>
      <c r="M9" s="1264">
        <v>1144.4166189</v>
      </c>
      <c r="N9" s="1263">
        <v>1083.2765844199998</v>
      </c>
      <c r="O9" s="1264">
        <v>1170.1273056000002</v>
      </c>
      <c r="P9" s="1263">
        <v>1241.37670198</v>
      </c>
      <c r="Q9" s="1265"/>
      <c r="R9" s="1266">
        <v>6.089029461923845E-2</v>
      </c>
      <c r="S9" s="1267">
        <v>-9.3128934116772255E-2</v>
      </c>
      <c r="T9" s="1268"/>
      <c r="U9" s="1263">
        <v>1229.2542896300001</v>
      </c>
    </row>
    <row r="10" spans="1:22" ht="14" thickBot="1">
      <c r="A10" s="2037"/>
      <c r="B10" s="1261"/>
      <c r="C10" s="1262" t="s">
        <v>93</v>
      </c>
      <c r="D10" s="1263">
        <v>512.70000000000005</v>
      </c>
      <c r="E10" s="1264">
        <v>475.9</v>
      </c>
      <c r="F10" s="1263">
        <v>460.1</v>
      </c>
      <c r="G10" s="1264">
        <v>763.9</v>
      </c>
      <c r="H10" s="1263">
        <v>1583.757816</v>
      </c>
      <c r="I10" s="1264">
        <v>2353.3000000000002</v>
      </c>
      <c r="J10" s="1263">
        <v>2395.5</v>
      </c>
      <c r="K10" s="1264">
        <v>2360.4405969999998</v>
      </c>
      <c r="L10" s="1263">
        <v>2754.9745040000003</v>
      </c>
      <c r="M10" s="1264">
        <v>2812.7367870000003</v>
      </c>
      <c r="N10" s="1263">
        <v>2891.0596519999999</v>
      </c>
      <c r="O10" s="1264">
        <v>3037.7777310000001</v>
      </c>
      <c r="P10" s="1263">
        <v>3128.0701190199998</v>
      </c>
      <c r="Q10" s="1265"/>
      <c r="R10" s="1266">
        <v>2.9723171349431254E-2</v>
      </c>
      <c r="S10" s="1267">
        <v>0.21127408214118915</v>
      </c>
      <c r="T10" s="1268"/>
      <c r="U10" s="1263">
        <v>3158.8125223699999</v>
      </c>
    </row>
    <row r="11" spans="1:22" ht="7.5" customHeight="1" thickBot="1">
      <c r="A11" s="2037"/>
      <c r="B11" s="1261"/>
      <c r="C11" s="1261"/>
      <c r="D11" s="1269"/>
      <c r="E11" s="1270"/>
      <c r="F11" s="1269"/>
      <c r="G11" s="1270"/>
      <c r="H11" s="1269"/>
      <c r="I11" s="1270"/>
      <c r="J11" s="1269"/>
      <c r="K11" s="1270"/>
      <c r="L11" s="1269"/>
      <c r="M11" s="1270"/>
      <c r="N11" s="1269"/>
      <c r="O11" s="1270"/>
      <c r="P11" s="1269"/>
      <c r="Q11" s="1271"/>
      <c r="R11" s="1272"/>
      <c r="S11" s="1273"/>
      <c r="T11" s="1274"/>
      <c r="U11" s="1275"/>
    </row>
    <row r="12" spans="1:22" ht="16.5" customHeight="1" thickBot="1">
      <c r="A12" s="2037"/>
      <c r="B12" s="1276" t="s">
        <v>451</v>
      </c>
      <c r="C12" s="1261"/>
      <c r="D12" s="1277">
        <v>72.599999999999739</v>
      </c>
      <c r="E12" s="1278">
        <v>80.999999999998636</v>
      </c>
      <c r="F12" s="1277">
        <v>106.80000000000098</v>
      </c>
      <c r="G12" s="1278">
        <v>50.400000000001</v>
      </c>
      <c r="H12" s="1277">
        <v>32.676882000000205</v>
      </c>
      <c r="I12" s="1278">
        <v>42.130000000000337</v>
      </c>
      <c r="J12" s="1277">
        <v>72.150000000000091</v>
      </c>
      <c r="K12" s="1278">
        <v>58.37477299999955</v>
      </c>
      <c r="L12" s="1277">
        <v>57.557770380000875</v>
      </c>
      <c r="M12" s="1278">
        <v>-94.35827220000283</v>
      </c>
      <c r="N12" s="1277">
        <v>59.529167040640459</v>
      </c>
      <c r="O12" s="1278">
        <v>55.906676890004746</v>
      </c>
      <c r="P12" s="1277">
        <v>2.844109160003427</v>
      </c>
      <c r="Q12" s="1279"/>
      <c r="R12" s="1280">
        <v>-0.94912755831295148</v>
      </c>
      <c r="S12" s="1281">
        <v>-0.30411495900634311</v>
      </c>
      <c r="T12" s="1282"/>
      <c r="U12" s="1283">
        <v>98.522917489999998</v>
      </c>
      <c r="V12" s="1282"/>
    </row>
    <row r="13" spans="1:22" ht="9" customHeight="1" thickBot="1">
      <c r="A13" s="2037"/>
      <c r="B13" s="1261"/>
      <c r="C13" s="1261"/>
      <c r="D13" s="1269"/>
      <c r="E13" s="1270"/>
      <c r="F13" s="1269"/>
      <c r="G13" s="1270"/>
      <c r="H13" s="1269"/>
      <c r="I13" s="1270"/>
      <c r="J13" s="1269"/>
      <c r="K13" s="1270"/>
      <c r="L13" s="1269"/>
      <c r="M13" s="1270"/>
      <c r="N13" s="1269"/>
      <c r="O13" s="1270"/>
      <c r="P13" s="1269"/>
      <c r="Q13" s="1271"/>
      <c r="R13" s="1272"/>
      <c r="S13" s="1273"/>
      <c r="T13" s="1274"/>
      <c r="U13" s="1275"/>
      <c r="V13" s="1284"/>
    </row>
    <row r="14" spans="1:22" ht="16.5" customHeight="1" thickBot="1">
      <c r="A14" s="2037"/>
      <c r="B14" s="1276" t="s">
        <v>452</v>
      </c>
      <c r="C14" s="1261"/>
      <c r="D14" s="1277">
        <v>15175.4</v>
      </c>
      <c r="E14" s="1278">
        <v>15205.7</v>
      </c>
      <c r="F14" s="1277">
        <v>15793.3</v>
      </c>
      <c r="G14" s="1278">
        <v>16032</v>
      </c>
      <c r="H14" s="1277">
        <v>17005.8</v>
      </c>
      <c r="I14" s="1278">
        <v>17958.400000000001</v>
      </c>
      <c r="J14" s="1277">
        <v>18482.7</v>
      </c>
      <c r="K14" s="1278">
        <v>19109.008000000002</v>
      </c>
      <c r="L14" s="1277">
        <v>20160.5</v>
      </c>
      <c r="M14" s="1278">
        <v>21215.51517078</v>
      </c>
      <c r="N14" s="1277">
        <v>21597.781006250643</v>
      </c>
      <c r="O14" s="1278">
        <v>22687.433708100001</v>
      </c>
      <c r="P14" s="1277">
        <v>23803.748184939999</v>
      </c>
      <c r="Q14" s="1279"/>
      <c r="R14" s="1280">
        <v>4.9204087654984408E-2</v>
      </c>
      <c r="S14" s="1281">
        <v>4.1878908116456337E-2</v>
      </c>
      <c r="T14" s="1282"/>
      <c r="U14" s="1283">
        <v>24760.440323409995</v>
      </c>
      <c r="V14" s="1282"/>
    </row>
    <row r="15" spans="1:22" ht="8.25" customHeight="1" thickBot="1">
      <c r="A15" s="2037"/>
      <c r="B15" s="1261"/>
      <c r="C15" s="1261"/>
      <c r="D15" s="1269"/>
      <c r="E15" s="1270"/>
      <c r="F15" s="1269"/>
      <c r="G15" s="1270"/>
      <c r="H15" s="1269"/>
      <c r="I15" s="1270"/>
      <c r="J15" s="1269"/>
      <c r="K15" s="1270"/>
      <c r="L15" s="1269"/>
      <c r="M15" s="1270"/>
      <c r="N15" s="1269"/>
      <c r="O15" s="1270"/>
      <c r="P15" s="1269"/>
      <c r="Q15" s="1271"/>
      <c r="R15" s="1272"/>
      <c r="S15" s="1273"/>
      <c r="T15" s="1274"/>
      <c r="U15" s="1275"/>
      <c r="V15" s="1284"/>
    </row>
    <row r="16" spans="1:22" ht="16.5" customHeight="1" thickBot="1">
      <c r="A16" s="2037"/>
      <c r="B16" s="1276" t="s">
        <v>453</v>
      </c>
      <c r="C16" s="1261"/>
      <c r="D16" s="1277">
        <v>1460.8</v>
      </c>
      <c r="E16" s="1278">
        <v>1518</v>
      </c>
      <c r="F16" s="1277">
        <v>1595.6</v>
      </c>
      <c r="G16" s="1278">
        <v>1582.1</v>
      </c>
      <c r="H16" s="1277">
        <v>1600</v>
      </c>
      <c r="I16" s="1278">
        <v>1628.2</v>
      </c>
      <c r="J16" s="1277">
        <v>1616.1</v>
      </c>
      <c r="K16" s="1278">
        <v>1673.1039999999998</v>
      </c>
      <c r="L16" s="1277">
        <v>1731.0519999999999</v>
      </c>
      <c r="M16" s="1278">
        <v>1731.91264505</v>
      </c>
      <c r="N16" s="1277">
        <v>1838.6594218900002</v>
      </c>
      <c r="O16" s="1278">
        <v>1879.9850445800002</v>
      </c>
      <c r="P16" s="1277">
        <v>1996.0190708099999</v>
      </c>
      <c r="Q16" s="1279"/>
      <c r="R16" s="1280">
        <v>6.1720717707050898E-2</v>
      </c>
      <c r="S16" s="1281">
        <v>2.2643037504268992E-2</v>
      </c>
      <c r="T16" s="1282"/>
      <c r="U16" s="1283">
        <v>2068.2263710751158</v>
      </c>
      <c r="V16" s="1282"/>
    </row>
    <row r="17" spans="1:21" ht="8.25" customHeight="1" thickBot="1">
      <c r="A17" s="2037"/>
      <c r="B17" s="1261"/>
      <c r="C17" s="1261"/>
      <c r="D17" s="1285"/>
      <c r="E17" s="1261"/>
      <c r="F17" s="1285"/>
      <c r="G17" s="1261"/>
      <c r="H17" s="1285"/>
      <c r="I17" s="1261"/>
      <c r="J17" s="1285"/>
      <c r="K17" s="1261"/>
      <c r="L17" s="1285"/>
      <c r="M17" s="1261"/>
      <c r="N17" s="1285"/>
      <c r="O17" s="1261"/>
      <c r="P17" s="1285"/>
      <c r="Q17" s="1286"/>
      <c r="R17" s="1272"/>
      <c r="S17" s="1273"/>
      <c r="T17" s="1274"/>
      <c r="U17" s="1275"/>
    </row>
    <row r="18" spans="1:21" ht="16.5" customHeight="1" thickBot="1">
      <c r="A18" s="2037"/>
      <c r="B18" s="1276" t="s">
        <v>454</v>
      </c>
      <c r="C18" s="1261"/>
      <c r="D18" s="1277">
        <v>16636.2</v>
      </c>
      <c r="E18" s="1278">
        <v>16723.7</v>
      </c>
      <c r="F18" s="1277">
        <v>17388.900000000001</v>
      </c>
      <c r="G18" s="1278">
        <v>17614.099999999999</v>
      </c>
      <c r="H18" s="1277">
        <v>18605.8</v>
      </c>
      <c r="I18" s="1278">
        <v>19586.599999999999</v>
      </c>
      <c r="J18" s="1277">
        <v>20098.8</v>
      </c>
      <c r="K18" s="1278">
        <v>20782.112000000001</v>
      </c>
      <c r="L18" s="1277">
        <v>21891.552</v>
      </c>
      <c r="M18" s="1278">
        <v>22947.42781583</v>
      </c>
      <c r="N18" s="1277">
        <v>23436.440428140642</v>
      </c>
      <c r="O18" s="1278">
        <v>24567.418752680001</v>
      </c>
      <c r="P18" s="1277">
        <v>25799.767255750001</v>
      </c>
      <c r="Q18" s="1287"/>
      <c r="R18" s="1280">
        <v>5.0161904084268683E-2</v>
      </c>
      <c r="S18" s="1281">
        <v>4.0241959976411446E-2</v>
      </c>
      <c r="T18" s="1279"/>
      <c r="U18" s="1283">
        <v>26828.666694485109</v>
      </c>
    </row>
    <row r="19" spans="1:21" ht="14" thickBot="1">
      <c r="A19" s="2037"/>
      <c r="B19" s="1261"/>
      <c r="C19" s="1262" t="s">
        <v>91</v>
      </c>
      <c r="D19" s="1263">
        <v>11739.7</v>
      </c>
      <c r="E19" s="1264">
        <v>12260.3</v>
      </c>
      <c r="F19" s="1263">
        <v>12798.7</v>
      </c>
      <c r="G19" s="1264">
        <v>13282.2</v>
      </c>
      <c r="H19" s="1263">
        <v>14059.1</v>
      </c>
      <c r="I19" s="1264">
        <v>14886.7</v>
      </c>
      <c r="J19" s="1263">
        <v>15483.3</v>
      </c>
      <c r="K19" s="1264">
        <v>16304.208000000002</v>
      </c>
      <c r="L19" s="1263">
        <v>17379.804</v>
      </c>
      <c r="M19" s="1264">
        <v>18272.676915579999</v>
      </c>
      <c r="N19" s="1263">
        <v>18616.168259350641</v>
      </c>
      <c r="O19" s="1264">
        <v>19476.572300669999</v>
      </c>
      <c r="P19" s="1263">
        <v>20552.327783749999</v>
      </c>
      <c r="Q19" s="1265"/>
      <c r="R19" s="1266">
        <v>5.5233306275509042E-2</v>
      </c>
      <c r="S19" s="1267">
        <v>4.8502609909474526E-2</v>
      </c>
      <c r="T19" s="1268"/>
      <c r="U19" s="1288">
        <v>21466.766805832616</v>
      </c>
    </row>
    <row r="20" spans="1:21" ht="14" thickBot="1">
      <c r="A20" s="2037"/>
      <c r="B20" s="1261"/>
      <c r="C20" s="1262" t="s">
        <v>92</v>
      </c>
      <c r="D20" s="1263">
        <v>4375.2</v>
      </c>
      <c r="E20" s="1264">
        <v>3892.3</v>
      </c>
      <c r="F20" s="1263">
        <v>4038.2</v>
      </c>
      <c r="G20" s="1264">
        <v>3415.2</v>
      </c>
      <c r="H20" s="1263">
        <v>2646.1</v>
      </c>
      <c r="I20" s="1264">
        <v>1875.9</v>
      </c>
      <c r="J20" s="1263">
        <v>1740.9</v>
      </c>
      <c r="K20" s="1264">
        <v>1645.404</v>
      </c>
      <c r="L20" s="1263">
        <v>1205.748</v>
      </c>
      <c r="M20" s="1264">
        <v>1392.2470854699995</v>
      </c>
      <c r="N20" s="1263">
        <v>1351.0005863899996</v>
      </c>
      <c r="O20" s="1264">
        <v>1445.5131748099991</v>
      </c>
      <c r="P20" s="1263">
        <v>1567.1814719999993</v>
      </c>
      <c r="Q20" s="1265"/>
      <c r="R20" s="1266">
        <v>8.4169621771861491E-2</v>
      </c>
      <c r="S20" s="1267">
        <v>-9.0310574416239242E-2</v>
      </c>
      <c r="T20" s="1268"/>
      <c r="U20" s="1288">
        <v>1567.4972185878405</v>
      </c>
    </row>
    <row r="21" spans="1:21" ht="14" thickBot="1">
      <c r="A21" s="2037"/>
      <c r="B21" s="1261"/>
      <c r="C21" s="1262" t="s">
        <v>93</v>
      </c>
      <c r="D21" s="1263">
        <v>521.29999999999995</v>
      </c>
      <c r="E21" s="1264">
        <v>571.1</v>
      </c>
      <c r="F21" s="1263">
        <v>552</v>
      </c>
      <c r="G21" s="1264">
        <v>916.7</v>
      </c>
      <c r="H21" s="1263">
        <v>1900.6</v>
      </c>
      <c r="I21" s="1264">
        <v>2824</v>
      </c>
      <c r="J21" s="1263">
        <v>2874.6</v>
      </c>
      <c r="K21" s="1264">
        <v>2832.5</v>
      </c>
      <c r="L21" s="1263">
        <v>3306</v>
      </c>
      <c r="M21" s="1264">
        <v>3282.5038147800005</v>
      </c>
      <c r="N21" s="1263">
        <v>3469.2715824000006</v>
      </c>
      <c r="O21" s="1264">
        <v>3645.3332772000026</v>
      </c>
      <c r="P21" s="1263">
        <v>3680.2580000000016</v>
      </c>
      <c r="Q21" s="1265"/>
      <c r="R21" s="1266">
        <v>9.5806666069295776E-3</v>
      </c>
      <c r="S21" s="1267">
        <v>0.20890985727369138</v>
      </c>
      <c r="T21" s="1268"/>
      <c r="U21" s="1288">
        <v>3794.402670064655</v>
      </c>
    </row>
    <row r="22" spans="1:21" ht="14" thickBot="1">
      <c r="A22" s="2037"/>
      <c r="B22" s="1261"/>
      <c r="C22" s="1262"/>
      <c r="D22" s="1289"/>
      <c r="E22" s="1290"/>
      <c r="F22" s="1289"/>
      <c r="G22" s="1290"/>
      <c r="H22" s="1289"/>
      <c r="I22" s="1290"/>
      <c r="J22" s="1289"/>
      <c r="K22" s="1290"/>
      <c r="L22" s="1289"/>
      <c r="M22" s="1290"/>
      <c r="N22" s="1289"/>
      <c r="O22" s="1290"/>
      <c r="P22" s="1289"/>
      <c r="Q22" s="1291"/>
      <c r="R22" s="1292"/>
      <c r="S22" s="1293"/>
      <c r="T22" s="1294"/>
      <c r="U22" s="1295"/>
    </row>
    <row r="23" spans="1:21" ht="17.25" customHeight="1" thickBot="1">
      <c r="A23" s="2037"/>
      <c r="B23" s="1276" t="s">
        <v>455</v>
      </c>
      <c r="C23" s="1261"/>
      <c r="D23" s="1277">
        <v>1770.8</v>
      </c>
      <c r="E23" s="1278">
        <v>1884.4</v>
      </c>
      <c r="F23" s="1277">
        <v>2155</v>
      </c>
      <c r="G23" s="1278">
        <v>2249.6</v>
      </c>
      <c r="H23" s="1277">
        <v>2343.1</v>
      </c>
      <c r="I23" s="1278">
        <v>2428.2489999999998</v>
      </c>
      <c r="J23" s="1277">
        <v>2541</v>
      </c>
      <c r="K23" s="1278">
        <v>2627.5</v>
      </c>
      <c r="L23" s="1277">
        <v>2868.2</v>
      </c>
      <c r="M23" s="1278">
        <v>3031.6779155400004</v>
      </c>
      <c r="N23" s="1277">
        <v>3081.5039062299998</v>
      </c>
      <c r="O23" s="1278">
        <v>3200.9812532199999</v>
      </c>
      <c r="P23" s="1277">
        <v>3337.6332843099999</v>
      </c>
      <c r="Q23" s="1287"/>
      <c r="R23" s="1280">
        <v>4.2690668979250113E-2</v>
      </c>
      <c r="S23" s="1281">
        <v>4.4718136790229623E-2</v>
      </c>
      <c r="T23" s="1279"/>
      <c r="U23" s="1277">
        <v>3425.9949799299998</v>
      </c>
    </row>
    <row r="24" spans="1:21" ht="14" thickBot="1">
      <c r="A24" s="2037"/>
      <c r="B24" s="1261"/>
      <c r="C24" s="1262" t="s">
        <v>91</v>
      </c>
      <c r="D24" s="1263">
        <v>1678.5</v>
      </c>
      <c r="E24" s="1264">
        <v>1778</v>
      </c>
      <c r="F24" s="1263">
        <v>2097.1999999999998</v>
      </c>
      <c r="G24" s="1264">
        <v>2189.9</v>
      </c>
      <c r="H24" s="1263">
        <v>2288</v>
      </c>
      <c r="I24" s="1264">
        <v>2400.1889999999999</v>
      </c>
      <c r="J24" s="1263">
        <v>2502.83</v>
      </c>
      <c r="K24" s="1264">
        <v>2588.5</v>
      </c>
      <c r="L24" s="1263">
        <v>2832.3</v>
      </c>
      <c r="M24" s="1264">
        <v>2994.9866096700002</v>
      </c>
      <c r="N24" s="1263">
        <v>3038.7113187199998</v>
      </c>
      <c r="O24" s="1264">
        <v>3155.0668707</v>
      </c>
      <c r="P24" s="1263">
        <v>3290.4542289599999</v>
      </c>
      <c r="Q24" s="1265"/>
      <c r="R24" s="1266">
        <v>4.2911089941482627E-2</v>
      </c>
      <c r="S24" s="1267">
        <v>4.6072055210291563E-2</v>
      </c>
      <c r="T24" s="1268"/>
      <c r="U24" s="1263">
        <v>3382.4718481499999</v>
      </c>
    </row>
    <row r="25" spans="1:21" ht="14" thickBot="1">
      <c r="A25" s="2037"/>
      <c r="B25" s="1261"/>
      <c r="C25" s="1262" t="s">
        <v>92</v>
      </c>
      <c r="D25" s="1263">
        <v>92.3</v>
      </c>
      <c r="E25" s="1264">
        <v>106.4</v>
      </c>
      <c r="F25" s="1263">
        <v>57.8</v>
      </c>
      <c r="G25" s="1264">
        <v>59.7</v>
      </c>
      <c r="H25" s="1263">
        <v>55.1</v>
      </c>
      <c r="I25" s="1264">
        <v>28.06</v>
      </c>
      <c r="J25" s="1263">
        <v>38.17</v>
      </c>
      <c r="K25" s="1264">
        <v>39</v>
      </c>
      <c r="L25" s="1263">
        <v>35.9</v>
      </c>
      <c r="M25" s="1264">
        <v>36.691305870000001</v>
      </c>
      <c r="N25" s="1263">
        <v>42.792587509999997</v>
      </c>
      <c r="O25" s="1264">
        <v>45.914382520000004</v>
      </c>
      <c r="P25" s="1263">
        <v>47.179055349999999</v>
      </c>
      <c r="Q25" s="1265"/>
      <c r="R25" s="1266">
        <v>2.7544154153638312E-2</v>
      </c>
      <c r="S25" s="1267">
        <v>-2.0099136781290827E-2</v>
      </c>
      <c r="T25" s="1268"/>
      <c r="U25" s="1263">
        <v>43.52313178</v>
      </c>
    </row>
    <row r="26" spans="1:21" ht="14" thickBot="1">
      <c r="A26" s="2037"/>
      <c r="B26" s="1261"/>
      <c r="C26" s="1262" t="s">
        <v>93</v>
      </c>
      <c r="D26" s="1263">
        <v>0</v>
      </c>
      <c r="E26" s="1264">
        <v>0</v>
      </c>
      <c r="F26" s="1263">
        <v>0</v>
      </c>
      <c r="G26" s="1264">
        <v>0</v>
      </c>
      <c r="H26" s="1263">
        <v>0</v>
      </c>
      <c r="I26" s="1264">
        <v>0</v>
      </c>
      <c r="J26" s="1263">
        <v>0</v>
      </c>
      <c r="K26" s="1264">
        <v>0</v>
      </c>
      <c r="L26" s="1263">
        <v>0</v>
      </c>
      <c r="M26" s="1264">
        <v>0</v>
      </c>
      <c r="N26" s="1263">
        <v>0</v>
      </c>
      <c r="O26" s="1264">
        <v>0</v>
      </c>
      <c r="P26" s="1263">
        <v>0</v>
      </c>
      <c r="Q26" s="1265"/>
      <c r="R26" s="1266" t="s">
        <v>744</v>
      </c>
      <c r="S26" s="1267" t="s">
        <v>744</v>
      </c>
      <c r="T26" s="1268"/>
      <c r="U26" s="1263">
        <v>0</v>
      </c>
    </row>
    <row r="27" spans="1:21" ht="14" thickBot="1">
      <c r="A27" s="2037"/>
      <c r="B27" s="1261"/>
      <c r="C27" s="1262"/>
      <c r="D27" s="1289"/>
      <c r="E27" s="1290"/>
      <c r="F27" s="1289"/>
      <c r="G27" s="1290"/>
      <c r="H27" s="1289"/>
      <c r="I27" s="1290"/>
      <c r="J27" s="1289"/>
      <c r="K27" s="1290"/>
      <c r="L27" s="1289"/>
      <c r="M27" s="1290"/>
      <c r="N27" s="1289"/>
      <c r="O27" s="1290"/>
      <c r="P27" s="1289"/>
      <c r="Q27" s="1291"/>
      <c r="R27" s="1292"/>
      <c r="S27" s="1293"/>
      <c r="T27" s="1294"/>
      <c r="U27" s="1295"/>
    </row>
    <row r="28" spans="1:21" ht="17.25" customHeight="1" thickBot="1">
      <c r="A28" s="2037"/>
      <c r="B28" s="1276" t="s">
        <v>456</v>
      </c>
      <c r="C28" s="1261"/>
      <c r="D28" s="1296">
        <v>18407</v>
      </c>
      <c r="E28" s="1297">
        <v>18608.099999999999</v>
      </c>
      <c r="F28" s="1296">
        <v>19543.900000000001</v>
      </c>
      <c r="G28" s="1297">
        <v>19863.7</v>
      </c>
      <c r="H28" s="1296">
        <v>20948.900000000001</v>
      </c>
      <c r="I28" s="1297">
        <v>22014.849000000002</v>
      </c>
      <c r="J28" s="1296">
        <v>22639.8</v>
      </c>
      <c r="K28" s="1297">
        <v>23409.612000000001</v>
      </c>
      <c r="L28" s="1296">
        <v>24759.752</v>
      </c>
      <c r="M28" s="1297">
        <v>25979.10573137</v>
      </c>
      <c r="N28" s="1296">
        <v>26517.944334370641</v>
      </c>
      <c r="O28" s="1297">
        <v>27768.400005900003</v>
      </c>
      <c r="P28" s="1296">
        <v>29137.40054006</v>
      </c>
      <c r="Q28" s="1298"/>
      <c r="R28" s="1299">
        <v>4.9300663123158728E-2</v>
      </c>
      <c r="S28" s="1300">
        <v>4.0744099242681964E-2</v>
      </c>
      <c r="T28" s="1301"/>
      <c r="U28" s="1302">
        <v>30254.661674415111</v>
      </c>
    </row>
    <row r="29" spans="1:21" ht="14" thickBot="1">
      <c r="A29" s="2037"/>
      <c r="B29" s="1261"/>
      <c r="C29" s="1262" t="s">
        <v>91</v>
      </c>
      <c r="D29" s="1303">
        <v>13418.2</v>
      </c>
      <c r="E29" s="1304">
        <v>14038.3</v>
      </c>
      <c r="F29" s="1303">
        <v>14895.9</v>
      </c>
      <c r="G29" s="1304">
        <v>15472.1</v>
      </c>
      <c r="H29" s="1303">
        <v>16347.1</v>
      </c>
      <c r="I29" s="1304">
        <v>17286.888999999999</v>
      </c>
      <c r="J29" s="1303">
        <v>17986.13</v>
      </c>
      <c r="K29" s="1304">
        <v>18892.708000000002</v>
      </c>
      <c r="L29" s="1303">
        <v>20212.103999999999</v>
      </c>
      <c r="M29" s="1304">
        <v>21267.663525249998</v>
      </c>
      <c r="N29" s="1303">
        <v>21654.879578070642</v>
      </c>
      <c r="O29" s="1304">
        <v>22631.63917137</v>
      </c>
      <c r="P29" s="1303">
        <v>23842.782012709999</v>
      </c>
      <c r="Q29" s="1305"/>
      <c r="R29" s="1306">
        <v>5.3515471511765167E-2</v>
      </c>
      <c r="S29" s="1307">
        <v>4.8163465562077068E-2</v>
      </c>
      <c r="T29" s="1308"/>
      <c r="U29" s="1309">
        <v>24849.238653982615</v>
      </c>
    </row>
    <row r="30" spans="1:21" ht="14" thickBot="1">
      <c r="A30" s="2037"/>
      <c r="B30" s="1261"/>
      <c r="C30" s="1262" t="s">
        <v>92</v>
      </c>
      <c r="D30" s="1303">
        <v>4467.5</v>
      </c>
      <c r="E30" s="1304">
        <v>3998.7</v>
      </c>
      <c r="F30" s="1303">
        <v>4096</v>
      </c>
      <c r="G30" s="1304">
        <v>3474.9</v>
      </c>
      <c r="H30" s="1303">
        <v>2701.2</v>
      </c>
      <c r="I30" s="1304">
        <v>1903.96</v>
      </c>
      <c r="J30" s="1303">
        <v>1779.07</v>
      </c>
      <c r="K30" s="1304">
        <v>1684.404</v>
      </c>
      <c r="L30" s="1303">
        <v>1241.6480000000001</v>
      </c>
      <c r="M30" s="1304">
        <v>1428.9383913399995</v>
      </c>
      <c r="N30" s="1303">
        <v>1393.7931738999996</v>
      </c>
      <c r="O30" s="1304">
        <v>1491.4275573299992</v>
      </c>
      <c r="P30" s="1303">
        <v>1614.3605273499993</v>
      </c>
      <c r="Q30" s="1305"/>
      <c r="R30" s="1306">
        <v>8.2426376940545776E-2</v>
      </c>
      <c r="S30" s="1307">
        <v>-8.8904171475352456E-2</v>
      </c>
      <c r="T30" s="1308"/>
      <c r="U30" s="1309">
        <v>1611.0203503678406</v>
      </c>
    </row>
    <row r="31" spans="1:21">
      <c r="A31" s="2037"/>
      <c r="B31" s="1310"/>
      <c r="C31" s="1311" t="s">
        <v>93</v>
      </c>
      <c r="D31" s="1312">
        <v>521.29999999999995</v>
      </c>
      <c r="E31" s="1313">
        <v>571.1</v>
      </c>
      <c r="F31" s="1312">
        <v>552</v>
      </c>
      <c r="G31" s="1313">
        <v>916.7</v>
      </c>
      <c r="H31" s="1312">
        <v>1900.6</v>
      </c>
      <c r="I31" s="1313">
        <v>2824</v>
      </c>
      <c r="J31" s="1312">
        <v>2874.6</v>
      </c>
      <c r="K31" s="1313">
        <v>2832.5</v>
      </c>
      <c r="L31" s="1312">
        <v>3306</v>
      </c>
      <c r="M31" s="1313">
        <v>3282.5038147800005</v>
      </c>
      <c r="N31" s="1312">
        <v>3469.2715824000006</v>
      </c>
      <c r="O31" s="1313">
        <v>3645.3332772000026</v>
      </c>
      <c r="P31" s="1312">
        <v>3680.2580000000016</v>
      </c>
      <c r="Q31" s="1314"/>
      <c r="R31" s="1315">
        <v>9.5806666069295776E-3</v>
      </c>
      <c r="S31" s="1316">
        <v>0.20890985727369138</v>
      </c>
      <c r="T31" s="1317"/>
      <c r="U31" s="1318">
        <v>3794.402670064655</v>
      </c>
    </row>
    <row r="32" spans="1:21" ht="8.25" customHeight="1">
      <c r="A32" s="1219"/>
      <c r="B32" s="1319"/>
      <c r="C32" s="1320"/>
      <c r="D32" s="1321"/>
      <c r="E32" s="1321"/>
      <c r="F32" s="1321"/>
      <c r="G32" s="1321"/>
      <c r="H32" s="1321"/>
      <c r="I32" s="1322"/>
      <c r="J32" s="1322"/>
      <c r="K32" s="1322"/>
      <c r="L32" s="1322"/>
      <c r="M32" s="1322"/>
      <c r="N32" s="1322"/>
      <c r="O32" s="1322"/>
      <c r="P32" s="1322"/>
      <c r="Q32" s="1322"/>
      <c r="R32" s="1323"/>
      <c r="S32" s="1324"/>
      <c r="T32" s="1323"/>
      <c r="U32" s="1325"/>
    </row>
    <row r="33" spans="1:21" ht="8.25" customHeight="1">
      <c r="A33" s="1219"/>
      <c r="B33" s="1326"/>
      <c r="C33" s="1327"/>
      <c r="D33" s="1328"/>
      <c r="E33" s="1328"/>
      <c r="F33" s="1328"/>
      <c r="G33" s="1328"/>
      <c r="H33" s="1328"/>
      <c r="I33" s="1329"/>
      <c r="J33" s="1329"/>
      <c r="K33" s="1329"/>
      <c r="L33" s="1329"/>
      <c r="M33" s="1329"/>
      <c r="N33" s="1329"/>
      <c r="O33" s="1329"/>
      <c r="P33" s="1329"/>
      <c r="Q33" s="1329"/>
      <c r="R33" s="1330"/>
      <c r="S33" s="1331"/>
      <c r="T33" s="1330"/>
      <c r="U33" s="1332"/>
    </row>
    <row r="34" spans="1:21" ht="15.75" customHeight="1" thickBot="1">
      <c r="A34" s="2034" t="s">
        <v>2399</v>
      </c>
      <c r="B34" s="1253" t="s">
        <v>457</v>
      </c>
      <c r="C34" s="1254"/>
      <c r="D34" s="1255">
        <v>16013.1</v>
      </c>
      <c r="E34" s="1256">
        <v>16937.3</v>
      </c>
      <c r="F34" s="1255">
        <v>17695.3</v>
      </c>
      <c r="G34" s="1256">
        <v>17814.400000000001</v>
      </c>
      <c r="H34" s="1255">
        <v>18506.971013000002</v>
      </c>
      <c r="I34" s="1256">
        <v>19132.22</v>
      </c>
      <c r="J34" s="1255">
        <v>20686.96</v>
      </c>
      <c r="K34" s="1256">
        <v>22048.513701</v>
      </c>
      <c r="L34" s="1255">
        <v>23360.39678399</v>
      </c>
      <c r="M34" s="1256">
        <v>23865.649597220003</v>
      </c>
      <c r="N34" s="1255">
        <v>24817.983544449999</v>
      </c>
      <c r="O34" s="1256">
        <v>25247.301839669999</v>
      </c>
      <c r="P34" s="1255">
        <v>25543.38584368</v>
      </c>
      <c r="Q34" s="1257"/>
      <c r="R34" s="1258">
        <v>1.1727352328191332E-2</v>
      </c>
      <c r="S34" s="1259">
        <v>3.7389990704848053E-2</v>
      </c>
      <c r="T34" s="1260"/>
      <c r="U34" s="1255">
        <v>25752.822451619999</v>
      </c>
    </row>
    <row r="35" spans="1:21" ht="15.75" customHeight="1" thickBot="1">
      <c r="A35" s="2035"/>
      <c r="B35" s="1261"/>
      <c r="C35" s="1262" t="s">
        <v>458</v>
      </c>
      <c r="D35" s="1263">
        <v>11035.2</v>
      </c>
      <c r="E35" s="1264">
        <v>11924.8</v>
      </c>
      <c r="F35" s="1263">
        <v>12604.2</v>
      </c>
      <c r="G35" s="1264">
        <v>12949.5</v>
      </c>
      <c r="H35" s="1263">
        <v>13346.689</v>
      </c>
      <c r="I35" s="1264">
        <v>13954.72</v>
      </c>
      <c r="J35" s="1263">
        <v>15296.16</v>
      </c>
      <c r="K35" s="1264">
        <v>16759.707467</v>
      </c>
      <c r="L35" s="1263">
        <v>17979.586842000001</v>
      </c>
      <c r="M35" s="1264">
        <v>18442.676721830001</v>
      </c>
      <c r="N35" s="1263">
        <v>19234.85838514</v>
      </c>
      <c r="O35" s="1264">
        <v>19629.610287169999</v>
      </c>
      <c r="P35" s="1263">
        <v>19621.43996068</v>
      </c>
      <c r="Q35" s="1265"/>
      <c r="R35" s="1266">
        <v>-4.1622458981460664E-4</v>
      </c>
      <c r="S35" s="1267">
        <v>4.5253328043933561E-2</v>
      </c>
      <c r="T35" s="1268"/>
      <c r="U35" s="1263">
        <v>20057.64279962</v>
      </c>
    </row>
    <row r="36" spans="1:21" ht="14" thickBot="1">
      <c r="A36" s="2035"/>
      <c r="B36" s="1261"/>
      <c r="C36" s="1262" t="s">
        <v>92</v>
      </c>
      <c r="D36" s="1263">
        <v>4337.5</v>
      </c>
      <c r="E36" s="1264">
        <v>4410.6000000000004</v>
      </c>
      <c r="F36" s="1263">
        <v>4453.3</v>
      </c>
      <c r="G36" s="1264">
        <v>3766.7</v>
      </c>
      <c r="H36" s="1263">
        <v>2917.3519609999998</v>
      </c>
      <c r="I36" s="1264">
        <v>1987</v>
      </c>
      <c r="J36" s="1263">
        <v>1958.4</v>
      </c>
      <c r="K36" s="1264">
        <v>1882.6076640000001</v>
      </c>
      <c r="L36" s="1263">
        <v>1358.7895999899999</v>
      </c>
      <c r="M36" s="1264">
        <v>1397.6693543900001</v>
      </c>
      <c r="N36" s="1263">
        <v>1384.0624223099999</v>
      </c>
      <c r="O36" s="1264">
        <v>1410.6232075</v>
      </c>
      <c r="P36" s="1263">
        <v>1412.4505677400002</v>
      </c>
      <c r="Q36" s="1265"/>
      <c r="R36" s="1266">
        <v>1.2954276026968525E-3</v>
      </c>
      <c r="S36" s="1267">
        <v>-0.10848402332610196</v>
      </c>
      <c r="T36" s="1268"/>
      <c r="U36" s="1263">
        <v>1381.60592514</v>
      </c>
    </row>
    <row r="37" spans="1:21" ht="14" thickBot="1">
      <c r="A37" s="2035"/>
      <c r="B37" s="1261"/>
      <c r="C37" s="1262" t="s">
        <v>93</v>
      </c>
      <c r="D37" s="1263">
        <v>640.4</v>
      </c>
      <c r="E37" s="1264">
        <v>601.9</v>
      </c>
      <c r="F37" s="1263">
        <v>637.79999999999995</v>
      </c>
      <c r="G37" s="1264">
        <v>1098.2</v>
      </c>
      <c r="H37" s="1263">
        <v>2242.9300519999997</v>
      </c>
      <c r="I37" s="1264">
        <v>3190.5</v>
      </c>
      <c r="J37" s="1263">
        <v>3432.4</v>
      </c>
      <c r="K37" s="1264">
        <v>3406.1985699999996</v>
      </c>
      <c r="L37" s="1263">
        <v>4022.0203419999989</v>
      </c>
      <c r="M37" s="1264">
        <v>4025.3035210000007</v>
      </c>
      <c r="N37" s="1263">
        <v>4199.0627370000002</v>
      </c>
      <c r="O37" s="1264">
        <v>4207.0683449999997</v>
      </c>
      <c r="P37" s="1263">
        <v>4509.4953152600001</v>
      </c>
      <c r="Q37" s="1265"/>
      <c r="R37" s="1266">
        <v>7.1885442654961329E-2</v>
      </c>
      <c r="S37" s="1267">
        <v>0.21603014899363093</v>
      </c>
      <c r="T37" s="1268"/>
      <c r="U37" s="1263">
        <v>4313.5737268599996</v>
      </c>
    </row>
    <row r="38" spans="1:21" ht="9.75" customHeight="1" thickBot="1">
      <c r="A38" s="2035"/>
      <c r="B38" s="1261"/>
      <c r="C38" s="1262"/>
      <c r="D38" s="1263"/>
      <c r="E38" s="1264"/>
      <c r="F38" s="1263"/>
      <c r="G38" s="1264"/>
      <c r="H38" s="1263"/>
      <c r="I38" s="1264"/>
      <c r="J38" s="1263"/>
      <c r="K38" s="1264"/>
      <c r="L38" s="1263"/>
      <c r="M38" s="1264"/>
      <c r="N38" s="1263"/>
      <c r="O38" s="1264"/>
      <c r="P38" s="1263"/>
      <c r="Q38" s="1265"/>
      <c r="R38" s="1266"/>
      <c r="S38" s="1267"/>
      <c r="T38" s="1268"/>
      <c r="U38" s="1333"/>
    </row>
    <row r="39" spans="1:21" ht="17.25" customHeight="1" thickBot="1">
      <c r="A39" s="2035"/>
      <c r="B39" s="1276" t="s">
        <v>455</v>
      </c>
      <c r="C39" s="1261"/>
      <c r="D39" s="1277">
        <v>1770.8</v>
      </c>
      <c r="E39" s="1278">
        <v>1884.4</v>
      </c>
      <c r="F39" s="1277">
        <v>2155</v>
      </c>
      <c r="G39" s="1278">
        <v>2249.6</v>
      </c>
      <c r="H39" s="1277">
        <v>2343.1</v>
      </c>
      <c r="I39" s="1278">
        <v>2428.2489999999998</v>
      </c>
      <c r="J39" s="1277">
        <v>2541</v>
      </c>
      <c r="K39" s="1278">
        <v>2627.5</v>
      </c>
      <c r="L39" s="1277">
        <v>2868.2</v>
      </c>
      <c r="M39" s="1278">
        <v>3031.6779155400004</v>
      </c>
      <c r="N39" s="1277">
        <v>3081.5039062299998</v>
      </c>
      <c r="O39" s="1278">
        <v>3200.9812532199999</v>
      </c>
      <c r="P39" s="1277">
        <v>3337.6332843099999</v>
      </c>
      <c r="Q39" s="1287"/>
      <c r="R39" s="1280">
        <v>4.2690668979250113E-2</v>
      </c>
      <c r="S39" s="1281">
        <v>4.4718136790229623E-2</v>
      </c>
      <c r="T39" s="1279"/>
      <c r="U39" s="1277">
        <v>3425.9949799299998</v>
      </c>
    </row>
    <row r="40" spans="1:21" ht="14" thickBot="1">
      <c r="A40" s="2035"/>
      <c r="B40" s="1261"/>
      <c r="C40" s="1262" t="s">
        <v>91</v>
      </c>
      <c r="D40" s="1263">
        <v>1678.5</v>
      </c>
      <c r="E40" s="1264">
        <v>1778</v>
      </c>
      <c r="F40" s="1263">
        <v>2097.1999999999998</v>
      </c>
      <c r="G40" s="1264">
        <v>2189.9</v>
      </c>
      <c r="H40" s="1263">
        <v>2288</v>
      </c>
      <c r="I40" s="1264">
        <v>2400.1889999999999</v>
      </c>
      <c r="J40" s="1263">
        <v>2502.83</v>
      </c>
      <c r="K40" s="1264">
        <v>2588.5</v>
      </c>
      <c r="L40" s="1263">
        <v>2832.3</v>
      </c>
      <c r="M40" s="1264">
        <v>2994.9866096700002</v>
      </c>
      <c r="N40" s="1263">
        <v>3038.7113187199998</v>
      </c>
      <c r="O40" s="1264">
        <v>3155.0668707</v>
      </c>
      <c r="P40" s="1263">
        <v>3290.4542289599999</v>
      </c>
      <c r="Q40" s="1265"/>
      <c r="R40" s="1266">
        <v>4.2911089941482627E-2</v>
      </c>
      <c r="S40" s="1267">
        <v>4.6072055210291563E-2</v>
      </c>
      <c r="T40" s="1268"/>
      <c r="U40" s="1263">
        <v>3382.4718481499999</v>
      </c>
    </row>
    <row r="41" spans="1:21" ht="14" thickBot="1">
      <c r="A41" s="2035"/>
      <c r="B41" s="1261"/>
      <c r="C41" s="1262" t="s">
        <v>92</v>
      </c>
      <c r="D41" s="1263">
        <v>92.3</v>
      </c>
      <c r="E41" s="1264">
        <v>106.4</v>
      </c>
      <c r="F41" s="1263">
        <v>57.8</v>
      </c>
      <c r="G41" s="1264">
        <v>59.7</v>
      </c>
      <c r="H41" s="1263">
        <v>55.1</v>
      </c>
      <c r="I41" s="1264">
        <v>28.06</v>
      </c>
      <c r="J41" s="1263">
        <v>38.17</v>
      </c>
      <c r="K41" s="1264">
        <v>39</v>
      </c>
      <c r="L41" s="1263">
        <v>35.9</v>
      </c>
      <c r="M41" s="1264">
        <v>36.691305870000001</v>
      </c>
      <c r="N41" s="1263">
        <v>42.792587509999997</v>
      </c>
      <c r="O41" s="1264">
        <v>45.914382520000004</v>
      </c>
      <c r="P41" s="1263">
        <v>47.179055349999999</v>
      </c>
      <c r="Q41" s="1265"/>
      <c r="R41" s="1266">
        <v>2.7544154153638312E-2</v>
      </c>
      <c r="S41" s="1267">
        <v>-2.0099136781290827E-2</v>
      </c>
      <c r="T41" s="1268"/>
      <c r="U41" s="1263">
        <v>43.52313178</v>
      </c>
    </row>
    <row r="42" spans="1:21" ht="14" thickBot="1">
      <c r="A42" s="2035"/>
      <c r="B42" s="1261"/>
      <c r="C42" s="1262" t="s">
        <v>93</v>
      </c>
      <c r="D42" s="1263">
        <v>0</v>
      </c>
      <c r="E42" s="1264">
        <v>0</v>
      </c>
      <c r="F42" s="1263">
        <v>0</v>
      </c>
      <c r="G42" s="1264">
        <v>0</v>
      </c>
      <c r="H42" s="1263">
        <v>0</v>
      </c>
      <c r="I42" s="1264">
        <v>0</v>
      </c>
      <c r="J42" s="1263">
        <v>0</v>
      </c>
      <c r="K42" s="1264">
        <v>0</v>
      </c>
      <c r="L42" s="1263">
        <v>0</v>
      </c>
      <c r="M42" s="1264">
        <v>0</v>
      </c>
      <c r="N42" s="1263">
        <v>0</v>
      </c>
      <c r="O42" s="1264">
        <v>0</v>
      </c>
      <c r="P42" s="1263">
        <v>0</v>
      </c>
      <c r="Q42" s="1265"/>
      <c r="R42" s="1266" t="s">
        <v>744</v>
      </c>
      <c r="S42" s="1267" t="s">
        <v>744</v>
      </c>
      <c r="T42" s="1268"/>
      <c r="U42" s="1263">
        <v>0</v>
      </c>
    </row>
    <row r="43" spans="1:21" ht="14" thickBot="1">
      <c r="A43" s="1334"/>
      <c r="B43" s="1261"/>
      <c r="C43" s="1261"/>
      <c r="D43" s="1269"/>
      <c r="E43" s="1270"/>
      <c r="F43" s="1269"/>
      <c r="G43" s="1270"/>
      <c r="H43" s="1269"/>
      <c r="I43" s="1270"/>
      <c r="J43" s="1269"/>
      <c r="K43" s="1270"/>
      <c r="L43" s="1269"/>
      <c r="M43" s="1270"/>
      <c r="N43" s="1269"/>
      <c r="O43" s="1270"/>
      <c r="P43" s="1269"/>
      <c r="Q43" s="1271"/>
      <c r="R43" s="1272"/>
      <c r="S43" s="1273"/>
      <c r="T43" s="1274"/>
      <c r="U43" s="1335"/>
    </row>
    <row r="44" spans="1:21" ht="17.25" customHeight="1" thickBot="1">
      <c r="A44" s="1334"/>
      <c r="B44" s="1276" t="s">
        <v>459</v>
      </c>
      <c r="C44" s="1261"/>
      <c r="D44" s="1296">
        <v>17783.900000000001</v>
      </c>
      <c r="E44" s="1297">
        <v>18821.7</v>
      </c>
      <c r="F44" s="1296">
        <v>19850.3</v>
      </c>
      <c r="G44" s="1297">
        <v>20064</v>
      </c>
      <c r="H44" s="1296">
        <v>20850.071013000001</v>
      </c>
      <c r="I44" s="1297">
        <v>21560.469000000001</v>
      </c>
      <c r="J44" s="1296">
        <v>23227.96</v>
      </c>
      <c r="K44" s="1297">
        <v>24676.013701</v>
      </c>
      <c r="L44" s="1296">
        <v>26228.59678399</v>
      </c>
      <c r="M44" s="1297">
        <v>26897.327512760003</v>
      </c>
      <c r="N44" s="1296">
        <v>27899.487450679997</v>
      </c>
      <c r="O44" s="1297">
        <v>28448.28309289</v>
      </c>
      <c r="P44" s="1296">
        <v>28881.019127989999</v>
      </c>
      <c r="Q44" s="1298"/>
      <c r="R44" s="1299">
        <v>1.521132342809639E-2</v>
      </c>
      <c r="S44" s="1300">
        <v>3.8208413325358181E-2</v>
      </c>
      <c r="T44" s="1301"/>
      <c r="U44" s="1336">
        <v>29178.81743155</v>
      </c>
    </row>
    <row r="45" spans="1:21" ht="14" thickBot="1">
      <c r="A45" s="1334"/>
      <c r="B45" s="1261"/>
      <c r="C45" s="1262" t="s">
        <v>91</v>
      </c>
      <c r="D45" s="1303">
        <v>12713.7</v>
      </c>
      <c r="E45" s="1304">
        <v>13702.8</v>
      </c>
      <c r="F45" s="1303">
        <v>14701.4</v>
      </c>
      <c r="G45" s="1304">
        <v>15139.4</v>
      </c>
      <c r="H45" s="1303">
        <v>15634.689</v>
      </c>
      <c r="I45" s="1304">
        <v>16354.909</v>
      </c>
      <c r="J45" s="1303">
        <v>17798.990000000002</v>
      </c>
      <c r="K45" s="1304">
        <v>19348.207467</v>
      </c>
      <c r="L45" s="1303">
        <v>20811.886842</v>
      </c>
      <c r="M45" s="1304">
        <v>21437.6633315</v>
      </c>
      <c r="N45" s="1303">
        <v>22273.569703860001</v>
      </c>
      <c r="O45" s="1304">
        <v>22784.677157869999</v>
      </c>
      <c r="P45" s="1303">
        <v>22911.894189639999</v>
      </c>
      <c r="Q45" s="1305"/>
      <c r="R45" s="1306">
        <v>5.583446756280086E-3</v>
      </c>
      <c r="S45" s="1307">
        <v>4.5370475428924362E-2</v>
      </c>
      <c r="T45" s="1308"/>
      <c r="U45" s="1337">
        <v>23440.114647769999</v>
      </c>
    </row>
    <row r="46" spans="1:21" ht="14" thickBot="1">
      <c r="A46" s="1334"/>
      <c r="B46" s="1261"/>
      <c r="C46" s="1262" t="s">
        <v>92</v>
      </c>
      <c r="D46" s="1303">
        <v>4429.8</v>
      </c>
      <c r="E46" s="1304">
        <v>4517</v>
      </c>
      <c r="F46" s="1303">
        <v>4511.1000000000004</v>
      </c>
      <c r="G46" s="1304">
        <v>3826.4</v>
      </c>
      <c r="H46" s="1303">
        <v>2972.4519609999998</v>
      </c>
      <c r="I46" s="1304">
        <v>2015.06</v>
      </c>
      <c r="J46" s="1303">
        <v>1996.57</v>
      </c>
      <c r="K46" s="1304">
        <v>1921.6076640000001</v>
      </c>
      <c r="L46" s="1303">
        <v>1394.68959999</v>
      </c>
      <c r="M46" s="1304">
        <v>1434.36066026</v>
      </c>
      <c r="N46" s="1303">
        <v>1426.8550098199999</v>
      </c>
      <c r="O46" s="1304">
        <v>1456.5375900200002</v>
      </c>
      <c r="P46" s="1303">
        <v>1459.6296230900002</v>
      </c>
      <c r="Q46" s="1305"/>
      <c r="R46" s="1306">
        <v>2.1228652739113674E-3</v>
      </c>
      <c r="S46" s="1307">
        <v>-0.10670269979404934</v>
      </c>
      <c r="T46" s="1308"/>
      <c r="U46" s="1337">
        <v>1425.12905692</v>
      </c>
    </row>
    <row r="47" spans="1:21">
      <c r="A47" s="1334"/>
      <c r="B47" s="1310"/>
      <c r="C47" s="1311" t="s">
        <v>93</v>
      </c>
      <c r="D47" s="1312">
        <v>640.4</v>
      </c>
      <c r="E47" s="1313">
        <v>601.9</v>
      </c>
      <c r="F47" s="1312">
        <v>637.79999999999995</v>
      </c>
      <c r="G47" s="1313">
        <v>1098.2</v>
      </c>
      <c r="H47" s="1312">
        <v>2242.9300519999997</v>
      </c>
      <c r="I47" s="1313">
        <v>3190.5</v>
      </c>
      <c r="J47" s="1312">
        <v>3432.4</v>
      </c>
      <c r="K47" s="1313">
        <v>3406.1985699999996</v>
      </c>
      <c r="L47" s="1312">
        <v>4022.0203419999989</v>
      </c>
      <c r="M47" s="1313">
        <v>4025.3035210000007</v>
      </c>
      <c r="N47" s="1312">
        <v>4199.0627370000002</v>
      </c>
      <c r="O47" s="1313">
        <v>4207.0683449999997</v>
      </c>
      <c r="P47" s="1312">
        <v>4509.4953152600001</v>
      </c>
      <c r="Q47" s="1314"/>
      <c r="R47" s="1315">
        <v>7.1885442654961329E-2</v>
      </c>
      <c r="S47" s="1316">
        <v>0.21603014899363093</v>
      </c>
      <c r="T47" s="1317"/>
      <c r="U47" s="1338">
        <v>4313.5737268599996</v>
      </c>
    </row>
    <row r="48" spans="1:21" ht="8.25" customHeight="1">
      <c r="A48" s="1339"/>
      <c r="B48" s="1319"/>
      <c r="C48" s="1320"/>
      <c r="D48" s="1322"/>
      <c r="E48" s="1322"/>
      <c r="F48" s="1322"/>
      <c r="G48" s="1322"/>
      <c r="H48" s="1322"/>
      <c r="I48" s="1322"/>
      <c r="J48" s="1322"/>
      <c r="K48" s="1322"/>
      <c r="L48" s="1322"/>
      <c r="M48" s="1322"/>
      <c r="N48" s="1322"/>
      <c r="O48" s="1322"/>
      <c r="P48" s="1322"/>
      <c r="Q48" s="1322"/>
      <c r="R48" s="1323"/>
      <c r="S48" s="1323"/>
      <c r="T48" s="1323"/>
      <c r="U48" s="1340"/>
    </row>
    <row r="49" spans="1:21" ht="8.25" customHeight="1">
      <c r="A49" s="1219"/>
      <c r="B49" s="1326"/>
      <c r="C49" s="1326"/>
      <c r="D49" s="1341"/>
      <c r="E49" s="1341"/>
      <c r="F49" s="1341"/>
      <c r="G49" s="1341"/>
      <c r="H49" s="1341"/>
      <c r="I49" s="1342"/>
      <c r="J49" s="1342"/>
      <c r="K49" s="1342"/>
      <c r="L49" s="1342"/>
      <c r="M49" s="1342"/>
      <c r="N49" s="1342"/>
      <c r="O49" s="1342"/>
      <c r="P49" s="1342"/>
      <c r="Q49" s="1342"/>
      <c r="R49" s="1343"/>
      <c r="S49" s="1344"/>
      <c r="T49" s="1343"/>
      <c r="U49" s="1345"/>
    </row>
    <row r="50" spans="1:21" ht="17.25" customHeight="1" thickBot="1">
      <c r="A50" s="1219"/>
      <c r="B50" s="1253" t="s">
        <v>460</v>
      </c>
      <c r="C50" s="1254"/>
      <c r="D50" s="1346">
        <v>623.1</v>
      </c>
      <c r="E50" s="1347">
        <v>-213.60000000000218</v>
      </c>
      <c r="F50" s="1346">
        <v>-306.39999999999782</v>
      </c>
      <c r="G50" s="1347">
        <v>-200.29999999999927</v>
      </c>
      <c r="H50" s="1346">
        <v>98.828986999997142</v>
      </c>
      <c r="I50" s="1347">
        <v>454.38000000000102</v>
      </c>
      <c r="J50" s="1346">
        <v>-588.16000000000349</v>
      </c>
      <c r="K50" s="1347">
        <v>-1266.4017009999989</v>
      </c>
      <c r="L50" s="1346">
        <v>-1468.84478399</v>
      </c>
      <c r="M50" s="1347">
        <v>-918.22178139000243</v>
      </c>
      <c r="N50" s="1346">
        <v>-1381.5431163093563</v>
      </c>
      <c r="O50" s="1347">
        <v>-679.88308698999754</v>
      </c>
      <c r="P50" s="1346">
        <v>256.38141207000081</v>
      </c>
      <c r="Q50" s="1348"/>
      <c r="R50" s="1349" t="s">
        <v>744</v>
      </c>
      <c r="S50" s="1350" t="s">
        <v>744</v>
      </c>
      <c r="T50" s="1351"/>
      <c r="U50" s="1352">
        <v>1075.8442428651106</v>
      </c>
    </row>
    <row r="51" spans="1:21" ht="14" thickBot="1">
      <c r="A51" s="1219"/>
      <c r="B51" s="1261"/>
      <c r="C51" s="1262" t="s">
        <v>91</v>
      </c>
      <c r="D51" s="1277">
        <v>704.5</v>
      </c>
      <c r="E51" s="1278">
        <v>335.5</v>
      </c>
      <c r="F51" s="1277">
        <v>194.5</v>
      </c>
      <c r="G51" s="1278">
        <v>332.70000000000073</v>
      </c>
      <c r="H51" s="1277">
        <v>712.41100000000006</v>
      </c>
      <c r="I51" s="1278">
        <v>931.98000000000138</v>
      </c>
      <c r="J51" s="1277">
        <v>187.13999999999942</v>
      </c>
      <c r="K51" s="1278">
        <v>-455.49946699999782</v>
      </c>
      <c r="L51" s="1277">
        <v>-599.78284200000053</v>
      </c>
      <c r="M51" s="1278">
        <v>-169.99980625000171</v>
      </c>
      <c r="N51" s="1277">
        <v>-618.69012578935872</v>
      </c>
      <c r="O51" s="1278">
        <v>-153.03798649999953</v>
      </c>
      <c r="P51" s="1277">
        <v>930.88782306999929</v>
      </c>
      <c r="Q51" s="1287"/>
      <c r="R51" s="1280" t="s">
        <v>744</v>
      </c>
      <c r="S51" s="1281" t="s">
        <v>744</v>
      </c>
      <c r="T51" s="1279"/>
      <c r="U51" s="1283">
        <v>1409.1240062126162</v>
      </c>
    </row>
    <row r="52" spans="1:21" ht="14" thickBot="1">
      <c r="A52" s="1219"/>
      <c r="B52" s="1261"/>
      <c r="C52" s="1262" t="s">
        <v>92</v>
      </c>
      <c r="D52" s="1277">
        <v>37.699999999999818</v>
      </c>
      <c r="E52" s="1278">
        <v>-518.29999999999995</v>
      </c>
      <c r="F52" s="1277">
        <v>-415.1</v>
      </c>
      <c r="G52" s="1278">
        <v>-351.5</v>
      </c>
      <c r="H52" s="1277">
        <v>-271.25196099999994</v>
      </c>
      <c r="I52" s="1278">
        <v>-111.1</v>
      </c>
      <c r="J52" s="1277">
        <v>-217.5</v>
      </c>
      <c r="K52" s="1278">
        <v>-237.20366400000012</v>
      </c>
      <c r="L52" s="1277">
        <v>-153.0415999899999</v>
      </c>
      <c r="M52" s="1278">
        <v>-5.4222689200005334</v>
      </c>
      <c r="N52" s="1277">
        <v>-33.061835920000249</v>
      </c>
      <c r="O52" s="1278">
        <v>34.889967309999065</v>
      </c>
      <c r="P52" s="1277">
        <v>154.73090425999908</v>
      </c>
      <c r="Q52" s="1287"/>
      <c r="R52" s="1280" t="s">
        <v>744</v>
      </c>
      <c r="S52" s="1281" t="s">
        <v>744</v>
      </c>
      <c r="T52" s="1279"/>
      <c r="U52" s="1283">
        <v>185.89129344784055</v>
      </c>
    </row>
    <row r="53" spans="1:21">
      <c r="A53" s="1219"/>
      <c r="B53" s="1310"/>
      <c r="C53" s="1311" t="s">
        <v>93</v>
      </c>
      <c r="D53" s="1353">
        <v>-119.1</v>
      </c>
      <c r="E53" s="1354">
        <v>-30.8</v>
      </c>
      <c r="F53" s="1353">
        <v>-85.8</v>
      </c>
      <c r="G53" s="1354">
        <v>-181.5</v>
      </c>
      <c r="H53" s="1353">
        <v>-342.3300519999998</v>
      </c>
      <c r="I53" s="1354">
        <v>-366.5</v>
      </c>
      <c r="J53" s="1353">
        <v>-557.79999999999995</v>
      </c>
      <c r="K53" s="1354">
        <v>-573.69856999999956</v>
      </c>
      <c r="L53" s="1353">
        <v>-716.02034199999889</v>
      </c>
      <c r="M53" s="1354">
        <v>-742.79970622000019</v>
      </c>
      <c r="N53" s="1353">
        <v>-729.79115459999957</v>
      </c>
      <c r="O53" s="1354">
        <v>-561.73506779999707</v>
      </c>
      <c r="P53" s="1353">
        <v>-829.23731525999847</v>
      </c>
      <c r="Q53" s="1355"/>
      <c r="R53" s="1356" t="s">
        <v>744</v>
      </c>
      <c r="S53" s="1357" t="s">
        <v>744</v>
      </c>
      <c r="T53" s="1358"/>
      <c r="U53" s="1359">
        <v>-519.17105679534461</v>
      </c>
    </row>
    <row r="54" spans="1:21" ht="11.25" customHeight="1" thickBot="1">
      <c r="A54" s="1219"/>
      <c r="B54" s="1222"/>
      <c r="C54" s="1222"/>
      <c r="D54" s="1360"/>
      <c r="E54" s="1360"/>
      <c r="F54" s="1360"/>
      <c r="G54" s="1360"/>
      <c r="H54" s="1360"/>
      <c r="I54" s="1361"/>
      <c r="J54" s="1361"/>
      <c r="K54" s="1361"/>
      <c r="L54" s="1361"/>
      <c r="M54" s="1361"/>
      <c r="N54" s="1361"/>
      <c r="O54" s="1361"/>
      <c r="P54" s="1361"/>
      <c r="Q54" s="1361"/>
      <c r="R54" s="1222"/>
      <c r="S54" s="1360"/>
      <c r="T54" s="1360"/>
      <c r="U54" s="1360"/>
    </row>
    <row r="55" spans="1:21" ht="13.5" customHeight="1">
      <c r="A55" s="1219"/>
      <c r="B55" s="1362" t="s">
        <v>323</v>
      </c>
      <c r="C55" s="1219"/>
      <c r="D55" s="1219"/>
      <c r="E55" s="1219"/>
      <c r="F55" s="1219"/>
      <c r="G55" s="1219"/>
      <c r="H55" s="1219"/>
      <c r="I55" s="1219"/>
      <c r="J55" s="1219"/>
      <c r="K55" s="1219"/>
      <c r="L55" s="1219"/>
      <c r="M55" s="1219"/>
      <c r="N55" s="1219"/>
      <c r="O55" s="1219"/>
      <c r="P55" s="1219"/>
      <c r="Q55" s="1219"/>
      <c r="R55" s="1219"/>
      <c r="S55" s="1219"/>
      <c r="T55" s="1219"/>
      <c r="U55" s="1219"/>
    </row>
    <row r="56" spans="1:21" ht="14.25" customHeight="1">
      <c r="A56" s="1219"/>
      <c r="B56" s="1219"/>
      <c r="C56" s="1219"/>
      <c r="D56" s="1219"/>
      <c r="E56" s="1219"/>
      <c r="F56" s="1219"/>
      <c r="G56" s="1219"/>
      <c r="H56" s="1219"/>
      <c r="I56" s="1219"/>
      <c r="J56" s="1219"/>
      <c r="K56" s="1219"/>
      <c r="L56" s="1219"/>
      <c r="M56" s="1219"/>
      <c r="N56" s="1219"/>
      <c r="O56" s="1219"/>
      <c r="P56" s="1219"/>
      <c r="Q56" s="1219"/>
      <c r="R56" s="1219"/>
      <c r="S56" s="1219"/>
      <c r="T56" s="1219"/>
    </row>
    <row r="57" spans="1:21" ht="12.75" customHeight="1">
      <c r="A57" s="1219"/>
      <c r="B57" s="1219"/>
      <c r="C57" s="1219"/>
      <c r="D57" s="1219"/>
      <c r="E57" s="1219"/>
      <c r="F57" s="1219"/>
      <c r="G57" s="1219"/>
      <c r="H57" s="1219"/>
      <c r="I57" s="1219"/>
      <c r="J57" s="1219"/>
      <c r="K57" s="1219"/>
      <c r="L57" s="1219"/>
      <c r="M57" s="1219"/>
      <c r="N57" s="1219"/>
      <c r="O57" s="1219"/>
      <c r="P57" s="1219"/>
      <c r="Q57" s="1219"/>
      <c r="R57" s="1219"/>
      <c r="S57" s="1219"/>
      <c r="T57" s="1219"/>
    </row>
    <row r="58" spans="1:21">
      <c r="A58" s="1219"/>
      <c r="B58" s="1219"/>
      <c r="C58" s="1219"/>
      <c r="D58" s="1219"/>
      <c r="E58" s="1219"/>
      <c r="F58" s="1219"/>
      <c r="G58" s="1219"/>
      <c r="H58" s="1219"/>
      <c r="I58" s="1219"/>
      <c r="J58" s="1219"/>
      <c r="K58" s="1219"/>
      <c r="L58" s="1219"/>
      <c r="M58" s="1219"/>
      <c r="N58" s="1219"/>
      <c r="O58" s="1219"/>
      <c r="P58" s="1219"/>
      <c r="Q58" s="1219"/>
      <c r="R58" s="1219"/>
      <c r="S58" s="1219"/>
      <c r="T58" s="1219"/>
    </row>
    <row r="59" spans="1:21">
      <c r="A59" s="1219"/>
      <c r="B59" s="1363" t="s">
        <v>94</v>
      </c>
      <c r="C59" s="1364"/>
      <c r="D59" s="1219"/>
      <c r="E59" s="1219"/>
      <c r="F59" s="1219"/>
      <c r="G59" s="1219"/>
      <c r="H59" s="1219"/>
      <c r="I59" s="1219"/>
      <c r="J59" s="1219"/>
      <c r="K59" s="1219"/>
      <c r="L59" s="1219"/>
      <c r="M59" s="1219"/>
      <c r="N59" s="1219"/>
      <c r="O59" s="1219"/>
      <c r="P59" s="1219"/>
      <c r="Q59" s="1219"/>
      <c r="R59" s="1219"/>
      <c r="S59" s="1219"/>
      <c r="T59" s="1219"/>
    </row>
    <row r="60" spans="1:21">
      <c r="A60" s="1219"/>
      <c r="B60" s="1326" t="s">
        <v>95</v>
      </c>
      <c r="C60" s="1326"/>
      <c r="D60" s="1219"/>
      <c r="E60" s="1219"/>
      <c r="F60" s="1219"/>
      <c r="G60" s="1219"/>
      <c r="H60" s="1219"/>
      <c r="I60" s="1219"/>
      <c r="J60" s="1219"/>
      <c r="K60" s="1219"/>
      <c r="L60" s="1219"/>
      <c r="M60" s="1219"/>
      <c r="N60" s="1219"/>
      <c r="O60" s="1219"/>
      <c r="P60" s="1219"/>
      <c r="Q60" s="1219"/>
      <c r="R60" s="1219"/>
      <c r="S60" s="1219"/>
      <c r="T60" s="1219"/>
    </row>
    <row r="61" spans="1:21">
      <c r="A61" s="1219"/>
      <c r="B61" s="1326" t="s">
        <v>96</v>
      </c>
      <c r="C61" s="1326"/>
      <c r="D61" s="1219"/>
      <c r="E61" s="1219"/>
      <c r="F61" s="1219"/>
      <c r="G61" s="1219"/>
      <c r="H61" s="1219"/>
      <c r="I61" s="1219"/>
      <c r="J61" s="1219"/>
      <c r="K61" s="1219"/>
      <c r="L61" s="1219"/>
      <c r="M61" s="1219"/>
      <c r="N61" s="1219"/>
      <c r="O61" s="1219"/>
      <c r="P61" s="1219"/>
      <c r="Q61" s="1219"/>
      <c r="R61" s="1219"/>
      <c r="S61" s="1219"/>
      <c r="T61" s="1219"/>
    </row>
    <row r="62" spans="1:21">
      <c r="A62" s="1219"/>
      <c r="B62" s="1326" t="s">
        <v>97</v>
      </c>
      <c r="C62" s="1326"/>
      <c r="D62" s="1219"/>
      <c r="E62" s="1219"/>
      <c r="F62" s="1219"/>
      <c r="G62" s="1219"/>
      <c r="H62" s="1219"/>
      <c r="I62" s="1219"/>
      <c r="J62" s="1219"/>
      <c r="K62" s="1219"/>
      <c r="L62" s="1219"/>
      <c r="M62" s="1219"/>
      <c r="N62" s="1219"/>
      <c r="O62" s="1219"/>
      <c r="P62" s="1219"/>
      <c r="Q62" s="1219"/>
      <c r="R62" s="1219"/>
      <c r="S62" s="1219"/>
      <c r="T62" s="1219"/>
    </row>
    <row r="63" spans="1:21">
      <c r="A63" s="1219"/>
      <c r="B63" s="1326" t="s">
        <v>98</v>
      </c>
      <c r="C63" s="1219"/>
      <c r="D63" s="1219"/>
      <c r="E63" s="1219"/>
      <c r="F63" s="1219"/>
      <c r="G63" s="1219"/>
      <c r="H63" s="1219"/>
      <c r="I63" s="1219"/>
      <c r="J63" s="1219"/>
      <c r="K63" s="1219"/>
      <c r="L63" s="1219"/>
      <c r="M63" s="1219"/>
      <c r="N63" s="1219"/>
      <c r="O63" s="1219"/>
      <c r="P63" s="1219"/>
      <c r="Q63" s="1219"/>
      <c r="R63" s="1219"/>
      <c r="S63" s="1219"/>
      <c r="T63" s="1219"/>
    </row>
    <row r="64" spans="1:21">
      <c r="A64" s="1219"/>
      <c r="B64" s="1326" t="s">
        <v>99</v>
      </c>
      <c r="C64" s="1219"/>
      <c r="D64" s="1219"/>
      <c r="E64" s="1219"/>
      <c r="F64" s="1219"/>
      <c r="G64" s="1219"/>
      <c r="H64" s="1219"/>
      <c r="I64" s="1219"/>
      <c r="J64" s="1219"/>
      <c r="K64" s="1219"/>
      <c r="L64" s="1219"/>
      <c r="M64" s="1219"/>
      <c r="N64" s="1219"/>
      <c r="O64" s="1219"/>
      <c r="P64" s="1219"/>
      <c r="Q64" s="1219"/>
      <c r="R64" s="1219"/>
      <c r="S64" s="1219"/>
      <c r="T64" s="1219"/>
    </row>
    <row r="65" spans="1:20">
      <c r="A65" s="1219"/>
      <c r="B65" s="1326" t="s">
        <v>100</v>
      </c>
      <c r="C65" s="1326"/>
      <c r="D65" s="1219"/>
      <c r="E65" s="1219"/>
      <c r="F65" s="1219"/>
      <c r="G65" s="1219"/>
      <c r="H65" s="1219"/>
      <c r="I65" s="1219"/>
      <c r="J65" s="1219"/>
      <c r="K65" s="1219"/>
      <c r="L65" s="1219"/>
      <c r="M65" s="1219"/>
      <c r="N65" s="1219"/>
      <c r="O65" s="1219"/>
      <c r="P65" s="1219"/>
      <c r="Q65" s="1219"/>
      <c r="R65" s="1219"/>
      <c r="S65" s="1219"/>
      <c r="T65" s="1219"/>
    </row>
    <row r="66" spans="1:20">
      <c r="A66" s="1219"/>
      <c r="B66" s="1365" t="s">
        <v>101</v>
      </c>
      <c r="C66" s="1326"/>
      <c r="D66" s="1219"/>
      <c r="E66" s="1219"/>
      <c r="F66" s="1219"/>
      <c r="G66" s="1219"/>
      <c r="H66" s="1219"/>
      <c r="I66" s="1219"/>
      <c r="J66" s="1219"/>
      <c r="K66" s="1219"/>
      <c r="L66" s="1219"/>
      <c r="M66" s="1219"/>
      <c r="N66" s="1219"/>
      <c r="O66" s="1219"/>
      <c r="P66" s="1219"/>
      <c r="Q66" s="1219"/>
      <c r="R66" s="1219"/>
      <c r="S66" s="1219"/>
      <c r="T66" s="1219"/>
    </row>
    <row r="67" spans="1:20">
      <c r="A67" s="1219"/>
      <c r="B67" s="1365" t="s">
        <v>102</v>
      </c>
      <c r="C67" s="1326"/>
      <c r="D67" s="1219"/>
      <c r="E67" s="1219"/>
      <c r="F67" s="1219"/>
      <c r="G67" s="1219"/>
      <c r="H67" s="1219"/>
      <c r="I67" s="1219"/>
      <c r="J67" s="1219"/>
      <c r="K67" s="1219"/>
      <c r="L67" s="1219"/>
      <c r="M67" s="1219"/>
      <c r="N67" s="1219"/>
      <c r="O67" s="1219"/>
      <c r="P67" s="1219"/>
      <c r="Q67" s="1219"/>
      <c r="R67" s="1219"/>
      <c r="S67" s="1219"/>
      <c r="T67" s="1219"/>
    </row>
    <row r="68" spans="1:20">
      <c r="A68" s="1219"/>
      <c r="B68" s="1365" t="s">
        <v>103</v>
      </c>
      <c r="C68" s="1366"/>
      <c r="D68" s="1219"/>
      <c r="E68" s="1219"/>
      <c r="F68" s="1219"/>
      <c r="G68" s="1219"/>
      <c r="H68" s="1219"/>
      <c r="I68" s="1219"/>
      <c r="J68" s="1219"/>
      <c r="K68" s="1219"/>
      <c r="L68" s="1219"/>
      <c r="M68" s="1219"/>
      <c r="N68" s="1219"/>
      <c r="O68" s="1219"/>
      <c r="P68" s="1219"/>
      <c r="Q68" s="1219"/>
      <c r="R68" s="1219"/>
      <c r="S68" s="1219"/>
      <c r="T68" s="1219"/>
    </row>
    <row r="69" spans="1:20">
      <c r="A69" s="1219"/>
      <c r="B69" s="1326" t="s">
        <v>104</v>
      </c>
      <c r="C69" s="1326"/>
      <c r="D69" s="1219"/>
      <c r="E69" s="1219"/>
      <c r="F69" s="1219"/>
      <c r="G69" s="1219"/>
      <c r="H69" s="1219"/>
      <c r="I69" s="1219"/>
      <c r="J69" s="1219"/>
      <c r="K69" s="1219"/>
      <c r="L69" s="1219"/>
      <c r="M69" s="1219"/>
      <c r="N69" s="1219"/>
      <c r="O69" s="1219"/>
      <c r="P69" s="1219"/>
      <c r="Q69" s="1219"/>
      <c r="R69" s="1219"/>
      <c r="S69" s="1219"/>
      <c r="T69" s="1219"/>
    </row>
    <row r="70" spans="1:20">
      <c r="A70" s="1219"/>
      <c r="B70" s="1326" t="s">
        <v>105</v>
      </c>
      <c r="C70" s="1326"/>
      <c r="D70" s="1219"/>
      <c r="E70" s="1219"/>
      <c r="F70" s="1219"/>
      <c r="G70" s="1219"/>
      <c r="H70" s="1219"/>
      <c r="I70" s="1219"/>
      <c r="J70" s="1219"/>
      <c r="K70" s="1219"/>
      <c r="L70" s="1219"/>
      <c r="M70" s="1219"/>
      <c r="N70" s="1219"/>
      <c r="O70" s="1219"/>
      <c r="P70" s="1219"/>
      <c r="Q70" s="1219"/>
      <c r="R70" s="1219"/>
      <c r="S70" s="1219"/>
      <c r="T70" s="1219"/>
    </row>
    <row r="71" spans="1:20">
      <c r="A71" s="1219"/>
      <c r="B71" s="1326" t="s">
        <v>106</v>
      </c>
      <c r="C71" s="1366"/>
      <c r="D71" s="1219"/>
      <c r="E71" s="1219"/>
      <c r="F71" s="1219"/>
      <c r="G71" s="1219"/>
      <c r="H71" s="1219"/>
      <c r="I71" s="1219"/>
      <c r="J71" s="1219"/>
      <c r="K71" s="1219"/>
      <c r="L71" s="1219"/>
      <c r="M71" s="1219"/>
      <c r="N71" s="1219"/>
      <c r="O71" s="1219"/>
      <c r="P71" s="1219"/>
      <c r="Q71" s="1219"/>
      <c r="R71" s="1219"/>
      <c r="S71" s="1219"/>
      <c r="T71" s="1219"/>
    </row>
    <row r="72" spans="1:20">
      <c r="A72" s="1219"/>
      <c r="B72" s="1219" t="s">
        <v>107</v>
      </c>
      <c r="C72" s="1367"/>
      <c r="D72" s="1219"/>
      <c r="E72" s="1219"/>
      <c r="F72" s="1219"/>
      <c r="G72" s="1219"/>
      <c r="H72" s="1219"/>
      <c r="I72" s="1219"/>
      <c r="J72" s="1219"/>
      <c r="K72" s="1219"/>
      <c r="L72" s="1219"/>
      <c r="M72" s="1219"/>
      <c r="N72" s="1219"/>
      <c r="O72" s="1219"/>
      <c r="P72" s="1219"/>
      <c r="Q72" s="1219"/>
      <c r="R72" s="1219"/>
      <c r="S72" s="1219"/>
      <c r="T72" s="1219"/>
    </row>
    <row r="73" spans="1:20">
      <c r="A73" s="1219"/>
      <c r="B73" s="1219" t="s">
        <v>108</v>
      </c>
      <c r="C73" s="1367"/>
      <c r="D73" s="1219"/>
      <c r="E73" s="1219"/>
      <c r="F73" s="1219"/>
      <c r="G73" s="1219"/>
      <c r="H73" s="1219"/>
      <c r="I73" s="1219"/>
      <c r="J73" s="1219"/>
      <c r="K73" s="1219"/>
      <c r="L73" s="1219"/>
      <c r="M73" s="1219"/>
      <c r="N73" s="1219"/>
      <c r="O73" s="1219"/>
      <c r="P73" s="1219"/>
      <c r="Q73" s="1219"/>
      <c r="R73" s="1219"/>
      <c r="S73" s="1219"/>
      <c r="T73" s="1219"/>
    </row>
    <row r="74" spans="1:20">
      <c r="A74" s="1219"/>
      <c r="B74" s="1219" t="s">
        <v>109</v>
      </c>
      <c r="C74" s="1326"/>
      <c r="D74" s="1219"/>
      <c r="E74" s="1219"/>
      <c r="F74" s="1219"/>
      <c r="G74" s="1219"/>
      <c r="H74" s="1219"/>
      <c r="I74" s="1219"/>
      <c r="J74" s="1219"/>
      <c r="K74" s="1219"/>
      <c r="L74" s="1219"/>
      <c r="M74" s="1219"/>
      <c r="N74" s="1219"/>
      <c r="O74" s="1219"/>
      <c r="P74" s="1219"/>
      <c r="Q74" s="1219"/>
      <c r="R74" s="1219"/>
      <c r="S74" s="1219"/>
      <c r="T74" s="1219"/>
    </row>
    <row r="75" spans="1:20">
      <c r="A75" s="1219"/>
      <c r="B75" s="1219" t="s">
        <v>110</v>
      </c>
      <c r="C75" s="1326"/>
      <c r="D75" s="1219"/>
      <c r="E75" s="1219"/>
      <c r="F75" s="1219"/>
      <c r="G75" s="1219"/>
      <c r="H75" s="1219"/>
      <c r="I75" s="1219"/>
      <c r="J75" s="1219"/>
      <c r="K75" s="1219"/>
      <c r="L75" s="1219"/>
      <c r="M75" s="1219"/>
      <c r="N75" s="1219"/>
      <c r="O75" s="1219"/>
      <c r="P75" s="1219"/>
      <c r="Q75" s="1219"/>
      <c r="R75" s="1219"/>
      <c r="S75" s="1219"/>
      <c r="T75" s="1219"/>
    </row>
    <row r="76" spans="1:20" ht="15">
      <c r="A76" s="1219"/>
      <c r="B76" s="1365" t="s">
        <v>461</v>
      </c>
      <c r="C76" s="1219"/>
      <c r="D76" s="1219"/>
      <c r="E76" s="1219"/>
      <c r="F76" s="1219"/>
      <c r="G76" s="1219"/>
      <c r="H76" s="1219"/>
      <c r="I76" s="1219"/>
      <c r="J76" s="1219"/>
      <c r="K76" s="1219"/>
      <c r="L76" s="1219"/>
      <c r="M76" s="1219"/>
      <c r="N76" s="1219"/>
      <c r="O76" s="1219"/>
      <c r="P76" s="1219"/>
      <c r="Q76" s="1219"/>
      <c r="R76" s="1219"/>
      <c r="S76" s="1219"/>
      <c r="T76" s="1219"/>
    </row>
    <row r="77" spans="1:20">
      <c r="A77" s="1219"/>
      <c r="B77" s="1365" t="s">
        <v>111</v>
      </c>
      <c r="C77" s="1326"/>
      <c r="D77" s="1219"/>
      <c r="E77" s="1219"/>
      <c r="F77" s="1219"/>
      <c r="G77" s="1219"/>
      <c r="H77" s="1219"/>
      <c r="I77" s="1219"/>
      <c r="J77" s="1219"/>
      <c r="K77" s="1219"/>
      <c r="L77" s="1219"/>
      <c r="M77" s="1219"/>
      <c r="N77" s="1219"/>
      <c r="O77" s="1219"/>
      <c r="P77" s="1219"/>
      <c r="Q77" s="1219"/>
      <c r="R77" s="1219"/>
      <c r="S77" s="1219"/>
      <c r="T77" s="1219"/>
    </row>
    <row r="78" spans="1:20">
      <c r="A78" s="1219"/>
      <c r="B78" s="1326" t="s">
        <v>112</v>
      </c>
      <c r="C78" s="1326"/>
      <c r="D78" s="1219"/>
      <c r="E78" s="1219"/>
      <c r="F78" s="1219"/>
      <c r="G78" s="1219"/>
      <c r="H78" s="1219"/>
      <c r="I78" s="1219"/>
      <c r="J78" s="1219"/>
      <c r="K78" s="1219"/>
      <c r="L78" s="1219"/>
      <c r="M78" s="1219"/>
      <c r="N78" s="1219"/>
      <c r="O78" s="1219"/>
      <c r="P78" s="1219"/>
      <c r="Q78" s="1219"/>
      <c r="R78" s="1219"/>
      <c r="S78" s="1219"/>
      <c r="T78" s="1219"/>
    </row>
    <row r="79" spans="1:20">
      <c r="A79" s="1219"/>
      <c r="B79" s="1365" t="s">
        <v>113</v>
      </c>
      <c r="C79" s="1326"/>
      <c r="D79" s="1219"/>
      <c r="E79" s="1219"/>
      <c r="F79" s="1219"/>
      <c r="G79" s="1219"/>
      <c r="H79" s="1219"/>
      <c r="I79" s="1219"/>
      <c r="J79" s="1219"/>
      <c r="K79" s="1219"/>
      <c r="L79" s="1219"/>
      <c r="M79" s="1219"/>
      <c r="N79" s="1219"/>
      <c r="O79" s="1219"/>
      <c r="P79" s="1219"/>
      <c r="Q79" s="1219"/>
      <c r="R79" s="1219"/>
      <c r="S79" s="1219"/>
      <c r="T79" s="1219"/>
    </row>
    <row r="80" spans="1:20">
      <c r="A80" s="1219"/>
      <c r="B80" s="1365" t="s">
        <v>462</v>
      </c>
      <c r="C80" s="1326"/>
      <c r="D80" s="1219"/>
      <c r="E80" s="1219"/>
      <c r="F80" s="1219"/>
      <c r="G80" s="1219"/>
      <c r="H80" s="1219"/>
      <c r="I80" s="1219"/>
      <c r="J80" s="1219"/>
      <c r="K80" s="1219"/>
      <c r="L80" s="1219"/>
      <c r="M80" s="1219"/>
      <c r="N80" s="1219"/>
      <c r="O80" s="1219"/>
      <c r="P80" s="1219"/>
      <c r="Q80" s="1219"/>
      <c r="R80" s="1219"/>
      <c r="S80" s="1219"/>
      <c r="T80" s="1219"/>
    </row>
    <row r="81" spans="1:20" ht="15">
      <c r="A81" s="1219"/>
      <c r="B81" s="1368" t="s">
        <v>463</v>
      </c>
      <c r="C81" s="1326"/>
      <c r="D81" s="1219"/>
      <c r="E81" s="1219"/>
      <c r="F81" s="1219"/>
      <c r="G81" s="1219"/>
      <c r="H81" s="1219"/>
      <c r="I81" s="1219"/>
      <c r="J81" s="1219"/>
      <c r="K81" s="1219"/>
      <c r="L81" s="1219"/>
      <c r="M81" s="1219"/>
      <c r="N81" s="1219"/>
      <c r="O81" s="1219"/>
      <c r="P81" s="1219"/>
      <c r="Q81" s="1219"/>
      <c r="R81" s="1219"/>
      <c r="S81" s="1219"/>
      <c r="T81" s="1219"/>
    </row>
    <row r="82" spans="1:20">
      <c r="A82" s="1219"/>
      <c r="B82" s="1219"/>
      <c r="C82" s="1219"/>
      <c r="D82" s="1219"/>
      <c r="E82" s="1219"/>
      <c r="F82" s="1219"/>
      <c r="G82" s="1219"/>
      <c r="H82" s="1219"/>
      <c r="I82" s="1219"/>
      <c r="J82" s="1219"/>
      <c r="K82" s="1219"/>
      <c r="L82" s="1219"/>
      <c r="M82" s="1219"/>
      <c r="N82" s="1219"/>
      <c r="O82" s="1219"/>
      <c r="P82" s="1219"/>
      <c r="Q82" s="1219"/>
      <c r="R82" s="1219"/>
      <c r="S82" s="1219"/>
      <c r="T82" s="1219"/>
    </row>
    <row r="83" spans="1:20">
      <c r="A83" s="1219"/>
      <c r="B83" s="1219"/>
      <c r="C83" s="1219"/>
      <c r="D83" s="1219"/>
      <c r="E83" s="1219"/>
      <c r="F83" s="1219"/>
      <c r="G83" s="1219"/>
      <c r="H83" s="1219"/>
      <c r="I83" s="1219"/>
      <c r="J83" s="1219"/>
      <c r="K83" s="1219"/>
      <c r="L83" s="1219"/>
      <c r="M83" s="1219"/>
      <c r="N83" s="1219"/>
      <c r="O83" s="1219"/>
      <c r="P83" s="1219"/>
      <c r="Q83" s="1219"/>
      <c r="R83" s="1219"/>
      <c r="S83" s="1219"/>
      <c r="T83" s="1219"/>
    </row>
    <row r="84" spans="1:20">
      <c r="A84" s="1219"/>
      <c r="B84" s="1363" t="s">
        <v>114</v>
      </c>
      <c r="C84" s="1219"/>
      <c r="D84" s="1219"/>
      <c r="E84" s="1219"/>
      <c r="F84" s="1219"/>
      <c r="G84" s="1219"/>
      <c r="H84" s="1219"/>
      <c r="I84" s="1219"/>
      <c r="J84" s="1219"/>
      <c r="K84" s="1219"/>
      <c r="L84" s="1219"/>
      <c r="M84" s="1219"/>
      <c r="N84" s="1219"/>
      <c r="O84" s="1219"/>
      <c r="P84" s="1219"/>
      <c r="Q84" s="1219"/>
      <c r="R84" s="1219"/>
      <c r="S84" s="1219"/>
      <c r="T84" s="1219"/>
    </row>
    <row r="85" spans="1:20">
      <c r="A85" s="1219"/>
      <c r="B85" s="1219" t="s">
        <v>115</v>
      </c>
      <c r="C85" s="1219"/>
      <c r="D85" s="1219"/>
      <c r="E85" s="1219"/>
      <c r="F85" s="1219"/>
      <c r="G85" s="1219"/>
      <c r="H85" s="1219"/>
      <c r="I85" s="1219"/>
      <c r="J85" s="1219"/>
      <c r="K85" s="1219"/>
      <c r="L85" s="1219"/>
      <c r="M85" s="1219"/>
      <c r="N85" s="1219"/>
      <c r="O85" s="1219"/>
      <c r="P85" s="1219"/>
      <c r="Q85" s="1219"/>
      <c r="R85" s="1219"/>
      <c r="S85" s="1219"/>
      <c r="T85" s="1219"/>
    </row>
    <row r="86" spans="1:20">
      <c r="A86" s="1219"/>
      <c r="B86" s="1219" t="s">
        <v>116</v>
      </c>
      <c r="C86" s="1219"/>
      <c r="D86" s="1219"/>
      <c r="E86" s="1219"/>
      <c r="F86" s="1219"/>
      <c r="G86" s="1219"/>
      <c r="H86" s="1219"/>
      <c r="I86" s="1219"/>
      <c r="J86" s="1219"/>
      <c r="K86" s="1219"/>
      <c r="L86" s="1219"/>
      <c r="M86" s="1219"/>
      <c r="N86" s="1219"/>
      <c r="O86" s="1219"/>
      <c r="P86" s="1219"/>
      <c r="Q86" s="1219"/>
      <c r="R86" s="1219"/>
      <c r="S86" s="1219"/>
      <c r="T86" s="1219"/>
    </row>
    <row r="87" spans="1:20">
      <c r="A87" s="1219"/>
      <c r="B87" s="1326" t="s">
        <v>117</v>
      </c>
      <c r="C87" s="1219"/>
      <c r="D87" s="1219"/>
      <c r="E87" s="1219"/>
      <c r="F87" s="1219"/>
      <c r="G87" s="1219"/>
      <c r="H87" s="1219"/>
      <c r="I87" s="1219"/>
      <c r="J87" s="1219"/>
      <c r="K87" s="1219"/>
      <c r="L87" s="1219"/>
      <c r="M87" s="1219"/>
      <c r="N87" s="1219"/>
      <c r="O87" s="1219"/>
      <c r="P87" s="1219"/>
      <c r="Q87" s="1219"/>
      <c r="R87" s="1219"/>
      <c r="S87" s="1219"/>
      <c r="T87" s="1219"/>
    </row>
    <row r="88" spans="1:20">
      <c r="B88" s="1326" t="s">
        <v>118</v>
      </c>
    </row>
    <row r="89" spans="1:20">
      <c r="B89" s="1365" t="s">
        <v>464</v>
      </c>
    </row>
    <row r="90" spans="1:20" ht="15">
      <c r="B90" s="1368" t="s">
        <v>465</v>
      </c>
    </row>
    <row r="93" spans="1:20" ht="16.5" customHeight="1">
      <c r="A93" s="1219"/>
      <c r="B93" s="1369" t="s">
        <v>119</v>
      </c>
      <c r="C93" s="1339"/>
      <c r="D93" s="1219"/>
      <c r="E93" s="1219"/>
      <c r="F93" s="1219"/>
      <c r="G93" s="1219"/>
      <c r="H93" s="1219"/>
      <c r="I93" s="1219"/>
      <c r="J93" s="1219"/>
      <c r="K93" s="1219"/>
      <c r="L93" s="1219"/>
      <c r="M93" s="1219"/>
      <c r="N93" s="1219"/>
      <c r="O93" s="1219"/>
      <c r="P93" s="1219"/>
      <c r="Q93" s="1219"/>
      <c r="R93" s="1219"/>
      <c r="S93" s="1219"/>
      <c r="T93" s="1219"/>
    </row>
    <row r="94" spans="1:20">
      <c r="A94" s="1219"/>
      <c r="B94" s="1365" t="s">
        <v>2151</v>
      </c>
      <c r="C94" s="1219"/>
      <c r="D94" s="1219"/>
      <c r="E94" s="1219"/>
      <c r="F94" s="1219"/>
      <c r="G94" s="1219"/>
      <c r="H94" s="1219"/>
      <c r="I94" s="1219"/>
      <c r="J94" s="1219"/>
      <c r="K94" s="1219"/>
      <c r="L94" s="1219"/>
      <c r="M94" s="1219"/>
      <c r="N94" s="1219"/>
      <c r="O94" s="1219"/>
      <c r="P94" s="1219"/>
      <c r="Q94" s="1219"/>
      <c r="R94" s="1219"/>
      <c r="S94" s="1219"/>
      <c r="T94" s="1219"/>
    </row>
    <row r="95" spans="1:20">
      <c r="A95" s="1219"/>
      <c r="B95" s="1219" t="s">
        <v>2152</v>
      </c>
      <c r="C95" s="1219"/>
      <c r="D95" s="1219"/>
      <c r="E95" s="1219"/>
      <c r="F95" s="1219"/>
      <c r="G95" s="1219"/>
      <c r="H95" s="1219"/>
      <c r="I95" s="1219"/>
      <c r="J95" s="1219"/>
      <c r="K95" s="1219"/>
      <c r="L95" s="1219"/>
      <c r="M95" s="1219"/>
      <c r="N95" s="1219"/>
      <c r="O95" s="1219"/>
      <c r="P95" s="1219"/>
      <c r="Q95" s="1219"/>
      <c r="R95" s="1219"/>
      <c r="S95" s="1219"/>
      <c r="T95" s="1219"/>
    </row>
    <row r="96" spans="1:20">
      <c r="A96" s="1219"/>
      <c r="B96" s="1219" t="s">
        <v>437</v>
      </c>
      <c r="C96" s="1219"/>
      <c r="D96" s="1219"/>
      <c r="E96" s="1219"/>
      <c r="F96" s="1219"/>
      <c r="G96" s="1219"/>
      <c r="H96" s="1219"/>
      <c r="I96" s="1219"/>
      <c r="J96" s="1219"/>
      <c r="K96" s="1219"/>
      <c r="L96" s="1219"/>
      <c r="M96" s="1219"/>
      <c r="N96" s="1219"/>
      <c r="O96" s="1219"/>
      <c r="P96" s="1219"/>
      <c r="Q96" s="1219"/>
      <c r="R96" s="1219"/>
      <c r="S96" s="1219"/>
      <c r="T96" s="1219"/>
    </row>
    <row r="97" spans="1:20">
      <c r="A97" s="1219"/>
      <c r="B97" s="1219" t="s">
        <v>438</v>
      </c>
      <c r="C97" s="1219"/>
      <c r="D97" s="1219"/>
      <c r="E97" s="1219"/>
      <c r="F97" s="1219"/>
      <c r="G97" s="1219"/>
      <c r="H97" s="1219"/>
      <c r="I97" s="1219"/>
      <c r="J97" s="1219"/>
      <c r="K97" s="1219"/>
      <c r="L97" s="1219"/>
      <c r="M97" s="1219"/>
      <c r="N97" s="1219"/>
      <c r="O97" s="1219"/>
      <c r="P97" s="1219"/>
      <c r="Q97" s="1219"/>
      <c r="R97" s="1219"/>
      <c r="S97" s="1219"/>
      <c r="T97" s="1219"/>
    </row>
    <row r="98" spans="1:20">
      <c r="A98" s="1219"/>
      <c r="B98" s="1219" t="s">
        <v>439</v>
      </c>
      <c r="C98" s="1219"/>
      <c r="D98" s="1219"/>
      <c r="E98" s="1219"/>
      <c r="F98" s="1219"/>
      <c r="G98" s="1219"/>
      <c r="H98" s="1219"/>
      <c r="I98" s="1219"/>
      <c r="J98" s="1219"/>
      <c r="K98" s="1219"/>
      <c r="L98" s="1219"/>
      <c r="M98" s="1219"/>
      <c r="N98" s="1219"/>
      <c r="O98" s="1219"/>
      <c r="P98" s="1219"/>
      <c r="Q98" s="1219"/>
      <c r="R98" s="1219"/>
      <c r="S98" s="1219"/>
      <c r="T98" s="1219"/>
    </row>
    <row r="99" spans="1:20">
      <c r="A99" s="1219"/>
      <c r="B99" s="1219" t="s">
        <v>440</v>
      </c>
      <c r="C99" s="1219"/>
      <c r="D99" s="1219"/>
      <c r="E99" s="1219"/>
      <c r="F99" s="1219"/>
      <c r="G99" s="1219"/>
      <c r="H99" s="1219"/>
      <c r="I99" s="1219"/>
      <c r="J99" s="1219"/>
      <c r="K99" s="1219"/>
      <c r="L99" s="1219"/>
      <c r="M99" s="1219"/>
      <c r="N99" s="1219"/>
      <c r="O99" s="1219"/>
      <c r="P99" s="1219"/>
      <c r="Q99" s="1219"/>
      <c r="R99" s="1219"/>
      <c r="S99" s="1219"/>
      <c r="T99" s="1219"/>
    </row>
    <row r="100" spans="1:20">
      <c r="A100" s="1219"/>
      <c r="B100" s="1219" t="s">
        <v>441</v>
      </c>
      <c r="C100" s="1219"/>
      <c r="D100" s="1219"/>
      <c r="E100" s="1219"/>
      <c r="F100" s="1219"/>
      <c r="G100" s="1219"/>
      <c r="H100" s="1219"/>
      <c r="I100" s="1219"/>
      <c r="J100" s="1219"/>
      <c r="K100" s="1219"/>
      <c r="L100" s="1219"/>
      <c r="M100" s="1219"/>
      <c r="N100" s="1219"/>
      <c r="O100" s="1219"/>
      <c r="P100" s="1219"/>
      <c r="Q100" s="1219"/>
      <c r="R100" s="1219"/>
      <c r="S100" s="1219"/>
      <c r="T100" s="1219"/>
    </row>
    <row r="101" spans="1:20">
      <c r="A101" s="1219"/>
      <c r="B101" s="1219" t="s">
        <v>442</v>
      </c>
      <c r="C101" s="1219"/>
      <c r="D101" s="1219"/>
      <c r="E101" s="1219"/>
      <c r="F101" s="1219"/>
      <c r="G101" s="1219"/>
      <c r="H101" s="1219"/>
      <c r="I101" s="1219"/>
      <c r="J101" s="1219"/>
      <c r="K101" s="1219"/>
      <c r="L101" s="1219"/>
      <c r="M101" s="1219"/>
      <c r="N101" s="1219"/>
      <c r="O101" s="1219"/>
      <c r="P101" s="1219"/>
      <c r="Q101" s="1219"/>
      <c r="R101" s="1219"/>
      <c r="S101" s="1219"/>
      <c r="T101" s="1219"/>
    </row>
    <row r="102" spans="1:20">
      <c r="A102" s="1219"/>
      <c r="B102" s="1219" t="s">
        <v>443</v>
      </c>
      <c r="C102" s="1219"/>
      <c r="D102" s="1219"/>
      <c r="E102" s="1219"/>
      <c r="F102" s="1219"/>
      <c r="G102" s="1219"/>
      <c r="H102" s="1219"/>
      <c r="I102" s="1219"/>
      <c r="J102" s="1219"/>
      <c r="K102" s="1219"/>
      <c r="L102" s="1219"/>
      <c r="M102" s="1219"/>
      <c r="N102" s="1219"/>
      <c r="O102" s="1219"/>
      <c r="P102" s="1219"/>
      <c r="Q102" s="1219"/>
      <c r="R102" s="1219"/>
      <c r="S102" s="1219"/>
      <c r="T102" s="1219"/>
    </row>
    <row r="103" spans="1:20">
      <c r="A103" s="1219"/>
      <c r="B103" s="1219" t="s">
        <v>444</v>
      </c>
      <c r="C103" s="1219"/>
      <c r="D103" s="1219"/>
      <c r="E103" s="1219"/>
      <c r="F103" s="1219"/>
      <c r="G103" s="1219"/>
      <c r="H103" s="1219"/>
      <c r="I103" s="1219"/>
      <c r="J103" s="1219"/>
      <c r="K103" s="1219"/>
      <c r="L103" s="1219"/>
      <c r="M103" s="1219"/>
      <c r="N103" s="1219"/>
      <c r="O103" s="1219"/>
      <c r="P103" s="1219"/>
      <c r="Q103" s="1219"/>
      <c r="R103" s="1219"/>
      <c r="S103" s="1219"/>
      <c r="T103" s="1219"/>
    </row>
    <row r="104" spans="1:20">
      <c r="A104" s="1219"/>
      <c r="B104" s="1365" t="s">
        <v>445</v>
      </c>
      <c r="C104" s="1219"/>
      <c r="D104" s="1219"/>
      <c r="E104" s="1219"/>
      <c r="F104" s="1219"/>
      <c r="G104" s="1219"/>
      <c r="H104" s="1219"/>
      <c r="I104" s="1219"/>
      <c r="J104" s="1219"/>
      <c r="K104" s="1219"/>
      <c r="L104" s="1219"/>
      <c r="M104" s="1219"/>
      <c r="N104" s="1219"/>
      <c r="O104" s="1219"/>
      <c r="P104" s="1219"/>
      <c r="Q104" s="1219"/>
      <c r="R104" s="1219"/>
      <c r="S104" s="1219"/>
      <c r="T104" s="1219"/>
    </row>
    <row r="105" spans="1:20">
      <c r="A105" s="1219"/>
      <c r="B105" s="1365" t="s">
        <v>446</v>
      </c>
      <c r="C105" s="1219"/>
      <c r="D105" s="1219"/>
      <c r="E105" s="1219"/>
      <c r="F105" s="1219"/>
      <c r="G105" s="1219"/>
      <c r="H105" s="1219"/>
      <c r="I105" s="1219"/>
      <c r="J105" s="1219"/>
      <c r="K105" s="1219"/>
      <c r="L105" s="1219"/>
      <c r="M105" s="1219"/>
      <c r="N105" s="1219"/>
      <c r="O105" s="1219"/>
      <c r="P105" s="1219"/>
      <c r="Q105" s="1219"/>
      <c r="R105" s="1219"/>
      <c r="S105" s="1219"/>
      <c r="T105" s="1219"/>
    </row>
    <row r="106" spans="1:20" ht="13.5" customHeight="1">
      <c r="A106" s="1219"/>
      <c r="B106" s="1219" t="s">
        <v>447</v>
      </c>
      <c r="C106" s="1219"/>
      <c r="D106" s="1219"/>
      <c r="E106" s="1219"/>
      <c r="F106" s="1219"/>
      <c r="G106" s="1219"/>
      <c r="H106" s="1219"/>
      <c r="I106" s="1219"/>
      <c r="J106" s="1219"/>
      <c r="K106" s="1219"/>
      <c r="L106" s="1219"/>
      <c r="M106" s="1219"/>
      <c r="N106" s="1219"/>
      <c r="O106" s="1219"/>
      <c r="P106" s="1219"/>
      <c r="Q106" s="1219"/>
      <c r="R106" s="1219"/>
      <c r="S106" s="1219"/>
      <c r="T106" s="1219"/>
    </row>
    <row r="107" spans="1:20" ht="12.75" customHeight="1">
      <c r="A107" s="1219"/>
      <c r="B107" s="1365" t="s">
        <v>466</v>
      </c>
      <c r="C107" s="1219"/>
      <c r="D107" s="1219"/>
      <c r="E107" s="1219"/>
      <c r="F107" s="1219"/>
      <c r="G107" s="1219"/>
      <c r="H107" s="1219"/>
      <c r="I107" s="1219"/>
      <c r="J107" s="1219"/>
      <c r="K107" s="1219"/>
      <c r="L107" s="1219"/>
      <c r="M107" s="1219"/>
      <c r="N107" s="1219"/>
      <c r="O107" s="1219"/>
      <c r="P107" s="1219"/>
      <c r="Q107" s="1219"/>
      <c r="R107" s="1219"/>
      <c r="S107" s="1219"/>
      <c r="T107" s="1219"/>
    </row>
    <row r="110" spans="1:20">
      <c r="A110" s="1219"/>
      <c r="B110" s="1219" t="s">
        <v>710</v>
      </c>
      <c r="C110" s="1370"/>
      <c r="D110" s="1219"/>
      <c r="E110" s="1219"/>
      <c r="F110" s="1219"/>
      <c r="G110" s="1219"/>
      <c r="H110" s="1219"/>
      <c r="I110" s="1219"/>
      <c r="J110" s="1219"/>
      <c r="K110" s="1219"/>
      <c r="L110" s="1219"/>
      <c r="M110" s="1219"/>
      <c r="N110" s="1219"/>
      <c r="O110" s="1219"/>
      <c r="P110" s="1219"/>
      <c r="Q110" s="1219"/>
      <c r="R110" s="1219"/>
      <c r="S110" s="1219"/>
      <c r="T110" s="1219"/>
    </row>
  </sheetData>
  <mergeCells count="2">
    <mergeCell ref="A34:A42"/>
    <mergeCell ref="A7:A31"/>
  </mergeCells>
  <phoneticPr fontId="88" type="noConversion"/>
  <pageMargins left="0.4" right="0.46" top="0.47" bottom="0.33" header="0.25" footer="0.14000000000000001"/>
  <pageSetup paperSize="9" scale="63" orientation="landscape"/>
  <headerFooter alignWithMargins="0">
    <oddFooter>&amp;R&amp;8&amp;P/&amp;N</oddFooter>
  </headerFooter>
  <rowBreaks count="1" manualBreakCount="1">
    <brk id="58" max="16383" man="1"/>
  </rowBreaks>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B6098-6F45-8D46-9833-FF184DE86F81}">
  <sheetPr>
    <pageSetUpPr fitToPage="1"/>
  </sheetPr>
  <dimension ref="A1:K54"/>
  <sheetViews>
    <sheetView zoomScale="75" workbookViewId="0">
      <selection activeCell="C55" sqref="C55"/>
    </sheetView>
  </sheetViews>
  <sheetFormatPr baseColWidth="10" defaultColWidth="11.3984375" defaultRowHeight="13"/>
  <cols>
    <col min="1" max="1" width="15.796875" style="2" customWidth="1"/>
    <col min="2" max="2" width="12.796875" style="168" customWidth="1"/>
    <col min="3" max="3" width="11" style="168" customWidth="1"/>
    <col min="4" max="4" width="10.59765625" style="168" customWidth="1"/>
    <col min="5" max="6" width="11" style="168" customWidth="1"/>
    <col min="7" max="7" width="11.59765625" style="168" customWidth="1"/>
    <col min="8" max="8" width="11" style="168" customWidth="1"/>
    <col min="9" max="9" width="11.59765625" style="87" customWidth="1"/>
    <col min="10" max="10" width="9.59765625" style="168" customWidth="1"/>
    <col min="11" max="11" width="11" style="168" customWidth="1"/>
    <col min="12" max="13" width="4.59765625" style="2" customWidth="1"/>
    <col min="14" max="16384" width="11.3984375" style="2"/>
  </cols>
  <sheetData>
    <row r="1" spans="1:11" s="1" customFormat="1" ht="14" customHeight="1">
      <c r="A1" s="271"/>
      <c r="B1" s="1009"/>
      <c r="C1" s="1009"/>
      <c r="D1" s="1009"/>
      <c r="E1" s="1009"/>
      <c r="F1" s="1009"/>
      <c r="G1" s="1009"/>
      <c r="H1" s="1009"/>
      <c r="I1" s="1044"/>
      <c r="J1" s="1009"/>
      <c r="K1" s="1009"/>
    </row>
    <row r="2" spans="1:11" s="1" customFormat="1" ht="27" customHeight="1">
      <c r="A2" s="894" t="s">
        <v>1507</v>
      </c>
      <c r="B2" s="1009"/>
      <c r="C2" s="1009"/>
      <c r="D2" s="1009"/>
      <c r="E2" s="1009"/>
      <c r="F2" s="1009"/>
      <c r="G2" s="1009"/>
      <c r="H2" s="1009"/>
      <c r="I2" s="398">
        <v>2009</v>
      </c>
      <c r="J2" s="1009"/>
    </row>
    <row r="3" spans="1:11" ht="27" customHeight="1">
      <c r="A3" s="1045" t="s">
        <v>1797</v>
      </c>
      <c r="B3" s="1046" t="s">
        <v>1289</v>
      </c>
      <c r="C3" s="1047" t="s">
        <v>1479</v>
      </c>
      <c r="D3" s="1046" t="s">
        <v>1479</v>
      </c>
      <c r="E3" s="1047" t="s">
        <v>1567</v>
      </c>
      <c r="F3" s="1046" t="s">
        <v>1480</v>
      </c>
      <c r="G3" s="1047" t="s">
        <v>2388</v>
      </c>
      <c r="H3" s="1048" t="s">
        <v>1481</v>
      </c>
      <c r="I3" s="1047" t="s">
        <v>1482</v>
      </c>
      <c r="J3" s="2"/>
      <c r="K3" s="2"/>
    </row>
    <row r="4" spans="1:11" ht="21.75" customHeight="1">
      <c r="A4" s="325"/>
      <c r="B4" s="1049" t="s">
        <v>1483</v>
      </c>
      <c r="C4" s="1050" t="s">
        <v>1484</v>
      </c>
      <c r="D4" s="1049" t="s">
        <v>1485</v>
      </c>
      <c r="E4" s="1050" t="s">
        <v>1486</v>
      </c>
      <c r="F4" s="1049" t="s">
        <v>1508</v>
      </c>
      <c r="G4" s="1050" t="s">
        <v>1487</v>
      </c>
      <c r="H4" s="1051" t="s">
        <v>1488</v>
      </c>
      <c r="I4" s="1050" t="s">
        <v>1489</v>
      </c>
      <c r="J4" s="2"/>
      <c r="K4" s="2"/>
    </row>
    <row r="5" spans="1:11" ht="20.25" customHeight="1">
      <c r="A5" s="325"/>
      <c r="B5" s="1049" t="s">
        <v>1490</v>
      </c>
      <c r="C5" s="1050" t="s">
        <v>1491</v>
      </c>
      <c r="D5" s="1049" t="s">
        <v>1492</v>
      </c>
      <c r="E5" s="1050" t="s">
        <v>1493</v>
      </c>
      <c r="F5" s="1049"/>
      <c r="G5" s="1050" t="s">
        <v>1509</v>
      </c>
      <c r="H5" s="1051" t="s">
        <v>1510</v>
      </c>
      <c r="I5" s="1050" t="s">
        <v>1511</v>
      </c>
      <c r="J5" s="2"/>
      <c r="K5" s="2"/>
    </row>
    <row r="6" spans="1:11" ht="19.5" customHeight="1">
      <c r="A6" s="325"/>
      <c r="B6" s="1049" t="s">
        <v>1512</v>
      </c>
      <c r="C6" s="1050" t="s">
        <v>1513</v>
      </c>
      <c r="D6" s="1049" t="s">
        <v>1514</v>
      </c>
      <c r="E6" s="1050" t="s">
        <v>1515</v>
      </c>
      <c r="F6" s="1049"/>
      <c r="G6" s="1050"/>
      <c r="H6" s="1051"/>
      <c r="I6" s="1050"/>
      <c r="J6" s="2"/>
      <c r="K6" s="2"/>
    </row>
    <row r="7" spans="1:11" ht="14.25" customHeight="1">
      <c r="A7" s="325"/>
      <c r="B7" s="392"/>
      <c r="C7" s="913"/>
      <c r="D7" s="392"/>
      <c r="E7" s="913"/>
      <c r="F7" s="392"/>
      <c r="G7" s="913"/>
      <c r="H7" s="392"/>
      <c r="I7" s="913"/>
      <c r="J7" s="2"/>
      <c r="K7" s="2"/>
    </row>
    <row r="8" spans="1:11" ht="30" customHeight="1" thickBot="1">
      <c r="A8" s="1052" t="s">
        <v>1807</v>
      </c>
      <c r="B8" s="185">
        <v>1366821</v>
      </c>
      <c r="C8" s="184">
        <v>1338</v>
      </c>
      <c r="D8" s="185">
        <v>1945</v>
      </c>
      <c r="E8" s="184">
        <v>3283</v>
      </c>
      <c r="F8" s="1053">
        <v>2.4019238803032734</v>
      </c>
      <c r="G8" s="184">
        <v>226</v>
      </c>
      <c r="H8" s="1054">
        <v>2</v>
      </c>
      <c r="I8" s="1055">
        <v>1.6534718152559844</v>
      </c>
      <c r="J8" s="2"/>
      <c r="K8" s="2"/>
    </row>
    <row r="9" spans="1:11" ht="18" customHeight="1" thickBot="1">
      <c r="A9" s="943" t="s">
        <v>1808</v>
      </c>
      <c r="B9" s="188">
        <v>979554</v>
      </c>
      <c r="C9" s="187">
        <v>936</v>
      </c>
      <c r="D9" s="188">
        <v>1081</v>
      </c>
      <c r="E9" s="187">
        <v>2017</v>
      </c>
      <c r="F9" s="1053">
        <v>2.0591003660849734</v>
      </c>
      <c r="G9" s="187">
        <v>174</v>
      </c>
      <c r="H9" s="1054">
        <v>2</v>
      </c>
      <c r="I9" s="1055">
        <v>1.7763186103063229</v>
      </c>
      <c r="J9" s="2"/>
      <c r="K9" s="2"/>
    </row>
    <row r="10" spans="1:11" ht="18" customHeight="1" thickBot="1">
      <c r="A10" s="943" t="s">
        <v>1809</v>
      </c>
      <c r="B10" s="188">
        <v>370931</v>
      </c>
      <c r="C10" s="187">
        <v>292</v>
      </c>
      <c r="D10" s="188">
        <v>271</v>
      </c>
      <c r="E10" s="187">
        <v>563</v>
      </c>
      <c r="F10" s="1053">
        <v>1.5178025023521895</v>
      </c>
      <c r="G10" s="187">
        <v>34</v>
      </c>
      <c r="H10" s="1054">
        <v>1</v>
      </c>
      <c r="I10" s="1055">
        <v>0.91661252362299195</v>
      </c>
      <c r="J10" s="2"/>
      <c r="K10" s="2"/>
    </row>
    <row r="11" spans="1:11" ht="18" customHeight="1" thickBot="1">
      <c r="A11" s="943" t="s">
        <v>1810</v>
      </c>
      <c r="B11" s="188">
        <v>34772</v>
      </c>
      <c r="C11" s="187">
        <v>25</v>
      </c>
      <c r="D11" s="188">
        <v>10</v>
      </c>
      <c r="E11" s="187">
        <v>35</v>
      </c>
      <c r="F11" s="1053">
        <v>1.0065569998849651</v>
      </c>
      <c r="G11" s="187">
        <v>3</v>
      </c>
      <c r="H11" s="1054">
        <v>1</v>
      </c>
      <c r="I11" s="1055">
        <v>0.86276314275854127</v>
      </c>
      <c r="J11" s="2"/>
      <c r="K11" s="2"/>
    </row>
    <row r="12" spans="1:11" ht="18" customHeight="1" thickBot="1">
      <c r="A12" s="943" t="s">
        <v>1811</v>
      </c>
      <c r="B12" s="188">
        <v>143699</v>
      </c>
      <c r="C12" s="187">
        <v>106</v>
      </c>
      <c r="D12" s="188">
        <v>85</v>
      </c>
      <c r="E12" s="187">
        <v>191</v>
      </c>
      <c r="F12" s="1053">
        <v>1.329167217586761</v>
      </c>
      <c r="G12" s="187">
        <v>12</v>
      </c>
      <c r="H12" s="1054">
        <v>1</v>
      </c>
      <c r="I12" s="1055">
        <v>0.83507888015922171</v>
      </c>
      <c r="J12" s="2"/>
      <c r="K12" s="2"/>
    </row>
    <row r="13" spans="1:11" ht="18" customHeight="1" thickBot="1">
      <c r="A13" s="943" t="s">
        <v>1812</v>
      </c>
      <c r="B13" s="188">
        <v>34667</v>
      </c>
      <c r="C13" s="187">
        <v>28</v>
      </c>
      <c r="D13" s="188">
        <v>12</v>
      </c>
      <c r="E13" s="187">
        <v>40</v>
      </c>
      <c r="F13" s="1053">
        <v>1.1538350592782762</v>
      </c>
      <c r="G13" s="187">
        <v>3</v>
      </c>
      <c r="H13" s="1054">
        <v>1</v>
      </c>
      <c r="I13" s="1055">
        <v>0.86537629445870712</v>
      </c>
      <c r="J13" s="2"/>
      <c r="K13" s="2"/>
    </row>
    <row r="14" spans="1:11" ht="18" customHeight="1" thickBot="1">
      <c r="A14" s="943" t="s">
        <v>1813</v>
      </c>
      <c r="B14" s="188">
        <v>40164</v>
      </c>
      <c r="C14" s="187">
        <v>27</v>
      </c>
      <c r="D14" s="188">
        <v>23</v>
      </c>
      <c r="E14" s="187">
        <v>50</v>
      </c>
      <c r="F14" s="1053">
        <v>1.244895926700528</v>
      </c>
      <c r="G14" s="187">
        <v>2</v>
      </c>
      <c r="H14" s="1054">
        <v>1</v>
      </c>
      <c r="I14" s="1055">
        <v>0.49795837068021115</v>
      </c>
      <c r="J14" s="2"/>
      <c r="K14" s="2"/>
    </row>
    <row r="15" spans="1:11" ht="18" customHeight="1" thickBot="1">
      <c r="A15" s="943" t="s">
        <v>1814</v>
      </c>
      <c r="B15" s="188">
        <v>38259</v>
      </c>
      <c r="C15" s="187">
        <v>36</v>
      </c>
      <c r="D15" s="188">
        <v>22</v>
      </c>
      <c r="E15" s="187">
        <v>58</v>
      </c>
      <c r="F15" s="1053">
        <v>1.5159831673593143</v>
      </c>
      <c r="G15" s="187">
        <v>2</v>
      </c>
      <c r="H15" s="1054">
        <v>1</v>
      </c>
      <c r="I15" s="1055">
        <v>0.52275281633079795</v>
      </c>
      <c r="J15" s="2"/>
      <c r="K15" s="2"/>
    </row>
    <row r="16" spans="1:11" ht="18" customHeight="1" thickBot="1">
      <c r="A16" s="943" t="s">
        <v>1815</v>
      </c>
      <c r="B16" s="188">
        <v>111151</v>
      </c>
      <c r="C16" s="187">
        <v>99</v>
      </c>
      <c r="D16" s="188">
        <v>131</v>
      </c>
      <c r="E16" s="187">
        <v>230</v>
      </c>
      <c r="F16" s="1053">
        <v>2.0692571366879289</v>
      </c>
      <c r="G16" s="187">
        <v>14</v>
      </c>
      <c r="H16" s="1054">
        <v>1</v>
      </c>
      <c r="I16" s="1055">
        <v>1.2595478223317829</v>
      </c>
      <c r="J16" s="2"/>
      <c r="K16" s="2"/>
    </row>
    <row r="17" spans="1:11" ht="18" customHeight="1" thickBot="1">
      <c r="A17" s="943" t="s">
        <v>1816</v>
      </c>
      <c r="B17" s="188">
        <v>273855</v>
      </c>
      <c r="C17" s="187">
        <v>224</v>
      </c>
      <c r="D17" s="188">
        <v>169</v>
      </c>
      <c r="E17" s="187">
        <v>393</v>
      </c>
      <c r="F17" s="1053">
        <v>1.4350660020813935</v>
      </c>
      <c r="G17" s="187">
        <v>70</v>
      </c>
      <c r="H17" s="1054">
        <v>2</v>
      </c>
      <c r="I17" s="1055">
        <v>2.5560972047251282</v>
      </c>
      <c r="J17" s="2"/>
      <c r="K17" s="2"/>
    </row>
    <row r="18" spans="1:11" ht="18" customHeight="1" thickBot="1">
      <c r="A18" s="943" t="s">
        <v>1817</v>
      </c>
      <c r="B18" s="188">
        <v>252083</v>
      </c>
      <c r="C18" s="187">
        <v>254</v>
      </c>
      <c r="D18" s="188">
        <v>157</v>
      </c>
      <c r="E18" s="187">
        <v>411</v>
      </c>
      <c r="F18" s="1053">
        <v>1.6304153790616582</v>
      </c>
      <c r="G18" s="187">
        <v>27</v>
      </c>
      <c r="H18" s="1054">
        <v>1</v>
      </c>
      <c r="I18" s="1055">
        <v>1.0710757964638631</v>
      </c>
      <c r="J18" s="2"/>
      <c r="K18" s="2"/>
    </row>
    <row r="19" spans="1:11" ht="18" customHeight="1" thickBot="1">
      <c r="A19" s="943" t="s">
        <v>1818</v>
      </c>
      <c r="B19" s="188">
        <v>192068</v>
      </c>
      <c r="C19" s="187">
        <v>241</v>
      </c>
      <c r="D19" s="188">
        <v>500</v>
      </c>
      <c r="E19" s="187">
        <v>741</v>
      </c>
      <c r="F19" s="1053">
        <v>3.8580086219463943</v>
      </c>
      <c r="G19" s="187">
        <v>72</v>
      </c>
      <c r="H19" s="1054">
        <v>3</v>
      </c>
      <c r="I19" s="1055">
        <v>3.7486723452110708</v>
      </c>
      <c r="J19" s="2"/>
      <c r="K19" s="2"/>
    </row>
    <row r="20" spans="1:11" ht="18" customHeight="1" thickBot="1">
      <c r="A20" s="943" t="s">
        <v>1819</v>
      </c>
      <c r="B20" s="188">
        <v>271125</v>
      </c>
      <c r="C20" s="187">
        <v>254</v>
      </c>
      <c r="D20" s="188">
        <v>333</v>
      </c>
      <c r="E20" s="187">
        <v>587</v>
      </c>
      <c r="F20" s="1053">
        <v>2.1650530198248044</v>
      </c>
      <c r="G20" s="187">
        <v>42</v>
      </c>
      <c r="H20" s="1054">
        <v>1</v>
      </c>
      <c r="I20" s="1055">
        <v>1.5491009681881049</v>
      </c>
      <c r="J20" s="2"/>
      <c r="K20" s="2"/>
    </row>
    <row r="21" spans="1:11" ht="18" customHeight="1" thickBot="1">
      <c r="A21" s="943" t="s">
        <v>1820</v>
      </c>
      <c r="B21" s="188">
        <v>75691</v>
      </c>
      <c r="C21" s="187">
        <v>74</v>
      </c>
      <c r="D21" s="188">
        <v>68</v>
      </c>
      <c r="E21" s="187">
        <v>142</v>
      </c>
      <c r="F21" s="1053">
        <v>1.8760486715725779</v>
      </c>
      <c r="G21" s="187">
        <v>13</v>
      </c>
      <c r="H21" s="1054">
        <v>2</v>
      </c>
      <c r="I21" s="1055">
        <v>1.7175093472143321</v>
      </c>
      <c r="J21" s="2"/>
      <c r="K21" s="2"/>
    </row>
    <row r="22" spans="1:11" ht="18" customHeight="1" thickBot="1">
      <c r="A22" s="943" t="s">
        <v>1821</v>
      </c>
      <c r="B22" s="188">
        <v>52681</v>
      </c>
      <c r="C22" s="187">
        <v>46</v>
      </c>
      <c r="D22" s="188">
        <v>33</v>
      </c>
      <c r="E22" s="187">
        <v>79</v>
      </c>
      <c r="F22" s="1053">
        <v>1.4995918832216548</v>
      </c>
      <c r="G22" s="187">
        <v>6</v>
      </c>
      <c r="H22" s="1054">
        <v>1</v>
      </c>
      <c r="I22" s="1055">
        <v>1.1389305442189785</v>
      </c>
      <c r="J22" s="2"/>
      <c r="K22" s="2"/>
    </row>
    <row r="23" spans="1:11" ht="18" customHeight="1" thickBot="1">
      <c r="A23" s="943" t="s">
        <v>1822</v>
      </c>
      <c r="B23" s="188">
        <v>15517</v>
      </c>
      <c r="C23" s="187">
        <v>11</v>
      </c>
      <c r="D23" s="188">
        <v>5</v>
      </c>
      <c r="E23" s="187">
        <v>16</v>
      </c>
      <c r="F23" s="1053">
        <v>1.0311271508667912</v>
      </c>
      <c r="G23" s="187">
        <v>1</v>
      </c>
      <c r="H23" s="1054">
        <v>1</v>
      </c>
      <c r="I23" s="1055">
        <v>0.64445446929174455</v>
      </c>
      <c r="J23" s="2"/>
      <c r="K23" s="2"/>
    </row>
    <row r="24" spans="1:11" ht="18" customHeight="1" thickBot="1">
      <c r="A24" s="943" t="s">
        <v>1823</v>
      </c>
      <c r="B24" s="188">
        <v>474316</v>
      </c>
      <c r="C24" s="187">
        <v>396</v>
      </c>
      <c r="D24" s="188">
        <v>392</v>
      </c>
      <c r="E24" s="187">
        <v>788</v>
      </c>
      <c r="F24" s="1053">
        <v>1.6613396975855759</v>
      </c>
      <c r="G24" s="187">
        <v>51</v>
      </c>
      <c r="H24" s="1054">
        <v>1</v>
      </c>
      <c r="I24" s="1055">
        <v>1.0752325453916798</v>
      </c>
      <c r="J24" s="2"/>
      <c r="K24" s="2"/>
    </row>
    <row r="25" spans="1:11" ht="18" customHeight="1" thickBot="1">
      <c r="A25" s="943" t="s">
        <v>1824</v>
      </c>
      <c r="B25" s="188">
        <v>194753</v>
      </c>
      <c r="C25" s="187">
        <v>190</v>
      </c>
      <c r="D25" s="188">
        <v>131</v>
      </c>
      <c r="E25" s="187">
        <v>321</v>
      </c>
      <c r="F25" s="1053">
        <v>1.6482416188710829</v>
      </c>
      <c r="G25" s="187">
        <v>41</v>
      </c>
      <c r="H25" s="1054">
        <v>2</v>
      </c>
      <c r="I25" s="1055">
        <v>2.1052307281530962</v>
      </c>
      <c r="J25" s="2"/>
      <c r="K25" s="2"/>
    </row>
    <row r="26" spans="1:11" ht="18" customHeight="1" thickBot="1">
      <c r="A26" s="943" t="s">
        <v>1825</v>
      </c>
      <c r="B26" s="188">
        <v>596795</v>
      </c>
      <c r="C26" s="187">
        <v>417</v>
      </c>
      <c r="D26" s="188">
        <v>503</v>
      </c>
      <c r="E26" s="187">
        <v>920</v>
      </c>
      <c r="F26" s="1053">
        <v>1.5415678750659774</v>
      </c>
      <c r="G26" s="187">
        <v>115</v>
      </c>
      <c r="H26" s="1054">
        <v>2</v>
      </c>
      <c r="I26" s="1055">
        <v>1.9269598438324718</v>
      </c>
      <c r="J26" s="2"/>
      <c r="K26" s="2"/>
    </row>
    <row r="27" spans="1:11" ht="18" customHeight="1" thickBot="1">
      <c r="A27" s="943" t="s">
        <v>1826</v>
      </c>
      <c r="B27" s="188">
        <v>244069</v>
      </c>
      <c r="C27" s="187">
        <v>186</v>
      </c>
      <c r="D27" s="188">
        <v>149</v>
      </c>
      <c r="E27" s="187">
        <v>335</v>
      </c>
      <c r="F27" s="1053">
        <v>1.3725626769479125</v>
      </c>
      <c r="G27" s="187">
        <v>25</v>
      </c>
      <c r="H27" s="1054">
        <v>1</v>
      </c>
      <c r="I27" s="1055">
        <v>1.0243005051850091</v>
      </c>
      <c r="J27" s="2"/>
      <c r="K27" s="2"/>
    </row>
    <row r="28" spans="1:11" ht="18" customHeight="1" thickBot="1">
      <c r="A28" s="943" t="s">
        <v>1827</v>
      </c>
      <c r="B28" s="188">
        <v>333567</v>
      </c>
      <c r="C28" s="187">
        <v>286</v>
      </c>
      <c r="D28" s="188">
        <v>357</v>
      </c>
      <c r="E28" s="187">
        <v>643</v>
      </c>
      <c r="F28" s="1053">
        <v>1.9276487182485078</v>
      </c>
      <c r="G28" s="187">
        <v>186</v>
      </c>
      <c r="H28" s="1054">
        <v>3</v>
      </c>
      <c r="I28" s="1055">
        <v>5.5760911600967731</v>
      </c>
      <c r="J28" s="2"/>
      <c r="K28" s="2"/>
    </row>
    <row r="29" spans="1:11" ht="18" customHeight="1" thickBot="1">
      <c r="A29" s="943" t="s">
        <v>1828</v>
      </c>
      <c r="B29" s="188">
        <v>704916</v>
      </c>
      <c r="C29" s="187">
        <v>641</v>
      </c>
      <c r="D29" s="188">
        <v>1030</v>
      </c>
      <c r="E29" s="187">
        <v>1671</v>
      </c>
      <c r="F29" s="1053">
        <v>2.3704952079396691</v>
      </c>
      <c r="G29" s="187">
        <v>247</v>
      </c>
      <c r="H29" s="1054">
        <v>3</v>
      </c>
      <c r="I29" s="1055">
        <v>3.5039635928252446</v>
      </c>
      <c r="J29" s="2"/>
      <c r="K29" s="2"/>
    </row>
    <row r="30" spans="1:11" ht="18" customHeight="1" thickBot="1">
      <c r="A30" s="943" t="s">
        <v>1829</v>
      </c>
      <c r="B30" s="188">
        <v>305178</v>
      </c>
      <c r="C30" s="187">
        <v>227</v>
      </c>
      <c r="D30" s="188">
        <v>237</v>
      </c>
      <c r="E30" s="187">
        <v>464</v>
      </c>
      <c r="F30" s="1053">
        <v>1.5204241459082897</v>
      </c>
      <c r="G30" s="187">
        <v>113</v>
      </c>
      <c r="H30" s="1054">
        <v>2</v>
      </c>
      <c r="I30" s="1055">
        <v>3.7027570794749294</v>
      </c>
      <c r="J30" s="2"/>
      <c r="K30" s="2"/>
    </row>
    <row r="31" spans="1:11" ht="18" customHeight="1" thickBot="1">
      <c r="A31" s="943" t="s">
        <v>1830</v>
      </c>
      <c r="B31" s="188">
        <v>172263</v>
      </c>
      <c r="C31" s="187">
        <v>152</v>
      </c>
      <c r="D31" s="188">
        <v>173</v>
      </c>
      <c r="E31" s="187">
        <v>325</v>
      </c>
      <c r="F31" s="1053">
        <v>1.8866500641461021</v>
      </c>
      <c r="G31" s="187">
        <v>59</v>
      </c>
      <c r="H31" s="1054">
        <v>3</v>
      </c>
      <c r="I31" s="1055">
        <v>3.4249955010652315</v>
      </c>
      <c r="J31" s="2"/>
      <c r="K31" s="2"/>
    </row>
    <row r="32" spans="1:11" ht="18" customHeight="1" thickBot="1">
      <c r="A32" s="943" t="s">
        <v>1831</v>
      </c>
      <c r="B32" s="188">
        <v>453674</v>
      </c>
      <c r="C32" s="187">
        <v>495</v>
      </c>
      <c r="D32" s="188">
        <v>1012</v>
      </c>
      <c r="E32" s="187">
        <v>1507</v>
      </c>
      <c r="F32" s="1053">
        <v>3.3217684945577659</v>
      </c>
      <c r="G32" s="187">
        <v>173</v>
      </c>
      <c r="H32" s="1054">
        <v>3</v>
      </c>
      <c r="I32" s="1055">
        <v>3.8133108796184043</v>
      </c>
      <c r="J32" s="2"/>
      <c r="K32" s="2"/>
    </row>
    <row r="33" spans="1:11" ht="18" customHeight="1" thickBot="1">
      <c r="A33" s="943" t="s">
        <v>1832</v>
      </c>
      <c r="B33" s="188">
        <v>68709</v>
      </c>
      <c r="C33" s="187">
        <v>49</v>
      </c>
      <c r="D33" s="188">
        <v>53</v>
      </c>
      <c r="E33" s="187">
        <v>102</v>
      </c>
      <c r="F33" s="1053">
        <v>1.4845216783827446</v>
      </c>
      <c r="G33" s="187">
        <v>20</v>
      </c>
      <c r="H33" s="1054">
        <v>2</v>
      </c>
      <c r="I33" s="1055">
        <v>2.9108268203583227</v>
      </c>
      <c r="J33" s="2"/>
      <c r="K33" s="2"/>
    </row>
    <row r="34" spans="1:11" ht="30" customHeight="1" thickBot="1">
      <c r="A34" s="946" t="s">
        <v>1222</v>
      </c>
      <c r="B34" s="191">
        <v>7801278</v>
      </c>
      <c r="C34" s="190">
        <v>7030</v>
      </c>
      <c r="D34" s="191">
        <v>8882</v>
      </c>
      <c r="E34" s="190">
        <v>15912</v>
      </c>
      <c r="F34" s="1056">
        <v>2.0396658086021291</v>
      </c>
      <c r="G34" s="193">
        <v>1731</v>
      </c>
      <c r="H34" s="1057" t="s">
        <v>744</v>
      </c>
      <c r="I34" s="1058">
        <v>2.2188672163714713</v>
      </c>
      <c r="J34" s="141"/>
      <c r="K34" s="141"/>
    </row>
    <row r="35" spans="1:11" ht="20" customHeight="1">
      <c r="A35" s="1011" t="s">
        <v>1494</v>
      </c>
      <c r="B35" s="1012"/>
      <c r="C35" s="1012"/>
      <c r="D35" s="1012"/>
      <c r="E35" s="1012"/>
      <c r="F35" s="1012"/>
      <c r="G35" s="1012"/>
      <c r="H35" s="1012"/>
      <c r="I35" s="1059"/>
      <c r="J35" s="1025"/>
      <c r="K35" s="1025"/>
    </row>
    <row r="36" spans="1:11" ht="10.5" customHeight="1">
      <c r="A36" s="1024"/>
      <c r="B36" s="1025"/>
      <c r="C36" s="1025"/>
      <c r="D36" s="1025"/>
      <c r="E36" s="1025"/>
      <c r="F36" s="1025"/>
      <c r="G36" s="1025"/>
      <c r="H36" s="1025"/>
      <c r="I36" s="1060"/>
      <c r="J36" s="1025"/>
      <c r="K36" s="1025"/>
    </row>
    <row r="37" spans="1:11" ht="12" customHeight="1">
      <c r="A37" s="141" t="s">
        <v>1495</v>
      </c>
      <c r="B37" s="1025"/>
      <c r="C37" s="1025"/>
      <c r="D37" s="1025"/>
      <c r="E37" s="1025"/>
      <c r="F37" s="1025"/>
      <c r="G37" s="1025"/>
      <c r="H37" s="1025"/>
      <c r="I37" s="1060"/>
      <c r="J37" s="1025"/>
      <c r="K37" s="1025"/>
    </row>
    <row r="38" spans="1:11" ht="12" customHeight="1">
      <c r="A38" s="141" t="s">
        <v>1496</v>
      </c>
      <c r="B38" s="1025"/>
      <c r="C38" s="1025"/>
      <c r="D38" s="1025"/>
      <c r="E38" s="1025"/>
      <c r="F38" s="1025"/>
      <c r="G38" s="1025"/>
      <c r="H38" s="1025"/>
      <c r="I38" s="1060"/>
      <c r="J38" s="1025"/>
      <c r="K38" s="1025"/>
    </row>
    <row r="39" spans="1:11" ht="12" customHeight="1">
      <c r="A39" s="1024" t="s">
        <v>1497</v>
      </c>
      <c r="B39" s="1025"/>
      <c r="C39" s="1025"/>
      <c r="D39" s="1025"/>
      <c r="E39" s="1025"/>
      <c r="F39" s="1025"/>
      <c r="G39" s="1025"/>
      <c r="H39" s="1025"/>
      <c r="I39" s="1060"/>
      <c r="J39" s="1025"/>
      <c r="K39" s="1025"/>
    </row>
    <row r="40" spans="1:11" ht="12" customHeight="1">
      <c r="A40" s="1024" t="s">
        <v>1498</v>
      </c>
      <c r="B40" s="1025"/>
      <c r="C40" s="1025"/>
      <c r="D40" s="1025"/>
      <c r="E40" s="1025"/>
      <c r="F40" s="1025"/>
      <c r="G40" s="1025"/>
      <c r="H40" s="1025"/>
      <c r="I40" s="1060"/>
      <c r="J40" s="1025"/>
      <c r="K40" s="1025"/>
    </row>
    <row r="41" spans="1:11" ht="12" customHeight="1">
      <c r="A41" s="1024" t="s">
        <v>1499</v>
      </c>
      <c r="B41" s="1025"/>
      <c r="C41" s="1025"/>
      <c r="D41" s="1025"/>
      <c r="E41" s="1025"/>
      <c r="F41" s="1025"/>
      <c r="G41" s="1025"/>
      <c r="H41" s="1025"/>
      <c r="I41" s="1060"/>
      <c r="J41" s="1025"/>
      <c r="K41" s="1025"/>
    </row>
    <row r="42" spans="1:11" ht="12" customHeight="1">
      <c r="A42" s="1024" t="s">
        <v>1500</v>
      </c>
      <c r="B42" s="1025"/>
      <c r="C42" s="1025"/>
      <c r="D42" s="1025"/>
      <c r="E42" s="1025"/>
      <c r="F42" s="1025"/>
      <c r="G42" s="1025"/>
      <c r="H42" s="1025"/>
      <c r="I42" s="1060"/>
      <c r="J42" s="1025"/>
      <c r="K42" s="1025"/>
    </row>
    <row r="43" spans="1:11" ht="12" customHeight="1">
      <c r="A43" s="1024" t="s">
        <v>1501</v>
      </c>
      <c r="B43" s="1025"/>
      <c r="C43" s="1025"/>
      <c r="D43" s="1025"/>
      <c r="E43" s="1025"/>
      <c r="F43" s="1025"/>
      <c r="G43" s="1025"/>
      <c r="H43" s="1025"/>
      <c r="I43" s="1060"/>
      <c r="J43" s="1025"/>
      <c r="K43" s="1025"/>
    </row>
    <row r="44" spans="1:11" ht="12" customHeight="1">
      <c r="A44" s="1024" t="s">
        <v>1502</v>
      </c>
      <c r="B44" s="1025"/>
      <c r="C44" s="1025"/>
      <c r="D44" s="1025"/>
      <c r="E44" s="1025"/>
      <c r="F44" s="1025"/>
      <c r="G44" s="1025"/>
      <c r="H44" s="1025"/>
      <c r="I44" s="1060"/>
      <c r="J44" s="1025"/>
      <c r="K44" s="1025"/>
    </row>
    <row r="45" spans="1:11" ht="12" customHeight="1">
      <c r="A45" s="1024" t="s">
        <v>1503</v>
      </c>
      <c r="B45" s="1025"/>
      <c r="C45" s="1025"/>
      <c r="D45" s="1025"/>
      <c r="E45" s="1025"/>
      <c r="F45" s="1025"/>
      <c r="G45" s="1025"/>
      <c r="H45" s="1025"/>
      <c r="I45" s="1060"/>
      <c r="J45" s="1025"/>
      <c r="K45" s="1025"/>
    </row>
    <row r="46" spans="1:11" ht="12" customHeight="1">
      <c r="A46" s="1024" t="s">
        <v>1504</v>
      </c>
      <c r="B46" s="1025"/>
      <c r="C46" s="1025"/>
      <c r="D46" s="1025"/>
      <c r="E46" s="1025"/>
      <c r="F46" s="1025"/>
      <c r="G46" s="1025"/>
      <c r="H46" s="1025"/>
      <c r="I46" s="1060"/>
      <c r="J46" s="1025"/>
      <c r="K46" s="1025"/>
    </row>
    <row r="47" spans="1:11" ht="12" customHeight="1">
      <c r="A47" s="1024" t="s">
        <v>1505</v>
      </c>
      <c r="B47" s="1025"/>
      <c r="C47" s="1025"/>
      <c r="D47" s="1025"/>
      <c r="E47" s="1025"/>
      <c r="F47" s="1025"/>
      <c r="G47" s="1025"/>
      <c r="H47" s="1025"/>
      <c r="I47" s="1060"/>
      <c r="J47" s="1025"/>
      <c r="K47" s="1025"/>
    </row>
    <row r="48" spans="1:11" ht="12" customHeight="1">
      <c r="A48" s="1013" t="s">
        <v>1506</v>
      </c>
      <c r="B48" s="1025"/>
      <c r="C48" s="1025"/>
      <c r="D48" s="1025"/>
      <c r="E48" s="1025"/>
      <c r="F48" s="1025"/>
      <c r="G48" s="1025"/>
      <c r="H48" s="1025"/>
      <c r="I48" s="1060"/>
      <c r="J48" s="1025"/>
      <c r="K48" s="1025"/>
    </row>
    <row r="49" spans="1:11" ht="12" customHeight="1">
      <c r="A49" s="1024"/>
      <c r="B49" s="1025"/>
      <c r="C49" s="1025"/>
      <c r="D49" s="1025"/>
      <c r="E49" s="1025"/>
      <c r="F49" s="1025"/>
      <c r="G49" s="1025"/>
      <c r="H49" s="1025"/>
      <c r="I49" s="1060"/>
      <c r="J49" s="1025"/>
      <c r="K49" s="1025"/>
    </row>
    <row r="50" spans="1:11" ht="12" customHeight="1">
      <c r="A50" s="1024"/>
      <c r="B50" s="1025"/>
      <c r="C50" s="1025"/>
      <c r="D50" s="1025"/>
      <c r="E50" s="1025"/>
      <c r="F50" s="1025"/>
      <c r="G50" s="1025"/>
      <c r="H50" s="1025"/>
      <c r="I50" s="1060"/>
      <c r="J50" s="1025"/>
      <c r="K50" s="1025"/>
    </row>
    <row r="51" spans="1:11" ht="12" customHeight="1">
      <c r="A51" s="1024" t="s">
        <v>710</v>
      </c>
      <c r="B51" s="1025"/>
      <c r="C51" s="1025"/>
      <c r="D51" s="1025"/>
      <c r="E51" s="1025"/>
      <c r="F51" s="1025"/>
      <c r="G51" s="1025"/>
      <c r="H51" s="1025"/>
      <c r="I51" s="1060"/>
      <c r="J51" s="1025"/>
      <c r="K51" s="1025"/>
    </row>
    <row r="52" spans="1:11" ht="12" customHeight="1">
      <c r="A52" s="1024"/>
      <c r="B52" s="1025"/>
      <c r="C52" s="1025"/>
      <c r="D52" s="1025"/>
      <c r="E52" s="1025"/>
      <c r="F52" s="1025"/>
      <c r="G52" s="1025"/>
      <c r="H52" s="1025"/>
      <c r="I52" s="1060"/>
      <c r="J52" s="1025"/>
      <c r="K52" s="1025"/>
    </row>
    <row r="53" spans="1:11" ht="12" customHeight="1">
      <c r="A53" s="1013"/>
      <c r="B53" s="713"/>
      <c r="C53" s="713"/>
      <c r="D53" s="713"/>
      <c r="E53" s="713"/>
      <c r="F53" s="713"/>
      <c r="G53" s="713"/>
      <c r="H53" s="713"/>
      <c r="I53" s="1061"/>
      <c r="J53" s="713"/>
      <c r="K53" s="713"/>
    </row>
    <row r="54" spans="1:11">
      <c r="A54" s="418"/>
      <c r="B54" s="1062"/>
      <c r="C54" s="1062"/>
      <c r="D54" s="1062"/>
      <c r="E54" s="1062"/>
      <c r="F54" s="1062"/>
      <c r="G54" s="1062"/>
      <c r="H54" s="1062"/>
      <c r="I54" s="619"/>
      <c r="J54" s="1062"/>
      <c r="K54" s="1062"/>
    </row>
  </sheetData>
  <phoneticPr fontId="0" type="noConversion"/>
  <pageMargins left="0.51" right="0.42" top="0.76" bottom="0.49" header="0.48" footer="0.4921259845"/>
  <pageSetup paperSize="9" scale="81" orientation="portrait" horizontalDpi="1200" verticalDpi="1200"/>
  <headerFooter alignWithMargins="0"/>
  <drawing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11C3-3DBC-E845-8ACD-9E1FCA563D78}">
  <sheetPr>
    <pageSetUpPr fitToPage="1"/>
  </sheetPr>
  <dimension ref="A1:N41"/>
  <sheetViews>
    <sheetView zoomScale="75" workbookViewId="0">
      <selection activeCell="A22" sqref="A22"/>
    </sheetView>
  </sheetViews>
  <sheetFormatPr baseColWidth="10" defaultColWidth="11.3984375" defaultRowHeight="13"/>
  <cols>
    <col min="1" max="1" width="11.59765625" style="2" customWidth="1"/>
    <col min="2" max="8" width="11.59765625" style="168" customWidth="1"/>
    <col min="9" max="9" width="12.3984375" style="168" customWidth="1"/>
    <col min="10" max="10" width="7.19921875" style="2" customWidth="1"/>
    <col min="11" max="16384" width="11.3984375" style="2"/>
  </cols>
  <sheetData>
    <row r="1" spans="1:9" s="1" customFormat="1" ht="14" customHeight="1">
      <c r="A1" s="271"/>
      <c r="B1" s="1009"/>
      <c r="C1" s="1009"/>
      <c r="D1" s="1009"/>
      <c r="E1" s="1009"/>
      <c r="F1" s="1009"/>
      <c r="G1" s="1009"/>
      <c r="H1" s="1009"/>
      <c r="I1" s="1009"/>
    </row>
    <row r="2" spans="1:9" s="1" customFormat="1" ht="42.75" customHeight="1">
      <c r="A2" s="2019" t="s">
        <v>1516</v>
      </c>
      <c r="B2" s="2018"/>
      <c r="C2" s="2018"/>
      <c r="D2" s="2018"/>
      <c r="E2" s="2018"/>
      <c r="F2" s="2018"/>
      <c r="G2" s="2018"/>
      <c r="H2" s="2018"/>
      <c r="I2" s="2018"/>
    </row>
    <row r="3" spans="1:9" ht="27" customHeight="1">
      <c r="A3" s="119" t="s">
        <v>2320</v>
      </c>
      <c r="B3" s="120" t="s">
        <v>1289</v>
      </c>
      <c r="C3" s="121" t="s">
        <v>1801</v>
      </c>
      <c r="D3" s="120" t="s">
        <v>2388</v>
      </c>
      <c r="E3" s="121" t="s">
        <v>1480</v>
      </c>
      <c r="F3" s="120" t="s">
        <v>1523</v>
      </c>
      <c r="G3" s="121" t="s">
        <v>2388</v>
      </c>
      <c r="H3" s="120" t="s">
        <v>1482</v>
      </c>
      <c r="I3" s="121" t="s">
        <v>1523</v>
      </c>
    </row>
    <row r="4" spans="1:9" ht="17.25" customHeight="1">
      <c r="A4" s="325"/>
      <c r="B4" s="392" t="s">
        <v>1483</v>
      </c>
      <c r="C4" s="913" t="s">
        <v>663</v>
      </c>
      <c r="D4" s="123" t="s">
        <v>1524</v>
      </c>
      <c r="E4" s="124" t="s">
        <v>1525</v>
      </c>
      <c r="F4" s="123" t="s">
        <v>663</v>
      </c>
      <c r="G4" s="124" t="s">
        <v>1487</v>
      </c>
      <c r="H4" s="123" t="s">
        <v>1489</v>
      </c>
      <c r="I4" s="124" t="s">
        <v>663</v>
      </c>
    </row>
    <row r="5" spans="1:9" ht="18.75" customHeight="1">
      <c r="A5" s="325"/>
      <c r="B5" s="392" t="s">
        <v>1490</v>
      </c>
      <c r="C5" s="913" t="s">
        <v>1806</v>
      </c>
      <c r="D5" s="392"/>
      <c r="E5" s="913"/>
      <c r="F5" s="392" t="s">
        <v>1806</v>
      </c>
      <c r="G5" s="124" t="s">
        <v>1526</v>
      </c>
      <c r="H5" s="392" t="s">
        <v>1527</v>
      </c>
      <c r="I5" s="124" t="s">
        <v>1806</v>
      </c>
    </row>
    <row r="6" spans="1:9" ht="21" customHeight="1">
      <c r="A6" s="291"/>
      <c r="B6" s="129" t="s">
        <v>1512</v>
      </c>
      <c r="C6" s="128"/>
      <c r="D6" s="129"/>
      <c r="E6" s="128"/>
      <c r="F6" s="129"/>
      <c r="G6" s="128"/>
      <c r="H6" s="129"/>
      <c r="I6" s="128"/>
    </row>
    <row r="7" spans="1:9" ht="1.5" customHeight="1" thickBot="1">
      <c r="A7" s="941">
        <v>1996</v>
      </c>
      <c r="B7" s="170">
        <v>7105446</v>
      </c>
      <c r="C7" s="157">
        <v>3.459706242723432E-3</v>
      </c>
      <c r="D7" s="170">
        <v>12711</v>
      </c>
      <c r="E7" s="1063">
        <v>1.7889095209505499</v>
      </c>
      <c r="F7" s="576">
        <v>2.7595951533686547E-2</v>
      </c>
      <c r="G7" s="171">
        <v>1649</v>
      </c>
      <c r="H7" s="1064">
        <v>2.3207550940503947</v>
      </c>
      <c r="I7" s="157">
        <v>1.4104900491136441E-3</v>
      </c>
    </row>
    <row r="8" spans="1:9" ht="0.75" customHeight="1" thickBot="1">
      <c r="A8" s="943">
        <v>1997</v>
      </c>
      <c r="B8" s="188">
        <v>7113565</v>
      </c>
      <c r="C8" s="158">
        <v>1.142644670017899E-3</v>
      </c>
      <c r="D8" s="188">
        <v>13038</v>
      </c>
      <c r="E8" s="1065">
        <v>1.8328362782936545</v>
      </c>
      <c r="F8" s="457">
        <v>2.4555046987375651E-2</v>
      </c>
      <c r="G8" s="187">
        <v>1651</v>
      </c>
      <c r="H8" s="1053">
        <v>2.3209178520193463</v>
      </c>
      <c r="I8" s="158">
        <v>7.0131471161527514E-5</v>
      </c>
    </row>
    <row r="9" spans="1:9" ht="18" hidden="1" customHeight="1" thickBot="1">
      <c r="A9" s="943">
        <v>1998</v>
      </c>
      <c r="B9" s="188">
        <v>7131888</v>
      </c>
      <c r="C9" s="158">
        <v>2.5757830286220764E-3</v>
      </c>
      <c r="D9" s="188">
        <v>13357</v>
      </c>
      <c r="E9" s="1065">
        <v>1.8728561076674226</v>
      </c>
      <c r="F9" s="457">
        <v>2.1834917743458249E-2</v>
      </c>
      <c r="G9" s="187">
        <v>1653</v>
      </c>
      <c r="H9" s="1053">
        <v>2.3177593366581193</v>
      </c>
      <c r="I9" s="158">
        <v>-1.3608906314710456E-3</v>
      </c>
    </row>
    <row r="10" spans="1:9" ht="18" customHeight="1" thickBot="1">
      <c r="A10" s="943">
        <v>1999</v>
      </c>
      <c r="B10" s="188">
        <v>7166738</v>
      </c>
      <c r="C10" s="158">
        <v>4.8865041066264644E-3</v>
      </c>
      <c r="D10" s="188">
        <v>13622</v>
      </c>
      <c r="E10" s="1065">
        <v>1.9007252671996662</v>
      </c>
      <c r="F10" s="457">
        <v>1.4880566327625466E-2</v>
      </c>
      <c r="G10" s="187">
        <v>1654</v>
      </c>
      <c r="H10" s="1053">
        <v>2.3078840052475758</v>
      </c>
      <c r="I10" s="158">
        <v>-4.260723386743992E-3</v>
      </c>
    </row>
    <row r="11" spans="1:9" ht="18" customHeight="1" thickBot="1">
      <c r="A11" s="943">
        <v>2000</v>
      </c>
      <c r="B11" s="188">
        <v>7209042</v>
      </c>
      <c r="C11" s="158">
        <v>5.9028249672305588E-3</v>
      </c>
      <c r="D11" s="188">
        <v>13935</v>
      </c>
      <c r="E11" s="1065">
        <v>1.9329891544535323</v>
      </c>
      <c r="F11" s="457">
        <v>1.6974513787255674E-2</v>
      </c>
      <c r="G11" s="187">
        <v>1664</v>
      </c>
      <c r="H11" s="1053">
        <v>2.3082123810625603</v>
      </c>
      <c r="I11" s="158">
        <v>1.4228436708174641E-4</v>
      </c>
    </row>
    <row r="12" spans="1:9" ht="18" customHeight="1" thickBot="1">
      <c r="A12" s="943">
        <v>2001</v>
      </c>
      <c r="B12" s="188">
        <v>7260339</v>
      </c>
      <c r="C12" s="158">
        <v>7.1156472663080617E-3</v>
      </c>
      <c r="D12" s="188">
        <v>14178</v>
      </c>
      <c r="E12" s="1065">
        <v>1.952801377456342</v>
      </c>
      <c r="F12" s="457">
        <v>1.0249526210306614E-2</v>
      </c>
      <c r="G12" s="187">
        <v>1653</v>
      </c>
      <c r="H12" s="1053">
        <v>2.2767531929294211</v>
      </c>
      <c r="I12" s="158">
        <v>-1.362924330154458E-2</v>
      </c>
    </row>
    <row r="13" spans="1:9" ht="18" customHeight="1" thickBot="1">
      <c r="A13" s="943">
        <v>2002</v>
      </c>
      <c r="B13" s="188">
        <v>7347770</v>
      </c>
      <c r="C13" s="158">
        <v>1.2042275160980775E-2</v>
      </c>
      <c r="D13" s="188">
        <v>14408</v>
      </c>
      <c r="E13" s="1065">
        <v>1.9608670385708864</v>
      </c>
      <c r="F13" s="457">
        <v>4.1303028601149538E-3</v>
      </c>
      <c r="G13" s="187">
        <v>1648</v>
      </c>
      <c r="H13" s="1053">
        <v>2.2428573567218355</v>
      </c>
      <c r="I13" s="158">
        <v>-1.4887795617395394E-2</v>
      </c>
    </row>
    <row r="14" spans="1:9" ht="18" customHeight="1" thickBot="1">
      <c r="A14" s="943">
        <v>2003</v>
      </c>
      <c r="B14" s="188">
        <v>7405051</v>
      </c>
      <c r="C14" s="158">
        <v>7.7956985588824908E-3</v>
      </c>
      <c r="D14" s="188">
        <v>14879</v>
      </c>
      <c r="E14" s="1065">
        <v>2.0093041898023394</v>
      </c>
      <c r="F14" s="457">
        <v>2.4701904962793897E-2</v>
      </c>
      <c r="G14" s="187">
        <v>1653</v>
      </c>
      <c r="H14" s="1053">
        <v>2.2322601154266191</v>
      </c>
      <c r="I14" s="158">
        <v>-4.7248842033830174E-3</v>
      </c>
    </row>
    <row r="15" spans="1:9" ht="18" customHeight="1" thickBot="1">
      <c r="A15" s="943">
        <v>2004</v>
      </c>
      <c r="B15" s="188">
        <v>7454112</v>
      </c>
      <c r="C15" s="158">
        <v>6.6253426208678374E-3</v>
      </c>
      <c r="D15" s="188">
        <v>15199</v>
      </c>
      <c r="E15" s="1065">
        <v>2.03900880480465</v>
      </c>
      <c r="F15" s="457">
        <v>1.4783533102189272E-2</v>
      </c>
      <c r="G15" s="187">
        <v>1656</v>
      </c>
      <c r="H15" s="1053">
        <v>2.2215925921155999</v>
      </c>
      <c r="I15" s="158">
        <v>-4.7787994048267279E-3</v>
      </c>
    </row>
    <row r="16" spans="1:9" ht="18" customHeight="1" thickBot="1">
      <c r="A16" s="943">
        <v>2005</v>
      </c>
      <c r="B16" s="188">
        <v>7501255</v>
      </c>
      <c r="C16" s="158">
        <v>6.3244287180015402E-3</v>
      </c>
      <c r="D16" s="188">
        <v>15313</v>
      </c>
      <c r="E16" s="1065">
        <v>2.0413917404487649</v>
      </c>
      <c r="F16" s="457">
        <v>1.1686735429978778E-3</v>
      </c>
      <c r="G16" s="187">
        <v>1672</v>
      </c>
      <c r="H16" s="1053">
        <v>2.2289603539674361</v>
      </c>
      <c r="I16" s="158">
        <v>3.3164324899102038E-3</v>
      </c>
    </row>
    <row r="17" spans="1:14" ht="18" customHeight="1" thickBot="1">
      <c r="A17" s="943">
        <v>2006</v>
      </c>
      <c r="B17" s="188">
        <v>7557609</v>
      </c>
      <c r="C17" s="158">
        <v>7.5126095566675488E-3</v>
      </c>
      <c r="D17" s="188">
        <v>15532</v>
      </c>
      <c r="E17" s="1065">
        <v>2.0551473356189769</v>
      </c>
      <c r="F17" s="457">
        <v>6.7383417389490496E-3</v>
      </c>
      <c r="G17" s="187">
        <v>1692</v>
      </c>
      <c r="H17" s="1053">
        <v>2.2388033040608479</v>
      </c>
      <c r="I17" s="158">
        <v>4.415937715487761E-3</v>
      </c>
    </row>
    <row r="18" spans="1:14" ht="18" customHeight="1" thickBot="1">
      <c r="A18" s="943">
        <v>2007</v>
      </c>
      <c r="B18" s="188">
        <v>7618599</v>
      </c>
      <c r="C18" s="158">
        <v>8.0700126190704768E-3</v>
      </c>
      <c r="D18" s="188">
        <v>15588</v>
      </c>
      <c r="E18" s="1065">
        <v>2.0460454737150493</v>
      </c>
      <c r="F18" s="457">
        <v>-4.4288123513958055E-3</v>
      </c>
      <c r="G18" s="187">
        <v>1700</v>
      </c>
      <c r="H18" s="1053">
        <v>2.2313813865252654</v>
      </c>
      <c r="I18" s="158">
        <v>-3.3151271137219496E-3</v>
      </c>
    </row>
    <row r="19" spans="1:14" ht="18" customHeight="1" thickBot="1">
      <c r="A19" s="943">
        <v>2008</v>
      </c>
      <c r="B19" s="188">
        <v>7711056</v>
      </c>
      <c r="C19" s="158">
        <v>1.2135695814939229E-2</v>
      </c>
      <c r="D19" s="188">
        <v>15090</v>
      </c>
      <c r="E19" s="1065">
        <v>1.9569304126438714</v>
      </c>
      <c r="F19" s="457">
        <v>-4.3554780290083084E-2</v>
      </c>
      <c r="G19" s="187">
        <v>1721</v>
      </c>
      <c r="H19" s="1053">
        <v>2.2318603314513603</v>
      </c>
      <c r="I19" s="158">
        <v>2.1464054911768393E-4</v>
      </c>
    </row>
    <row r="20" spans="1:14" ht="30" customHeight="1" thickBot="1">
      <c r="A20" s="946">
        <v>2009</v>
      </c>
      <c r="B20" s="191">
        <v>7801278</v>
      </c>
      <c r="C20" s="615">
        <v>1.1700342988042012E-2</v>
      </c>
      <c r="D20" s="191">
        <v>15912</v>
      </c>
      <c r="E20" s="1066">
        <v>2.0396658086021291</v>
      </c>
      <c r="F20" s="614">
        <v>4.2278149199224568E-2</v>
      </c>
      <c r="G20" s="190">
        <v>1731</v>
      </c>
      <c r="H20" s="1067">
        <v>2.2188672163714713</v>
      </c>
      <c r="I20" s="615">
        <v>-5.821652411125422E-3</v>
      </c>
    </row>
    <row r="21" spans="1:14" ht="20" customHeight="1">
      <c r="A21" s="1011" t="s">
        <v>1517</v>
      </c>
      <c r="B21" s="1012"/>
      <c r="C21" s="1012"/>
      <c r="D21" s="1012"/>
      <c r="E21" s="1012"/>
      <c r="F21" s="1012"/>
      <c r="G21" s="1012"/>
      <c r="H21" s="1012"/>
      <c r="I21" s="1012"/>
    </row>
    <row r="22" spans="1:14" ht="17.25" customHeight="1">
      <c r="A22" s="1024"/>
      <c r="B22" s="1025"/>
      <c r="C22" s="1025"/>
      <c r="D22" s="1025"/>
      <c r="E22" s="1025"/>
      <c r="F22" s="1025"/>
      <c r="G22" s="1025"/>
      <c r="H22" s="1025"/>
      <c r="I22" s="1025"/>
    </row>
    <row r="23" spans="1:14" ht="12" customHeight="1">
      <c r="A23" s="1024" t="s">
        <v>1518</v>
      </c>
      <c r="B23" s="1025"/>
      <c r="C23" s="1025"/>
      <c r="D23" s="1025"/>
      <c r="E23" s="1025"/>
      <c r="F23" s="1025"/>
      <c r="G23" s="1025"/>
      <c r="H23" s="1025"/>
      <c r="I23" s="1025"/>
    </row>
    <row r="24" spans="1:14" ht="12" customHeight="1">
      <c r="A24" s="1024" t="s">
        <v>1519</v>
      </c>
      <c r="B24" s="1025"/>
      <c r="C24" s="1025"/>
      <c r="D24" s="1025"/>
      <c r="E24" s="1025"/>
      <c r="F24" s="1025"/>
      <c r="G24" s="1025"/>
      <c r="H24" s="1025"/>
      <c r="I24" s="1025"/>
    </row>
    <row r="25" spans="1:14" ht="12" customHeight="1">
      <c r="A25" s="201" t="s">
        <v>1520</v>
      </c>
      <c r="B25" s="1025"/>
      <c r="C25" s="1025"/>
      <c r="D25" s="1025"/>
      <c r="E25" s="1025"/>
      <c r="F25" s="1025"/>
      <c r="G25" s="1025"/>
      <c r="H25" s="1025"/>
      <c r="I25" s="1025"/>
    </row>
    <row r="26" spans="1:14" ht="12" customHeight="1">
      <c r="A26" s="201" t="s">
        <v>1521</v>
      </c>
      <c r="B26" s="1025"/>
      <c r="C26" s="1025"/>
      <c r="D26" s="1025"/>
      <c r="E26" s="1025"/>
      <c r="F26" s="1025"/>
      <c r="G26" s="1025"/>
      <c r="H26" s="1025"/>
      <c r="I26" s="1025"/>
    </row>
    <row r="27" spans="1:14" ht="12" customHeight="1">
      <c r="A27" s="201" t="s">
        <v>1522</v>
      </c>
      <c r="B27" s="1025"/>
      <c r="C27" s="1025"/>
      <c r="D27" s="1025"/>
      <c r="E27" s="1025"/>
      <c r="F27" s="1025"/>
      <c r="G27" s="1025"/>
      <c r="H27" s="1025"/>
      <c r="I27" s="1025"/>
    </row>
    <row r="28" spans="1:14" ht="15" customHeight="1">
      <c r="A28" s="493"/>
      <c r="B28" s="1016"/>
      <c r="C28" s="1016"/>
      <c r="D28" s="1016"/>
      <c r="E28" s="1016"/>
      <c r="F28" s="1016"/>
      <c r="G28" s="1016"/>
      <c r="H28" s="1016"/>
      <c r="I28" s="1016"/>
    </row>
    <row r="29" spans="1:14" ht="15" customHeight="1">
      <c r="A29" s="3"/>
      <c r="B29" s="1014"/>
      <c r="C29" s="1014"/>
      <c r="D29" s="1014"/>
      <c r="E29" s="1014"/>
      <c r="F29" s="1014"/>
      <c r="G29" s="1014"/>
      <c r="H29" s="1014"/>
      <c r="I29" s="1014"/>
      <c r="J29" s="3"/>
      <c r="K29" s="3"/>
      <c r="L29" s="3"/>
      <c r="M29" s="3"/>
      <c r="N29" s="3"/>
    </row>
    <row r="30" spans="1:14" ht="15" customHeight="1">
      <c r="A30" s="3" t="s">
        <v>710</v>
      </c>
      <c r="B30" s="1014"/>
      <c r="C30" s="1014"/>
      <c r="D30" s="1014"/>
      <c r="E30" s="1014"/>
      <c r="F30" s="1014"/>
      <c r="G30" s="1014"/>
      <c r="H30" s="1014"/>
      <c r="I30" s="1014"/>
      <c r="J30" s="3"/>
      <c r="K30" s="3"/>
      <c r="L30" s="1015"/>
      <c r="M30" s="3"/>
      <c r="N30" s="3"/>
    </row>
    <row r="31" spans="1:14" ht="31" customHeight="1">
      <c r="A31" s="3"/>
      <c r="B31" s="1014"/>
      <c r="C31" s="1014"/>
      <c r="D31" s="1014"/>
      <c r="E31" s="1014"/>
      <c r="F31" s="1014"/>
      <c r="G31" s="1014"/>
      <c r="H31" s="1014"/>
      <c r="I31" s="1014"/>
      <c r="J31" s="3"/>
      <c r="K31" s="3"/>
      <c r="L31" s="3"/>
      <c r="M31" s="3"/>
      <c r="N31" s="3"/>
    </row>
    <row r="32" spans="1:14" ht="31" customHeight="1">
      <c r="A32" s="3"/>
      <c r="B32" s="1014"/>
      <c r="C32" s="1014"/>
      <c r="D32" s="1014"/>
      <c r="E32" s="1014"/>
      <c r="F32" s="1014"/>
      <c r="G32" s="1014"/>
      <c r="H32" s="1014"/>
      <c r="I32" s="1014"/>
      <c r="J32" s="3"/>
      <c r="K32" s="3"/>
      <c r="L32" s="3"/>
      <c r="M32" s="3"/>
      <c r="N32" s="3"/>
    </row>
    <row r="33" spans="1:14" ht="31" customHeight="1">
      <c r="A33" s="3"/>
      <c r="B33" s="1014"/>
      <c r="C33" s="1014"/>
      <c r="D33" s="1014"/>
      <c r="E33" s="1014"/>
      <c r="F33" s="1014"/>
      <c r="G33" s="1014"/>
      <c r="H33" s="1014"/>
      <c r="I33" s="1014"/>
      <c r="J33" s="3"/>
      <c r="K33" s="3"/>
      <c r="L33" s="3"/>
      <c r="M33" s="3"/>
      <c r="N33" s="3"/>
    </row>
    <row r="34" spans="1:14" ht="31" customHeight="1">
      <c r="A34" s="3"/>
      <c r="B34" s="1014"/>
      <c r="C34" s="1014"/>
      <c r="D34" s="1014"/>
      <c r="E34" s="1014"/>
      <c r="F34" s="1014"/>
      <c r="G34" s="1014"/>
      <c r="H34" s="1014"/>
      <c r="I34" s="1014"/>
      <c r="J34" s="3"/>
      <c r="K34" s="3"/>
      <c r="L34" s="3"/>
      <c r="M34" s="3"/>
      <c r="N34" s="3"/>
    </row>
    <row r="35" spans="1:14" ht="31" customHeight="1">
      <c r="A35" s="3"/>
      <c r="B35" s="1014"/>
      <c r="C35" s="1014"/>
      <c r="D35" s="1014"/>
      <c r="E35" s="1014"/>
      <c r="F35" s="1014"/>
      <c r="G35" s="1014"/>
      <c r="H35" s="1014"/>
      <c r="I35" s="1014"/>
      <c r="J35" s="3"/>
      <c r="K35" s="3"/>
      <c r="L35" s="3"/>
      <c r="M35" s="3"/>
      <c r="N35" s="3"/>
    </row>
    <row r="36" spans="1:14" ht="18" customHeight="1">
      <c r="A36" s="3"/>
      <c r="B36" s="1014"/>
      <c r="C36" s="1014"/>
      <c r="D36" s="1014"/>
      <c r="E36" s="1014"/>
      <c r="F36" s="1014"/>
      <c r="G36" s="1014"/>
      <c r="H36" s="1014"/>
      <c r="I36" s="1014"/>
      <c r="J36" s="3"/>
      <c r="K36" s="3"/>
      <c r="L36" s="3"/>
      <c r="M36" s="3"/>
      <c r="N36" s="3"/>
    </row>
    <row r="37" spans="1:14">
      <c r="A37" s="3"/>
      <c r="B37" s="1014"/>
      <c r="C37" s="1014"/>
      <c r="D37" s="1014"/>
      <c r="E37" s="1014"/>
      <c r="F37" s="1014"/>
      <c r="G37" s="1014"/>
      <c r="H37" s="1014"/>
      <c r="I37" s="1014"/>
      <c r="J37" s="3"/>
      <c r="K37" s="3"/>
      <c r="L37" s="3"/>
      <c r="M37" s="3"/>
      <c r="N37" s="3"/>
    </row>
    <row r="38" spans="1:14">
      <c r="A38" s="3"/>
      <c r="B38" s="1014"/>
      <c r="C38" s="1014"/>
      <c r="D38" s="1014"/>
      <c r="E38" s="1014"/>
      <c r="F38" s="1014"/>
      <c r="G38" s="1014"/>
      <c r="H38" s="1014"/>
      <c r="I38" s="1014"/>
      <c r="J38" s="3"/>
      <c r="K38" s="3"/>
      <c r="L38" s="3"/>
      <c r="M38" s="3"/>
      <c r="N38" s="3"/>
    </row>
    <row r="39" spans="1:14">
      <c r="A39" s="3"/>
      <c r="B39" s="1014"/>
      <c r="C39" s="1014"/>
      <c r="D39" s="1014"/>
      <c r="E39" s="1014"/>
      <c r="F39" s="1014"/>
      <c r="G39" s="1014"/>
      <c r="H39" s="1014"/>
      <c r="I39" s="1014"/>
      <c r="J39" s="3"/>
      <c r="K39" s="3"/>
      <c r="L39" s="3"/>
      <c r="M39" s="3"/>
      <c r="N39" s="3"/>
    </row>
    <row r="40" spans="1:14">
      <c r="A40" s="3"/>
      <c r="B40" s="1014"/>
      <c r="C40" s="1014"/>
      <c r="D40" s="1014"/>
      <c r="E40" s="1014"/>
      <c r="F40" s="1014"/>
      <c r="G40" s="1014"/>
      <c r="H40" s="1014"/>
      <c r="I40" s="1014"/>
      <c r="J40" s="3"/>
      <c r="K40" s="3"/>
      <c r="L40" s="3"/>
      <c r="M40" s="3"/>
      <c r="N40" s="3"/>
    </row>
    <row r="41" spans="1:14">
      <c r="A41" s="3"/>
      <c r="B41" s="1014"/>
      <c r="C41" s="1014"/>
      <c r="D41" s="1014"/>
      <c r="E41" s="1014"/>
      <c r="F41" s="1014"/>
      <c r="G41" s="1014"/>
      <c r="H41" s="1014"/>
      <c r="I41" s="1014"/>
      <c r="J41" s="3"/>
      <c r="K41" s="3"/>
      <c r="L41" s="3"/>
      <c r="M41" s="3"/>
      <c r="N41" s="3"/>
    </row>
  </sheetData>
  <mergeCells count="1">
    <mergeCell ref="A2:I2"/>
  </mergeCells>
  <phoneticPr fontId="0" type="noConversion"/>
  <pageMargins left="0.55000000000000004" right="0.61" top="0.94" bottom="0.49" header="0.56999999999999995" footer="0.4921259845"/>
  <pageSetup paperSize="9" scale="85" orientation="portrait" horizontalDpi="4294967292" verticalDpi="4294967292"/>
  <headerFooter alignWithMargins="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985C3-D5BD-7E4C-9DFC-E936735EF148}">
  <sheetPr>
    <pageSetUpPr fitToPage="1"/>
  </sheetPr>
  <dimension ref="A1:O45"/>
  <sheetViews>
    <sheetView zoomScale="75" workbookViewId="0"/>
  </sheetViews>
  <sheetFormatPr baseColWidth="10" defaultColWidth="11.3984375" defaultRowHeight="13"/>
  <cols>
    <col min="1" max="1" width="17.59765625" style="2" customWidth="1"/>
    <col min="2" max="7" width="18.3984375" style="168" customWidth="1"/>
    <col min="8" max="9" width="18.3984375" style="2" customWidth="1"/>
    <col min="10" max="10" width="18.3984375" customWidth="1"/>
    <col min="11" max="12" width="11.796875" style="2" customWidth="1"/>
    <col min="13" max="13" width="18.19921875" style="2" customWidth="1"/>
    <col min="14" max="14" width="15.59765625" style="2" customWidth="1"/>
    <col min="15" max="15" width="16.59765625" style="2" customWidth="1"/>
    <col min="16" max="16" width="11.3984375" style="2"/>
    <col min="17" max="17" width="8.3984375" style="2" customWidth="1"/>
    <col min="18" max="16384" width="11.3984375" style="2"/>
  </cols>
  <sheetData>
    <row r="1" spans="1:15" s="1" customFormat="1" ht="15.75" customHeight="1">
      <c r="A1" s="271"/>
      <c r="B1" s="1009"/>
      <c r="C1" s="1009"/>
      <c r="D1" s="1009"/>
      <c r="E1" s="1009"/>
      <c r="F1" s="1009"/>
      <c r="G1" s="1009"/>
      <c r="H1" s="271"/>
      <c r="J1"/>
      <c r="K1"/>
    </row>
    <row r="2" spans="1:15" s="1" customFormat="1" ht="29.25" customHeight="1">
      <c r="A2" s="1616" t="s">
        <v>316</v>
      </c>
      <c r="B2" s="1617"/>
      <c r="C2" s="1617"/>
      <c r="D2" s="1617"/>
      <c r="E2" s="1617"/>
      <c r="F2" s="1617"/>
      <c r="G2" s="1617"/>
      <c r="H2" s="1617"/>
      <c r="I2" s="1617"/>
      <c r="J2" s="1617"/>
      <c r="K2" s="1618"/>
      <c r="L2" s="275"/>
      <c r="M2" s="715"/>
    </row>
    <row r="3" spans="1:15" ht="24.75" customHeight="1">
      <c r="A3" s="119" t="s">
        <v>2320</v>
      </c>
      <c r="B3" s="1046" t="s">
        <v>896</v>
      </c>
      <c r="C3" s="1619" t="s">
        <v>317</v>
      </c>
      <c r="D3" s="1620"/>
      <c r="E3" s="1621"/>
      <c r="F3" s="1621"/>
      <c r="G3" s="1619" t="s">
        <v>318</v>
      </c>
      <c r="H3" s="1620"/>
      <c r="I3" s="1621"/>
      <c r="J3" s="1621"/>
      <c r="K3" s="141"/>
      <c r="L3" s="141"/>
      <c r="M3" s="305" t="s">
        <v>319</v>
      </c>
      <c r="N3" s="1622"/>
      <c r="O3" s="1623" t="s">
        <v>290</v>
      </c>
    </row>
    <row r="4" spans="1:15" ht="20.25" customHeight="1">
      <c r="A4" s="325"/>
      <c r="B4" s="1049" t="s">
        <v>986</v>
      </c>
      <c r="C4" s="1624"/>
      <c r="D4" s="392"/>
      <c r="E4" s="124"/>
      <c r="F4" s="123"/>
      <c r="G4" s="1624"/>
      <c r="H4" s="392"/>
      <c r="I4" s="124"/>
      <c r="J4" s="123"/>
      <c r="M4" s="1624"/>
      <c r="N4" s="1625"/>
      <c r="O4" s="1624" t="s">
        <v>320</v>
      </c>
    </row>
    <row r="5" spans="1:15" s="265" customFormat="1" ht="15" customHeight="1">
      <c r="A5" s="351"/>
      <c r="B5" s="1049" t="s">
        <v>321</v>
      </c>
      <c r="C5" s="1626" t="s">
        <v>913</v>
      </c>
      <c r="D5" s="123" t="s">
        <v>913</v>
      </c>
      <c r="E5" s="124" t="s">
        <v>913</v>
      </c>
      <c r="F5" s="1049" t="s">
        <v>291</v>
      </c>
      <c r="G5" s="1626" t="s">
        <v>913</v>
      </c>
      <c r="H5" s="123" t="s">
        <v>913</v>
      </c>
      <c r="I5" s="124" t="s">
        <v>913</v>
      </c>
      <c r="J5" s="1049" t="s">
        <v>291</v>
      </c>
      <c r="M5" s="1626" t="s">
        <v>913</v>
      </c>
      <c r="N5" s="1049" t="s">
        <v>913</v>
      </c>
      <c r="O5" s="1626" t="s">
        <v>292</v>
      </c>
    </row>
    <row r="6" spans="1:15" s="265" customFormat="1" ht="18" customHeight="1">
      <c r="A6" s="351"/>
      <c r="B6" s="1049" t="s">
        <v>293</v>
      </c>
      <c r="C6" s="1626" t="s">
        <v>294</v>
      </c>
      <c r="D6" s="392" t="s">
        <v>295</v>
      </c>
      <c r="E6" s="124" t="s">
        <v>296</v>
      </c>
      <c r="F6" s="1049" t="s">
        <v>322</v>
      </c>
      <c r="G6" s="1626" t="s">
        <v>294</v>
      </c>
      <c r="H6" s="392" t="s">
        <v>295</v>
      </c>
      <c r="I6" s="124" t="s">
        <v>296</v>
      </c>
      <c r="J6" s="1049" t="s">
        <v>322</v>
      </c>
      <c r="M6" s="1626" t="s">
        <v>295</v>
      </c>
      <c r="N6" s="1049" t="s">
        <v>296</v>
      </c>
      <c r="O6" s="1626" t="s">
        <v>297</v>
      </c>
    </row>
    <row r="7" spans="1:15" s="265" customFormat="1" ht="18" customHeight="1">
      <c r="A7" s="351"/>
      <c r="B7" s="1627"/>
      <c r="C7" s="1626" t="s">
        <v>298</v>
      </c>
      <c r="D7" s="1628"/>
      <c r="E7" s="1629"/>
      <c r="F7" s="1049"/>
      <c r="G7" s="1626" t="s">
        <v>298</v>
      </c>
      <c r="H7" s="1628"/>
      <c r="I7" s="1629"/>
      <c r="J7" s="1630"/>
      <c r="M7" s="1631"/>
      <c r="N7" s="1628"/>
      <c r="O7" s="1626" t="s">
        <v>299</v>
      </c>
    </row>
    <row r="8" spans="1:15" s="265" customFormat="1" ht="23.25" customHeight="1">
      <c r="A8" s="351"/>
      <c r="B8" s="1049"/>
      <c r="C8" s="1632"/>
      <c r="D8" s="1049"/>
      <c r="E8" s="1050"/>
      <c r="F8" s="1049"/>
      <c r="G8" s="1626"/>
      <c r="H8" s="1049"/>
      <c r="I8" s="1050"/>
      <c r="J8" s="1049"/>
      <c r="M8" s="1626"/>
      <c r="N8" s="1049"/>
      <c r="O8" s="1626"/>
    </row>
    <row r="9" spans="1:15" ht="1.5" customHeight="1" thickBot="1">
      <c r="A9" s="1633">
        <v>1996</v>
      </c>
      <c r="B9" s="1634">
        <v>7194754</v>
      </c>
      <c r="C9" s="1635" t="s">
        <v>744</v>
      </c>
      <c r="D9" s="1636">
        <v>0.18782351696805755</v>
      </c>
      <c r="E9" s="1637">
        <v>0.10061414191506757</v>
      </c>
      <c r="F9" s="1636" t="s">
        <v>744</v>
      </c>
      <c r="G9" s="1635" t="s">
        <v>744</v>
      </c>
      <c r="H9" s="1636" t="s">
        <v>744</v>
      </c>
      <c r="I9" s="1637" t="s">
        <v>744</v>
      </c>
      <c r="J9" s="1636" t="s">
        <v>744</v>
      </c>
      <c r="M9" s="1635" t="s">
        <v>744</v>
      </c>
      <c r="N9" s="1636" t="s">
        <v>744</v>
      </c>
      <c r="O9" s="1635" t="s">
        <v>744</v>
      </c>
    </row>
    <row r="10" spans="1:15" ht="22.5" hidden="1" customHeight="1" thickBot="1">
      <c r="A10" s="1633">
        <v>1997</v>
      </c>
      <c r="B10" s="1634">
        <v>7214805</v>
      </c>
      <c r="C10" s="1635" t="s">
        <v>744</v>
      </c>
      <c r="D10" s="1636">
        <v>0.17122098241047401</v>
      </c>
      <c r="E10" s="1637">
        <v>8.6709897218289339E-2</v>
      </c>
      <c r="F10" s="1636" t="s">
        <v>744</v>
      </c>
      <c r="G10" s="1635" t="s">
        <v>744</v>
      </c>
      <c r="H10" s="1636" t="s">
        <v>744</v>
      </c>
      <c r="I10" s="1637" t="s">
        <v>744</v>
      </c>
      <c r="J10" s="1636" t="s">
        <v>744</v>
      </c>
      <c r="M10" s="1635">
        <v>2.1729346808402997E-2</v>
      </c>
      <c r="N10" s="1638">
        <v>6.734901359080391E-3</v>
      </c>
      <c r="O10" s="1635" t="s">
        <v>744</v>
      </c>
    </row>
    <row r="11" spans="1:15" ht="0.75" customHeight="1" thickBot="1">
      <c r="A11" s="1633">
        <v>1998</v>
      </c>
      <c r="B11" s="1634">
        <v>7248603</v>
      </c>
      <c r="C11" s="1635" t="s">
        <v>744</v>
      </c>
      <c r="D11" s="1636">
        <v>0.16889778623549945</v>
      </c>
      <c r="E11" s="1637">
        <v>8.0429428953413512E-2</v>
      </c>
      <c r="F11" s="1636" t="s">
        <v>744</v>
      </c>
      <c r="G11" s="1635" t="s">
        <v>744</v>
      </c>
      <c r="H11" s="1636" t="s">
        <v>744</v>
      </c>
      <c r="I11" s="1637" t="s">
        <v>744</v>
      </c>
      <c r="J11" s="1636" t="s">
        <v>744</v>
      </c>
      <c r="M11" s="1635">
        <v>2.1183943995829266E-2</v>
      </c>
      <c r="N11" s="1639">
        <v>6.9956928252243918E-3</v>
      </c>
      <c r="O11" s="1635" t="s">
        <v>744</v>
      </c>
    </row>
    <row r="12" spans="1:15" ht="22.5" customHeight="1" thickBot="1">
      <c r="A12" s="943">
        <v>1999</v>
      </c>
      <c r="B12" s="1634">
        <v>7266534</v>
      </c>
      <c r="C12" s="1635" t="s">
        <v>744</v>
      </c>
      <c r="D12" s="1636">
        <v>0.15472314586293823</v>
      </c>
      <c r="E12" s="1637">
        <v>7.4331173569132131E-2</v>
      </c>
      <c r="F12" s="1636" t="s">
        <v>744</v>
      </c>
      <c r="G12" s="1635" t="s">
        <v>744</v>
      </c>
      <c r="H12" s="1636" t="s">
        <v>744</v>
      </c>
      <c r="I12" s="1637" t="s">
        <v>744</v>
      </c>
      <c r="J12" s="1636" t="s">
        <v>744</v>
      </c>
      <c r="M12" s="1635">
        <v>3.5360462085500463E-2</v>
      </c>
      <c r="N12" s="1639">
        <v>5.9961186447348904E-3</v>
      </c>
      <c r="O12" s="1635" t="s">
        <v>744</v>
      </c>
    </row>
    <row r="13" spans="1:15" ht="22.5" customHeight="1" thickBot="1">
      <c r="A13" s="943">
        <v>2000</v>
      </c>
      <c r="B13" s="1634">
        <v>7268111</v>
      </c>
      <c r="C13" s="1635" t="s">
        <v>744</v>
      </c>
      <c r="D13" s="1636">
        <v>0.12321647261578696</v>
      </c>
      <c r="E13" s="1637">
        <v>6.2163057223534421E-2</v>
      </c>
      <c r="F13" s="1636" t="s">
        <v>744</v>
      </c>
      <c r="G13" s="1635" t="s">
        <v>744</v>
      </c>
      <c r="H13" s="1636" t="s">
        <v>744</v>
      </c>
      <c r="I13" s="1637" t="s">
        <v>744</v>
      </c>
      <c r="J13" s="1636" t="s">
        <v>744</v>
      </c>
      <c r="M13" s="1635">
        <v>6.6940089384985996E-2</v>
      </c>
      <c r="N13" s="1639">
        <v>2.2992631785618025E-2</v>
      </c>
      <c r="O13" s="1635" t="s">
        <v>744</v>
      </c>
    </row>
    <row r="14" spans="1:15" ht="22.5" customHeight="1" thickBot="1">
      <c r="A14" s="943">
        <v>2001</v>
      </c>
      <c r="B14" s="1634">
        <v>7321287</v>
      </c>
      <c r="C14" s="1635" t="s">
        <v>744</v>
      </c>
      <c r="D14" s="1636">
        <v>0.11914653803354519</v>
      </c>
      <c r="E14" s="1637">
        <v>6.1670168100226096E-2</v>
      </c>
      <c r="F14" s="1636" t="s">
        <v>744</v>
      </c>
      <c r="G14" s="1635" t="s">
        <v>744</v>
      </c>
      <c r="H14" s="1636" t="s">
        <v>744</v>
      </c>
      <c r="I14" s="1637" t="s">
        <v>744</v>
      </c>
      <c r="J14" s="1636" t="s">
        <v>744</v>
      </c>
      <c r="M14" s="1635">
        <v>9.1391855011284218E-2</v>
      </c>
      <c r="N14" s="1639">
        <v>3.6045984811140443E-2</v>
      </c>
      <c r="O14" s="1635" t="s">
        <v>744</v>
      </c>
    </row>
    <row r="15" spans="1:15" ht="22.5" customHeight="1" thickBot="1">
      <c r="A15" s="943">
        <v>2002</v>
      </c>
      <c r="B15" s="1634">
        <v>7359365</v>
      </c>
      <c r="C15" s="1635">
        <v>0.41612068432534599</v>
      </c>
      <c r="D15" s="1636">
        <v>0.10741619691372829</v>
      </c>
      <c r="E15" s="1637">
        <v>5.1274804279988831E-2</v>
      </c>
      <c r="F15" s="1636" t="s">
        <v>744</v>
      </c>
      <c r="G15" s="1635" t="s">
        <v>744</v>
      </c>
      <c r="H15" s="1636" t="s">
        <v>744</v>
      </c>
      <c r="I15" s="1637" t="s">
        <v>744</v>
      </c>
      <c r="J15" s="1636" t="s">
        <v>744</v>
      </c>
      <c r="M15" s="1635">
        <v>9.5236341722417628E-2</v>
      </c>
      <c r="N15" s="1639">
        <v>4.2874215370483727E-2</v>
      </c>
      <c r="O15" s="1635" t="s">
        <v>744</v>
      </c>
    </row>
    <row r="16" spans="1:15" ht="22.5" customHeight="1" thickBot="1">
      <c r="A16" s="943">
        <v>2003</v>
      </c>
      <c r="B16" s="1634">
        <v>7393188</v>
      </c>
      <c r="C16" s="1635">
        <v>0.40096288637594502</v>
      </c>
      <c r="D16" s="1636">
        <v>0.10284683684494429</v>
      </c>
      <c r="E16" s="1637">
        <v>4.5843416940026416E-2</v>
      </c>
      <c r="F16" s="1636" t="s">
        <v>744</v>
      </c>
      <c r="G16" s="1635" t="s">
        <v>744</v>
      </c>
      <c r="H16" s="1636" t="s">
        <v>744</v>
      </c>
      <c r="I16" s="1637" t="s">
        <v>744</v>
      </c>
      <c r="J16" s="1636" t="s">
        <v>744</v>
      </c>
      <c r="M16" s="1635">
        <v>9.3782276333294917E-2</v>
      </c>
      <c r="N16" s="1639">
        <v>4.102993187783132E-2</v>
      </c>
      <c r="O16" s="1635">
        <v>0.23588525004368888</v>
      </c>
    </row>
    <row r="17" spans="1:15" ht="22.5" customHeight="1" thickBot="1">
      <c r="A17" s="943">
        <v>2004</v>
      </c>
      <c r="B17" s="1634">
        <v>7419974</v>
      </c>
      <c r="C17" s="1635">
        <v>0.41515172425132485</v>
      </c>
      <c r="D17" s="1636">
        <v>8.8858128074303225E-2</v>
      </c>
      <c r="E17" s="1637">
        <v>3.8901214478649117E-2</v>
      </c>
      <c r="F17" s="1636" t="s">
        <v>744</v>
      </c>
      <c r="G17" s="1635" t="s">
        <v>744</v>
      </c>
      <c r="H17" s="1636" t="s">
        <v>744</v>
      </c>
      <c r="I17" s="1637" t="s">
        <v>744</v>
      </c>
      <c r="J17" s="1636" t="s">
        <v>744</v>
      </c>
      <c r="M17" s="1635">
        <v>0.1022666656244348</v>
      </c>
      <c r="N17" s="1639">
        <v>4.6828870289841985E-2</v>
      </c>
      <c r="O17" s="1635">
        <v>0.22847465503248393</v>
      </c>
    </row>
    <row r="18" spans="1:15" ht="22.5" customHeight="1" thickBot="1">
      <c r="A18" s="943">
        <v>2005</v>
      </c>
      <c r="B18" s="1634">
        <v>7458475</v>
      </c>
      <c r="C18" s="1635">
        <v>0.40559658643355379</v>
      </c>
      <c r="D18" s="1636">
        <v>8.7504349079402965E-2</v>
      </c>
      <c r="E18" s="1637">
        <v>3.6415889307130481E-2</v>
      </c>
      <c r="F18" s="1636" t="s">
        <v>744</v>
      </c>
      <c r="G18" s="1635" t="s">
        <v>744</v>
      </c>
      <c r="H18" s="1636" t="s">
        <v>744</v>
      </c>
      <c r="I18" s="1637" t="s">
        <v>744</v>
      </c>
      <c r="J18" s="1636" t="s">
        <v>744</v>
      </c>
      <c r="M18" s="1635">
        <v>9.9828450185862394E-2</v>
      </c>
      <c r="N18" s="1639">
        <v>4.6900204130200879E-2</v>
      </c>
      <c r="O18" s="1635">
        <v>0.22295429025370467</v>
      </c>
    </row>
    <row r="19" spans="1:15" ht="22.5" customHeight="1" thickBot="1">
      <c r="A19" s="943">
        <v>2006</v>
      </c>
      <c r="B19" s="1634">
        <v>7507545</v>
      </c>
      <c r="C19" s="1635">
        <v>0.35229745542650759</v>
      </c>
      <c r="D19" s="1636">
        <v>8.0637811694768399E-2</v>
      </c>
      <c r="E19" s="1637">
        <v>3.4424568883702995E-2</v>
      </c>
      <c r="F19" s="1636">
        <v>1.1072461104129246E-2</v>
      </c>
      <c r="G19" s="1635">
        <v>2.8267829230460822E-2</v>
      </c>
      <c r="H19" s="1636">
        <v>7.3543348724516471E-3</v>
      </c>
      <c r="I19" s="1637">
        <v>3.3165302372479954E-3</v>
      </c>
      <c r="J19" s="1636">
        <v>8.6433048353356525E-4</v>
      </c>
      <c r="M19" s="1635">
        <v>0.10136709137274569</v>
      </c>
      <c r="N19" s="1639">
        <v>4.8815425015767473E-2</v>
      </c>
      <c r="O19" s="1635">
        <v>0.21886368979473317</v>
      </c>
    </row>
    <row r="20" spans="1:15" ht="22.5" customHeight="1" thickBot="1">
      <c r="A20" s="943">
        <v>2007</v>
      </c>
      <c r="B20" s="1634">
        <v>7577132</v>
      </c>
      <c r="C20" s="1635">
        <v>0.34950084015957489</v>
      </c>
      <c r="D20" s="1636">
        <v>7.9577602713005402E-2</v>
      </c>
      <c r="E20" s="1637">
        <v>3.4038868532315393E-2</v>
      </c>
      <c r="F20" s="1636">
        <v>2.0345824779085281E-2</v>
      </c>
      <c r="G20" s="1635">
        <v>3.0507453215807775E-2</v>
      </c>
      <c r="H20" s="1636">
        <v>7.6386421669834975E-3</v>
      </c>
      <c r="I20" s="1637">
        <v>4.5006474745325807E-3</v>
      </c>
      <c r="J20" s="1636">
        <v>4.7718582703851539E-3</v>
      </c>
      <c r="M20" s="1635">
        <v>9.8380231464886711E-2</v>
      </c>
      <c r="N20" s="1639">
        <v>4.8201615070187505E-2</v>
      </c>
      <c r="O20" s="1635">
        <v>0.21754194067095572</v>
      </c>
    </row>
    <row r="21" spans="1:15" ht="22.5" customHeight="1" thickBot="1">
      <c r="A21" s="943">
        <v>2008</v>
      </c>
      <c r="B21" s="1634">
        <v>7669611</v>
      </c>
      <c r="C21" s="1635">
        <v>0.32124333294087537</v>
      </c>
      <c r="D21" s="1636">
        <v>7.2603422781155391E-2</v>
      </c>
      <c r="E21" s="1637">
        <v>3.1619807054099613E-2</v>
      </c>
      <c r="F21" s="1636">
        <v>1.5602015538988875E-2</v>
      </c>
      <c r="G21" s="1635">
        <v>3.4330945858922962E-2</v>
      </c>
      <c r="H21" s="1636">
        <v>7.8339044835520344E-3</v>
      </c>
      <c r="I21" s="1637">
        <v>4.7705157406288268E-3</v>
      </c>
      <c r="J21" s="1636">
        <v>5.1662333330856026E-3</v>
      </c>
      <c r="M21" s="1635" t="s">
        <v>744</v>
      </c>
      <c r="N21" s="1639" t="s">
        <v>744</v>
      </c>
      <c r="O21" s="1635" t="s">
        <v>744</v>
      </c>
    </row>
    <row r="22" spans="1:15" s="162" customFormat="1" ht="29.25" customHeight="1" thickBot="1">
      <c r="A22" s="946">
        <v>2009</v>
      </c>
      <c r="B22" s="192">
        <v>7748921.9299999997</v>
      </c>
      <c r="C22" s="1640">
        <v>0.31741512202846522</v>
      </c>
      <c r="D22" s="1641">
        <v>7.1110407999684155E-2</v>
      </c>
      <c r="E22" s="1642">
        <v>3.0618710853368994E-2</v>
      </c>
      <c r="F22" s="1641">
        <v>2.0811540167368806E-2</v>
      </c>
      <c r="G22" s="1640">
        <v>4.2848928276658996E-2</v>
      </c>
      <c r="H22" s="1641">
        <v>9.3020681652421812E-3</v>
      </c>
      <c r="I22" s="1147">
        <v>5.3513250455473364E-3</v>
      </c>
      <c r="J22" s="598">
        <v>6.1051073203934065E-3</v>
      </c>
      <c r="K22" s="1643"/>
      <c r="M22" s="1644" t="s">
        <v>744</v>
      </c>
      <c r="N22" s="598" t="s">
        <v>744</v>
      </c>
      <c r="O22" s="1644" t="s">
        <v>744</v>
      </c>
    </row>
    <row r="23" spans="1:15" ht="20" customHeight="1">
      <c r="A23" s="1011" t="s">
        <v>324</v>
      </c>
      <c r="B23" s="1012"/>
      <c r="C23" s="1012"/>
      <c r="D23" s="1012"/>
      <c r="E23" s="1012"/>
      <c r="F23" s="1012"/>
      <c r="G23" s="1012"/>
      <c r="H23" s="1012"/>
      <c r="J23" s="950"/>
    </row>
    <row r="24" spans="1:15" ht="13.5" customHeight="1">
      <c r="A24" s="1013"/>
      <c r="B24" s="713"/>
      <c r="C24" s="713"/>
      <c r="D24" s="713"/>
      <c r="E24" s="713"/>
      <c r="F24" s="713"/>
      <c r="G24" s="713"/>
      <c r="H24" s="713"/>
    </row>
    <row r="25" spans="1:15" ht="12.75" customHeight="1">
      <c r="A25" s="1013" t="s">
        <v>300</v>
      </c>
      <c r="B25" s="713"/>
      <c r="C25" s="713"/>
      <c r="D25" s="713"/>
      <c r="E25" s="713"/>
      <c r="F25" s="713"/>
      <c r="G25" s="713"/>
      <c r="H25" s="713"/>
    </row>
    <row r="26" spans="1:15" ht="12.75" customHeight="1">
      <c r="A26" s="1013" t="s">
        <v>301</v>
      </c>
      <c r="B26" s="713"/>
      <c r="C26" s="713"/>
      <c r="D26" s="713"/>
      <c r="E26" s="713"/>
      <c r="F26" s="713"/>
      <c r="G26" s="713"/>
      <c r="H26" s="713"/>
    </row>
    <row r="27" spans="1:15" ht="12.75" customHeight="1">
      <c r="A27" s="1013" t="s">
        <v>302</v>
      </c>
      <c r="B27" s="713"/>
      <c r="C27" s="713"/>
      <c r="D27" s="713"/>
      <c r="E27" s="713"/>
      <c r="F27" s="713"/>
      <c r="G27" s="713"/>
      <c r="H27" s="713"/>
    </row>
    <row r="28" spans="1:15" ht="12.75" customHeight="1">
      <c r="A28" s="1645" t="s">
        <v>303</v>
      </c>
      <c r="B28" s="713"/>
      <c r="C28" s="713"/>
      <c r="D28" s="713"/>
      <c r="E28" s="713"/>
      <c r="F28" s="713"/>
      <c r="G28" s="713"/>
      <c r="H28" s="713"/>
    </row>
    <row r="29" spans="1:15" ht="12.75" customHeight="1">
      <c r="A29" s="2" t="s">
        <v>304</v>
      </c>
      <c r="B29" s="713"/>
      <c r="C29" s="713"/>
      <c r="D29" s="713"/>
      <c r="E29" s="713"/>
      <c r="F29" s="713"/>
      <c r="G29" s="713"/>
      <c r="H29" s="713"/>
    </row>
    <row r="30" spans="1:15" ht="13.5" customHeight="1">
      <c r="A30" s="1024" t="s">
        <v>305</v>
      </c>
      <c r="B30" s="713"/>
      <c r="C30" s="713"/>
      <c r="D30" s="713"/>
      <c r="E30" s="713"/>
      <c r="F30" s="713"/>
      <c r="G30" s="713"/>
      <c r="H30" s="713"/>
    </row>
    <row r="31" spans="1:15" ht="13.5" customHeight="1">
      <c r="A31" s="2" t="s">
        <v>306</v>
      </c>
      <c r="B31" s="713"/>
      <c r="C31" s="713"/>
      <c r="D31" s="713"/>
      <c r="E31" s="713"/>
      <c r="F31" s="713"/>
      <c r="G31" s="713"/>
      <c r="H31" s="713"/>
    </row>
    <row r="32" spans="1:15" ht="13.5" customHeight="1">
      <c r="A32" s="1013" t="s">
        <v>307</v>
      </c>
      <c r="B32" s="713"/>
      <c r="C32" s="713"/>
      <c r="D32" s="713"/>
      <c r="E32" s="713"/>
      <c r="F32" s="713"/>
      <c r="G32" s="713"/>
      <c r="H32" s="713"/>
    </row>
    <row r="33" spans="1:8" ht="13.5" customHeight="1">
      <c r="A33" s="1024" t="s">
        <v>308</v>
      </c>
      <c r="B33" s="713"/>
      <c r="C33" s="713"/>
      <c r="D33" s="713"/>
      <c r="E33" s="713"/>
      <c r="F33" s="713"/>
      <c r="G33" s="713"/>
      <c r="H33" s="713"/>
    </row>
    <row r="34" spans="1:8" ht="13.5" customHeight="1">
      <c r="A34" s="3" t="s">
        <v>309</v>
      </c>
      <c r="B34" s="713"/>
      <c r="C34" s="713"/>
      <c r="D34" s="713"/>
      <c r="E34" s="713"/>
      <c r="F34" s="713"/>
      <c r="G34" s="713"/>
      <c r="H34" s="713"/>
    </row>
    <row r="35" spans="1:8" ht="13.5" customHeight="1">
      <c r="A35" s="3" t="s">
        <v>310</v>
      </c>
      <c r="B35" s="713"/>
      <c r="C35" s="713"/>
      <c r="D35" s="713"/>
      <c r="E35" s="713"/>
      <c r="F35" s="713"/>
      <c r="G35" s="713"/>
      <c r="H35" s="713"/>
    </row>
    <row r="36" spans="1:8" ht="13.5" customHeight="1">
      <c r="A36" s="1646" t="s">
        <v>311</v>
      </c>
      <c r="B36" s="713"/>
      <c r="C36" s="713"/>
      <c r="D36" s="713"/>
      <c r="E36" s="713"/>
      <c r="F36" s="713"/>
      <c r="G36" s="713"/>
      <c r="H36" s="713"/>
    </row>
    <row r="37" spans="1:8" ht="13.5" customHeight="1">
      <c r="A37" s="562" t="s">
        <v>312</v>
      </c>
      <c r="B37" s="713"/>
      <c r="C37" s="713"/>
      <c r="D37" s="713"/>
      <c r="E37" s="713"/>
      <c r="F37" s="713"/>
      <c r="G37" s="713"/>
      <c r="H37" s="713"/>
    </row>
    <row r="38" spans="1:8" ht="13.5" customHeight="1">
      <c r="A38" s="1646" t="s">
        <v>313</v>
      </c>
      <c r="B38" s="713"/>
      <c r="C38" s="713"/>
      <c r="D38" s="713"/>
      <c r="E38" s="713"/>
      <c r="F38" s="713"/>
      <c r="G38" s="713"/>
      <c r="H38" s="713"/>
    </row>
    <row r="39" spans="1:8" ht="13.5" customHeight="1">
      <c r="A39" s="1646" t="s">
        <v>314</v>
      </c>
      <c r="B39" s="713"/>
      <c r="C39" s="713"/>
      <c r="D39" s="713"/>
      <c r="E39" s="713"/>
      <c r="F39" s="713"/>
      <c r="G39" s="713"/>
      <c r="H39" s="713"/>
    </row>
    <row r="40" spans="1:8" ht="13.5" customHeight="1">
      <c r="A40" s="1646" t="s">
        <v>315</v>
      </c>
      <c r="B40" s="713"/>
      <c r="C40" s="713"/>
      <c r="D40" s="713"/>
      <c r="E40" s="713"/>
      <c r="F40" s="713"/>
      <c r="G40" s="713"/>
      <c r="H40" s="713"/>
    </row>
    <row r="41" spans="1:8" ht="12.75" customHeight="1">
      <c r="B41" s="713"/>
      <c r="C41" s="713"/>
      <c r="D41" s="713"/>
      <c r="E41" s="713"/>
      <c r="F41" s="713"/>
      <c r="G41" s="713"/>
      <c r="H41" s="3"/>
    </row>
    <row r="42" spans="1:8" ht="15" customHeight="1">
      <c r="A42" s="44"/>
      <c r="B42" s="1014"/>
      <c r="C42" s="1014"/>
      <c r="D42" s="1014"/>
      <c r="E42" s="1014"/>
      <c r="F42" s="1014"/>
      <c r="G42" s="1014"/>
      <c r="H42" s="3"/>
    </row>
    <row r="43" spans="1:8" ht="15" customHeight="1">
      <c r="A43" s="965" t="s">
        <v>710</v>
      </c>
      <c r="B43" s="1014"/>
      <c r="C43" s="1014"/>
      <c r="D43" s="1014"/>
      <c r="E43" s="1014"/>
      <c r="F43" s="1014"/>
      <c r="G43" s="1014"/>
      <c r="H43" s="3"/>
    </row>
    <row r="44" spans="1:8" ht="15" customHeight="1">
      <c r="A44" s="965"/>
      <c r="B44" s="1014"/>
      <c r="C44" s="1014"/>
      <c r="D44" s="1014"/>
      <c r="E44" s="1014"/>
      <c r="F44" s="1014"/>
      <c r="G44" s="1014"/>
      <c r="H44" s="3"/>
    </row>
    <row r="45" spans="1:8" ht="15" customHeight="1">
      <c r="A45" s="965"/>
      <c r="B45" s="1014"/>
      <c r="C45" s="1014"/>
      <c r="D45" s="1014"/>
      <c r="E45" s="1014"/>
      <c r="F45" s="1014"/>
      <c r="G45" s="1014"/>
      <c r="H45" s="3"/>
    </row>
  </sheetData>
  <phoneticPr fontId="0" type="noConversion"/>
  <pageMargins left="0.38" right="0.28999999999999998" top="0.71" bottom="0.49" header="0.52" footer="0.4921259845"/>
  <pageSetup paperSize="9" scale="72" orientation="landscape"/>
  <headerFooter alignWithMargins="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D063C-24F2-B04A-B9C9-141DA0A053F3}">
  <sheetPr>
    <pageSetUpPr fitToPage="1"/>
  </sheetPr>
  <dimension ref="A1:K56"/>
  <sheetViews>
    <sheetView topLeftCell="A34" zoomScale="75" workbookViewId="0">
      <selection activeCell="A46" sqref="A46"/>
    </sheetView>
  </sheetViews>
  <sheetFormatPr baseColWidth="10" defaultColWidth="11.3984375" defaultRowHeight="13"/>
  <cols>
    <col min="1" max="1" width="12.3984375" style="2" customWidth="1"/>
    <col min="2" max="2" width="13.3984375" style="168" customWidth="1"/>
    <col min="3" max="3" width="12.59765625" style="168" customWidth="1"/>
    <col min="4" max="4" width="14" style="168" customWidth="1"/>
    <col min="5" max="5" width="13.3984375" style="168" customWidth="1"/>
    <col min="6" max="6" width="13.59765625" style="168" customWidth="1"/>
    <col min="7" max="7" width="13.19921875" style="168" customWidth="1"/>
    <col min="8" max="8" width="13.3984375" style="168" customWidth="1"/>
    <col min="9" max="9" width="12.59765625" style="168" customWidth="1"/>
    <col min="10" max="16384" width="11.3984375" style="2"/>
  </cols>
  <sheetData>
    <row r="1" spans="1:9" s="1" customFormat="1" ht="14" customHeight="1">
      <c r="A1" s="271"/>
      <c r="B1" s="1009"/>
      <c r="C1" s="1009"/>
      <c r="D1" s="1009"/>
      <c r="E1" s="1009"/>
      <c r="F1" s="1009"/>
      <c r="G1" s="1009"/>
      <c r="H1" s="1009"/>
      <c r="I1" s="1009"/>
    </row>
    <row r="2" spans="1:9" s="1" customFormat="1" ht="27" customHeight="1">
      <c r="A2" s="1074" t="s">
        <v>1424</v>
      </c>
      <c r="B2" s="1650"/>
      <c r="C2" s="1650"/>
      <c r="D2" s="1650"/>
      <c r="E2" s="1650"/>
      <c r="F2" s="1650"/>
      <c r="G2" s="1650"/>
      <c r="H2" s="1650"/>
      <c r="I2" s="715"/>
    </row>
    <row r="3" spans="1:9" s="1693" customFormat="1" ht="72.75" customHeight="1">
      <c r="A3" s="1690" t="s">
        <v>2320</v>
      </c>
      <c r="B3" s="1691" t="s">
        <v>914</v>
      </c>
      <c r="C3" s="1692" t="s">
        <v>259</v>
      </c>
      <c r="D3" s="1691" t="s">
        <v>260</v>
      </c>
      <c r="E3" s="1692" t="s">
        <v>261</v>
      </c>
      <c r="F3" s="1691" t="s">
        <v>262</v>
      </c>
      <c r="G3" s="1692" t="s">
        <v>263</v>
      </c>
      <c r="H3" s="1691" t="s">
        <v>264</v>
      </c>
      <c r="I3" s="1692" t="s">
        <v>265</v>
      </c>
    </row>
    <row r="4" spans="1:9" ht="15.75" customHeight="1">
      <c r="A4" s="326"/>
      <c r="B4" s="129"/>
      <c r="C4" s="128"/>
      <c r="D4" s="129"/>
      <c r="E4" s="128" t="s">
        <v>2318</v>
      </c>
      <c r="F4" s="129"/>
      <c r="G4" s="128"/>
      <c r="H4" s="129"/>
      <c r="I4" s="128"/>
    </row>
    <row r="5" spans="1:9" ht="1.5" customHeight="1" thickBot="1">
      <c r="A5" s="941">
        <v>1996</v>
      </c>
      <c r="B5" s="439">
        <v>100</v>
      </c>
      <c r="C5" s="440">
        <v>100</v>
      </c>
      <c r="D5" s="439">
        <v>100</v>
      </c>
      <c r="E5" s="440">
        <v>100</v>
      </c>
      <c r="F5" s="439">
        <v>100</v>
      </c>
      <c r="G5" s="440">
        <v>100</v>
      </c>
      <c r="H5" s="439">
        <v>100</v>
      </c>
      <c r="I5" s="440">
        <v>100</v>
      </c>
    </row>
    <row r="6" spans="1:9" ht="18" hidden="1" customHeight="1" thickBot="1">
      <c r="A6" s="943">
        <v>1997</v>
      </c>
      <c r="B6" s="441">
        <v>99.603751768772071</v>
      </c>
      <c r="C6" s="442">
        <v>100.38008221695314</v>
      </c>
      <c r="D6" s="441">
        <v>100.54808570359472</v>
      </c>
      <c r="E6" s="442">
        <v>101.42789940293106</v>
      </c>
      <c r="F6" s="441">
        <v>99.259050938587137</v>
      </c>
      <c r="G6" s="442">
        <v>99.621819781936267</v>
      </c>
      <c r="H6" s="441">
        <v>100.76095634245317</v>
      </c>
      <c r="I6" s="442">
        <v>100.52020451848172</v>
      </c>
    </row>
    <row r="7" spans="1:9" ht="18.75" hidden="1" customHeight="1" thickBot="1">
      <c r="A7" s="943">
        <v>1998</v>
      </c>
      <c r="B7" s="441">
        <v>96.927242504783251</v>
      </c>
      <c r="C7" s="442">
        <v>100.33490779124649</v>
      </c>
      <c r="D7" s="441">
        <v>101.27038445552139</v>
      </c>
      <c r="E7" s="442">
        <v>102.99618303138374</v>
      </c>
      <c r="F7" s="441">
        <v>98.452579284674385</v>
      </c>
      <c r="G7" s="442">
        <v>100.44765774993816</v>
      </c>
      <c r="H7" s="441">
        <v>101.24816209588769</v>
      </c>
      <c r="I7" s="442">
        <v>100.538234878222</v>
      </c>
    </row>
    <row r="8" spans="1:9" ht="18.75" customHeight="1" thickBot="1">
      <c r="A8" s="943">
        <v>1999</v>
      </c>
      <c r="B8" s="441">
        <v>95.844672232466905</v>
      </c>
      <c r="C8" s="442">
        <v>100.33187275209576</v>
      </c>
      <c r="D8" s="441">
        <v>101.87444222283719</v>
      </c>
      <c r="E8" s="442">
        <v>104.14320934906627</v>
      </c>
      <c r="F8" s="441">
        <v>98.676778256833302</v>
      </c>
      <c r="G8" s="442">
        <v>98.097369567529682</v>
      </c>
      <c r="H8" s="441">
        <v>101.67388949401801</v>
      </c>
      <c r="I8" s="442">
        <v>101.34904536554785</v>
      </c>
    </row>
    <row r="9" spans="1:9" ht="18.75" customHeight="1" thickBot="1">
      <c r="A9" s="943">
        <v>2000</v>
      </c>
      <c r="B9" s="441">
        <v>96.254772438034038</v>
      </c>
      <c r="C9" s="442">
        <v>100.33187275209576</v>
      </c>
      <c r="D9" s="441">
        <v>103.57018844964638</v>
      </c>
      <c r="E9" s="442">
        <v>104.72011004030597</v>
      </c>
      <c r="F9" s="441">
        <v>98.363608314160032</v>
      </c>
      <c r="G9" s="442">
        <v>97.073589844089597</v>
      </c>
      <c r="H9" s="441">
        <v>102.16099312393871</v>
      </c>
      <c r="I9" s="442">
        <v>102.92856130382158</v>
      </c>
    </row>
    <row r="10" spans="1:9" ht="18.75" customHeight="1" thickBot="1">
      <c r="A10" s="943">
        <v>2001</v>
      </c>
      <c r="B10" s="441">
        <v>95.617677812696272</v>
      </c>
      <c r="C10" s="442">
        <v>100.39157021638326</v>
      </c>
      <c r="D10" s="441">
        <v>105.66882988327751</v>
      </c>
      <c r="E10" s="442">
        <v>105.48310266577438</v>
      </c>
      <c r="F10" s="441">
        <v>99.731930662678707</v>
      </c>
      <c r="G10" s="442">
        <v>97.957928816735219</v>
      </c>
      <c r="H10" s="441">
        <v>102.72634889630439</v>
      </c>
      <c r="I10" s="442">
        <v>103.94658841484843</v>
      </c>
    </row>
    <row r="11" spans="1:9" ht="18.75" customHeight="1" thickBot="1">
      <c r="A11" s="943">
        <v>2002</v>
      </c>
      <c r="B11" s="441">
        <v>92.551966547481953</v>
      </c>
      <c r="C11" s="442">
        <v>100.41926181326284</v>
      </c>
      <c r="D11" s="441">
        <v>106.79946557044345</v>
      </c>
      <c r="E11" s="442">
        <v>107.26502318301614</v>
      </c>
      <c r="F11" s="441">
        <v>100.07068960129637</v>
      </c>
      <c r="G11" s="442">
        <v>98.584756517798724</v>
      </c>
      <c r="H11" s="441">
        <v>103.14270646204406</v>
      </c>
      <c r="I11" s="442">
        <v>104.61466069154169</v>
      </c>
    </row>
    <row r="12" spans="1:9" ht="18.75" customHeight="1" thickBot="1">
      <c r="A12" s="943">
        <v>2003</v>
      </c>
      <c r="B12" s="441">
        <v>91.45775676895002</v>
      </c>
      <c r="C12" s="442">
        <v>100.41926181326284</v>
      </c>
      <c r="D12" s="441">
        <v>107.42707824790855</v>
      </c>
      <c r="E12" s="442">
        <v>109.53160933947478</v>
      </c>
      <c r="F12" s="441">
        <v>99.942646202359242</v>
      </c>
      <c r="G12" s="442">
        <v>101.42505436052258</v>
      </c>
      <c r="H12" s="441">
        <v>104.03822755450696</v>
      </c>
      <c r="I12" s="442">
        <v>105.28242519538023</v>
      </c>
    </row>
    <row r="13" spans="1:9" ht="18.75" customHeight="1" thickBot="1">
      <c r="A13" s="943">
        <v>2004</v>
      </c>
      <c r="B13" s="441">
        <v>91.277873491072683</v>
      </c>
      <c r="C13" s="442">
        <v>100.41926181326284</v>
      </c>
      <c r="D13" s="441">
        <v>108.0206930792616</v>
      </c>
      <c r="E13" s="442">
        <v>111.84653649880872</v>
      </c>
      <c r="F13" s="441">
        <v>99.616681761713792</v>
      </c>
      <c r="G13" s="442">
        <v>102.9912008077947</v>
      </c>
      <c r="H13" s="441">
        <v>105.00309051283621</v>
      </c>
      <c r="I13" s="442">
        <v>106.12777463640488</v>
      </c>
    </row>
    <row r="14" spans="1:9" ht="18.75" customHeight="1" thickBot="1">
      <c r="A14" s="943">
        <v>2005</v>
      </c>
      <c r="B14" s="441">
        <v>90.545065570821578</v>
      </c>
      <c r="C14" s="442">
        <v>100.41926181326284</v>
      </c>
      <c r="D14" s="441">
        <v>108.68924828481903</v>
      </c>
      <c r="E14" s="442">
        <v>113.62688750297009</v>
      </c>
      <c r="F14" s="441">
        <v>99.312074290760378</v>
      </c>
      <c r="G14" s="442">
        <v>104.286528158435</v>
      </c>
      <c r="H14" s="441">
        <v>105.64575378514422</v>
      </c>
      <c r="I14" s="442">
        <v>107.37148474241722</v>
      </c>
    </row>
    <row r="15" spans="1:9" ht="18.75" customHeight="1" thickBot="1">
      <c r="A15" s="943">
        <v>2006</v>
      </c>
      <c r="B15" s="441">
        <v>86.696332978376475</v>
      </c>
      <c r="C15" s="442">
        <v>100.71403685540849</v>
      </c>
      <c r="D15" s="441">
        <v>109.14873746718119</v>
      </c>
      <c r="E15" s="442">
        <v>115.28983892872013</v>
      </c>
      <c r="F15" s="441">
        <v>98.680124510149113</v>
      </c>
      <c r="G15" s="442">
        <v>106.00372327689165</v>
      </c>
      <c r="H15" s="441">
        <v>105.66566787033413</v>
      </c>
      <c r="I15" s="442">
        <v>108.50911580449518</v>
      </c>
    </row>
    <row r="16" spans="1:9" ht="18.75" customHeight="1" thickBot="1">
      <c r="A16" s="943">
        <v>2007</v>
      </c>
      <c r="B16" s="441">
        <v>83.233835471503482</v>
      </c>
      <c r="C16" s="442">
        <v>100.42267684759494</v>
      </c>
      <c r="D16" s="441">
        <v>110.00800794644306</v>
      </c>
      <c r="E16" s="442">
        <v>116.63437045741058</v>
      </c>
      <c r="F16" s="441">
        <v>99.187764413075584</v>
      </c>
      <c r="G16" s="442">
        <v>105.50553429064226</v>
      </c>
      <c r="H16" s="441">
        <v>105.43881893306715</v>
      </c>
      <c r="I16" s="442">
        <v>109.30370285388793</v>
      </c>
    </row>
    <row r="17" spans="1:9" ht="18.75" customHeight="1" thickBot="1">
      <c r="A17" s="943">
        <v>2008</v>
      </c>
      <c r="B17" s="441">
        <v>80.876503293860637</v>
      </c>
      <c r="C17" s="442">
        <v>100.27174673364941</v>
      </c>
      <c r="D17" s="441">
        <v>110.60728313222906</v>
      </c>
      <c r="E17" s="442">
        <v>117.20461917762597</v>
      </c>
      <c r="F17" s="441">
        <v>100.09938833310221</v>
      </c>
      <c r="G17" s="442">
        <v>106.37901466085199</v>
      </c>
      <c r="H17" s="441">
        <v>105.25410470313801</v>
      </c>
      <c r="I17" s="442">
        <v>111.95546669777498</v>
      </c>
    </row>
    <row r="18" spans="1:9" s="277" customFormat="1" ht="24" customHeight="1" thickBot="1">
      <c r="A18" s="946">
        <v>2009</v>
      </c>
      <c r="B18" s="690">
        <v>79.774559305345349</v>
      </c>
      <c r="C18" s="935">
        <v>100.24578836075855</v>
      </c>
      <c r="D18" s="690">
        <v>111.95824700734549</v>
      </c>
      <c r="E18" s="935">
        <v>118.31872254158185</v>
      </c>
      <c r="F18" s="690">
        <v>99.579677577575481</v>
      </c>
      <c r="G18" s="935">
        <v>107.51319620704622</v>
      </c>
      <c r="H18" s="690">
        <v>105.58870631204552</v>
      </c>
      <c r="I18" s="935">
        <v>111.41755622659586</v>
      </c>
    </row>
    <row r="19" spans="1:9" ht="20" customHeight="1">
      <c r="A19" s="1011"/>
      <c r="B19" s="1012"/>
      <c r="C19" s="1012"/>
      <c r="D19" s="1012"/>
      <c r="E19" s="1012"/>
      <c r="F19" s="1012"/>
      <c r="G19" s="1012"/>
      <c r="H19" s="1012"/>
      <c r="I19" s="1012"/>
    </row>
    <row r="20" spans="1:9" ht="28.5" customHeight="1">
      <c r="A20" s="1694" t="s">
        <v>266</v>
      </c>
      <c r="B20" s="1025"/>
      <c r="C20" s="1025"/>
      <c r="D20" s="1025"/>
      <c r="E20" s="1025"/>
      <c r="F20" s="1025"/>
      <c r="G20" s="1025"/>
      <c r="H20" s="1025"/>
      <c r="I20" s="1695"/>
    </row>
    <row r="21" spans="1:9" ht="72.75" customHeight="1">
      <c r="A21" s="1696" t="s">
        <v>2320</v>
      </c>
      <c r="B21" s="1697" t="s">
        <v>914</v>
      </c>
      <c r="C21" s="1698" t="s">
        <v>259</v>
      </c>
      <c r="D21" s="1697" t="s">
        <v>260</v>
      </c>
      <c r="E21" s="1698" t="s">
        <v>261</v>
      </c>
      <c r="F21" s="1697" t="s">
        <v>262</v>
      </c>
      <c r="G21" s="1698" t="s">
        <v>263</v>
      </c>
      <c r="H21" s="1697" t="s">
        <v>264</v>
      </c>
      <c r="I21" s="1692" t="s">
        <v>265</v>
      </c>
    </row>
    <row r="22" spans="1:9" ht="15" customHeight="1">
      <c r="A22" s="326"/>
      <c r="B22" s="129"/>
      <c r="C22" s="128"/>
      <c r="D22" s="129"/>
      <c r="E22" s="128"/>
      <c r="F22" s="129"/>
      <c r="G22" s="128"/>
      <c r="H22" s="129"/>
      <c r="I22" s="128"/>
    </row>
    <row r="23" spans="1:9" ht="1.5" customHeight="1" thickBot="1">
      <c r="A23" s="941">
        <v>1997</v>
      </c>
      <c r="B23" s="576">
        <v>-3.9624823122792474E-3</v>
      </c>
      <c r="C23" s="157">
        <v>3.8008221695313704E-3</v>
      </c>
      <c r="D23" s="576">
        <v>5.4808570359472508E-3</v>
      </c>
      <c r="E23" s="157">
        <v>1.4278994029310654E-2</v>
      </c>
      <c r="F23" s="576">
        <v>-7.4094906141286554E-3</v>
      </c>
      <c r="G23" s="157">
        <v>-3.7818021806372837E-3</v>
      </c>
      <c r="H23" s="576">
        <v>7.6095634245316734E-3</v>
      </c>
      <c r="I23" s="157">
        <v>5.2020451848171501E-3</v>
      </c>
    </row>
    <row r="24" spans="1:9" ht="20.25" hidden="1" customHeight="1" thickBot="1">
      <c r="A24" s="943">
        <v>1998</v>
      </c>
      <c r="B24" s="457">
        <v>-2.6871570763742691E-2</v>
      </c>
      <c r="C24" s="158">
        <v>-4.5003375877905594E-4</v>
      </c>
      <c r="D24" s="457">
        <v>7.1836151516193603E-3</v>
      </c>
      <c r="E24" s="158">
        <v>1.5462053711893686E-2</v>
      </c>
      <c r="F24" s="457">
        <v>-8.1249180431084422E-3</v>
      </c>
      <c r="G24" s="158">
        <v>8.2897297982467144E-3</v>
      </c>
      <c r="H24" s="457">
        <v>4.8352632916530691E-3</v>
      </c>
      <c r="I24" s="158">
        <v>1.7937050393657117E-4</v>
      </c>
    </row>
    <row r="25" spans="1:9" ht="20.25" customHeight="1" thickBot="1">
      <c r="A25" s="943">
        <v>1999</v>
      </c>
      <c r="B25" s="457">
        <v>-1.1168895806180856E-2</v>
      </c>
      <c r="C25" s="158">
        <v>-3.0249084964961703E-5</v>
      </c>
      <c r="D25" s="457">
        <v>5.9648017588114222E-3</v>
      </c>
      <c r="E25" s="158">
        <v>1.1136590540768099E-2</v>
      </c>
      <c r="F25" s="457">
        <v>2.2772280197012051E-3</v>
      </c>
      <c r="G25" s="158">
        <v>-2.3398138244890232E-2</v>
      </c>
      <c r="H25" s="457">
        <v>4.2047913692213612E-3</v>
      </c>
      <c r="I25" s="158">
        <v>8.0646978565712679E-3</v>
      </c>
    </row>
    <row r="26" spans="1:9" ht="20.25" customHeight="1" thickBot="1">
      <c r="A26" s="943">
        <v>2000</v>
      </c>
      <c r="B26" s="457">
        <v>4.2788002297347028E-3</v>
      </c>
      <c r="C26" s="158">
        <v>0</v>
      </c>
      <c r="D26" s="457">
        <v>1.6645452871290045E-2</v>
      </c>
      <c r="E26" s="158">
        <v>5.5394940759512235E-3</v>
      </c>
      <c r="F26" s="457">
        <v>-3.1736944416462798E-3</v>
      </c>
      <c r="G26" s="158">
        <v>-1.0436362646149444E-2</v>
      </c>
      <c r="H26" s="457">
        <v>4.7908428835050643E-3</v>
      </c>
      <c r="I26" s="158">
        <v>1.5584911851677541E-2</v>
      </c>
    </row>
    <row r="27" spans="1:9" ht="20.25" customHeight="1" thickBot="1">
      <c r="A27" s="943">
        <v>2001</v>
      </c>
      <c r="B27" s="457">
        <v>-6.618836751683288E-3</v>
      </c>
      <c r="C27" s="158">
        <v>5.9499999999990116E-4</v>
      </c>
      <c r="D27" s="457">
        <v>2.0262987497135176E-2</v>
      </c>
      <c r="E27" s="158">
        <v>7.2860181790750378E-3</v>
      </c>
      <c r="F27" s="457">
        <v>1.3910859635694051E-2</v>
      </c>
      <c r="G27" s="158">
        <v>9.1099852603160336E-3</v>
      </c>
      <c r="H27" s="457">
        <v>5.5339690333648939E-3</v>
      </c>
      <c r="I27" s="158">
        <v>9.8906182903097939E-3</v>
      </c>
    </row>
    <row r="28" spans="1:9" ht="20.25" customHeight="1" thickBot="1">
      <c r="A28" s="943">
        <v>2002</v>
      </c>
      <c r="B28" s="457">
        <v>-3.206218071118272E-2</v>
      </c>
      <c r="C28" s="158">
        <v>2.7583587765289685E-4</v>
      </c>
      <c r="D28" s="457">
        <v>1.0699803228774618E-2</v>
      </c>
      <c r="E28" s="158">
        <v>1.6892947516796264E-2</v>
      </c>
      <c r="F28" s="457">
        <v>3.3966948836419153E-3</v>
      </c>
      <c r="G28" s="158">
        <v>6.3989480855215497E-3</v>
      </c>
      <c r="H28" s="457">
        <v>4.0530747000455669E-3</v>
      </c>
      <c r="I28" s="158">
        <v>6.4270726618462781E-3</v>
      </c>
    </row>
    <row r="29" spans="1:9" ht="20.25" customHeight="1" thickBot="1">
      <c r="A29" s="943">
        <v>2003</v>
      </c>
      <c r="B29" s="457">
        <v>-1.1822652930562727E-2</v>
      </c>
      <c r="C29" s="158">
        <v>0</v>
      </c>
      <c r="D29" s="457">
        <v>5.8765526036377302E-3</v>
      </c>
      <c r="E29" s="158">
        <v>2.1130710544772668E-2</v>
      </c>
      <c r="F29" s="457">
        <v>-1.2795294950727065E-3</v>
      </c>
      <c r="G29" s="158">
        <v>2.8810720268006795E-2</v>
      </c>
      <c r="H29" s="457">
        <v>8.6823501455475238E-3</v>
      </c>
      <c r="I29" s="158">
        <v>6.3830872214694079E-3</v>
      </c>
    </row>
    <row r="30" spans="1:9" ht="20.25" customHeight="1" thickBot="1">
      <c r="A30" s="943">
        <v>2004</v>
      </c>
      <c r="B30" s="457">
        <v>-1.966845505863235E-3</v>
      </c>
      <c r="C30" s="158">
        <v>0</v>
      </c>
      <c r="D30" s="457">
        <v>5.5257467766476331E-3</v>
      </c>
      <c r="E30" s="158">
        <v>2.1134786326011179E-2</v>
      </c>
      <c r="F30" s="457">
        <v>-3.2615150091729328E-3</v>
      </c>
      <c r="G30" s="158">
        <v>1.5441415902082145E-2</v>
      </c>
      <c r="H30" s="457">
        <v>9.2741195328778225E-3</v>
      </c>
      <c r="I30" s="158">
        <v>8.0293500026797915E-3</v>
      </c>
    </row>
    <row r="31" spans="1:9" ht="20.25" customHeight="1" thickBot="1">
      <c r="A31" s="943">
        <v>2005</v>
      </c>
      <c r="B31" s="457">
        <v>-8.0283193749334236E-3</v>
      </c>
      <c r="C31" s="158">
        <v>0</v>
      </c>
      <c r="D31" s="457">
        <v>6.1891401221325637E-3</v>
      </c>
      <c r="E31" s="158">
        <v>1.5917801837165957E-2</v>
      </c>
      <c r="F31" s="457">
        <v>-3.0577957985193915E-3</v>
      </c>
      <c r="G31" s="158">
        <v>1.2577068142527015E-2</v>
      </c>
      <c r="H31" s="457">
        <v>6.1204224482274139E-3</v>
      </c>
      <c r="I31" s="158">
        <v>1.1718987892409105E-2</v>
      </c>
    </row>
    <row r="32" spans="1:9" ht="20.25" customHeight="1" thickBot="1">
      <c r="A32" s="943">
        <v>2006</v>
      </c>
      <c r="B32" s="457">
        <v>-4.2506265451149772E-2</v>
      </c>
      <c r="C32" s="158">
        <v>2.9354432289476762E-3</v>
      </c>
      <c r="D32" s="457">
        <v>4.227549547109577E-3</v>
      </c>
      <c r="E32" s="158">
        <v>1.4635192974959965E-2</v>
      </c>
      <c r="F32" s="457">
        <v>-6.3632723928520596E-3</v>
      </c>
      <c r="G32" s="158">
        <v>1.6466126054631269E-2</v>
      </c>
      <c r="H32" s="457">
        <v>1.8849868050940799E-4</v>
      </c>
      <c r="I32" s="158">
        <v>1.059528109168939E-2</v>
      </c>
    </row>
    <row r="33" spans="1:9" ht="20.25" customHeight="1" thickBot="1">
      <c r="A33" s="943">
        <v>2007</v>
      </c>
      <c r="B33" s="457">
        <v>-3.9938223312589227E-2</v>
      </c>
      <c r="C33" s="158">
        <v>-2.8929433960813711E-3</v>
      </c>
      <c r="D33" s="457">
        <v>7.8724729135801752E-3</v>
      </c>
      <c r="E33" s="158">
        <v>1.1662185854225404E-2</v>
      </c>
      <c r="F33" s="457">
        <v>5.1442973491004906E-3</v>
      </c>
      <c r="G33" s="158">
        <v>-4.6997310174480278E-3</v>
      </c>
      <c r="H33" s="457">
        <v>-2.1468556612480594E-3</v>
      </c>
      <c r="I33" s="158">
        <v>7.3227677094371835E-3</v>
      </c>
    </row>
    <row r="34" spans="1:9" ht="20.25" customHeight="1" thickBot="1">
      <c r="A34" s="943">
        <v>2008</v>
      </c>
      <c r="B34" s="457">
        <v>-2.8321801636185806E-2</v>
      </c>
      <c r="C34" s="158">
        <v>-1.5029485240131146E-3</v>
      </c>
      <c r="D34" s="457">
        <v>5.4475596547276517E-3</v>
      </c>
      <c r="E34" s="158">
        <v>4.8891996242532709E-3</v>
      </c>
      <c r="F34" s="457">
        <v>9.1908908868043593E-3</v>
      </c>
      <c r="G34" s="158">
        <v>8.279000491135502E-3</v>
      </c>
      <c r="H34" s="457">
        <v>-1.7518617127758596E-3</v>
      </c>
      <c r="I34" s="158">
        <v>2.4260512449718163E-2</v>
      </c>
    </row>
    <row r="35" spans="1:9" ht="22.5" customHeight="1" thickBot="1">
      <c r="A35" s="1699">
        <v>2009</v>
      </c>
      <c r="B35" s="598">
        <v>-1.3625020168236412E-2</v>
      </c>
      <c r="C35" s="1147">
        <v>-2.5888023033859842E-4</v>
      </c>
      <c r="D35" s="598">
        <v>1.2214058937704664E-2</v>
      </c>
      <c r="E35" s="1147">
        <v>9.505626755780261E-3</v>
      </c>
      <c r="F35" s="598">
        <v>-5.1919473653253556E-3</v>
      </c>
      <c r="G35" s="1147">
        <v>1.0661703812637535E-2</v>
      </c>
      <c r="H35" s="598">
        <v>3.1789886945619017E-3</v>
      </c>
      <c r="I35" s="1147">
        <v>-4.8046824960429335E-3</v>
      </c>
    </row>
    <row r="36" spans="1:9" ht="20" customHeight="1">
      <c r="A36" s="1011" t="s">
        <v>1442</v>
      </c>
      <c r="B36" s="1025"/>
      <c r="C36" s="1025"/>
      <c r="D36" s="1025"/>
      <c r="E36" s="1025"/>
      <c r="F36" s="1025"/>
      <c r="G36" s="1025"/>
      <c r="H36" s="1025"/>
      <c r="I36" s="1025"/>
    </row>
    <row r="37" spans="1:9" ht="11.25" customHeight="1">
      <c r="A37" s="1024"/>
      <c r="B37" s="1025"/>
      <c r="C37" s="1025"/>
      <c r="D37" s="1025"/>
      <c r="E37" s="1025"/>
      <c r="F37" s="1025"/>
      <c r="G37" s="1025"/>
      <c r="H37" s="1025"/>
      <c r="I37" s="1025"/>
    </row>
    <row r="38" spans="1:9" ht="13.5" customHeight="1">
      <c r="A38" s="1024" t="s">
        <v>267</v>
      </c>
      <c r="B38" s="1025"/>
      <c r="C38" s="1025"/>
      <c r="D38" s="1025"/>
      <c r="E38" s="1025"/>
      <c r="F38" s="1025"/>
      <c r="G38" s="1025"/>
      <c r="H38" s="1025"/>
      <c r="I38" s="1025"/>
    </row>
    <row r="39" spans="1:9" ht="12.75" customHeight="1">
      <c r="A39" s="1024"/>
      <c r="B39" s="1025"/>
      <c r="C39" s="1025"/>
      <c r="D39" s="1025"/>
      <c r="E39" s="1025"/>
      <c r="F39" s="1025"/>
      <c r="G39" s="1025"/>
      <c r="H39" s="1025"/>
      <c r="I39" s="1025"/>
    </row>
    <row r="40" spans="1:9" ht="13.5" customHeight="1">
      <c r="A40" s="94" t="s">
        <v>268</v>
      </c>
      <c r="B40" s="1016"/>
      <c r="C40" s="1016"/>
      <c r="D40" s="1016"/>
      <c r="E40" s="1016"/>
      <c r="F40" s="1016"/>
      <c r="G40" s="1016"/>
      <c r="H40" s="1016"/>
      <c r="I40" s="1016"/>
    </row>
    <row r="41" spans="1:9" ht="13.5" customHeight="1">
      <c r="A41" s="991" t="s">
        <v>269</v>
      </c>
      <c r="B41" s="1016"/>
      <c r="C41" s="1016"/>
      <c r="D41" s="1016"/>
      <c r="E41" s="1016"/>
      <c r="F41" s="1016"/>
      <c r="G41" s="1016"/>
      <c r="H41" s="1016"/>
      <c r="I41" s="1016"/>
    </row>
    <row r="42" spans="1:9" ht="13.5" customHeight="1">
      <c r="A42" s="991" t="s">
        <v>1414</v>
      </c>
      <c r="B42" s="1016"/>
      <c r="C42" s="1016"/>
      <c r="D42" s="1016"/>
      <c r="E42" s="1016"/>
      <c r="F42" s="1016"/>
      <c r="G42" s="1016"/>
      <c r="H42" s="1016"/>
      <c r="I42" s="1016"/>
    </row>
    <row r="43" spans="1:9" ht="13.5" customHeight="1">
      <c r="A43" s="2" t="s">
        <v>1415</v>
      </c>
      <c r="B43" s="1016"/>
      <c r="C43" s="1016"/>
      <c r="D43" s="1016"/>
      <c r="E43" s="1016"/>
      <c r="F43" s="1016"/>
      <c r="G43" s="1016"/>
      <c r="H43" s="1016"/>
      <c r="I43" s="1016"/>
    </row>
    <row r="44" spans="1:9" ht="13.5" customHeight="1">
      <c r="A44" s="2" t="s">
        <v>1416</v>
      </c>
      <c r="B44" s="1016"/>
      <c r="C44" s="1016"/>
      <c r="D44" s="1016"/>
      <c r="E44" s="1016"/>
      <c r="F44" s="1016"/>
      <c r="G44" s="1016"/>
      <c r="H44" s="1016"/>
      <c r="I44" s="1016"/>
    </row>
    <row r="45" spans="1:9" ht="13.5" customHeight="1">
      <c r="A45" s="991" t="s">
        <v>1441</v>
      </c>
      <c r="B45" s="1016"/>
      <c r="C45" s="1016"/>
      <c r="D45" s="1016"/>
      <c r="E45" s="1016"/>
      <c r="F45" s="1016"/>
      <c r="G45" s="1016"/>
      <c r="H45" s="1016"/>
      <c r="I45" s="1016"/>
    </row>
    <row r="46" spans="1:9" ht="13.5" customHeight="1">
      <c r="A46" s="991" t="s">
        <v>1417</v>
      </c>
      <c r="B46" s="1016"/>
      <c r="C46" s="1016"/>
      <c r="D46" s="1016"/>
      <c r="E46" s="1016"/>
      <c r="F46" s="1016"/>
      <c r="G46" s="1016"/>
      <c r="H46" s="1016"/>
      <c r="I46" s="1016"/>
    </row>
    <row r="47" spans="1:9" ht="13.5" customHeight="1">
      <c r="A47" s="991" t="s">
        <v>1418</v>
      </c>
      <c r="B47" s="1016"/>
      <c r="C47" s="1016"/>
      <c r="D47" s="1016"/>
      <c r="E47" s="1016"/>
      <c r="F47" s="1016"/>
      <c r="G47" s="1016"/>
      <c r="H47" s="1016"/>
      <c r="I47" s="1016"/>
    </row>
    <row r="48" spans="1:9" ht="13.5" customHeight="1">
      <c r="A48" s="991" t="s">
        <v>1419</v>
      </c>
      <c r="B48" s="1016"/>
      <c r="C48" s="1016"/>
      <c r="D48" s="1016"/>
      <c r="E48" s="1016"/>
      <c r="F48" s="1016"/>
      <c r="G48" s="1016"/>
      <c r="H48" s="1016"/>
      <c r="I48" s="1016"/>
    </row>
    <row r="49" spans="1:11" ht="13.5" customHeight="1">
      <c r="A49" s="2" t="s">
        <v>1420</v>
      </c>
      <c r="B49" s="1016"/>
      <c r="C49" s="1016"/>
      <c r="D49" s="1016"/>
      <c r="E49" s="1016"/>
      <c r="F49" s="1016"/>
      <c r="G49" s="1016"/>
      <c r="H49" s="1016"/>
      <c r="I49" s="1016"/>
    </row>
    <row r="50" spans="1:11" ht="13.5" customHeight="1">
      <c r="A50" s="2" t="s">
        <v>1421</v>
      </c>
      <c r="B50" s="1016"/>
      <c r="C50" s="1016"/>
      <c r="D50" s="1016"/>
      <c r="E50" s="1016"/>
      <c r="F50" s="1016"/>
      <c r="G50" s="1016"/>
      <c r="H50" s="1016"/>
      <c r="I50" s="1016"/>
    </row>
    <row r="51" spans="1:11" ht="13.5" customHeight="1">
      <c r="A51" s="991" t="s">
        <v>1422</v>
      </c>
      <c r="B51" s="1016"/>
      <c r="C51" s="1016"/>
      <c r="D51" s="1016"/>
      <c r="E51" s="1016"/>
      <c r="F51" s="1016"/>
      <c r="G51" s="1016"/>
      <c r="H51" s="1016"/>
      <c r="I51" s="1016"/>
    </row>
    <row r="53" spans="1:11">
      <c r="A53" s="1024" t="s">
        <v>1423</v>
      </c>
    </row>
    <row r="56" spans="1:11" ht="16">
      <c r="A56" s="418" t="s">
        <v>710</v>
      </c>
      <c r="K56" s="493"/>
    </row>
  </sheetData>
  <phoneticPr fontId="0" type="noConversion"/>
  <pageMargins left="0.5" right="0.44" top="0.76" bottom="0.49" header="0.38" footer="0.4921259845"/>
  <pageSetup paperSize="9" scale="77" orientation="portrait"/>
  <headerFooter alignWithMargins="0"/>
  <rowBreaks count="1" manualBreakCount="1">
    <brk id="53" max="16383" man="1"/>
  </rowBreaks>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3BE56-7026-6D4E-B6AF-0FEB846F94F0}">
  <sheetPr>
    <pageSetUpPr fitToPage="1"/>
  </sheetPr>
  <dimension ref="A1:K68"/>
  <sheetViews>
    <sheetView topLeftCell="A36" zoomScale="75" workbookViewId="0">
      <selection activeCell="A50" sqref="A50"/>
    </sheetView>
  </sheetViews>
  <sheetFormatPr baseColWidth="10" defaultColWidth="11.3984375" defaultRowHeight="13"/>
  <cols>
    <col min="1" max="1" width="11.3984375" style="2"/>
    <col min="2" max="7" width="13.59765625" style="168" customWidth="1"/>
    <col min="8" max="9" width="13.59765625" style="2" customWidth="1"/>
    <col min="10" max="10" width="2.59765625" style="2" customWidth="1"/>
    <col min="11" max="11" width="12.59765625" style="2" customWidth="1"/>
    <col min="12" max="16384" width="11.3984375" style="2"/>
  </cols>
  <sheetData>
    <row r="1" spans="1:11" s="1" customFormat="1" ht="14" customHeight="1">
      <c r="A1" s="271"/>
      <c r="B1" s="1009"/>
      <c r="C1" s="1009"/>
      <c r="D1" s="1009"/>
      <c r="E1" s="1009"/>
      <c r="F1" s="1009"/>
      <c r="G1" s="1009"/>
    </row>
    <row r="2" spans="1:11" s="1" customFormat="1" ht="41.25" customHeight="1">
      <c r="A2" s="2038" t="s">
        <v>1425</v>
      </c>
      <c r="B2" s="2018"/>
      <c r="C2" s="2018"/>
      <c r="D2" s="2018"/>
      <c r="E2" s="2018"/>
      <c r="F2" s="2018"/>
      <c r="G2" s="2018"/>
      <c r="H2" s="2018"/>
      <c r="I2" s="478"/>
      <c r="J2" s="1700"/>
      <c r="K2" s="48"/>
    </row>
    <row r="3" spans="1:11" ht="27" customHeight="1">
      <c r="A3" s="119" t="s">
        <v>2320</v>
      </c>
      <c r="B3" s="802" t="s">
        <v>1434</v>
      </c>
      <c r="C3" s="121"/>
      <c r="D3" s="120"/>
      <c r="E3" s="725"/>
      <c r="F3" s="1652" t="s">
        <v>1435</v>
      </c>
      <c r="G3" s="121"/>
      <c r="H3" s="728"/>
      <c r="I3" s="15"/>
      <c r="J3" s="418"/>
    </row>
    <row r="4" spans="1:11" ht="20.25" customHeight="1">
      <c r="A4" s="325"/>
      <c r="B4" s="392" t="s">
        <v>2026</v>
      </c>
      <c r="C4" s="124" t="s">
        <v>1800</v>
      </c>
      <c r="D4" s="123" t="s">
        <v>1799</v>
      </c>
      <c r="E4" s="124" t="s">
        <v>1426</v>
      </c>
      <c r="F4" s="1701" t="s">
        <v>1567</v>
      </c>
      <c r="G4" s="1050" t="s">
        <v>913</v>
      </c>
      <c r="H4" s="1049" t="s">
        <v>913</v>
      </c>
      <c r="I4" s="1050" t="s">
        <v>913</v>
      </c>
      <c r="J4" s="1702"/>
    </row>
    <row r="5" spans="1:11" ht="15" customHeight="1">
      <c r="A5" s="325"/>
      <c r="B5" s="392"/>
      <c r="C5" s="124"/>
      <c r="D5" s="123" t="s">
        <v>2210</v>
      </c>
      <c r="E5" s="124"/>
      <c r="F5" s="1656"/>
      <c r="G5" s="1050" t="s">
        <v>294</v>
      </c>
      <c r="H5" s="1049" t="s">
        <v>295</v>
      </c>
      <c r="I5" s="1050" t="s">
        <v>296</v>
      </c>
      <c r="J5" s="1702"/>
    </row>
    <row r="6" spans="1:11" s="330" customFormat="1" ht="26.25" customHeight="1">
      <c r="A6" s="912"/>
      <c r="B6" s="392"/>
      <c r="C6" s="913"/>
      <c r="D6" s="392" t="s">
        <v>1804</v>
      </c>
      <c r="E6" s="913"/>
      <c r="F6" s="1657"/>
      <c r="G6" s="913" t="s">
        <v>1427</v>
      </c>
      <c r="H6" s="129"/>
      <c r="I6" s="128"/>
      <c r="J6" s="790"/>
    </row>
    <row r="7" spans="1:11" ht="3" customHeight="1" thickBot="1">
      <c r="A7" s="1052">
        <v>1996</v>
      </c>
      <c r="B7" s="689">
        <v>85.845027995215389</v>
      </c>
      <c r="C7" s="706" t="s">
        <v>744</v>
      </c>
      <c r="D7" s="689" t="s">
        <v>744</v>
      </c>
      <c r="E7" s="706" t="s">
        <v>744</v>
      </c>
      <c r="F7" s="1703" t="s">
        <v>744</v>
      </c>
      <c r="G7" s="706" t="s">
        <v>744</v>
      </c>
      <c r="H7" s="439" t="s">
        <v>744</v>
      </c>
      <c r="I7" s="440" t="s">
        <v>744</v>
      </c>
      <c r="J7" s="713"/>
    </row>
    <row r="8" spans="1:11" ht="0.75" hidden="1" customHeight="1" thickBot="1">
      <c r="A8" s="943">
        <v>1997</v>
      </c>
      <c r="B8" s="689">
        <v>92.815135115864891</v>
      </c>
      <c r="C8" s="442">
        <v>92.444560110674317</v>
      </c>
      <c r="D8" s="441">
        <v>92.272278855639584</v>
      </c>
      <c r="E8" s="442">
        <v>94.708135081815001</v>
      </c>
      <c r="F8" s="1703" t="s">
        <v>744</v>
      </c>
      <c r="G8" s="706" t="s">
        <v>744</v>
      </c>
      <c r="H8" s="439" t="s">
        <v>744</v>
      </c>
      <c r="I8" s="440" t="s">
        <v>744</v>
      </c>
      <c r="J8" s="713"/>
    </row>
    <row r="9" spans="1:11" ht="18" hidden="1" customHeight="1" thickBot="1">
      <c r="A9" s="1704">
        <v>1998</v>
      </c>
      <c r="B9" s="689">
        <v>97.82364594098182</v>
      </c>
      <c r="C9" s="1705">
        <v>97.816191141488716</v>
      </c>
      <c r="D9" s="1706">
        <v>98.901550603293458</v>
      </c>
      <c r="E9" s="1705">
        <v>97.609376813276072</v>
      </c>
      <c r="F9" s="1703" t="s">
        <v>744</v>
      </c>
      <c r="G9" s="706" t="s">
        <v>744</v>
      </c>
      <c r="H9" s="439" t="s">
        <v>744</v>
      </c>
      <c r="I9" s="440" t="s">
        <v>744</v>
      </c>
      <c r="J9" s="713"/>
    </row>
    <row r="10" spans="1:11" ht="18" customHeight="1" thickBot="1">
      <c r="A10" s="943">
        <v>1999</v>
      </c>
      <c r="B10" s="689">
        <v>100</v>
      </c>
      <c r="C10" s="442">
        <v>100</v>
      </c>
      <c r="D10" s="441">
        <v>100</v>
      </c>
      <c r="E10" s="442">
        <v>100</v>
      </c>
      <c r="F10" s="1674">
        <v>100</v>
      </c>
      <c r="G10" s="442">
        <v>100</v>
      </c>
      <c r="H10" s="441">
        <v>100</v>
      </c>
      <c r="I10" s="442">
        <v>100</v>
      </c>
      <c r="J10" s="713"/>
    </row>
    <row r="11" spans="1:11" ht="18" customHeight="1" thickBot="1">
      <c r="A11" s="941">
        <v>2000</v>
      </c>
      <c r="B11" s="439">
        <v>103.20562026598945</v>
      </c>
      <c r="C11" s="440">
        <v>103.03441222531174</v>
      </c>
      <c r="D11" s="439">
        <v>99.091265525004431</v>
      </c>
      <c r="E11" s="440">
        <v>103.07365838293074</v>
      </c>
      <c r="F11" s="1707">
        <v>106.4</v>
      </c>
      <c r="G11" s="440">
        <v>104.3</v>
      </c>
      <c r="H11" s="439">
        <v>107.5</v>
      </c>
      <c r="I11" s="440">
        <v>106.7</v>
      </c>
      <c r="J11" s="713"/>
    </row>
    <row r="12" spans="1:11" ht="18" customHeight="1" thickBot="1">
      <c r="A12" s="943">
        <v>2001</v>
      </c>
      <c r="B12" s="441">
        <v>106.94335020000455</v>
      </c>
      <c r="C12" s="442">
        <v>107.41253121846763</v>
      </c>
      <c r="D12" s="441">
        <v>99.966483697164392</v>
      </c>
      <c r="E12" s="442">
        <v>108.20305376415389</v>
      </c>
      <c r="F12" s="1674">
        <v>111.1</v>
      </c>
      <c r="G12" s="442">
        <v>107.5</v>
      </c>
      <c r="H12" s="441">
        <v>112.5</v>
      </c>
      <c r="I12" s="442">
        <v>112.5</v>
      </c>
      <c r="J12" s="713"/>
    </row>
    <row r="13" spans="1:11" ht="18" customHeight="1" thickBot="1">
      <c r="A13" s="1704">
        <v>2002</v>
      </c>
      <c r="B13" s="1706">
        <v>116.62017344016445</v>
      </c>
      <c r="C13" s="1705">
        <v>116.60890964793332</v>
      </c>
      <c r="D13" s="1706">
        <v>112.72607694837224</v>
      </c>
      <c r="E13" s="1705">
        <v>118.09048558497321</v>
      </c>
      <c r="F13" s="1708">
        <v>115.4</v>
      </c>
      <c r="G13" s="1705">
        <v>107.9</v>
      </c>
      <c r="H13" s="1706">
        <v>117.5</v>
      </c>
      <c r="I13" s="1705">
        <v>119.3</v>
      </c>
      <c r="J13" s="713"/>
    </row>
    <row r="14" spans="1:11" ht="18" customHeight="1" thickBot="1">
      <c r="A14" s="1704">
        <v>2003</v>
      </c>
      <c r="B14" s="1706">
        <v>127.26432081149086</v>
      </c>
      <c r="C14" s="1705">
        <v>126.36094255801954</v>
      </c>
      <c r="D14" s="1706">
        <v>128.18468115245491</v>
      </c>
      <c r="E14" s="1705">
        <v>128.50511447470944</v>
      </c>
      <c r="F14" s="1708">
        <v>116.38</v>
      </c>
      <c r="G14" s="1705">
        <v>110</v>
      </c>
      <c r="H14" s="1706">
        <v>117.9</v>
      </c>
      <c r="I14" s="1705">
        <v>120.1</v>
      </c>
      <c r="J14" s="713"/>
    </row>
    <row r="15" spans="1:11" ht="15.75" customHeight="1" thickBot="1">
      <c r="A15" s="1704">
        <v>2004</v>
      </c>
      <c r="B15" s="1706">
        <v>136.21209815526825</v>
      </c>
      <c r="C15" s="1705">
        <v>134.46062249738608</v>
      </c>
      <c r="D15" s="1706">
        <v>140.98790883565627</v>
      </c>
      <c r="E15" s="1705">
        <v>134.59274855352376</v>
      </c>
      <c r="F15" s="1708">
        <v>117.9</v>
      </c>
      <c r="G15" s="1705">
        <v>113.3</v>
      </c>
      <c r="H15" s="1706">
        <v>118.6</v>
      </c>
      <c r="I15" s="1705">
        <v>121.2</v>
      </c>
      <c r="J15" s="713"/>
    </row>
    <row r="16" spans="1:11" s="277" customFormat="1" ht="19.5" customHeight="1" thickBot="1">
      <c r="A16" s="1704">
        <v>2005</v>
      </c>
      <c r="B16" s="1706">
        <v>138.755283887497</v>
      </c>
      <c r="C16" s="1705">
        <v>137.01928125613529</v>
      </c>
      <c r="D16" s="1706">
        <v>145.19388864998862</v>
      </c>
      <c r="E16" s="1705">
        <v>134.35401780533496</v>
      </c>
      <c r="F16" s="1708">
        <v>118.91</v>
      </c>
      <c r="G16" s="1705">
        <v>114.2</v>
      </c>
      <c r="H16" s="1706">
        <v>119.4</v>
      </c>
      <c r="I16" s="1705">
        <v>122.7</v>
      </c>
      <c r="J16" s="713"/>
    </row>
    <row r="17" spans="1:11" ht="19.5" customHeight="1" thickBot="1">
      <c r="A17" s="1704">
        <v>2006</v>
      </c>
      <c r="B17" s="1706">
        <v>144.06903358290245</v>
      </c>
      <c r="C17" s="1705">
        <v>142.457115984312</v>
      </c>
      <c r="D17" s="1706">
        <v>151.60878253610909</v>
      </c>
      <c r="E17" s="1705">
        <v>137.84213929276015</v>
      </c>
      <c r="F17" s="1708">
        <v>122.4</v>
      </c>
      <c r="G17" s="1705">
        <v>113.4</v>
      </c>
      <c r="H17" s="1706">
        <v>123.8</v>
      </c>
      <c r="I17" s="1705">
        <v>128.5</v>
      </c>
      <c r="J17" s="713"/>
    </row>
    <row r="18" spans="1:11" ht="19.5" customHeight="1" thickBot="1">
      <c r="A18" s="1704">
        <v>2007</v>
      </c>
      <c r="B18" s="1706">
        <v>145.70957931673081</v>
      </c>
      <c r="C18" s="1705">
        <v>143.74603348537357</v>
      </c>
      <c r="D18" s="1706">
        <v>152.46313206688083</v>
      </c>
      <c r="E18" s="1705">
        <v>137.76256237669722</v>
      </c>
      <c r="F18" s="1708">
        <v>123</v>
      </c>
      <c r="G18" s="1705">
        <v>113.3</v>
      </c>
      <c r="H18" s="1706">
        <v>124.8</v>
      </c>
      <c r="I18" s="1705">
        <v>128.80000000000001</v>
      </c>
      <c r="J18" s="713"/>
    </row>
    <row r="19" spans="1:11" ht="19.5" customHeight="1" thickBot="1">
      <c r="A19" s="1704">
        <v>2008</v>
      </c>
      <c r="B19" s="1706">
        <v>144.2402840216258</v>
      </c>
      <c r="C19" s="1705">
        <v>142.13751192807996</v>
      </c>
      <c r="D19" s="1706">
        <v>151.18824779298308</v>
      </c>
      <c r="E19" s="1705">
        <v>133.56819575921349</v>
      </c>
      <c r="F19" s="1708">
        <v>124.4</v>
      </c>
      <c r="G19" s="1705">
        <v>114.4</v>
      </c>
      <c r="H19" s="1706">
        <v>125.1</v>
      </c>
      <c r="I19" s="1705">
        <v>132</v>
      </c>
      <c r="J19" s="713"/>
    </row>
    <row r="20" spans="1:11" s="277" customFormat="1" ht="19.5" customHeight="1" thickBot="1">
      <c r="A20" s="1709">
        <v>2009</v>
      </c>
      <c r="B20" s="1710">
        <v>145.62457246467343</v>
      </c>
      <c r="C20" s="1711">
        <v>142.63879062206922</v>
      </c>
      <c r="D20" s="1710">
        <v>152.86418891088371</v>
      </c>
      <c r="E20" s="1711">
        <v>133.17503978163364</v>
      </c>
      <c r="F20" s="1712">
        <v>126.6</v>
      </c>
      <c r="G20" s="1711">
        <v>114.3</v>
      </c>
      <c r="H20" s="1710">
        <v>127.8</v>
      </c>
      <c r="I20" s="1711">
        <v>135.6</v>
      </c>
      <c r="J20" s="1713"/>
    </row>
    <row r="21" spans="1:11" s="265" customFormat="1" ht="21.75" customHeight="1" thickBot="1">
      <c r="A21" s="1714">
        <v>2010</v>
      </c>
      <c r="B21" s="1715" t="s">
        <v>744</v>
      </c>
      <c r="C21" s="1716" t="s">
        <v>744</v>
      </c>
      <c r="D21" s="1717" t="s">
        <v>744</v>
      </c>
      <c r="E21" s="1716" t="s">
        <v>744</v>
      </c>
      <c r="F21" s="1718">
        <v>134.80000000000001</v>
      </c>
      <c r="G21" s="1716">
        <v>120.5</v>
      </c>
      <c r="H21" s="1717">
        <v>136.4</v>
      </c>
      <c r="I21" s="1716">
        <v>145.19999999999999</v>
      </c>
      <c r="J21" s="1719"/>
    </row>
    <row r="22" spans="1:11" ht="18" customHeight="1">
      <c r="A22" s="1720"/>
      <c r="B22" s="713"/>
      <c r="C22" s="951"/>
      <c r="D22" s="713"/>
      <c r="E22" s="951"/>
      <c r="F22" s="713"/>
      <c r="G22" s="951"/>
      <c r="H22" s="713"/>
      <c r="I22" s="951"/>
      <c r="J22" s="579"/>
    </row>
    <row r="23" spans="1:11" ht="18" customHeight="1">
      <c r="A23" s="1720"/>
      <c r="B23" s="713"/>
      <c r="C23" s="951"/>
      <c r="D23" s="713"/>
      <c r="E23" s="951"/>
      <c r="F23" s="713"/>
      <c r="G23" s="951"/>
      <c r="H23" s="713"/>
      <c r="I23" s="951"/>
      <c r="J23" s="579"/>
    </row>
    <row r="24" spans="1:11" ht="18" customHeight="1">
      <c r="A24" s="1721" t="s">
        <v>1428</v>
      </c>
      <c r="B24" s="713"/>
      <c r="C24" s="951"/>
      <c r="D24" s="713"/>
      <c r="E24" s="951"/>
      <c r="F24" s="713"/>
      <c r="G24" s="951"/>
      <c r="H24" s="713"/>
      <c r="I24" s="951"/>
      <c r="J24" s="579"/>
    </row>
    <row r="25" spans="1:11" ht="12.75" customHeight="1">
      <c r="A25" s="1722"/>
      <c r="B25" s="1723"/>
      <c r="C25" s="1724"/>
      <c r="D25" s="1723"/>
      <c r="E25" s="1724"/>
      <c r="F25" s="1723"/>
      <c r="G25" s="1724"/>
      <c r="H25" s="1723"/>
      <c r="I25" s="1724"/>
      <c r="J25" s="579"/>
      <c r="K25" s="208"/>
    </row>
    <row r="26" spans="1:11" ht="27" customHeight="1">
      <c r="A26" s="119" t="s">
        <v>2320</v>
      </c>
      <c r="B26" s="802" t="s">
        <v>1434</v>
      </c>
      <c r="C26" s="121"/>
      <c r="D26" s="120"/>
      <c r="E26" s="725"/>
      <c r="F26" s="1652" t="s">
        <v>1435</v>
      </c>
      <c r="G26" s="121"/>
      <c r="H26" s="728"/>
      <c r="I26" s="15"/>
      <c r="J26" s="579"/>
      <c r="K26" s="1725" t="s">
        <v>1429</v>
      </c>
    </row>
    <row r="27" spans="1:11" ht="20.25" customHeight="1">
      <c r="A27" s="325"/>
      <c r="B27" s="392" t="s">
        <v>2026</v>
      </c>
      <c r="C27" s="124" t="s">
        <v>1800</v>
      </c>
      <c r="D27" s="123" t="s">
        <v>1799</v>
      </c>
      <c r="E27" s="124" t="s">
        <v>1426</v>
      </c>
      <c r="F27" s="1701" t="s">
        <v>1567</v>
      </c>
      <c r="G27" s="1050" t="s">
        <v>913</v>
      </c>
      <c r="H27" s="1049" t="s">
        <v>913</v>
      </c>
      <c r="I27" s="1050" t="s">
        <v>913</v>
      </c>
      <c r="J27" s="579"/>
      <c r="K27" s="1726" t="s">
        <v>1430</v>
      </c>
    </row>
    <row r="28" spans="1:11" ht="15" customHeight="1">
      <c r="A28" s="325"/>
      <c r="B28" s="392"/>
      <c r="C28" s="124"/>
      <c r="D28" s="123" t="s">
        <v>2210</v>
      </c>
      <c r="E28" s="124"/>
      <c r="F28" s="1656"/>
      <c r="G28" s="1050" t="s">
        <v>294</v>
      </c>
      <c r="H28" s="1049" t="s">
        <v>295</v>
      </c>
      <c r="I28" s="1050" t="s">
        <v>296</v>
      </c>
      <c r="J28" s="579"/>
      <c r="K28" s="1726" t="s">
        <v>1431</v>
      </c>
    </row>
    <row r="29" spans="1:11" s="330" customFormat="1" ht="26.25" customHeight="1">
      <c r="A29" s="326"/>
      <c r="B29" s="129"/>
      <c r="C29" s="128"/>
      <c r="D29" s="129" t="s">
        <v>1804</v>
      </c>
      <c r="E29" s="128"/>
      <c r="F29" s="1658"/>
      <c r="G29" s="128" t="s">
        <v>1427</v>
      </c>
      <c r="H29" s="129"/>
      <c r="I29" s="128"/>
      <c r="J29" s="579"/>
      <c r="K29" s="1727" t="s">
        <v>1436</v>
      </c>
    </row>
    <row r="30" spans="1:11" ht="2.25" customHeight="1" thickBot="1">
      <c r="A30" s="941">
        <v>1997</v>
      </c>
      <c r="B30" s="576">
        <v>8.1194068933590158E-2</v>
      </c>
      <c r="C30" s="157" t="s">
        <v>744</v>
      </c>
      <c r="D30" s="576" t="s">
        <v>744</v>
      </c>
      <c r="E30" s="157" t="s">
        <v>744</v>
      </c>
      <c r="F30" s="1728" t="s">
        <v>744</v>
      </c>
      <c r="G30" s="157" t="s">
        <v>744</v>
      </c>
      <c r="H30" s="576" t="s">
        <v>744</v>
      </c>
      <c r="I30" s="157" t="s">
        <v>744</v>
      </c>
      <c r="J30" s="579"/>
      <c r="K30" s="439" t="s">
        <v>744</v>
      </c>
    </row>
    <row r="31" spans="1:11" ht="18" hidden="1" customHeight="1" thickBot="1">
      <c r="A31" s="943">
        <v>1998</v>
      </c>
      <c r="B31" s="576">
        <v>5.3962220912188608E-2</v>
      </c>
      <c r="C31" s="158">
        <v>5.8106512967161184E-2</v>
      </c>
      <c r="D31" s="457">
        <v>7.1844673501836986E-2</v>
      </c>
      <c r="E31" s="158">
        <v>3.0633500796471091E-2</v>
      </c>
      <c r="F31" s="1728" t="s">
        <v>744</v>
      </c>
      <c r="G31" s="157" t="s">
        <v>744</v>
      </c>
      <c r="H31" s="576" t="s">
        <v>744</v>
      </c>
      <c r="I31" s="157" t="s">
        <v>744</v>
      </c>
      <c r="J31" s="579"/>
      <c r="K31" s="439" t="s">
        <v>744</v>
      </c>
    </row>
    <row r="32" spans="1:11" ht="18" customHeight="1" thickBot="1">
      <c r="A32" s="941">
        <v>1999</v>
      </c>
      <c r="B32" s="576">
        <v>2.2247729964299134E-2</v>
      </c>
      <c r="C32" s="158">
        <v>2.2325637842026236E-2</v>
      </c>
      <c r="D32" s="457">
        <v>1.1106493174334098E-2</v>
      </c>
      <c r="E32" s="158">
        <v>2.4491737011057113E-2</v>
      </c>
      <c r="F32" s="1728" t="s">
        <v>744</v>
      </c>
      <c r="G32" s="157" t="s">
        <v>744</v>
      </c>
      <c r="H32" s="576" t="s">
        <v>744</v>
      </c>
      <c r="I32" s="157" t="s">
        <v>744</v>
      </c>
      <c r="J32" s="579"/>
      <c r="K32" s="441" t="s">
        <v>744</v>
      </c>
    </row>
    <row r="33" spans="1:11" ht="18" customHeight="1" thickBot="1">
      <c r="A33" s="943">
        <v>2000</v>
      </c>
      <c r="B33" s="576">
        <v>3.2056202659894506E-2</v>
      </c>
      <c r="C33" s="158">
        <v>3.0344122253117334E-2</v>
      </c>
      <c r="D33" s="457">
        <v>-9.0873447499556503E-3</v>
      </c>
      <c r="E33" s="158">
        <v>3.073658382930744E-2</v>
      </c>
      <c r="F33" s="1729">
        <v>6.4000000000000001E-2</v>
      </c>
      <c r="G33" s="158">
        <v>4.2999999999999997E-2</v>
      </c>
      <c r="H33" s="457">
        <v>7.4999999999999997E-2</v>
      </c>
      <c r="I33" s="158">
        <v>6.7000000000000004E-2</v>
      </c>
      <c r="J33" s="579"/>
      <c r="K33" s="576">
        <v>-3.0000000000000001E-3</v>
      </c>
    </row>
    <row r="34" spans="1:11" ht="18" customHeight="1" thickBot="1">
      <c r="A34" s="941">
        <v>2001</v>
      </c>
      <c r="B34" s="576">
        <v>3.6216340974279504E-2</v>
      </c>
      <c r="C34" s="158">
        <v>4.2491813158326064E-2</v>
      </c>
      <c r="D34" s="457">
        <v>8.8324451960815065E-3</v>
      </c>
      <c r="E34" s="158">
        <v>4.9764367169028212E-2</v>
      </c>
      <c r="F34" s="1729">
        <v>4.4000000000000004E-2</v>
      </c>
      <c r="G34" s="158">
        <v>0.03</v>
      </c>
      <c r="H34" s="457">
        <v>4.7E-2</v>
      </c>
      <c r="I34" s="158">
        <v>5.5E-2</v>
      </c>
      <c r="J34" s="579"/>
      <c r="K34" s="457">
        <v>-4.0000000000000001E-3</v>
      </c>
    </row>
    <row r="35" spans="1:11" ht="18" customHeight="1" thickBot="1">
      <c r="A35" s="943">
        <v>2002</v>
      </c>
      <c r="B35" s="576">
        <v>9.0485506785250358E-2</v>
      </c>
      <c r="C35" s="158">
        <v>8.5617370013942429E-2</v>
      </c>
      <c r="D35" s="457">
        <v>0.12763871228942492</v>
      </c>
      <c r="E35" s="158">
        <v>9.1378491427520858E-2</v>
      </c>
      <c r="F35" s="1729">
        <v>3.9E-2</v>
      </c>
      <c r="G35" s="158">
        <v>4.0000000000000001E-3</v>
      </c>
      <c r="H35" s="457">
        <v>4.4000000000000004E-2</v>
      </c>
      <c r="I35" s="158">
        <v>0.06</v>
      </c>
      <c r="J35" s="579"/>
      <c r="K35" s="1730">
        <v>-5.0000000000000001E-3</v>
      </c>
    </row>
    <row r="36" spans="1:11" ht="18" customHeight="1" thickBot="1">
      <c r="A36" s="943">
        <v>2003</v>
      </c>
      <c r="B36" s="576">
        <v>9.1271921978299142E-2</v>
      </c>
      <c r="C36" s="158">
        <v>8.3630255522752606E-2</v>
      </c>
      <c r="D36" s="457">
        <v>0.13713423391078017</v>
      </c>
      <c r="E36" s="158">
        <v>8.8191938903005695E-2</v>
      </c>
      <c r="F36" s="1729">
        <v>8.492201039861369E-3</v>
      </c>
      <c r="G36" s="158">
        <v>1.9462465245597693E-2</v>
      </c>
      <c r="H36" s="457">
        <v>3.4042553191488967E-3</v>
      </c>
      <c r="I36" s="158">
        <v>6.7057837384743024E-3</v>
      </c>
      <c r="J36" s="579"/>
      <c r="K36" s="1730">
        <v>-5.0000000000000001E-3</v>
      </c>
    </row>
    <row r="37" spans="1:11" ht="18" customHeight="1" thickBot="1">
      <c r="A37" s="1704">
        <v>2004</v>
      </c>
      <c r="B37" s="576">
        <v>7.0308608781491921E-2</v>
      </c>
      <c r="C37" s="158">
        <v>6.4099553037502144E-2</v>
      </c>
      <c r="D37" s="457">
        <v>9.9881105667954051E-2</v>
      </c>
      <c r="E37" s="158">
        <v>4.7372698773109123E-2</v>
      </c>
      <c r="F37" s="1729">
        <v>1.3060663344217405E-2</v>
      </c>
      <c r="G37" s="158">
        <v>0.03</v>
      </c>
      <c r="H37" s="457">
        <v>5.9372349448685302E-3</v>
      </c>
      <c r="I37" s="158">
        <v>9.1590341382181695E-3</v>
      </c>
      <c r="J37" s="1731"/>
      <c r="K37" s="1730">
        <v>-4.0000000000000001E-3</v>
      </c>
    </row>
    <row r="38" spans="1:11" ht="18" customHeight="1" thickBot="1">
      <c r="A38" s="1704">
        <v>2005</v>
      </c>
      <c r="B38" s="576">
        <v>1.8670777167897112E-2</v>
      </c>
      <c r="C38" s="158">
        <v>1.9029056323154769E-2</v>
      </c>
      <c r="D38" s="457">
        <v>2.9832202272288999E-2</v>
      </c>
      <c r="E38" s="158">
        <v>-1.773726673646614E-3</v>
      </c>
      <c r="F38" s="1729">
        <v>8.5665818490245904E-3</v>
      </c>
      <c r="G38" s="158">
        <v>7.9435127978817466E-3</v>
      </c>
      <c r="H38" s="457">
        <v>6.7453625632378778E-3</v>
      </c>
      <c r="I38" s="158">
        <v>1.2376237623762387E-2</v>
      </c>
      <c r="J38" s="579"/>
      <c r="K38" s="1730">
        <v>-2E-3</v>
      </c>
    </row>
    <row r="39" spans="1:11" ht="18" customHeight="1" thickBot="1">
      <c r="A39" s="1704">
        <v>2006</v>
      </c>
      <c r="B39" s="576">
        <v>3.8295836717208154E-2</v>
      </c>
      <c r="C39" s="158">
        <v>3.9686638831593068E-2</v>
      </c>
      <c r="D39" s="457">
        <v>4.4181569525866937E-2</v>
      </c>
      <c r="E39" s="158">
        <v>2.5962167298034355E-2</v>
      </c>
      <c r="F39" s="1729">
        <v>2.9349928517366175E-2</v>
      </c>
      <c r="G39" s="158">
        <v>-7.0052539404553693E-3</v>
      </c>
      <c r="H39" s="457">
        <v>3.6850921273031689E-2</v>
      </c>
      <c r="I39" s="158">
        <v>4.7269763651181629E-2</v>
      </c>
      <c r="J39" s="1731"/>
      <c r="K39" s="1730">
        <v>-3.0000000000000001E-3</v>
      </c>
    </row>
    <row r="40" spans="1:11" ht="21" customHeight="1" thickBot="1">
      <c r="A40" s="1704">
        <v>2007</v>
      </c>
      <c r="B40" s="576">
        <v>1.1387219675381033E-2</v>
      </c>
      <c r="C40" s="158">
        <v>9.0477579316117218E-3</v>
      </c>
      <c r="D40" s="457">
        <v>5.6352245330395512E-3</v>
      </c>
      <c r="E40" s="158">
        <v>-5.7730470864159056E-4</v>
      </c>
      <c r="F40" s="1729">
        <v>4.9019607843137081E-3</v>
      </c>
      <c r="G40" s="158">
        <v>-8.8183421516763172E-4</v>
      </c>
      <c r="H40" s="457">
        <v>8.0775444264944429E-3</v>
      </c>
      <c r="I40" s="158">
        <v>2.3346303501945442E-3</v>
      </c>
      <c r="J40" s="1731"/>
      <c r="K40" s="1730">
        <v>0</v>
      </c>
    </row>
    <row r="41" spans="1:11" ht="21" customHeight="1" thickBot="1">
      <c r="A41" s="1704">
        <v>2008</v>
      </c>
      <c r="B41" s="576">
        <v>-1.0083724776331904E-2</v>
      </c>
      <c r="C41" s="158">
        <v>-1.1190023949128935E-2</v>
      </c>
      <c r="D41" s="457">
        <v>-8.3619184298174831E-3</v>
      </c>
      <c r="E41" s="158">
        <v>-3.0446345836793287E-2</v>
      </c>
      <c r="F41" s="1729">
        <v>1.1382113821138296E-2</v>
      </c>
      <c r="G41" s="158">
        <v>9.7087378640776656E-3</v>
      </c>
      <c r="H41" s="457">
        <v>2.4038461538460343E-3</v>
      </c>
      <c r="I41" s="158">
        <v>2.4844720496894235E-2</v>
      </c>
      <c r="J41" s="1731"/>
      <c r="K41" s="1730">
        <v>0</v>
      </c>
    </row>
    <row r="42" spans="1:11" s="277" customFormat="1" ht="21" customHeight="1" thickBot="1">
      <c r="A42" s="1709">
        <v>2009</v>
      </c>
      <c r="B42" s="1732">
        <v>9.5971000919554683E-3</v>
      </c>
      <c r="C42" s="1004">
        <v>3.5267163973076165E-3</v>
      </c>
      <c r="D42" s="1733">
        <v>1.1085128258086829E-2</v>
      </c>
      <c r="E42" s="1004">
        <v>-2.9434849766826199E-3</v>
      </c>
      <c r="F42" s="1734">
        <v>1.7684887459807008E-2</v>
      </c>
      <c r="G42" s="1004">
        <v>-8.7412587412594167E-4</v>
      </c>
      <c r="H42" s="1733">
        <v>2.1582733812949728E-2</v>
      </c>
      <c r="I42" s="1004">
        <v>2.7272727272727337E-2</v>
      </c>
      <c r="J42" s="1735"/>
      <c r="K42" s="1736">
        <v>-1E-3</v>
      </c>
    </row>
    <row r="43" spans="1:11" s="265" customFormat="1" ht="21" customHeight="1" thickBot="1">
      <c r="A43" s="1714" t="s">
        <v>1437</v>
      </c>
      <c r="B43" s="1737">
        <v>8.6999999999999994E-2</v>
      </c>
      <c r="C43" s="1738" t="s">
        <v>744</v>
      </c>
      <c r="D43" s="595" t="s">
        <v>744</v>
      </c>
      <c r="E43" s="1738" t="s">
        <v>744</v>
      </c>
      <c r="F43" s="1739">
        <v>6.4770932069510456E-2</v>
      </c>
      <c r="G43" s="1738">
        <v>5.4243219597550407E-2</v>
      </c>
      <c r="H43" s="461">
        <v>6.7292644757433573E-2</v>
      </c>
      <c r="I43" s="970">
        <v>7.0796460176991038E-2</v>
      </c>
      <c r="J43" s="1740"/>
      <c r="K43" s="461">
        <v>-6.0000000000000001E-3</v>
      </c>
    </row>
    <row r="44" spans="1:11" ht="17.25" customHeight="1">
      <c r="A44" s="1019" t="s">
        <v>1443</v>
      </c>
      <c r="B44" s="1020"/>
      <c r="C44" s="1020"/>
      <c r="D44" s="1020"/>
      <c r="E44" s="1020"/>
      <c r="F44" s="1020"/>
      <c r="G44" s="1020"/>
    </row>
    <row r="45" spans="1:11" ht="12" customHeight="1">
      <c r="A45" s="1013"/>
      <c r="B45" s="713"/>
      <c r="C45" s="713"/>
      <c r="D45" s="713"/>
      <c r="E45" s="713"/>
      <c r="F45" s="713"/>
      <c r="G45" s="713"/>
    </row>
    <row r="46" spans="1:11" ht="14.25" customHeight="1">
      <c r="A46" s="1013" t="s">
        <v>1432</v>
      </c>
      <c r="B46" s="713"/>
      <c r="C46" s="713"/>
      <c r="D46" s="713"/>
      <c r="E46" s="713"/>
      <c r="F46" s="713"/>
      <c r="G46" s="713"/>
    </row>
    <row r="47" spans="1:11" ht="15" customHeight="1">
      <c r="A47" s="1741" t="s">
        <v>1438</v>
      </c>
      <c r="B47"/>
      <c r="C47"/>
      <c r="D47"/>
      <c r="E47"/>
      <c r="F47"/>
      <c r="G47"/>
      <c r="I47" s="418"/>
    </row>
    <row r="48" spans="1:11" ht="15.75" customHeight="1">
      <c r="A48" s="3" t="s">
        <v>1439</v>
      </c>
      <c r="B48" s="1014"/>
      <c r="C48" s="1014"/>
      <c r="D48" s="1014"/>
      <c r="E48" s="1014"/>
      <c r="F48" s="1014"/>
      <c r="G48" s="1014"/>
      <c r="I48" s="918"/>
    </row>
    <row r="49" spans="1:9" ht="15" customHeight="1">
      <c r="A49" s="1013" t="s">
        <v>1433</v>
      </c>
      <c r="B49" s="1014"/>
      <c r="C49" s="1014"/>
      <c r="D49" s="1014"/>
      <c r="E49" s="1014"/>
      <c r="F49" s="1014"/>
      <c r="G49" s="1014"/>
    </row>
    <row r="50" spans="1:9" ht="15" customHeight="1">
      <c r="A50" s="1013" t="s">
        <v>1440</v>
      </c>
      <c r="B50" s="1014"/>
      <c r="C50" s="1014"/>
      <c r="D50" s="1014"/>
      <c r="E50" s="1014"/>
      <c r="F50" s="1014"/>
      <c r="G50" s="1014"/>
    </row>
    <row r="51" spans="1:9" ht="15.75" customHeight="1">
      <c r="A51" s="3"/>
      <c r="B51" s="1014"/>
      <c r="C51" s="1014"/>
      <c r="D51" s="1014"/>
      <c r="E51" s="1014"/>
      <c r="F51" s="1014"/>
      <c r="G51" s="1014"/>
      <c r="I51" s="418"/>
    </row>
    <row r="52" spans="1:9" ht="15" customHeight="1">
      <c r="A52" s="1013"/>
      <c r="B52" s="1014"/>
      <c r="C52" s="1014"/>
      <c r="D52" s="1014"/>
      <c r="E52" s="1014"/>
      <c r="F52" s="1014"/>
      <c r="G52" s="1014"/>
    </row>
    <row r="53" spans="1:9" ht="16.5" customHeight="1">
      <c r="A53" s="3" t="s">
        <v>710</v>
      </c>
      <c r="B53" s="1014"/>
      <c r="C53" s="1014"/>
      <c r="D53" s="1014"/>
      <c r="E53" s="1014"/>
      <c r="F53" s="1014"/>
      <c r="G53" s="1014"/>
    </row>
    <row r="54" spans="1:9" ht="31" customHeight="1">
      <c r="A54" s="3"/>
      <c r="B54" s="1014"/>
      <c r="C54" s="1014"/>
      <c r="D54" s="1014"/>
      <c r="E54" s="1014"/>
      <c r="F54" s="1014"/>
      <c r="G54" s="1014"/>
    </row>
    <row r="55" spans="1:9" ht="31" customHeight="1">
      <c r="A55" s="3"/>
      <c r="B55" s="1014"/>
      <c r="C55" s="1014"/>
      <c r="D55" s="1014"/>
      <c r="E55" s="1014"/>
      <c r="F55" s="1014"/>
      <c r="G55" s="1014"/>
    </row>
    <row r="56" spans="1:9">
      <c r="A56" s="3"/>
      <c r="B56" s="1014"/>
      <c r="C56" s="1014"/>
      <c r="D56" s="1014"/>
      <c r="E56" s="1014"/>
      <c r="F56" s="1014"/>
      <c r="G56" s="1014"/>
    </row>
    <row r="57" spans="1:9">
      <c r="A57" s="3"/>
      <c r="B57" s="1014"/>
      <c r="C57" s="1014"/>
      <c r="D57" s="1014"/>
      <c r="E57" s="1014"/>
      <c r="F57" s="1014"/>
      <c r="G57" s="1014"/>
    </row>
    <row r="58" spans="1:9">
      <c r="A58" s="3"/>
      <c r="B58" s="1014"/>
      <c r="C58" s="1014"/>
      <c r="D58" s="1014"/>
      <c r="E58" s="1014"/>
      <c r="F58" s="1014"/>
      <c r="G58" s="1014"/>
    </row>
    <row r="59" spans="1:9">
      <c r="A59" s="3"/>
      <c r="B59" s="1014"/>
      <c r="C59" s="1014"/>
      <c r="D59" s="1014"/>
      <c r="E59" s="1014"/>
      <c r="F59" s="1014"/>
      <c r="G59" s="1014"/>
    </row>
    <row r="60" spans="1:9">
      <c r="A60" s="3"/>
      <c r="B60" s="1014"/>
      <c r="C60" s="1014"/>
      <c r="D60" s="1014"/>
      <c r="E60" s="1014"/>
      <c r="F60" s="1014"/>
      <c r="G60" s="1014"/>
    </row>
    <row r="61" spans="1:9">
      <c r="A61" s="3"/>
      <c r="B61" s="1014"/>
      <c r="C61" s="1014"/>
      <c r="D61" s="1014"/>
      <c r="E61" s="1014"/>
      <c r="F61" s="1014"/>
      <c r="G61" s="1014"/>
    </row>
    <row r="62" spans="1:9">
      <c r="A62" s="3"/>
      <c r="B62" s="1014"/>
      <c r="C62" s="1014"/>
      <c r="D62" s="1014"/>
      <c r="E62" s="1014"/>
      <c r="F62" s="1014"/>
      <c r="G62" s="1014"/>
    </row>
    <row r="63" spans="1:9">
      <c r="A63" s="3"/>
      <c r="B63" s="1014"/>
      <c r="C63" s="1014"/>
      <c r="D63" s="1014"/>
      <c r="E63" s="1014"/>
      <c r="F63" s="1014"/>
      <c r="G63" s="1014"/>
    </row>
    <row r="64" spans="1:9">
      <c r="A64" s="3"/>
      <c r="B64" s="1014"/>
      <c r="C64" s="1014"/>
      <c r="D64" s="1014"/>
      <c r="E64" s="1014"/>
      <c r="F64" s="1014"/>
      <c r="G64" s="1014"/>
    </row>
    <row r="65" spans="1:7">
      <c r="A65" s="3"/>
      <c r="B65" s="1014"/>
      <c r="C65" s="1014"/>
      <c r="D65" s="1014"/>
      <c r="E65" s="1014"/>
      <c r="F65" s="1014"/>
      <c r="G65" s="1014"/>
    </row>
    <row r="66" spans="1:7">
      <c r="A66" s="3"/>
      <c r="B66" s="1014"/>
      <c r="C66" s="1014"/>
      <c r="D66" s="1014"/>
      <c r="E66" s="1014"/>
      <c r="F66" s="1014"/>
      <c r="G66" s="1014"/>
    </row>
    <row r="67" spans="1:7">
      <c r="A67" s="3"/>
      <c r="B67" s="1014"/>
      <c r="C67" s="1014"/>
      <c r="D67" s="1014"/>
      <c r="E67" s="1014"/>
      <c r="F67" s="1014"/>
      <c r="G67" s="1014"/>
    </row>
    <row r="68" spans="1:7">
      <c r="A68" s="3"/>
      <c r="B68" s="1014"/>
      <c r="C68" s="1014"/>
      <c r="D68" s="1014"/>
      <c r="E68" s="1014"/>
      <c r="F68" s="1014"/>
      <c r="G68" s="1014"/>
    </row>
  </sheetData>
  <mergeCells count="1">
    <mergeCell ref="A2:H2"/>
  </mergeCells>
  <phoneticPr fontId="0" type="noConversion"/>
  <pageMargins left="0.46" right="0.44" top="0.67" bottom="0.68" header="0.41" footer="0.33"/>
  <pageSetup paperSize="9" scale="70" orientation="portrait" horizontalDpi="1200" verticalDpi="1200"/>
  <headerFooter alignWithMargins="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C6754-80B6-AB44-8BFB-C4054EB954EF}">
  <sheetPr>
    <pageSetUpPr fitToPage="1"/>
  </sheetPr>
  <dimension ref="A1:O36"/>
  <sheetViews>
    <sheetView zoomScale="75" workbookViewId="0">
      <selection activeCell="F7" sqref="F7"/>
    </sheetView>
  </sheetViews>
  <sheetFormatPr baseColWidth="10" defaultColWidth="11.3984375" defaultRowHeight="13"/>
  <cols>
    <col min="1" max="1" width="17.3984375" style="2" customWidth="1"/>
    <col min="2" max="2" width="13.3984375" style="168" customWidth="1"/>
    <col min="3" max="3" width="13" style="168" customWidth="1"/>
    <col min="4" max="4" width="14.796875" style="168" customWidth="1"/>
    <col min="5" max="5" width="13.19921875" style="168" customWidth="1"/>
    <col min="6" max="6" width="15" style="168" customWidth="1"/>
    <col min="7" max="7" width="12.796875" style="168" customWidth="1"/>
    <col min="8" max="8" width="13.3984375" style="168" customWidth="1"/>
    <col min="9" max="10" width="13" style="168" customWidth="1"/>
    <col min="11" max="11" width="13.3984375" style="168" customWidth="1"/>
    <col min="12" max="12" width="12.59765625" style="2" customWidth="1"/>
    <col min="13" max="13" width="14" style="2" customWidth="1"/>
    <col min="14" max="16384" width="11.3984375" style="2"/>
  </cols>
  <sheetData>
    <row r="1" spans="1:15" s="1" customFormat="1" ht="14" customHeight="1">
      <c r="A1" s="271"/>
      <c r="B1" s="1009"/>
      <c r="C1" s="1009"/>
      <c r="D1" s="1009"/>
      <c r="E1" s="1009"/>
      <c r="F1" s="1009"/>
      <c r="G1" s="1009"/>
      <c r="H1" s="1009"/>
      <c r="I1" s="1009"/>
      <c r="J1" s="1009"/>
      <c r="K1" s="1009"/>
    </row>
    <row r="2" spans="1:15" s="1" customFormat="1" ht="27" customHeight="1">
      <c r="A2" s="1074" t="s">
        <v>1448</v>
      </c>
      <c r="B2" s="478"/>
      <c r="C2" s="478"/>
      <c r="D2" s="478"/>
      <c r="E2" s="478"/>
      <c r="F2" s="478"/>
      <c r="G2" s="478"/>
      <c r="H2" s="478"/>
      <c r="I2" s="478"/>
      <c r="J2" s="478"/>
      <c r="K2" s="398"/>
      <c r="M2" s="398"/>
    </row>
    <row r="3" spans="1:15" ht="27" customHeight="1">
      <c r="A3" s="119" t="s">
        <v>2320</v>
      </c>
      <c r="B3" s="120" t="s">
        <v>1449</v>
      </c>
      <c r="C3" s="121" t="s">
        <v>44</v>
      </c>
      <c r="D3" s="120" t="s">
        <v>1450</v>
      </c>
      <c r="E3" s="121" t="s">
        <v>44</v>
      </c>
      <c r="F3" s="120" t="s">
        <v>2167</v>
      </c>
      <c r="G3" s="121" t="s">
        <v>44</v>
      </c>
      <c r="H3" s="120" t="s">
        <v>1451</v>
      </c>
      <c r="I3" s="121" t="s">
        <v>44</v>
      </c>
      <c r="J3" s="120" t="s">
        <v>870</v>
      </c>
      <c r="K3" s="121" t="s">
        <v>44</v>
      </c>
      <c r="L3" s="120" t="s">
        <v>1452</v>
      </c>
      <c r="M3" s="121" t="s">
        <v>44</v>
      </c>
    </row>
    <row r="4" spans="1:15" ht="15" customHeight="1">
      <c r="A4" s="325"/>
      <c r="B4" s="392" t="s">
        <v>1453</v>
      </c>
      <c r="C4" s="913" t="s">
        <v>663</v>
      </c>
      <c r="D4" s="392" t="s">
        <v>1454</v>
      </c>
      <c r="E4" s="913" t="s">
        <v>663</v>
      </c>
      <c r="F4" s="123" t="s">
        <v>2168</v>
      </c>
      <c r="G4" s="913" t="s">
        <v>663</v>
      </c>
      <c r="H4" s="392" t="s">
        <v>2529</v>
      </c>
      <c r="I4" s="913" t="s">
        <v>663</v>
      </c>
      <c r="J4" s="392" t="s">
        <v>886</v>
      </c>
      <c r="K4" s="913" t="s">
        <v>663</v>
      </c>
      <c r="L4" s="123" t="s">
        <v>1463</v>
      </c>
      <c r="M4" s="913" t="s">
        <v>663</v>
      </c>
    </row>
    <row r="5" spans="1:15" ht="17.25" customHeight="1">
      <c r="A5" s="325"/>
      <c r="B5" s="392" t="s">
        <v>1455</v>
      </c>
      <c r="C5" s="913" t="s">
        <v>1806</v>
      </c>
      <c r="D5" s="392" t="s">
        <v>1464</v>
      </c>
      <c r="E5" s="913" t="s">
        <v>1806</v>
      </c>
      <c r="F5" s="123" t="s">
        <v>2169</v>
      </c>
      <c r="G5" s="913" t="s">
        <v>1806</v>
      </c>
      <c r="H5" s="392"/>
      <c r="I5" s="913" t="s">
        <v>1806</v>
      </c>
      <c r="J5" s="392" t="s">
        <v>1456</v>
      </c>
      <c r="K5" s="913" t="s">
        <v>1806</v>
      </c>
      <c r="L5" s="123" t="s">
        <v>1457</v>
      </c>
      <c r="M5" s="913" t="s">
        <v>1806</v>
      </c>
    </row>
    <row r="6" spans="1:15" ht="33.75" customHeight="1">
      <c r="A6" s="291"/>
      <c r="B6" s="129" t="s">
        <v>1465</v>
      </c>
      <c r="C6" s="128"/>
      <c r="D6" s="129"/>
      <c r="E6" s="128"/>
      <c r="F6" s="129" t="s">
        <v>2170</v>
      </c>
      <c r="G6" s="128"/>
      <c r="H6" s="129" t="s">
        <v>1466</v>
      </c>
      <c r="I6" s="128"/>
      <c r="J6" s="129" t="s">
        <v>1467</v>
      </c>
      <c r="K6" s="128"/>
      <c r="L6" s="129"/>
      <c r="M6" s="128"/>
      <c r="O6" s="398"/>
    </row>
    <row r="7" spans="1:15" ht="21" customHeight="1" thickBot="1">
      <c r="A7" s="941">
        <v>1996</v>
      </c>
      <c r="B7" s="439">
        <v>100</v>
      </c>
      <c r="C7" s="157" t="s">
        <v>1854</v>
      </c>
      <c r="D7" s="439">
        <v>100</v>
      </c>
      <c r="E7" s="157" t="s">
        <v>1854</v>
      </c>
      <c r="F7" s="439">
        <v>100</v>
      </c>
      <c r="G7" s="157" t="s">
        <v>1854</v>
      </c>
      <c r="H7" s="439">
        <v>100</v>
      </c>
      <c r="I7" s="157" t="s">
        <v>1854</v>
      </c>
      <c r="J7" s="439">
        <v>100</v>
      </c>
      <c r="K7" s="157" t="s">
        <v>1854</v>
      </c>
      <c r="L7" s="439">
        <v>100</v>
      </c>
      <c r="M7" s="157" t="s">
        <v>1854</v>
      </c>
    </row>
    <row r="8" spans="1:15" ht="20.25" customHeight="1" thickBot="1">
      <c r="A8" s="943">
        <v>1997</v>
      </c>
      <c r="B8" s="441">
        <v>105.39794339791686</v>
      </c>
      <c r="C8" s="158">
        <v>5.3979433979168601E-2</v>
      </c>
      <c r="D8" s="441">
        <v>101.86202823875851</v>
      </c>
      <c r="E8" s="158">
        <v>1.8620282387585174E-2</v>
      </c>
      <c r="F8" s="441">
        <v>107.8243544179355</v>
      </c>
      <c r="G8" s="158">
        <v>7.8243544179354974E-2</v>
      </c>
      <c r="H8" s="441">
        <v>108.11940689335901</v>
      </c>
      <c r="I8" s="158">
        <v>8.1194068933590158E-2</v>
      </c>
      <c r="J8" s="441">
        <v>105.86780210602365</v>
      </c>
      <c r="K8" s="158">
        <v>5.8678021060236452E-2</v>
      </c>
      <c r="L8" s="441">
        <v>100.47120418848168</v>
      </c>
      <c r="M8" s="158">
        <v>4.7120418848167755E-3</v>
      </c>
      <c r="N8" s="398"/>
    </row>
    <row r="9" spans="1:15" ht="20.25" customHeight="1" thickBot="1">
      <c r="A9" s="943">
        <v>1998</v>
      </c>
      <c r="B9" s="441">
        <v>112.34514562910323</v>
      </c>
      <c r="C9" s="158">
        <v>6.5914020778926163E-2</v>
      </c>
      <c r="D9" s="441">
        <v>105.86830875441009</v>
      </c>
      <c r="E9" s="158">
        <v>3.9330460868706618E-2</v>
      </c>
      <c r="F9" s="441">
        <v>115.36251956603556</v>
      </c>
      <c r="G9" s="158">
        <v>6.9911525914466033E-2</v>
      </c>
      <c r="H9" s="441">
        <v>113.95377021303325</v>
      </c>
      <c r="I9" s="158">
        <v>5.3962220912188608E-2</v>
      </c>
      <c r="J9" s="441">
        <v>124.70421988413921</v>
      </c>
      <c r="K9" s="158">
        <v>0.17792395235759617</v>
      </c>
      <c r="L9" s="441">
        <v>101.15183246073298</v>
      </c>
      <c r="M9" s="158">
        <v>6.774361646690874E-3</v>
      </c>
    </row>
    <row r="10" spans="1:15" ht="20.25" customHeight="1" thickBot="1">
      <c r="A10" s="943">
        <v>1999</v>
      </c>
      <c r="B10" s="441">
        <v>116.73767747746584</v>
      </c>
      <c r="C10" s="158">
        <v>3.9098546036551829E-2</v>
      </c>
      <c r="D10" s="441">
        <v>108.76544952296268</v>
      </c>
      <c r="E10" s="158">
        <v>2.7365514785669065E-2</v>
      </c>
      <c r="F10" s="441">
        <v>118.23129090839484</v>
      </c>
      <c r="G10" s="158">
        <v>2.4867447010960442E-2</v>
      </c>
      <c r="H10" s="441">
        <v>116.48898292114663</v>
      </c>
      <c r="I10" s="158">
        <v>2.2247729964299356E-2</v>
      </c>
      <c r="J10" s="441">
        <v>129.78488562275899</v>
      </c>
      <c r="K10" s="158">
        <v>4.0741730659476838E-2</v>
      </c>
      <c r="L10" s="441">
        <v>101.46596858638743</v>
      </c>
      <c r="M10" s="158">
        <v>3.1055900621119736E-3</v>
      </c>
    </row>
    <row r="11" spans="1:15" ht="20.25" customHeight="1" thickBot="1">
      <c r="A11" s="943">
        <v>2000</v>
      </c>
      <c r="B11" s="441">
        <v>123.67905954399367</v>
      </c>
      <c r="C11" s="158">
        <v>5.9461368570295159E-2</v>
      </c>
      <c r="D11" s="441">
        <v>112.70035278561646</v>
      </c>
      <c r="E11" s="158">
        <v>3.6177878912025507E-2</v>
      </c>
      <c r="F11" s="441">
        <v>122.25148214575734</v>
      </c>
      <c r="G11" s="158">
        <v>3.4002768695787333E-2</v>
      </c>
      <c r="H11" s="441">
        <v>120.22317736531187</v>
      </c>
      <c r="I11" s="158">
        <v>3.2056202659894284E-2</v>
      </c>
      <c r="J11" s="441">
        <v>135.7015791217149</v>
      </c>
      <c r="K11" s="158">
        <v>4.5588463329649498E-2</v>
      </c>
      <c r="L11" s="441">
        <v>102.77486910994764</v>
      </c>
      <c r="M11" s="158">
        <v>1.2899896800825594E-2</v>
      </c>
    </row>
    <row r="12" spans="1:15" ht="20.25" customHeight="1" thickBot="1">
      <c r="A12" s="943">
        <v>2001</v>
      </c>
      <c r="B12" s="441">
        <v>130.2910910770666</v>
      </c>
      <c r="C12" s="158">
        <v>5.3461204810673513E-2</v>
      </c>
      <c r="D12" s="441">
        <v>119.03449432568512</v>
      </c>
      <c r="E12" s="158">
        <v>5.6203386977126346E-2</v>
      </c>
      <c r="F12" s="441">
        <v>126.81505316810784</v>
      </c>
      <c r="G12" s="158">
        <v>3.7329371736446237E-2</v>
      </c>
      <c r="H12" s="441">
        <v>124.57722094978531</v>
      </c>
      <c r="I12" s="158">
        <v>3.6216340974279726E-2</v>
      </c>
      <c r="J12" s="441">
        <v>141.65456872934899</v>
      </c>
      <c r="K12" s="158">
        <v>4.3868241225805349E-2</v>
      </c>
      <c r="L12" s="441">
        <v>105.28795811518326</v>
      </c>
      <c r="M12" s="158">
        <v>2.4452368823229875E-2</v>
      </c>
    </row>
    <row r="13" spans="1:15" ht="20.25" customHeight="1" thickBot="1">
      <c r="A13" s="943">
        <v>2002</v>
      </c>
      <c r="B13" s="441">
        <v>135.12284583994762</v>
      </c>
      <c r="C13" s="158">
        <v>3.7084306554951318E-2</v>
      </c>
      <c r="D13" s="441">
        <v>122.30444994955147</v>
      </c>
      <c r="E13" s="158">
        <v>2.7470655816116407E-2</v>
      </c>
      <c r="F13" s="441">
        <v>137.28928000877301</v>
      </c>
      <c r="G13" s="158">
        <v>8.2594507347486523E-2</v>
      </c>
      <c r="H13" s="441">
        <v>135.84965392132474</v>
      </c>
      <c r="I13" s="158">
        <v>9.0485506785250358E-2</v>
      </c>
      <c r="J13" s="441">
        <v>146.83573016358903</v>
      </c>
      <c r="K13" s="158">
        <v>3.6576027732218019E-2</v>
      </c>
      <c r="L13" s="441">
        <v>107.17277486910994</v>
      </c>
      <c r="M13" s="158">
        <v>1.7901541521630815E-2</v>
      </c>
    </row>
    <row r="14" spans="1:15" ht="20.25" customHeight="1" thickBot="1">
      <c r="A14" s="943">
        <v>2003</v>
      </c>
      <c r="B14" s="441">
        <v>141.13594015958546</v>
      </c>
      <c r="C14" s="158">
        <v>4.4500944916156637E-2</v>
      </c>
      <c r="D14" s="441">
        <v>126.16400951454192</v>
      </c>
      <c r="E14" s="158">
        <v>3.1556983957512941E-2</v>
      </c>
      <c r="F14" s="441">
        <v>148.64710880687124</v>
      </c>
      <c r="G14" s="158">
        <v>8.2729174465569821E-2</v>
      </c>
      <c r="H14" s="441">
        <v>148.24891293481085</v>
      </c>
      <c r="I14" s="158">
        <v>9.1271921978299142E-2</v>
      </c>
      <c r="J14" s="441">
        <v>151.28762572832832</v>
      </c>
      <c r="K14" s="158">
        <v>3.0318884645988087E-2</v>
      </c>
      <c r="L14" s="441">
        <v>108.6910994764398</v>
      </c>
      <c r="M14" s="158">
        <v>1.4167073766487626E-2</v>
      </c>
    </row>
    <row r="15" spans="1:15" ht="20.25" customHeight="1" thickBot="1">
      <c r="A15" s="943">
        <v>2004</v>
      </c>
      <c r="B15" s="441">
        <v>150.48255750594851</v>
      </c>
      <c r="C15" s="158">
        <v>6.6224218549822522E-2</v>
      </c>
      <c r="D15" s="441">
        <v>129.76680025721751</v>
      </c>
      <c r="E15" s="158">
        <v>2.8556406510371168E-2</v>
      </c>
      <c r="F15" s="441">
        <v>159.53922129347404</v>
      </c>
      <c r="G15" s="158">
        <v>7.3274970324207933E-2</v>
      </c>
      <c r="H15" s="441">
        <v>158.6720877566259</v>
      </c>
      <c r="I15" s="158">
        <v>7.0308608781491699E-2</v>
      </c>
      <c r="J15" s="441">
        <v>165.28935819309285</v>
      </c>
      <c r="K15" s="158">
        <v>9.2550414466202602E-2</v>
      </c>
      <c r="L15" s="441">
        <v>109.68586387434556</v>
      </c>
      <c r="M15" s="158">
        <v>9.1522157996146714E-3</v>
      </c>
    </row>
    <row r="16" spans="1:15" ht="20.25" customHeight="1" thickBot="1">
      <c r="A16" s="943">
        <v>2005</v>
      </c>
      <c r="B16" s="441">
        <v>158.85411997758723</v>
      </c>
      <c r="C16" s="158">
        <v>5.5631447327759487E-2</v>
      </c>
      <c r="D16" s="441">
        <v>131.56863292998989</v>
      </c>
      <c r="E16" s="158">
        <v>1.3885159140865522E-2</v>
      </c>
      <c r="F16" s="441">
        <v>163.19650081000955</v>
      </c>
      <c r="G16" s="158">
        <v>2.2924015090984406E-2</v>
      </c>
      <c r="H16" s="441">
        <v>161.63461894989487</v>
      </c>
      <c r="I16" s="158">
        <v>1.8670777167897112E-2</v>
      </c>
      <c r="J16" s="441">
        <v>173.55365358411964</v>
      </c>
      <c r="K16" s="158">
        <v>4.9998956262945482E-2</v>
      </c>
      <c r="L16" s="441">
        <v>110.73298429319371</v>
      </c>
      <c r="M16" s="158">
        <v>9.5465393794746944E-3</v>
      </c>
    </row>
    <row r="17" spans="1:13" ht="20.25" customHeight="1" thickBot="1">
      <c r="A17" s="943">
        <v>2006</v>
      </c>
      <c r="B17" s="441">
        <v>159.92892738162934</v>
      </c>
      <c r="C17" s="158">
        <v>6.7660026960192354E-3</v>
      </c>
      <c r="D17" s="441">
        <v>132.42007975142448</v>
      </c>
      <c r="E17" s="158">
        <v>6.4715031423003833E-3</v>
      </c>
      <c r="F17" s="441">
        <v>168.77599451425854</v>
      </c>
      <c r="G17" s="158">
        <v>3.4188807214344141E-2</v>
      </c>
      <c r="H17" s="441">
        <v>167.82455192504821</v>
      </c>
      <c r="I17" s="158">
        <v>3.8295836717208154E-2</v>
      </c>
      <c r="J17" s="441">
        <v>175.08520169816336</v>
      </c>
      <c r="K17" s="158">
        <v>8.8246376979981278E-3</v>
      </c>
      <c r="L17" s="441">
        <v>112.04188481675392</v>
      </c>
      <c r="M17" s="158">
        <v>1.1820330969267268E-2</v>
      </c>
    </row>
    <row r="18" spans="1:13" ht="20.25" customHeight="1" thickBot="1">
      <c r="A18" s="943">
        <v>2007</v>
      </c>
      <c r="B18" s="441">
        <v>166.19096335942064</v>
      </c>
      <c r="C18" s="158">
        <v>3.915511771581226E-2</v>
      </c>
      <c r="D18" s="441">
        <v>137.4374713918709</v>
      </c>
      <c r="E18" s="158">
        <v>3.7889960871983597E-2</v>
      </c>
      <c r="F18" s="441">
        <v>171.12819099456249</v>
      </c>
      <c r="G18" s="158">
        <v>1.3936795259738455E-2</v>
      </c>
      <c r="H18" s="441">
        <v>169.73560696474115</v>
      </c>
      <c r="I18" s="158">
        <v>1.1387219675381255E-2</v>
      </c>
      <c r="J18" s="441">
        <v>180.36269580313146</v>
      </c>
      <c r="K18" s="158">
        <v>3.014243381954218E-2</v>
      </c>
      <c r="L18" s="441">
        <v>113.87434554973821</v>
      </c>
      <c r="M18" s="158">
        <v>1.6355140186915751E-2</v>
      </c>
    </row>
    <row r="19" spans="1:13" ht="20.25" customHeight="1" thickBot="1">
      <c r="A19" s="943">
        <v>2008</v>
      </c>
      <c r="B19" s="441">
        <v>173.20418822710363</v>
      </c>
      <c r="C19" s="158">
        <v>4.2199796703239034E-2</v>
      </c>
      <c r="D19" s="441">
        <v>143.7537547498693</v>
      </c>
      <c r="E19" s="158">
        <v>4.5957505577128854E-2</v>
      </c>
      <c r="F19" s="441">
        <v>170.40272566721498</v>
      </c>
      <c r="G19" s="158">
        <v>-4.2393092752938122E-3</v>
      </c>
      <c r="H19" s="441">
        <v>168.02403981936502</v>
      </c>
      <c r="I19" s="158">
        <v>-1.0083724776332126E-2</v>
      </c>
      <c r="J19" s="441">
        <v>186.17626997740183</v>
      </c>
      <c r="K19" s="158">
        <v>3.223268619036368E-2</v>
      </c>
      <c r="L19" s="441">
        <v>116.1780104712042</v>
      </c>
      <c r="M19" s="158">
        <v>2.0229885057471586E-2</v>
      </c>
    </row>
    <row r="20" spans="1:13" s="277" customFormat="1" ht="26.25" customHeight="1" thickBot="1">
      <c r="A20" s="946">
        <v>2009</v>
      </c>
      <c r="B20" s="690">
        <v>178.14457174882662</v>
      </c>
      <c r="C20" s="615">
        <v>2.8523464543739552E-2</v>
      </c>
      <c r="D20" s="1743">
        <v>149.20085538179109</v>
      </c>
      <c r="E20" s="1744">
        <v>3.7891884225213612E-2</v>
      </c>
      <c r="F20" s="690">
        <v>172.18272475452474</v>
      </c>
      <c r="G20" s="615">
        <v>1.0445836945037978E-2</v>
      </c>
      <c r="H20" s="690">
        <v>169.63658334736624</v>
      </c>
      <c r="I20" s="615">
        <v>9.5971000919559124E-3</v>
      </c>
      <c r="J20" s="690">
        <v>189.06670056079494</v>
      </c>
      <c r="K20" s="615">
        <v>1.5525236292165179E-2</v>
      </c>
      <c r="L20" s="949">
        <v>118.63874345549739</v>
      </c>
      <c r="M20" s="1147">
        <v>2.118071203244698E-2</v>
      </c>
    </row>
    <row r="21" spans="1:13" ht="20" customHeight="1">
      <c r="A21" s="1011" t="s">
        <v>414</v>
      </c>
      <c r="B21" s="1012"/>
      <c r="C21" s="1012"/>
      <c r="D21" s="1012"/>
      <c r="E21" s="1012"/>
      <c r="F21" s="1012"/>
      <c r="G21" s="1012"/>
      <c r="H21" s="1012"/>
      <c r="I21" s="1012"/>
      <c r="J21" s="1012"/>
      <c r="K21" s="1012"/>
    </row>
    <row r="22" spans="1:13" ht="12.75" customHeight="1">
      <c r="A22" s="1024"/>
      <c r="B22" s="1025"/>
      <c r="C22" s="1025"/>
      <c r="D22" s="1025"/>
      <c r="E22" s="1025"/>
      <c r="F22" s="1025"/>
      <c r="G22" s="1025"/>
      <c r="H22" s="1025"/>
      <c r="I22" s="1025"/>
      <c r="J22" s="1025"/>
      <c r="K22" s="1025"/>
    </row>
    <row r="23" spans="1:13" ht="12" customHeight="1">
      <c r="A23" s="1024" t="s">
        <v>1458</v>
      </c>
      <c r="B23" s="1025"/>
      <c r="C23" s="1025"/>
      <c r="D23" s="1025"/>
      <c r="E23" s="1025"/>
      <c r="F23" s="1025"/>
      <c r="G23" s="1025"/>
      <c r="H23" s="1025"/>
      <c r="I23" s="1025"/>
      <c r="J23" s="1025"/>
      <c r="K23" s="1025"/>
    </row>
    <row r="24" spans="1:13" ht="12" customHeight="1">
      <c r="A24" s="1024" t="s">
        <v>1468</v>
      </c>
      <c r="B24" s="1025"/>
      <c r="C24" s="1025"/>
      <c r="D24" s="1025"/>
      <c r="E24" s="1025"/>
      <c r="F24" s="1025"/>
      <c r="G24" s="1025"/>
      <c r="H24" s="1025"/>
      <c r="I24" s="1025"/>
      <c r="J24" s="1025"/>
      <c r="K24" s="1025"/>
    </row>
    <row r="25" spans="1:13" ht="12" customHeight="1">
      <c r="A25" s="1024" t="s">
        <v>1459</v>
      </c>
      <c r="B25" s="1025"/>
      <c r="C25" s="1025"/>
      <c r="D25" s="1025"/>
      <c r="E25" s="1025"/>
      <c r="F25" s="1025"/>
      <c r="G25" s="1025"/>
      <c r="H25" s="1025"/>
      <c r="I25" s="1025"/>
      <c r="J25" s="1025"/>
      <c r="K25" s="1025"/>
    </row>
    <row r="26" spans="1:13" ht="12" customHeight="1">
      <c r="A26" s="1024" t="s">
        <v>1460</v>
      </c>
      <c r="B26" s="1025"/>
      <c r="C26" s="1025"/>
      <c r="D26" s="1025"/>
      <c r="E26" s="1025"/>
      <c r="F26" s="1025"/>
      <c r="G26" s="1025"/>
      <c r="H26" s="1025"/>
      <c r="I26" s="1025"/>
      <c r="J26" s="1025"/>
      <c r="K26" s="1025"/>
    </row>
    <row r="27" spans="1:13" ht="12" customHeight="1">
      <c r="A27" s="1024" t="s">
        <v>1461</v>
      </c>
      <c r="B27" s="1025"/>
      <c r="C27" s="1025"/>
      <c r="D27" s="1025"/>
      <c r="E27" s="1025"/>
      <c r="F27" s="1025"/>
      <c r="G27" s="1025"/>
      <c r="H27" s="1025"/>
      <c r="I27" s="1025"/>
      <c r="J27" s="1025"/>
      <c r="K27" s="1025"/>
    </row>
    <row r="28" spans="1:13" ht="12" customHeight="1">
      <c r="A28" s="1024" t="s">
        <v>1462</v>
      </c>
      <c r="B28" s="1016"/>
      <c r="C28" s="1016"/>
      <c r="D28" s="1016"/>
      <c r="E28" s="1016"/>
      <c r="F28" s="1016"/>
      <c r="G28" s="1016"/>
      <c r="H28" s="1016"/>
      <c r="I28" s="1016"/>
      <c r="J28" s="1016"/>
      <c r="K28" s="1016"/>
    </row>
    <row r="29" spans="1:13" ht="15.75" customHeight="1">
      <c r="A29" s="1024"/>
      <c r="B29" s="1016"/>
      <c r="C29" s="1016"/>
      <c r="D29" s="1016"/>
      <c r="E29" s="1016"/>
      <c r="F29" s="1016"/>
      <c r="G29" s="1016"/>
      <c r="H29" s="1016"/>
      <c r="I29" s="1016"/>
      <c r="J29" s="1016"/>
      <c r="K29" s="1016"/>
    </row>
    <row r="30" spans="1:13" ht="15.75" customHeight="1">
      <c r="A30" s="201"/>
      <c r="B30" s="1016"/>
      <c r="C30" s="1016"/>
      <c r="D30" s="1016"/>
      <c r="E30" s="1016"/>
      <c r="F30" s="1016"/>
      <c r="G30" s="1016"/>
      <c r="H30" s="1016"/>
      <c r="I30" s="1016"/>
      <c r="J30" s="1016"/>
      <c r="K30" s="1016"/>
      <c r="M30" s="493"/>
    </row>
    <row r="31" spans="1:13" ht="15.75" customHeight="1">
      <c r="A31" s="418" t="s">
        <v>710</v>
      </c>
      <c r="B31" s="1016"/>
      <c r="C31" s="1016"/>
      <c r="D31" s="1016"/>
      <c r="E31" s="1016"/>
      <c r="F31" s="1016"/>
      <c r="G31" s="1016"/>
      <c r="H31" s="1016"/>
      <c r="I31" s="1016"/>
      <c r="J31" s="1016"/>
      <c r="K31" s="1016"/>
    </row>
    <row r="32" spans="1:13" ht="31" customHeight="1">
      <c r="A32" s="201"/>
      <c r="B32" s="1016"/>
      <c r="C32" s="1016"/>
      <c r="D32" s="1016"/>
      <c r="E32" s="1016"/>
      <c r="F32" s="1016"/>
      <c r="G32" s="1016"/>
      <c r="H32" s="1016"/>
      <c r="I32" s="1016"/>
      <c r="J32" s="1016"/>
      <c r="K32" s="1016"/>
    </row>
    <row r="33" spans="1:11" ht="31" customHeight="1">
      <c r="A33" s="201"/>
      <c r="B33" s="1016"/>
      <c r="C33" s="1016"/>
      <c r="D33" s="1016"/>
      <c r="E33" s="1016"/>
      <c r="F33" s="1016"/>
      <c r="G33" s="1016"/>
      <c r="H33" s="1016"/>
      <c r="I33" s="1016"/>
      <c r="J33" s="1016"/>
      <c r="K33" s="1016"/>
    </row>
    <row r="34" spans="1:11" ht="31" customHeight="1">
      <c r="A34" s="201"/>
      <c r="B34" s="1016"/>
      <c r="C34" s="1016"/>
      <c r="D34" s="1016"/>
      <c r="E34" s="1016"/>
      <c r="F34" s="1016"/>
      <c r="G34" s="1016"/>
      <c r="H34" s="1016"/>
      <c r="I34" s="1016"/>
      <c r="J34" s="1016"/>
      <c r="K34" s="1016"/>
    </row>
    <row r="35" spans="1:11" ht="31" customHeight="1">
      <c r="A35" s="201"/>
      <c r="B35" s="1016"/>
      <c r="C35" s="1016"/>
      <c r="D35" s="1016"/>
      <c r="E35" s="1016"/>
      <c r="F35" s="1016"/>
      <c r="G35" s="1016"/>
      <c r="H35" s="1016"/>
      <c r="I35" s="1016"/>
      <c r="J35" s="1016"/>
      <c r="K35" s="1016"/>
    </row>
    <row r="36" spans="1:11" ht="31" customHeight="1">
      <c r="A36" s="201"/>
      <c r="B36" s="1016"/>
      <c r="C36" s="1016"/>
      <c r="D36" s="1016"/>
      <c r="E36" s="1016"/>
      <c r="F36" s="1016"/>
      <c r="G36" s="1016"/>
      <c r="H36" s="1016"/>
      <c r="I36" s="1016"/>
      <c r="J36" s="1016"/>
      <c r="K36" s="1016"/>
    </row>
  </sheetData>
  <phoneticPr fontId="0" type="noConversion"/>
  <pageMargins left="0.56000000000000005" right="0.6" top="0.9" bottom="0.49" header="0.47" footer="0.4921259845"/>
  <pageSetup paperSize="9" scale="75" orientation="landscape"/>
  <headerFooter alignWithMargins="0"/>
  <rowBreaks count="1" manualBreakCount="1">
    <brk id="27" max="16383" man="1"/>
  </rowBreaks>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92DCA-AD70-A648-A65B-AB02FE54ACBE}">
  <sheetPr>
    <pageSetUpPr fitToPage="1"/>
  </sheetPr>
  <dimension ref="A1:J53"/>
  <sheetViews>
    <sheetView zoomScale="75" workbookViewId="0">
      <selection activeCell="H11" sqref="H11"/>
    </sheetView>
  </sheetViews>
  <sheetFormatPr baseColWidth="10" defaultColWidth="11.3984375" defaultRowHeight="13"/>
  <cols>
    <col min="1" max="1" width="23.59765625" style="2" customWidth="1"/>
    <col min="2" max="2" width="20" style="2" customWidth="1"/>
    <col min="3" max="3" width="15.796875" style="2" customWidth="1"/>
    <col min="4" max="4" width="18.796875" style="2" customWidth="1"/>
    <col min="5" max="5" width="14.3984375" style="2" customWidth="1"/>
    <col min="6" max="6" width="20" style="2" customWidth="1"/>
    <col min="7" max="7" width="15" style="2" customWidth="1"/>
    <col min="8" max="8" width="13.19921875" style="2" customWidth="1"/>
    <col min="9" max="10" width="13.3984375" style="2" customWidth="1"/>
    <col min="11" max="16384" width="11.3984375" style="2"/>
  </cols>
  <sheetData>
    <row r="1" spans="1:10" s="1" customFormat="1" ht="14" customHeight="1"/>
    <row r="2" spans="1:10" s="1" customFormat="1" ht="36.75" customHeight="1">
      <c r="A2" s="177" t="s">
        <v>1447</v>
      </c>
      <c r="B2" s="478"/>
      <c r="C2" s="478"/>
      <c r="D2" s="478"/>
      <c r="E2" s="478"/>
      <c r="F2" s="478"/>
      <c r="G2" s="118"/>
    </row>
    <row r="3" spans="1:10" ht="24" customHeight="1">
      <c r="A3" s="305" t="s">
        <v>1444</v>
      </c>
      <c r="B3" s="120" t="s">
        <v>2251</v>
      </c>
      <c r="C3" s="121" t="s">
        <v>2252</v>
      </c>
      <c r="D3" s="120" t="s">
        <v>2253</v>
      </c>
      <c r="E3" s="121" t="s">
        <v>2254</v>
      </c>
      <c r="F3" s="120" t="s">
        <v>1567</v>
      </c>
      <c r="G3" s="306" t="s">
        <v>1801</v>
      </c>
    </row>
    <row r="4" spans="1:10" ht="15" customHeight="1">
      <c r="A4" s="325"/>
      <c r="B4" s="123" t="s">
        <v>2255</v>
      </c>
      <c r="C4" s="124" t="s">
        <v>2256</v>
      </c>
      <c r="D4" s="123" t="s">
        <v>2257</v>
      </c>
      <c r="E4" s="150" t="s">
        <v>2258</v>
      </c>
      <c r="F4" s="123"/>
      <c r="G4" s="122" t="s">
        <v>663</v>
      </c>
    </row>
    <row r="5" spans="1:10" ht="15" customHeight="1">
      <c r="A5" s="325"/>
      <c r="B5" s="123" t="s">
        <v>2259</v>
      </c>
      <c r="C5" s="124" t="s">
        <v>2260</v>
      </c>
      <c r="D5" s="123"/>
      <c r="E5" s="150" t="s">
        <v>589</v>
      </c>
      <c r="F5" s="123"/>
      <c r="G5" s="122" t="s">
        <v>1806</v>
      </c>
    </row>
    <row r="6" spans="1:10" ht="24" customHeight="1">
      <c r="A6" s="291" t="s">
        <v>1065</v>
      </c>
      <c r="B6" s="129"/>
      <c r="C6" s="128"/>
      <c r="D6" s="129"/>
      <c r="E6" s="153" t="s">
        <v>2262</v>
      </c>
      <c r="F6" s="129"/>
      <c r="G6" s="152"/>
    </row>
    <row r="7" spans="1:10" ht="1.5" customHeight="1" thickBot="1">
      <c r="A7" s="327">
        <v>1996</v>
      </c>
      <c r="B7" s="170">
        <v>1753.1648672625149</v>
      </c>
      <c r="C7" s="171">
        <v>1842.1623355260151</v>
      </c>
      <c r="D7" s="170">
        <v>1515.4959144221264</v>
      </c>
      <c r="E7" s="171">
        <v>1176.4588298743031</v>
      </c>
      <c r="F7" s="170">
        <v>1771.0161788756484</v>
      </c>
      <c r="G7" s="375" t="s">
        <v>744</v>
      </c>
    </row>
    <row r="8" spans="1:10" ht="19.5" hidden="1" customHeight="1" thickBot="1">
      <c r="A8" s="328">
        <v>1997</v>
      </c>
      <c r="B8" s="188">
        <v>1811.5958116334416</v>
      </c>
      <c r="C8" s="187">
        <v>2130.0081643172375</v>
      </c>
      <c r="D8" s="188">
        <v>1576.8168903289518</v>
      </c>
      <c r="E8" s="187">
        <v>1389.6088488110106</v>
      </c>
      <c r="F8" s="188">
        <v>1909.5867615098578</v>
      </c>
      <c r="G8" s="364">
        <v>7.8243544179354974E-2</v>
      </c>
      <c r="H8" s="8"/>
      <c r="I8" s="8"/>
      <c r="J8" s="8"/>
    </row>
    <row r="9" spans="1:10" ht="21" hidden="1" customHeight="1" thickBot="1">
      <c r="A9" s="328">
        <v>1998</v>
      </c>
      <c r="B9" s="188">
        <v>1918.0694163570959</v>
      </c>
      <c r="C9" s="187">
        <v>2297.6573623558743</v>
      </c>
      <c r="D9" s="188">
        <v>1557.6743377537739</v>
      </c>
      <c r="E9" s="187">
        <v>1666.142713790621</v>
      </c>
      <c r="F9" s="188">
        <v>2043.088885873075</v>
      </c>
      <c r="G9" s="364">
        <v>6.9911525914465811E-2</v>
      </c>
    </row>
    <row r="10" spans="1:10" ht="21" customHeight="1" thickBot="1">
      <c r="A10" s="328">
        <v>1999</v>
      </c>
      <c r="B10" s="188">
        <v>1950.8999883727415</v>
      </c>
      <c r="C10" s="187">
        <v>2374.4763783142644</v>
      </c>
      <c r="D10" s="188">
        <v>1570.8419091195699</v>
      </c>
      <c r="E10" s="187">
        <v>1752.9616538234313</v>
      </c>
      <c r="F10" s="188">
        <v>2093.8952904812063</v>
      </c>
      <c r="G10" s="364">
        <v>2.4867447010960664E-2</v>
      </c>
    </row>
    <row r="11" spans="1:10" ht="21" customHeight="1" thickBot="1">
      <c r="A11" s="328">
        <v>2000</v>
      </c>
      <c r="B11" s="188">
        <v>2027.0193294058211</v>
      </c>
      <c r="C11" s="187">
        <v>2433.7171249231678</v>
      </c>
      <c r="D11" s="188">
        <v>1662.9240904226378</v>
      </c>
      <c r="E11" s="187">
        <v>1828.3919207533229</v>
      </c>
      <c r="F11" s="188">
        <v>2165.0935277166373</v>
      </c>
      <c r="G11" s="364">
        <v>3.4002768695787333E-2</v>
      </c>
    </row>
    <row r="12" spans="1:10" ht="21" customHeight="1" thickBot="1">
      <c r="A12" s="328">
        <v>2001</v>
      </c>
      <c r="B12" s="188">
        <v>2122.8464393209329</v>
      </c>
      <c r="C12" s="187">
        <v>2484.2689833767849</v>
      </c>
      <c r="D12" s="188">
        <v>1731.3120166424887</v>
      </c>
      <c r="E12" s="187">
        <v>1922.2028434326885</v>
      </c>
      <c r="F12" s="188">
        <v>2245.9151088569452</v>
      </c>
      <c r="G12" s="364">
        <v>3.7329371736446237E-2</v>
      </c>
    </row>
    <row r="13" spans="1:10" ht="21" customHeight="1" thickBot="1">
      <c r="A13" s="328">
        <v>2002</v>
      </c>
      <c r="B13" s="188">
        <v>2285.7395632640332</v>
      </c>
      <c r="C13" s="187">
        <v>2654.9017890161094</v>
      </c>
      <c r="D13" s="188">
        <v>1950.7839810299843</v>
      </c>
      <c r="E13" s="187">
        <v>2240.2987240624661</v>
      </c>
      <c r="F13" s="188">
        <v>2431.415360817261</v>
      </c>
      <c r="G13" s="364">
        <v>8.2594507347486523E-2</v>
      </c>
    </row>
    <row r="14" spans="1:10" ht="21" customHeight="1" thickBot="1">
      <c r="A14" s="328">
        <v>2003</v>
      </c>
      <c r="B14" s="188">
        <v>2510.8199696536694</v>
      </c>
      <c r="C14" s="187">
        <v>2859.9015075571601</v>
      </c>
      <c r="D14" s="188">
        <v>2124.4793305026888</v>
      </c>
      <c r="E14" s="187">
        <v>2210.374964555655</v>
      </c>
      <c r="F14" s="188">
        <v>2632.5643464005784</v>
      </c>
      <c r="G14" s="364">
        <v>8.2729174465569821E-2</v>
      </c>
    </row>
    <row r="15" spans="1:10" ht="21" customHeight="1" thickBot="1">
      <c r="A15" s="328">
        <v>2004</v>
      </c>
      <c r="B15" s="188">
        <v>2690.5459375499613</v>
      </c>
      <c r="C15" s="187">
        <v>3090.7636553345851</v>
      </c>
      <c r="D15" s="188">
        <v>2246.9396743730986</v>
      </c>
      <c r="E15" s="187">
        <v>2415.1482194113514</v>
      </c>
      <c r="F15" s="188">
        <v>2825.4654207596486</v>
      </c>
      <c r="G15" s="364">
        <v>7.3274970324207933E-2</v>
      </c>
    </row>
    <row r="16" spans="1:10" ht="21" customHeight="1" thickBot="1">
      <c r="A16" s="328">
        <v>2005</v>
      </c>
      <c r="B16" s="188">
        <v>2840.2952473424793</v>
      </c>
      <c r="C16" s="187">
        <v>3103.8126743937628</v>
      </c>
      <c r="D16" s="188">
        <v>2376.2836440132501</v>
      </c>
      <c r="E16" s="187">
        <v>2400.5917441113538</v>
      </c>
      <c r="F16" s="188">
        <v>2890.2364327041978</v>
      </c>
      <c r="G16" s="364">
        <v>2.2924015090984629E-2</v>
      </c>
    </row>
    <row r="17" spans="1:7" ht="21" customHeight="1" thickBot="1">
      <c r="A17" s="328">
        <v>2006</v>
      </c>
      <c r="B17" s="188">
        <v>3011.1782609964857</v>
      </c>
      <c r="C17" s="187">
        <v>3242.7971622539844</v>
      </c>
      <c r="D17" s="188">
        <v>2532.6355623862773</v>
      </c>
      <c r="E17" s="187">
        <v>2415.428916702369</v>
      </c>
      <c r="F17" s="188">
        <v>2989.0501689057955</v>
      </c>
      <c r="G17" s="364">
        <v>3.4188807214344141E-2</v>
      </c>
    </row>
    <row r="18" spans="1:7" ht="21" customHeight="1" thickBot="1">
      <c r="A18" s="328">
        <v>2007</v>
      </c>
      <c r="B18" s="188">
        <v>3123.9745528614731</v>
      </c>
      <c r="C18" s="187">
        <v>3317.638542693885</v>
      </c>
      <c r="D18" s="188">
        <v>2650.6385932147032</v>
      </c>
      <c r="E18" s="187">
        <v>2470.5095950288969</v>
      </c>
      <c r="F18" s="188">
        <v>3030.7079491309219</v>
      </c>
      <c r="G18" s="364">
        <v>1.3936795259738233E-2</v>
      </c>
    </row>
    <row r="19" spans="1:7" ht="21" customHeight="1" thickBot="1">
      <c r="A19" s="328">
        <v>2008</v>
      </c>
      <c r="B19" s="188">
        <v>3180.5156961243692</v>
      </c>
      <c r="C19" s="187">
        <v>3344.9015527889869</v>
      </c>
      <c r="D19" s="188">
        <v>2727.0156464501351</v>
      </c>
      <c r="E19" s="187">
        <v>2468.4220560673621</v>
      </c>
      <c r="F19" s="188">
        <v>3017.8598408114649</v>
      </c>
      <c r="G19" s="364">
        <v>-4.2393092752937012E-3</v>
      </c>
    </row>
    <row r="20" spans="1:7" ht="21.75" customHeight="1" thickBot="1">
      <c r="A20" s="329">
        <v>2009</v>
      </c>
      <c r="B20" s="191">
        <v>3243.4047860779601</v>
      </c>
      <c r="C20" s="190">
        <v>3381.8730613579137</v>
      </c>
      <c r="D20" s="191">
        <v>2806.1776808293953</v>
      </c>
      <c r="E20" s="190">
        <v>2595.8313806278784</v>
      </c>
      <c r="F20" s="191">
        <v>3049.3839126315593</v>
      </c>
      <c r="G20" s="909">
        <v>1.0445836945037756E-2</v>
      </c>
    </row>
    <row r="21" spans="1:7" ht="20" customHeight="1">
      <c r="A21" s="1742" t="s">
        <v>324</v>
      </c>
      <c r="B21" s="140"/>
      <c r="C21" s="140"/>
      <c r="D21" s="140"/>
      <c r="E21" s="140"/>
      <c r="F21" s="140"/>
      <c r="G21" s="373"/>
    </row>
    <row r="22" spans="1:7">
      <c r="G22" s="374"/>
    </row>
    <row r="23" spans="1:7">
      <c r="A23" s="288" t="s">
        <v>1445</v>
      </c>
      <c r="G23" s="374"/>
    </row>
    <row r="24" spans="1:7">
      <c r="G24" s="374"/>
    </row>
    <row r="25" spans="1:7">
      <c r="G25" s="374"/>
    </row>
    <row r="26" spans="1:7" ht="16">
      <c r="A26" s="918" t="s">
        <v>1446</v>
      </c>
      <c r="G26" s="374"/>
    </row>
    <row r="27" spans="1:7">
      <c r="G27" s="374"/>
    </row>
    <row r="28" spans="1:7" ht="18" customHeight="1">
      <c r="A28" s="305"/>
      <c r="B28" s="120" t="s">
        <v>1798</v>
      </c>
      <c r="C28" s="357" t="s">
        <v>1801</v>
      </c>
      <c r="D28" s="120" t="s">
        <v>611</v>
      </c>
      <c r="E28" s="357" t="s">
        <v>1801</v>
      </c>
      <c r="F28" s="120" t="s">
        <v>2210</v>
      </c>
      <c r="G28" s="357" t="s">
        <v>1801</v>
      </c>
    </row>
    <row r="29" spans="1:7" ht="18" customHeight="1">
      <c r="A29" s="919"/>
      <c r="B29" s="123" t="s">
        <v>1803</v>
      </c>
      <c r="C29" s="358" t="s">
        <v>1802</v>
      </c>
      <c r="D29" s="123" t="s">
        <v>1804</v>
      </c>
      <c r="E29" s="358" t="s">
        <v>1802</v>
      </c>
      <c r="F29" s="123" t="s">
        <v>2211</v>
      </c>
      <c r="G29" s="358" t="s">
        <v>1802</v>
      </c>
    </row>
    <row r="30" spans="1:7" ht="18" customHeight="1">
      <c r="A30" s="325"/>
      <c r="B30" s="123"/>
      <c r="C30" s="358" t="s">
        <v>1806</v>
      </c>
      <c r="D30" s="123"/>
      <c r="E30" s="358" t="s">
        <v>1806</v>
      </c>
      <c r="F30" s="123"/>
      <c r="G30" s="358" t="s">
        <v>1806</v>
      </c>
    </row>
    <row r="31" spans="1:7" ht="18" customHeight="1">
      <c r="A31" s="326" t="s">
        <v>2320</v>
      </c>
      <c r="B31" s="129"/>
      <c r="C31" s="359"/>
      <c r="D31" s="129"/>
      <c r="E31" s="359"/>
      <c r="F31" s="129"/>
      <c r="G31" s="359"/>
    </row>
    <row r="32" spans="1:7" ht="1.5" customHeight="1" thickBot="1">
      <c r="A32" s="327">
        <v>1996</v>
      </c>
      <c r="B32" s="170" t="s">
        <v>744</v>
      </c>
      <c r="C32" s="171" t="s">
        <v>744</v>
      </c>
      <c r="D32" s="170" t="s">
        <v>744</v>
      </c>
      <c r="E32" s="171" t="s">
        <v>744</v>
      </c>
      <c r="F32" s="170" t="s">
        <v>744</v>
      </c>
      <c r="G32" s="375" t="s">
        <v>744</v>
      </c>
    </row>
    <row r="33" spans="1:7" ht="0.75" customHeight="1" thickBot="1">
      <c r="A33" s="328">
        <v>1997</v>
      </c>
      <c r="B33" s="170">
        <v>635</v>
      </c>
      <c r="C33" s="364" t="s">
        <v>744</v>
      </c>
      <c r="D33" s="170">
        <v>1640.15</v>
      </c>
      <c r="E33" s="364" t="s">
        <v>744</v>
      </c>
      <c r="F33" s="170">
        <v>2340.06</v>
      </c>
      <c r="G33" s="364" t="s">
        <v>744</v>
      </c>
    </row>
    <row r="34" spans="1:7" ht="21" hidden="1" customHeight="1" thickBot="1">
      <c r="A34" s="328">
        <v>1998</v>
      </c>
      <c r="B34" s="170">
        <v>656.52</v>
      </c>
      <c r="C34" s="364">
        <v>3.388976377952746E-2</v>
      </c>
      <c r="D34" s="170">
        <v>1784.45</v>
      </c>
      <c r="E34" s="364">
        <v>8.7979757948968285E-2</v>
      </c>
      <c r="F34" s="170">
        <v>2512.02</v>
      </c>
      <c r="G34" s="364">
        <v>7.3485295248839844E-2</v>
      </c>
    </row>
    <row r="35" spans="1:7" ht="21" customHeight="1" thickBot="1">
      <c r="A35" s="328">
        <v>1999</v>
      </c>
      <c r="B35" s="170">
        <v>671.71</v>
      </c>
      <c r="C35" s="364">
        <v>2.3137147383171852E-2</v>
      </c>
      <c r="D35" s="170">
        <v>1815.15</v>
      </c>
      <c r="E35" s="364">
        <v>1.7204180559836191E-2</v>
      </c>
      <c r="F35" s="170">
        <v>2575.1999999999998</v>
      </c>
      <c r="G35" s="364">
        <v>2.5151073637948773E-2</v>
      </c>
    </row>
    <row r="36" spans="1:7" ht="21" customHeight="1" thickBot="1">
      <c r="A36" s="328">
        <v>2000</v>
      </c>
      <c r="B36" s="170">
        <v>693.68</v>
      </c>
      <c r="C36" s="364">
        <v>3.2707567253725589E-2</v>
      </c>
      <c r="D36" s="170">
        <v>1808.28</v>
      </c>
      <c r="E36" s="364">
        <v>-3.784811172630298E-3</v>
      </c>
      <c r="F36" s="170">
        <v>2662.32</v>
      </c>
      <c r="G36" s="364">
        <v>3.3830382106244228E-2</v>
      </c>
    </row>
    <row r="37" spans="1:7" ht="21" customHeight="1" thickBot="1">
      <c r="A37" s="328">
        <v>2001</v>
      </c>
      <c r="B37" s="170">
        <v>727.82</v>
      </c>
      <c r="C37" s="364">
        <v>4.9215776727020932E-2</v>
      </c>
      <c r="D37" s="170">
        <v>1832.96</v>
      </c>
      <c r="E37" s="364">
        <v>1.364832879863731E-2</v>
      </c>
      <c r="F37" s="170">
        <v>2775.24</v>
      </c>
      <c r="G37" s="364">
        <v>4.2414135040115264E-2</v>
      </c>
    </row>
    <row r="38" spans="1:7" ht="21" customHeight="1" thickBot="1">
      <c r="A38" s="328">
        <v>2002</v>
      </c>
      <c r="B38" s="170">
        <v>787.47</v>
      </c>
      <c r="C38" s="364">
        <v>8.1957077299332326E-2</v>
      </c>
      <c r="D38" s="170">
        <v>2041.33</v>
      </c>
      <c r="E38" s="364">
        <v>0.11367951291899425</v>
      </c>
      <c r="F38" s="170">
        <v>2988.54</v>
      </c>
      <c r="G38" s="364">
        <v>7.6858217667661322E-2</v>
      </c>
    </row>
    <row r="39" spans="1:7" ht="21" customHeight="1" thickBot="1">
      <c r="A39" s="328">
        <v>2003</v>
      </c>
      <c r="B39" s="170">
        <v>852.56</v>
      </c>
      <c r="C39" s="364">
        <v>8.2657117096524457E-2</v>
      </c>
      <c r="D39" s="170">
        <v>2294.29</v>
      </c>
      <c r="E39" s="364">
        <v>0.12391920953496016</v>
      </c>
      <c r="F39" s="170">
        <v>3212.78</v>
      </c>
      <c r="G39" s="364">
        <v>7.5033293849170679E-2</v>
      </c>
    </row>
    <row r="40" spans="1:7" ht="21" customHeight="1" thickBot="1">
      <c r="A40" s="328">
        <v>2004</v>
      </c>
      <c r="B40" s="170">
        <v>892.68</v>
      </c>
      <c r="C40" s="364">
        <v>4.7058271558600095E-2</v>
      </c>
      <c r="D40" s="170">
        <v>2519.3000000000002</v>
      </c>
      <c r="E40" s="364">
        <v>9.8073913934158208E-2</v>
      </c>
      <c r="F40" s="170">
        <v>3430.62</v>
      </c>
      <c r="G40" s="364">
        <v>6.7804206948499424E-2</v>
      </c>
    </row>
    <row r="41" spans="1:7" ht="21" customHeight="1" thickBot="1">
      <c r="A41" s="328">
        <v>2005</v>
      </c>
      <c r="B41" s="170">
        <v>898.43</v>
      </c>
      <c r="C41" s="364">
        <v>6.4412779495450767E-3</v>
      </c>
      <c r="D41" s="170">
        <v>2598.67</v>
      </c>
      <c r="E41" s="364">
        <v>3.1504783074663756E-2</v>
      </c>
      <c r="F41" s="170">
        <v>3506.02</v>
      </c>
      <c r="G41" s="364">
        <v>2.1978534492307578E-2</v>
      </c>
    </row>
    <row r="42" spans="1:7" ht="21" customHeight="1" thickBot="1">
      <c r="A42" s="328">
        <v>2006</v>
      </c>
      <c r="B42" s="170">
        <v>921.03</v>
      </c>
      <c r="C42" s="364">
        <v>2.5154992598199311E-2</v>
      </c>
      <c r="D42" s="170">
        <v>2701.55</v>
      </c>
      <c r="E42" s="364">
        <v>3.9589482312105906E-2</v>
      </c>
      <c r="F42" s="170">
        <v>3630.2</v>
      </c>
      <c r="G42" s="364">
        <v>3.5419079183803825E-2</v>
      </c>
    </row>
    <row r="43" spans="1:7" ht="21" customHeight="1" thickBot="1">
      <c r="A43" s="328">
        <v>2007</v>
      </c>
      <c r="B43" s="170">
        <v>923.76</v>
      </c>
      <c r="C43" s="364">
        <v>2.9640728315036835E-3</v>
      </c>
      <c r="D43" s="170">
        <v>2720.47</v>
      </c>
      <c r="E43" s="364">
        <v>7.0033869445316199E-3</v>
      </c>
      <c r="F43" s="170">
        <v>3670.56</v>
      </c>
      <c r="G43" s="364">
        <v>1.1117844746845851E-2</v>
      </c>
    </row>
    <row r="44" spans="1:7" ht="21" customHeight="1" thickBot="1">
      <c r="A44" s="328">
        <v>2008</v>
      </c>
      <c r="B44" s="170">
        <v>900.7570192948325</v>
      </c>
      <c r="C44" s="364">
        <v>-2.4901468677110405E-2</v>
      </c>
      <c r="D44" s="170">
        <v>2711.5696629149288</v>
      </c>
      <c r="E44" s="364">
        <v>-3.2716174356162142E-3</v>
      </c>
      <c r="F44" s="170">
        <v>3651.1711467075061</v>
      </c>
      <c r="G44" s="364">
        <v>-5.2822602797650831E-3</v>
      </c>
    </row>
    <row r="45" spans="1:7" ht="21.75" customHeight="1" thickBot="1">
      <c r="A45" s="921">
        <v>2009</v>
      </c>
      <c r="B45" s="192">
        <v>899.0236454390664</v>
      </c>
      <c r="C45" s="909">
        <v>-1.9243523154813813E-3</v>
      </c>
      <c r="D45" s="192">
        <v>2751.4413723136295</v>
      </c>
      <c r="E45" s="909">
        <v>1.4704291003108105E-2</v>
      </c>
      <c r="F45" s="192">
        <v>3668.3142766978899</v>
      </c>
      <c r="G45" s="909">
        <v>4.6952414174949997E-3</v>
      </c>
    </row>
    <row r="46" spans="1:7" ht="15" customHeight="1">
      <c r="A46" s="388" t="s">
        <v>324</v>
      </c>
    </row>
    <row r="48" spans="1:7">
      <c r="A48" s="570" t="str">
        <f>A23</f>
        <v>Quelle: T 3.12 + 2.02</v>
      </c>
    </row>
    <row r="50" spans="1:1">
      <c r="A50" s="418" t="s">
        <v>2164</v>
      </c>
    </row>
    <row r="53" spans="1:1">
      <c r="A53" s="2" t="s">
        <v>710</v>
      </c>
    </row>
  </sheetData>
  <phoneticPr fontId="0" type="noConversion"/>
  <pageMargins left="0.56000000000000005" right="0.54" top="0.5" bottom="0.49" header="0.36" footer="0.4921259845"/>
  <pageSetup paperSize="9" scale="72" orientation="portrait" horizontalDpi="1200" verticalDpi="1200"/>
  <headerFooter alignWithMargins="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8381B-4593-5D49-A52A-9A42FE56B797}">
  <sheetPr>
    <pageSetUpPr fitToPage="1"/>
  </sheetPr>
  <dimension ref="A1:K33"/>
  <sheetViews>
    <sheetView topLeftCell="A14" zoomScale="75" workbookViewId="0">
      <selection activeCell="G30" sqref="G30"/>
    </sheetView>
  </sheetViews>
  <sheetFormatPr baseColWidth="10" defaultColWidth="11.3984375" defaultRowHeight="13"/>
  <cols>
    <col min="1" max="1" width="20.796875" style="2" customWidth="1"/>
    <col min="2" max="7" width="14.3984375" style="2" customWidth="1"/>
    <col min="8" max="16384" width="11.3984375" style="2"/>
  </cols>
  <sheetData>
    <row r="1" spans="1:11" s="1" customFormat="1" ht="14" customHeight="1"/>
    <row r="2" spans="1:11" s="1" customFormat="1" ht="28" customHeight="1">
      <c r="A2" s="48" t="s">
        <v>327</v>
      </c>
      <c r="G2" s="398"/>
    </row>
    <row r="3" spans="1:11" ht="24" customHeight="1">
      <c r="A3" s="119" t="s">
        <v>2320</v>
      </c>
      <c r="B3" s="120" t="s">
        <v>338</v>
      </c>
      <c r="C3" s="121" t="s">
        <v>1801</v>
      </c>
      <c r="D3" s="120" t="s">
        <v>328</v>
      </c>
      <c r="E3" s="121" t="s">
        <v>1801</v>
      </c>
      <c r="F3" s="120" t="s">
        <v>329</v>
      </c>
      <c r="G3" s="121" t="s">
        <v>1801</v>
      </c>
    </row>
    <row r="4" spans="1:11" ht="15" customHeight="1">
      <c r="A4" s="325"/>
      <c r="B4" s="123"/>
      <c r="C4" s="124" t="s">
        <v>1802</v>
      </c>
      <c r="D4" s="123" t="s">
        <v>330</v>
      </c>
      <c r="E4" s="124" t="s">
        <v>1802</v>
      </c>
      <c r="F4" s="123"/>
      <c r="G4" s="124" t="s">
        <v>1802</v>
      </c>
    </row>
    <row r="5" spans="1:11" ht="15" customHeight="1">
      <c r="A5" s="325"/>
      <c r="B5" s="123"/>
      <c r="C5" s="124" t="s">
        <v>1806</v>
      </c>
      <c r="D5" s="123"/>
      <c r="E5" s="124" t="s">
        <v>339</v>
      </c>
      <c r="F5" s="123"/>
      <c r="G5" s="124" t="s">
        <v>339</v>
      </c>
    </row>
    <row r="6" spans="1:11" ht="24" customHeight="1">
      <c r="A6" s="326"/>
      <c r="B6" s="129"/>
      <c r="C6" s="128"/>
      <c r="D6" s="129"/>
      <c r="E6" s="128"/>
      <c r="F6" s="129"/>
      <c r="G6" s="128"/>
    </row>
    <row r="7" spans="1:11" ht="1.5" customHeight="1" thickBot="1">
      <c r="A7" s="327">
        <v>1996</v>
      </c>
      <c r="B7" s="170">
        <v>5599991</v>
      </c>
      <c r="C7" s="157">
        <v>-1.7950663164953688E-2</v>
      </c>
      <c r="D7" s="170">
        <v>1117084</v>
      </c>
      <c r="E7" s="157">
        <v>-7.0395014962435803E-2</v>
      </c>
      <c r="F7" s="170">
        <v>18812841</v>
      </c>
      <c r="G7" s="157">
        <v>-0.15548674078736344</v>
      </c>
    </row>
    <row r="8" spans="1:11" ht="0.75" hidden="1" customHeight="1" thickBot="1">
      <c r="A8" s="328">
        <v>1997</v>
      </c>
      <c r="B8" s="188">
        <v>5669325</v>
      </c>
      <c r="C8" s="158">
        <v>1.2381091326753918E-2</v>
      </c>
      <c r="D8" s="188">
        <v>1150122</v>
      </c>
      <c r="E8" s="158">
        <v>2.9575215471710273E-2</v>
      </c>
      <c r="F8" s="188">
        <v>18987651</v>
      </c>
      <c r="G8" s="158">
        <v>9.2920574835028899E-3</v>
      </c>
      <c r="I8" s="8"/>
      <c r="J8" s="8"/>
      <c r="K8" s="8"/>
    </row>
    <row r="9" spans="1:11" ht="19.5" hidden="1" customHeight="1" thickBot="1">
      <c r="A9" s="328">
        <v>1998</v>
      </c>
      <c r="B9" s="188">
        <v>5768621</v>
      </c>
      <c r="C9" s="158">
        <v>1.7514607118131346E-2</v>
      </c>
      <c r="D9" s="188">
        <v>1154759</v>
      </c>
      <c r="E9" s="158">
        <v>4.0317461973599323E-3</v>
      </c>
      <c r="F9" s="188">
        <v>17067058</v>
      </c>
      <c r="G9" s="158">
        <v>-0.10114958401120813</v>
      </c>
    </row>
    <row r="10" spans="1:11" ht="20" customHeight="1" thickBot="1">
      <c r="A10" s="328">
        <v>1999</v>
      </c>
      <c r="B10" s="188">
        <v>5833167</v>
      </c>
      <c r="C10" s="158">
        <v>1.1189155952523141E-2</v>
      </c>
      <c r="D10" s="188">
        <v>1096033</v>
      </c>
      <c r="E10" s="158">
        <v>-5.085563308014919E-2</v>
      </c>
      <c r="F10" s="188">
        <v>12747160</v>
      </c>
      <c r="G10" s="158">
        <v>-0.25311321963047173</v>
      </c>
    </row>
    <row r="11" spans="1:11" ht="19.5" customHeight="1" thickBot="1">
      <c r="A11" s="328">
        <v>2000</v>
      </c>
      <c r="B11" s="188">
        <v>5947035</v>
      </c>
      <c r="C11" s="158">
        <v>1.9520785192674923E-2</v>
      </c>
      <c r="D11" s="188">
        <v>1097932</v>
      </c>
      <c r="E11" s="158">
        <v>1.7326120655126261E-3</v>
      </c>
      <c r="F11" s="188">
        <v>12447351</v>
      </c>
      <c r="G11" s="158">
        <v>-2.3519670263807781E-2</v>
      </c>
    </row>
    <row r="12" spans="1:11" ht="19.5" customHeight="1" thickBot="1">
      <c r="A12" s="328">
        <v>2001</v>
      </c>
      <c r="B12" s="188">
        <v>6043905</v>
      </c>
      <c r="C12" s="158">
        <v>1.6288789287434831E-2</v>
      </c>
      <c r="D12" s="188">
        <v>1193315</v>
      </c>
      <c r="E12" s="158">
        <v>8.6875143451507014E-2</v>
      </c>
      <c r="F12" s="188">
        <v>12514126</v>
      </c>
      <c r="G12" s="158">
        <v>5.3645952460085683E-3</v>
      </c>
    </row>
    <row r="13" spans="1:11" ht="19.5" customHeight="1" thickBot="1">
      <c r="A13" s="328">
        <v>2002</v>
      </c>
      <c r="B13" s="188">
        <v>6170788</v>
      </c>
      <c r="C13" s="158">
        <v>2.0993546390950885E-2</v>
      </c>
      <c r="D13" s="188">
        <v>1207239</v>
      </c>
      <c r="E13" s="158">
        <v>1.1668335686721444E-2</v>
      </c>
      <c r="F13" s="188">
        <v>12391461</v>
      </c>
      <c r="G13" s="158">
        <v>-9.8021228170469109E-3</v>
      </c>
    </row>
    <row r="14" spans="1:11" ht="19.5" customHeight="1" thickBot="1">
      <c r="A14" s="328">
        <v>2003</v>
      </c>
      <c r="B14" s="188">
        <v>6105077</v>
      </c>
      <c r="C14" s="158">
        <v>-1.0648721038544834E-2</v>
      </c>
      <c r="D14" s="188">
        <v>1148028</v>
      </c>
      <c r="E14" s="158">
        <v>-4.904662622728391E-2</v>
      </c>
      <c r="F14" s="188">
        <v>11395671</v>
      </c>
      <c r="G14" s="158">
        <v>-8.0360984067980368E-2</v>
      </c>
    </row>
    <row r="15" spans="1:11" ht="19.5" customHeight="1" thickBot="1">
      <c r="A15" s="328">
        <v>2004</v>
      </c>
      <c r="B15" s="188">
        <v>6076231</v>
      </c>
      <c r="C15" s="158">
        <v>-4.7249199313948043E-3</v>
      </c>
      <c r="D15" s="188">
        <v>1196146</v>
      </c>
      <c r="E15" s="158">
        <v>4.191361186312529E-2</v>
      </c>
      <c r="F15" s="188">
        <v>11754955</v>
      </c>
      <c r="G15" s="158">
        <v>3.1528112736845422E-2</v>
      </c>
    </row>
    <row r="16" spans="1:11" ht="19.5" customHeight="1" thickBot="1">
      <c r="A16" s="328">
        <v>2005</v>
      </c>
      <c r="B16" s="188">
        <v>6104057</v>
      </c>
      <c r="C16" s="158">
        <v>4.5794835647294807E-3</v>
      </c>
      <c r="D16" s="188">
        <v>1219455</v>
      </c>
      <c r="E16" s="158">
        <v>1.948675161727742E-2</v>
      </c>
      <c r="F16" s="188">
        <v>11492862</v>
      </c>
      <c r="G16" s="158">
        <v>-2.2296384801132829E-2</v>
      </c>
    </row>
    <row r="17" spans="1:7" ht="19.5" customHeight="1" thickBot="1">
      <c r="A17" s="328">
        <v>2006</v>
      </c>
      <c r="B17" s="188">
        <v>6139775</v>
      </c>
      <c r="C17" s="158">
        <v>5.8515180968985447E-3</v>
      </c>
      <c r="D17" s="188">
        <v>1147933</v>
      </c>
      <c r="E17" s="158">
        <v>-5.86507907220849E-2</v>
      </c>
      <c r="F17" s="188">
        <v>11050113</v>
      </c>
      <c r="G17" s="158">
        <v>-3.8523824613921231E-2</v>
      </c>
    </row>
    <row r="18" spans="1:7" ht="19.5" customHeight="1" thickBot="1">
      <c r="A18" s="328">
        <v>2007</v>
      </c>
      <c r="B18" s="188">
        <v>6170950</v>
      </c>
      <c r="C18" s="158">
        <v>5.0775476300026767E-3</v>
      </c>
      <c r="D18" s="188">
        <v>1232442</v>
      </c>
      <c r="E18" s="158">
        <v>7.3618408042978034E-2</v>
      </c>
      <c r="F18" s="188">
        <v>11706006</v>
      </c>
      <c r="G18" s="158">
        <v>5.935622558791942E-2</v>
      </c>
    </row>
    <row r="19" spans="1:7" ht="19.5" customHeight="1" thickBot="1">
      <c r="A19" s="328">
        <v>2008</v>
      </c>
      <c r="B19" s="1202">
        <v>6246787.7832813188</v>
      </c>
      <c r="C19" s="1647">
        <v>1.2289482702228849E-2</v>
      </c>
      <c r="D19" s="188">
        <v>1283429</v>
      </c>
      <c r="E19" s="158">
        <v>4.1370709534404027E-2</v>
      </c>
      <c r="F19" s="188">
        <v>11789734</v>
      </c>
      <c r="G19" s="158">
        <v>7.152567664838072E-3</v>
      </c>
    </row>
    <row r="20" spans="1:7" ht="30" customHeight="1" thickBot="1">
      <c r="A20" s="329">
        <v>2009</v>
      </c>
      <c r="B20" s="191">
        <v>6463073</v>
      </c>
      <c r="C20" s="1648">
        <v>3.4623429548469531E-2</v>
      </c>
      <c r="D20" s="191">
        <v>1289334</v>
      </c>
      <c r="E20" s="161">
        <v>4.6009557209631957E-3</v>
      </c>
      <c r="F20" s="191">
        <v>11966875</v>
      </c>
      <c r="G20" s="161">
        <v>1.5025020920743426E-2</v>
      </c>
    </row>
    <row r="21" spans="1:7" ht="19.5" customHeight="1">
      <c r="A21" s="140" t="s">
        <v>324</v>
      </c>
      <c r="B21" s="140"/>
      <c r="C21" s="140"/>
      <c r="D21" s="140"/>
      <c r="E21" s="140"/>
      <c r="F21" s="140"/>
      <c r="G21" s="140"/>
    </row>
    <row r="22" spans="1:7" ht="12.75" customHeight="1">
      <c r="A22" s="141"/>
      <c r="B22" s="141"/>
      <c r="C22" s="141"/>
      <c r="D22" s="141"/>
      <c r="E22" s="141"/>
      <c r="F22" s="141"/>
      <c r="G22" s="141"/>
    </row>
    <row r="23" spans="1:7" ht="12.75" customHeight="1">
      <c r="A23" s="141" t="s">
        <v>331</v>
      </c>
      <c r="B23" s="141"/>
      <c r="C23" s="141"/>
      <c r="D23" s="141"/>
      <c r="E23" s="141"/>
      <c r="F23" s="141"/>
      <c r="G23" s="141"/>
    </row>
    <row r="24" spans="1:7" ht="12.75" customHeight="1">
      <c r="A24" s="1649" t="s">
        <v>332</v>
      </c>
      <c r="B24" s="141"/>
      <c r="C24" s="141"/>
      <c r="D24" s="141"/>
      <c r="E24" s="141"/>
      <c r="F24" s="141"/>
      <c r="G24" s="141"/>
    </row>
    <row r="25" spans="1:7" ht="12.75" customHeight="1">
      <c r="A25" s="2" t="s">
        <v>333</v>
      </c>
    </row>
    <row r="26" spans="1:7" ht="12.75" customHeight="1">
      <c r="A26" s="2" t="s">
        <v>334</v>
      </c>
    </row>
    <row r="27" spans="1:7" ht="12.75" customHeight="1">
      <c r="A27" s="2" t="s">
        <v>335</v>
      </c>
    </row>
    <row r="28" spans="1:7" ht="12.75" customHeight="1">
      <c r="A28" s="2" t="s">
        <v>336</v>
      </c>
    </row>
    <row r="30" spans="1:7">
      <c r="A30" s="2" t="s">
        <v>337</v>
      </c>
    </row>
    <row r="33" spans="1:1">
      <c r="A33" s="2" t="s">
        <v>710</v>
      </c>
    </row>
  </sheetData>
  <phoneticPr fontId="0" type="noConversion"/>
  <pageMargins left="0.53" right="0.47" top="0.92" bottom="0.49" header="0.54" footer="0.4921259845"/>
  <pageSetup paperSize="9" scale="86" orientation="portrait" horizontalDpi="4294967292" verticalDpi="4294967292"/>
  <headerFooter alignWithMargins="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1297F-6BCA-914E-94D4-87F9BF93D5C7}">
  <sheetPr>
    <pageSetUpPr fitToPage="1"/>
  </sheetPr>
  <dimension ref="A1:K39"/>
  <sheetViews>
    <sheetView zoomScale="75" workbookViewId="0">
      <selection activeCell="L24" sqref="L24"/>
    </sheetView>
  </sheetViews>
  <sheetFormatPr baseColWidth="10" defaultColWidth="11.3984375" defaultRowHeight="13"/>
  <cols>
    <col min="1" max="1" width="15.3984375" style="2" customWidth="1"/>
    <col min="2" max="9" width="14.59765625" style="168" customWidth="1"/>
    <col min="10" max="10" width="14.3984375" style="168" customWidth="1"/>
    <col min="11" max="11" width="14.19921875" style="168" customWidth="1"/>
    <col min="12" max="16384" width="11.3984375" style="2"/>
  </cols>
  <sheetData>
    <row r="1" spans="1:11" s="1" customFormat="1" ht="14" customHeight="1">
      <c r="A1" s="271"/>
      <c r="B1" s="1009"/>
      <c r="C1" s="1009"/>
      <c r="D1" s="1009"/>
      <c r="E1" s="1009"/>
      <c r="F1" s="1009"/>
      <c r="G1" s="1009"/>
      <c r="H1" s="1009"/>
      <c r="I1" s="1009"/>
      <c r="J1" s="1009"/>
      <c r="K1" s="1009"/>
    </row>
    <row r="2" spans="1:11" s="1" customFormat="1" ht="27" customHeight="1">
      <c r="A2" s="1074" t="s">
        <v>340</v>
      </c>
      <c r="B2" s="1650"/>
      <c r="C2" s="1650"/>
      <c r="D2" s="1650"/>
      <c r="E2" s="1650"/>
      <c r="F2" s="1650"/>
      <c r="G2" s="1650"/>
      <c r="H2" s="1650"/>
      <c r="I2" s="1650"/>
      <c r="J2" s="1651"/>
      <c r="K2" s="698"/>
    </row>
    <row r="3" spans="1:11" ht="20" customHeight="1">
      <c r="A3" s="325" t="s">
        <v>2320</v>
      </c>
      <c r="B3" s="1622" t="s">
        <v>2529</v>
      </c>
      <c r="C3" s="124"/>
      <c r="D3" s="181"/>
      <c r="E3" s="213" t="s">
        <v>1567</v>
      </c>
      <c r="F3" s="1652" t="s">
        <v>2541</v>
      </c>
      <c r="G3" s="325"/>
      <c r="H3" s="125"/>
      <c r="I3" s="213" t="s">
        <v>1567</v>
      </c>
      <c r="J3" s="2"/>
      <c r="K3" s="2"/>
    </row>
    <row r="4" spans="1:11" ht="32.25" customHeight="1">
      <c r="A4" s="325"/>
      <c r="B4" s="1082" t="s">
        <v>341</v>
      </c>
      <c r="C4" s="1653"/>
      <c r="D4" s="1654" t="s">
        <v>342</v>
      </c>
      <c r="E4" s="325"/>
      <c r="F4" s="1655" t="s">
        <v>341</v>
      </c>
      <c r="G4" s="1081"/>
      <c r="H4" s="1654" t="s">
        <v>342</v>
      </c>
      <c r="I4" s="122"/>
      <c r="J4" s="2"/>
      <c r="K4" s="2"/>
    </row>
    <row r="5" spans="1:11" ht="15" customHeight="1">
      <c r="A5" s="325"/>
      <c r="B5" s="123" t="s">
        <v>343</v>
      </c>
      <c r="C5" s="124" t="s">
        <v>2257</v>
      </c>
      <c r="D5" s="123" t="s">
        <v>2257</v>
      </c>
      <c r="E5" s="124"/>
      <c r="F5" s="1656" t="s">
        <v>343</v>
      </c>
      <c r="G5" s="124" t="s">
        <v>2257</v>
      </c>
      <c r="H5" s="123" t="s">
        <v>2257</v>
      </c>
      <c r="I5" s="124"/>
      <c r="J5" s="2"/>
      <c r="K5" s="2"/>
    </row>
    <row r="6" spans="1:11" ht="15" customHeight="1">
      <c r="A6" s="325"/>
      <c r="B6" s="392" t="s">
        <v>2257</v>
      </c>
      <c r="C6" s="913" t="s">
        <v>351</v>
      </c>
      <c r="D6" s="392" t="s">
        <v>375</v>
      </c>
      <c r="E6" s="124"/>
      <c r="F6" s="1657" t="s">
        <v>2257</v>
      </c>
      <c r="G6" s="124" t="s">
        <v>351</v>
      </c>
      <c r="H6" s="123" t="s">
        <v>375</v>
      </c>
      <c r="I6" s="124"/>
      <c r="J6" s="2"/>
      <c r="K6" s="2"/>
    </row>
    <row r="7" spans="1:11" ht="15" customHeight="1">
      <c r="A7" s="325"/>
      <c r="B7" s="392" t="s">
        <v>352</v>
      </c>
      <c r="C7" s="913"/>
      <c r="D7" s="392"/>
      <c r="E7" s="913"/>
      <c r="F7" s="1657" t="s">
        <v>352</v>
      </c>
      <c r="G7" s="124"/>
      <c r="H7" s="123"/>
      <c r="I7" s="124"/>
      <c r="J7" s="2"/>
      <c r="K7" s="2"/>
    </row>
    <row r="8" spans="1:11" ht="18" customHeight="1">
      <c r="A8" s="291"/>
      <c r="B8" s="129"/>
      <c r="C8" s="128"/>
      <c r="D8" s="129"/>
      <c r="E8" s="128"/>
      <c r="F8" s="1658"/>
      <c r="G8" s="128"/>
      <c r="H8" s="129"/>
      <c r="I8" s="128"/>
      <c r="J8" s="2"/>
      <c r="K8" s="2"/>
    </row>
    <row r="9" spans="1:11" ht="1.75" customHeight="1" thickBot="1">
      <c r="A9" s="941">
        <v>1991</v>
      </c>
      <c r="B9" s="1659">
        <v>996.2</v>
      </c>
      <c r="C9" s="1660" t="s">
        <v>744</v>
      </c>
      <c r="D9" s="1659">
        <v>780</v>
      </c>
      <c r="E9" s="1989">
        <v>1776.2</v>
      </c>
      <c r="F9" s="1661">
        <v>885.4</v>
      </c>
      <c r="G9" s="1660" t="s">
        <v>744</v>
      </c>
      <c r="H9" s="439">
        <v>649.4</v>
      </c>
      <c r="I9" s="1987">
        <v>1534.8</v>
      </c>
      <c r="J9" s="2"/>
      <c r="K9" s="2"/>
    </row>
    <row r="10" spans="1:11" ht="0.5" customHeight="1" thickBot="1">
      <c r="A10" s="943">
        <v>1992</v>
      </c>
      <c r="B10" s="1662">
        <v>1003.8</v>
      </c>
      <c r="C10" s="1660" t="s">
        <v>744</v>
      </c>
      <c r="D10" s="1663">
        <v>897</v>
      </c>
      <c r="E10" s="1990">
        <v>1900.8</v>
      </c>
      <c r="F10" s="1664">
        <v>923.2</v>
      </c>
      <c r="G10" s="1660" t="s">
        <v>744</v>
      </c>
      <c r="H10" s="1027">
        <v>783.9</v>
      </c>
      <c r="I10" s="1988">
        <v>1707.1</v>
      </c>
      <c r="J10" s="2"/>
      <c r="K10" s="2"/>
    </row>
    <row r="11" spans="1:11" ht="0.5" hidden="1" customHeight="1" thickBot="1">
      <c r="A11" s="943">
        <v>1993</v>
      </c>
      <c r="B11" s="1662">
        <v>1026.2</v>
      </c>
      <c r="C11" s="1660" t="s">
        <v>744</v>
      </c>
      <c r="D11" s="1663">
        <v>932.8</v>
      </c>
      <c r="E11" s="1990">
        <v>1959</v>
      </c>
      <c r="F11" s="1664">
        <v>928.41399999999999</v>
      </c>
      <c r="G11" s="1660" t="s">
        <v>744</v>
      </c>
      <c r="H11" s="1027">
        <v>833.7</v>
      </c>
      <c r="I11" s="1988">
        <v>1762.114</v>
      </c>
      <c r="J11" s="2"/>
      <c r="K11" s="2"/>
    </row>
    <row r="12" spans="1:11" ht="1.75" hidden="1" customHeight="1" thickBot="1">
      <c r="A12" s="943">
        <v>1994</v>
      </c>
      <c r="B12" s="1662">
        <v>1052.2</v>
      </c>
      <c r="C12" s="1660" t="s">
        <v>744</v>
      </c>
      <c r="D12" s="1663">
        <v>931.1</v>
      </c>
      <c r="E12" s="1990">
        <v>1983.3000000000002</v>
      </c>
      <c r="F12" s="1664">
        <v>983.23500000000001</v>
      </c>
      <c r="G12" s="1660" t="s">
        <v>744</v>
      </c>
      <c r="H12" s="1027">
        <v>876.1</v>
      </c>
      <c r="I12" s="1988">
        <v>1859.335</v>
      </c>
      <c r="J12" s="2"/>
      <c r="K12" s="2"/>
    </row>
    <row r="13" spans="1:11" ht="1.75" hidden="1" customHeight="1" thickBot="1">
      <c r="A13" s="943">
        <v>1995</v>
      </c>
      <c r="B13" s="1662">
        <v>1073.0999999999999</v>
      </c>
      <c r="C13" s="1660" t="s">
        <v>744</v>
      </c>
      <c r="D13" s="1663">
        <v>935</v>
      </c>
      <c r="E13" s="1990">
        <v>2008.1</v>
      </c>
      <c r="F13" s="1664">
        <v>1017.388</v>
      </c>
      <c r="G13" s="1660" t="s">
        <v>744</v>
      </c>
      <c r="H13" s="1027">
        <v>901.4</v>
      </c>
      <c r="I13" s="1988">
        <v>1918.788</v>
      </c>
      <c r="J13" s="2"/>
      <c r="K13" s="2"/>
    </row>
    <row r="14" spans="1:11" ht="1.75" hidden="1" customHeight="1" thickBot="1">
      <c r="A14" s="943">
        <v>1996</v>
      </c>
      <c r="B14" s="1662">
        <v>832</v>
      </c>
      <c r="C14" s="1666">
        <v>180.9</v>
      </c>
      <c r="D14" s="1663">
        <v>978.3</v>
      </c>
      <c r="E14" s="1990">
        <v>1991.1999999999998</v>
      </c>
      <c r="F14" s="1664">
        <v>872.50191104999999</v>
      </c>
      <c r="G14" s="1666">
        <v>116.7</v>
      </c>
      <c r="H14" s="1027">
        <v>846.1</v>
      </c>
      <c r="I14" s="1988">
        <v>1835.3019110499999</v>
      </c>
      <c r="J14"/>
      <c r="K14" s="2"/>
    </row>
    <row r="15" spans="1:11" ht="1.75" hidden="1" customHeight="1" thickBot="1">
      <c r="A15" s="943">
        <v>1997</v>
      </c>
      <c r="B15" s="1662">
        <v>558.9</v>
      </c>
      <c r="C15" s="442">
        <v>393.8</v>
      </c>
      <c r="D15" s="441">
        <v>1319.9</v>
      </c>
      <c r="E15" s="1989">
        <v>2272.6000000000004</v>
      </c>
      <c r="F15" s="1664">
        <v>621.52611999999999</v>
      </c>
      <c r="G15" s="442">
        <v>335.7</v>
      </c>
      <c r="H15" s="441">
        <v>1082.8</v>
      </c>
      <c r="I15" s="1987">
        <v>2040.02612</v>
      </c>
      <c r="J15"/>
      <c r="K15" s="2"/>
    </row>
    <row r="16" spans="1:11" ht="1.75" hidden="1" customHeight="1" thickBot="1">
      <c r="A16" s="943">
        <v>1998</v>
      </c>
      <c r="B16" s="1662">
        <v>509.6</v>
      </c>
      <c r="C16" s="442">
        <v>508.1</v>
      </c>
      <c r="D16" s="441">
        <v>1428.4</v>
      </c>
      <c r="E16" s="1989">
        <v>2446.1000000000004</v>
      </c>
      <c r="F16" s="1664">
        <v>456.36259100000001</v>
      </c>
      <c r="G16" s="442">
        <v>453.7</v>
      </c>
      <c r="H16" s="441">
        <v>1137.0999999999999</v>
      </c>
      <c r="I16" s="1987">
        <v>2047.1625909999998</v>
      </c>
      <c r="J16"/>
      <c r="K16" s="2"/>
    </row>
    <row r="17" spans="1:11" ht="18" customHeight="1" thickBot="1">
      <c r="A17" s="943">
        <v>1999</v>
      </c>
      <c r="B17" s="1662">
        <v>462.9</v>
      </c>
      <c r="C17" s="442">
        <v>442.7</v>
      </c>
      <c r="D17" s="441">
        <v>1337.8</v>
      </c>
      <c r="E17" s="1989">
        <v>2243.3999999999996</v>
      </c>
      <c r="F17" s="1664">
        <v>412.14915300000001</v>
      </c>
      <c r="G17" s="442">
        <v>385.2</v>
      </c>
      <c r="H17" s="441">
        <v>1077.5</v>
      </c>
      <c r="I17" s="1987">
        <v>1874.8491530000001</v>
      </c>
      <c r="J17"/>
      <c r="K17" s="2"/>
    </row>
    <row r="18" spans="1:11" ht="20" customHeight="1" thickBot="1">
      <c r="A18" s="943">
        <v>2000</v>
      </c>
      <c r="B18" s="1662">
        <v>438.9</v>
      </c>
      <c r="C18" s="442">
        <v>339.7</v>
      </c>
      <c r="D18" s="441">
        <v>1636.2</v>
      </c>
      <c r="E18" s="1989">
        <v>2414.8000000000002</v>
      </c>
      <c r="F18" s="1664">
        <v>381.63992000000002</v>
      </c>
      <c r="G18" s="442">
        <v>299.2</v>
      </c>
      <c r="H18" s="441">
        <v>1334.1</v>
      </c>
      <c r="I18" s="1987">
        <v>2014.9399199999998</v>
      </c>
      <c r="J18"/>
      <c r="K18" s="2"/>
    </row>
    <row r="19" spans="1:11" ht="20" customHeight="1" thickBot="1">
      <c r="A19" s="943">
        <v>2001</v>
      </c>
      <c r="B19" s="1662">
        <v>398.65</v>
      </c>
      <c r="C19" s="442">
        <v>248.38</v>
      </c>
      <c r="D19" s="441">
        <v>1850.78</v>
      </c>
      <c r="E19" s="1660">
        <v>2497.81</v>
      </c>
      <c r="F19" s="1664">
        <v>351.97137099999998</v>
      </c>
      <c r="G19" s="442">
        <v>201.85</v>
      </c>
      <c r="H19" s="441">
        <v>1595.15</v>
      </c>
      <c r="I19" s="440">
        <v>2148.9713710000001</v>
      </c>
      <c r="J19"/>
      <c r="K19" s="2"/>
    </row>
    <row r="20" spans="1:11" ht="20" customHeight="1" thickBot="1">
      <c r="A20" s="943">
        <v>2002</v>
      </c>
      <c r="B20" s="1662">
        <v>370.90300000000002</v>
      </c>
      <c r="C20" s="442">
        <v>248.779527</v>
      </c>
      <c r="D20" s="441">
        <v>1945.9522629999999</v>
      </c>
      <c r="E20" s="1660">
        <v>2565.6347900000001</v>
      </c>
      <c r="F20" s="1664">
        <v>329.149</v>
      </c>
      <c r="G20" s="442">
        <v>227.06825000000001</v>
      </c>
      <c r="H20" s="441">
        <v>1700.9860189999999</v>
      </c>
      <c r="I20" s="440">
        <v>2257.2032690000001</v>
      </c>
      <c r="J20"/>
      <c r="K20" s="2"/>
    </row>
    <row r="21" spans="1:11" ht="20" customHeight="1" thickBot="1">
      <c r="A21" s="943">
        <v>2003</v>
      </c>
      <c r="B21" s="1662">
        <v>354.08080662000003</v>
      </c>
      <c r="C21" s="442">
        <v>295.50233600000001</v>
      </c>
      <c r="D21" s="441">
        <v>2059.7853359999999</v>
      </c>
      <c r="E21" s="1660">
        <v>2709.3684786200001</v>
      </c>
      <c r="F21" s="1664">
        <v>309.91303072000005</v>
      </c>
      <c r="G21" s="442">
        <v>266.92607400000003</v>
      </c>
      <c r="H21" s="441">
        <v>1821.754373</v>
      </c>
      <c r="I21" s="440">
        <v>2398.59347772</v>
      </c>
      <c r="J21"/>
      <c r="K21" s="2"/>
    </row>
    <row r="22" spans="1:11" ht="20" customHeight="1" thickBot="1">
      <c r="A22" s="943">
        <v>2004</v>
      </c>
      <c r="B22" s="1662">
        <v>354.05374882999996</v>
      </c>
      <c r="C22" s="442">
        <v>465.97641131</v>
      </c>
      <c r="D22" s="441">
        <v>2199.5077430000001</v>
      </c>
      <c r="E22" s="1660">
        <v>3019.5379031399998</v>
      </c>
      <c r="F22" s="1664">
        <v>277.93515424999998</v>
      </c>
      <c r="G22" s="442">
        <v>341.37247587999997</v>
      </c>
      <c r="H22" s="441">
        <v>1729.046304</v>
      </c>
      <c r="I22" s="440">
        <v>2348.3539341300002</v>
      </c>
      <c r="J22"/>
      <c r="K22" s="2"/>
    </row>
    <row r="23" spans="1:11" ht="20" customHeight="1" thickBot="1">
      <c r="A23" s="943">
        <v>2005</v>
      </c>
      <c r="B23" s="1662">
        <v>340.05814830000003</v>
      </c>
      <c r="C23" s="442">
        <v>497.83377424000003</v>
      </c>
      <c r="D23" s="441">
        <v>2145.0129550000001</v>
      </c>
      <c r="E23" s="1660">
        <v>2982.9048775400001</v>
      </c>
      <c r="F23" s="1664">
        <v>251.06148209</v>
      </c>
      <c r="G23" s="442">
        <v>268.00454783000004</v>
      </c>
      <c r="H23" s="441">
        <v>1547.535421</v>
      </c>
      <c r="I23" s="440">
        <v>2066.6014509199999</v>
      </c>
      <c r="J23"/>
      <c r="K23" s="2"/>
    </row>
    <row r="24" spans="1:11" ht="20" customHeight="1" thickBot="1">
      <c r="A24" s="943">
        <v>2006</v>
      </c>
      <c r="B24" s="1662">
        <v>315.75842189999997</v>
      </c>
      <c r="C24" s="442">
        <v>549.01423610000006</v>
      </c>
      <c r="D24" s="441">
        <v>2152.4333590000001</v>
      </c>
      <c r="E24" s="1660">
        <v>3017.2060170000004</v>
      </c>
      <c r="F24" s="1664">
        <v>220.62135384000001</v>
      </c>
      <c r="G24" s="442">
        <v>347.81852166000004</v>
      </c>
      <c r="H24" s="441">
        <v>1471.853128</v>
      </c>
      <c r="I24" s="440">
        <v>2040.2930034999999</v>
      </c>
      <c r="J24"/>
      <c r="K24" s="2"/>
    </row>
    <row r="25" spans="1:11" ht="20" customHeight="1" thickBot="1">
      <c r="A25" s="943">
        <v>2007</v>
      </c>
      <c r="B25" s="1662">
        <v>299.25460810000004</v>
      </c>
      <c r="C25" s="442">
        <v>544.40750937999996</v>
      </c>
      <c r="D25" s="441">
        <v>2152.1659110000001</v>
      </c>
      <c r="E25" s="1660">
        <v>2995.8280284800003</v>
      </c>
      <c r="F25" s="1664">
        <v>207.71949052000002</v>
      </c>
      <c r="G25" s="442">
        <v>361.81478957000002</v>
      </c>
      <c r="H25" s="441">
        <v>1413.613732</v>
      </c>
      <c r="I25" s="440">
        <v>1983.1480120900001</v>
      </c>
      <c r="J25"/>
      <c r="K25" s="2"/>
    </row>
    <row r="26" spans="1:11" ht="20" customHeight="1" thickBot="1">
      <c r="A26" s="943">
        <v>2008</v>
      </c>
      <c r="B26" s="1662">
        <v>279.14776779000005</v>
      </c>
      <c r="C26" s="442">
        <v>601.73837565999997</v>
      </c>
      <c r="D26" s="441">
        <v>2165.5996903400001</v>
      </c>
      <c r="E26" s="1660">
        <v>3046.48583379</v>
      </c>
      <c r="F26" s="1664">
        <v>198.28855634000001</v>
      </c>
      <c r="G26" s="442">
        <v>376.54164749</v>
      </c>
      <c r="H26" s="441">
        <v>1588.33368651</v>
      </c>
      <c r="I26" s="440">
        <v>2163.1638903399999</v>
      </c>
      <c r="J26"/>
      <c r="K26" s="2"/>
    </row>
    <row r="27" spans="1:11" s="162" customFormat="1" ht="27.75" customHeight="1" thickBot="1">
      <c r="A27" s="946">
        <v>2009</v>
      </c>
      <c r="B27" s="1667">
        <v>266.99439283000004</v>
      </c>
      <c r="C27" s="935">
        <v>613.90236912</v>
      </c>
      <c r="D27" s="690">
        <v>2277.2683508800001</v>
      </c>
      <c r="E27" s="1668">
        <v>3158.16511283</v>
      </c>
      <c r="F27" s="1669">
        <v>197.19709062000001</v>
      </c>
      <c r="G27" s="935">
        <v>416.67744579000004</v>
      </c>
      <c r="H27" s="690">
        <v>1765.9177112100001</v>
      </c>
      <c r="I27" s="1668">
        <v>2379.7922476200001</v>
      </c>
      <c r="J27" s="1670"/>
      <c r="K27" s="1643"/>
    </row>
    <row r="28" spans="1:11" ht="20" customHeight="1">
      <c r="A28" s="1011" t="s">
        <v>323</v>
      </c>
      <c r="B28" s="1012"/>
      <c r="C28" s="1012"/>
      <c r="D28" s="1012"/>
      <c r="E28" s="1012"/>
      <c r="F28" s="1012"/>
      <c r="G28" s="1012"/>
      <c r="H28" s="1012"/>
      <c r="I28" s="1012"/>
      <c r="J28" s="1025"/>
      <c r="K28" s="1025"/>
    </row>
    <row r="29" spans="1:11" ht="13.5" customHeight="1">
      <c r="A29" s="1024"/>
      <c r="B29" s="1025"/>
      <c r="C29" s="1025"/>
      <c r="D29" s="1025"/>
      <c r="E29" s="1025"/>
      <c r="F29" s="1025"/>
      <c r="G29" s="1025"/>
      <c r="H29" s="1025"/>
      <c r="I29" s="1025"/>
      <c r="J29" s="1025"/>
      <c r="K29" s="1025"/>
    </row>
    <row r="30" spans="1:11">
      <c r="A30" s="201" t="s">
        <v>344</v>
      </c>
      <c r="B30" s="1016"/>
      <c r="C30" s="1016"/>
      <c r="D30" s="1016"/>
      <c r="E30" s="1016"/>
      <c r="F30" s="1016"/>
      <c r="G30" s="1016"/>
      <c r="H30" s="1016"/>
      <c r="I30" s="1016"/>
      <c r="J30" s="1016"/>
      <c r="K30" s="1016"/>
    </row>
    <row r="31" spans="1:11">
      <c r="A31" s="201" t="s">
        <v>345</v>
      </c>
      <c r="B31" s="1016"/>
      <c r="C31" s="1016"/>
      <c r="D31" s="1016"/>
      <c r="E31" s="1016"/>
      <c r="F31" s="1016"/>
      <c r="G31" s="1016"/>
      <c r="H31" s="1016"/>
      <c r="I31" s="1016"/>
      <c r="J31" s="1016"/>
      <c r="K31" s="1016"/>
    </row>
    <row r="32" spans="1:11">
      <c r="A32" s="201" t="s">
        <v>346</v>
      </c>
      <c r="B32" s="1016"/>
      <c r="C32" s="1016"/>
      <c r="D32" s="1016"/>
      <c r="E32" s="1016"/>
      <c r="F32" s="1016"/>
      <c r="G32" s="1016"/>
      <c r="H32" s="1016"/>
      <c r="I32" s="1016"/>
      <c r="J32" s="1016"/>
      <c r="K32" s="1016"/>
    </row>
    <row r="33" spans="1:11">
      <c r="A33" s="201" t="s">
        <v>347</v>
      </c>
      <c r="B33" s="1016"/>
      <c r="C33" s="1016"/>
      <c r="D33" s="1016"/>
      <c r="E33" s="1016"/>
      <c r="F33" s="1016"/>
      <c r="G33" s="1016"/>
      <c r="H33" s="1016"/>
      <c r="I33" s="1016"/>
      <c r="J33" s="1016"/>
      <c r="K33" s="1016"/>
    </row>
    <row r="34" spans="1:11">
      <c r="A34" s="201" t="s">
        <v>348</v>
      </c>
      <c r="B34" s="1016"/>
      <c r="C34" s="1016"/>
      <c r="D34" s="1016"/>
      <c r="E34" s="1016"/>
      <c r="F34" s="1016"/>
      <c r="G34" s="1016"/>
      <c r="H34" s="1016"/>
      <c r="I34" s="1016"/>
      <c r="J34" s="1016"/>
      <c r="K34" s="1016"/>
    </row>
    <row r="35" spans="1:11">
      <c r="A35" s="1024" t="s">
        <v>349</v>
      </c>
      <c r="B35" s="1016"/>
      <c r="C35" s="1016"/>
      <c r="D35" s="1016"/>
      <c r="E35" s="1016"/>
      <c r="F35" s="1016"/>
      <c r="G35" s="1016"/>
      <c r="H35" s="1016"/>
      <c r="I35" s="1016"/>
      <c r="J35" s="1016"/>
      <c r="K35" s="1016"/>
    </row>
    <row r="36" spans="1:11">
      <c r="A36" s="1024" t="s">
        <v>350</v>
      </c>
      <c r="B36" s="1016"/>
      <c r="C36" s="1016"/>
      <c r="D36" s="1016"/>
      <c r="E36" s="1016"/>
      <c r="F36" s="1016"/>
      <c r="G36" s="1016"/>
      <c r="H36" s="1016"/>
      <c r="I36" s="1016"/>
      <c r="J36" s="1016"/>
      <c r="K36" s="1016"/>
    </row>
    <row r="37" spans="1:11">
      <c r="A37" s="1671"/>
      <c r="B37" s="1016"/>
      <c r="C37" s="1016"/>
      <c r="D37" s="1016"/>
      <c r="E37" s="1016"/>
      <c r="F37" s="1016"/>
      <c r="G37" s="1016"/>
      <c r="H37" s="1016"/>
      <c r="I37" s="1016"/>
      <c r="J37" s="1016"/>
      <c r="K37" s="1016"/>
    </row>
    <row r="39" spans="1:11">
      <c r="A39" s="2" t="s">
        <v>710</v>
      </c>
    </row>
  </sheetData>
  <phoneticPr fontId="0" type="noConversion"/>
  <pageMargins left="0.48" right="0.44" top="0.72" bottom="0.49" header="0.45" footer="0.4921259845"/>
  <pageSetup paperSize="9" scale="64" orientation="portrait"/>
  <headerFooter alignWithMargins="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A35AA-A009-9845-BC33-9EE294F849A5}">
  <sheetPr>
    <pageSetUpPr fitToPage="1"/>
  </sheetPr>
  <dimension ref="A1:L39"/>
  <sheetViews>
    <sheetView topLeftCell="D1" zoomScale="75" workbookViewId="0">
      <selection activeCell="K18" sqref="K18"/>
    </sheetView>
  </sheetViews>
  <sheetFormatPr baseColWidth="10" defaultColWidth="11.3984375" defaultRowHeight="13"/>
  <cols>
    <col min="1" max="1" width="13" style="2" customWidth="1"/>
    <col min="2" max="2" width="17" style="168" customWidth="1"/>
    <col min="3" max="3" width="17.3984375" style="168" customWidth="1"/>
    <col min="4" max="4" width="16.796875" style="168" customWidth="1"/>
    <col min="5" max="5" width="15.19921875" style="168" customWidth="1"/>
    <col min="6" max="6" width="16.3984375" style="168" customWidth="1"/>
    <col min="7" max="7" width="17.59765625" style="168" customWidth="1"/>
    <col min="8" max="8" width="17.19921875" style="168" customWidth="1"/>
    <col min="9" max="9" width="16.3984375" style="168" customWidth="1"/>
    <col min="10" max="10" width="9.59765625" style="2" customWidth="1"/>
    <col min="11" max="16384" width="11.3984375" style="2"/>
  </cols>
  <sheetData>
    <row r="1" spans="1:12" s="1" customFormat="1" ht="14" customHeight="1">
      <c r="A1" s="271"/>
      <c r="B1" s="1009"/>
      <c r="C1" s="1009"/>
      <c r="D1" s="1009"/>
      <c r="E1" s="1009"/>
      <c r="F1" s="1009"/>
      <c r="G1" s="1009"/>
      <c r="H1" s="1009"/>
      <c r="I1" s="1009"/>
    </row>
    <row r="2" spans="1:12" s="1" customFormat="1" ht="27" customHeight="1">
      <c r="A2" s="1074" t="s">
        <v>359</v>
      </c>
      <c r="B2" s="1650"/>
      <c r="C2" s="1650"/>
      <c r="D2" s="1650"/>
      <c r="E2" s="1650"/>
      <c r="F2" s="1650"/>
      <c r="G2" s="1650"/>
      <c r="H2" s="1650"/>
      <c r="I2" s="715"/>
    </row>
    <row r="3" spans="1:12" ht="20" customHeight="1">
      <c r="A3" s="325" t="s">
        <v>2320</v>
      </c>
      <c r="B3" s="1622" t="s">
        <v>2529</v>
      </c>
      <c r="C3" s="124"/>
      <c r="D3" s="123"/>
      <c r="E3" s="213" t="s">
        <v>1567</v>
      </c>
      <c r="F3" s="1672" t="s">
        <v>2541</v>
      </c>
      <c r="G3" s="325"/>
      <c r="H3" s="181"/>
      <c r="I3" s="213" t="s">
        <v>1567</v>
      </c>
    </row>
    <row r="4" spans="1:12" ht="33" customHeight="1">
      <c r="A4" s="325"/>
      <c r="B4" s="1082" t="s">
        <v>341</v>
      </c>
      <c r="C4" s="1653"/>
      <c r="D4" s="1654" t="s">
        <v>360</v>
      </c>
      <c r="E4" s="1673"/>
      <c r="F4" s="1655" t="s">
        <v>341</v>
      </c>
      <c r="G4" s="1081"/>
      <c r="H4" s="1654" t="s">
        <v>360</v>
      </c>
      <c r="I4" s="1673"/>
    </row>
    <row r="5" spans="1:12" ht="15" customHeight="1">
      <c r="A5" s="325"/>
      <c r="B5" s="392" t="s">
        <v>353</v>
      </c>
      <c r="C5" s="913" t="s">
        <v>2359</v>
      </c>
      <c r="D5" s="392" t="s">
        <v>2257</v>
      </c>
      <c r="E5" s="124"/>
      <c r="F5" s="1657" t="s">
        <v>353</v>
      </c>
      <c r="G5" s="913" t="s">
        <v>2359</v>
      </c>
      <c r="H5" s="392" t="s">
        <v>2257</v>
      </c>
      <c r="I5" s="124"/>
    </row>
    <row r="6" spans="1:12" ht="17.25" customHeight="1">
      <c r="A6" s="325"/>
      <c r="B6" s="392" t="s">
        <v>361</v>
      </c>
      <c r="C6" s="913" t="s">
        <v>362</v>
      </c>
      <c r="D6" s="392" t="s">
        <v>2363</v>
      </c>
      <c r="E6" s="124"/>
      <c r="F6" s="1657" t="s">
        <v>361</v>
      </c>
      <c r="G6" s="913" t="s">
        <v>362</v>
      </c>
      <c r="H6" s="392" t="s">
        <v>2363</v>
      </c>
      <c r="I6" s="124"/>
    </row>
    <row r="7" spans="1:12" ht="16.5" customHeight="1">
      <c r="A7" s="291"/>
      <c r="B7" s="129"/>
      <c r="C7" s="128"/>
      <c r="D7" s="129"/>
      <c r="E7" s="128"/>
      <c r="F7" s="1658"/>
      <c r="G7" s="128"/>
      <c r="H7" s="129"/>
      <c r="I7" s="128"/>
    </row>
    <row r="8" spans="1:12" ht="1.5" customHeight="1" thickBot="1">
      <c r="A8" s="941">
        <v>1991</v>
      </c>
      <c r="B8" s="1659">
        <v>7381.6</v>
      </c>
      <c r="C8" s="1660">
        <v>2030</v>
      </c>
      <c r="D8" s="1659">
        <v>763.6</v>
      </c>
      <c r="E8" s="440">
        <v>10175.200000000001</v>
      </c>
      <c r="F8" s="1661">
        <v>8411.9</v>
      </c>
      <c r="G8" s="1660">
        <v>1717.6</v>
      </c>
      <c r="H8" s="1659">
        <v>608.6</v>
      </c>
      <c r="I8" s="440">
        <v>10738.1</v>
      </c>
    </row>
    <row r="9" spans="1:12" ht="20" hidden="1" customHeight="1" thickBot="1">
      <c r="A9" s="943">
        <v>1992</v>
      </c>
      <c r="B9" s="1662">
        <v>8071.6</v>
      </c>
      <c r="C9" s="1666">
        <v>2234.5</v>
      </c>
      <c r="D9" s="1663">
        <v>751.05194456734102</v>
      </c>
      <c r="E9" s="1665">
        <v>11057.151944567342</v>
      </c>
      <c r="F9" s="1664">
        <v>9374.4</v>
      </c>
      <c r="G9" s="1666">
        <v>1832.3</v>
      </c>
      <c r="H9" s="1663">
        <v>631.14866850607859</v>
      </c>
      <c r="I9" s="1665">
        <v>11837.848668506078</v>
      </c>
    </row>
    <row r="10" spans="1:12" ht="20" hidden="1" customHeight="1" thickBot="1">
      <c r="A10" s="943">
        <v>1993</v>
      </c>
      <c r="B10" s="1662">
        <v>8959</v>
      </c>
      <c r="C10" s="1666">
        <v>3326.3</v>
      </c>
      <c r="D10" s="1663">
        <v>734.92479192401356</v>
      </c>
      <c r="E10" s="1665">
        <v>13020.224791924013</v>
      </c>
      <c r="F10" s="1664">
        <v>9747.2000000000007</v>
      </c>
      <c r="G10" s="1666">
        <v>2431.9</v>
      </c>
      <c r="H10" s="1663">
        <v>626.00138979065252</v>
      </c>
      <c r="I10" s="1665">
        <v>12805.101389790652</v>
      </c>
    </row>
    <row r="11" spans="1:12" ht="20" hidden="1" customHeight="1" thickBot="1">
      <c r="A11" s="943">
        <v>1994</v>
      </c>
      <c r="B11" s="1662">
        <v>8986.1</v>
      </c>
      <c r="C11" s="1666">
        <v>4076.6</v>
      </c>
      <c r="D11" s="1663">
        <v>690.03021854426788</v>
      </c>
      <c r="E11" s="1665">
        <v>13752.730218544268</v>
      </c>
      <c r="F11" s="1664">
        <v>9548.9</v>
      </c>
      <c r="G11" s="1666">
        <v>3331.5</v>
      </c>
      <c r="H11" s="1663">
        <v>613.0603501903413</v>
      </c>
      <c r="I11" s="1665">
        <v>13493.46035019034</v>
      </c>
    </row>
    <row r="12" spans="1:12" ht="19.5" hidden="1" customHeight="1" thickBot="1">
      <c r="A12" s="943">
        <v>1995</v>
      </c>
      <c r="B12" s="1662">
        <v>9125.7999999999993</v>
      </c>
      <c r="C12" s="1666">
        <v>4249.7</v>
      </c>
      <c r="D12" s="1663">
        <v>651.42256806953048</v>
      </c>
      <c r="E12" s="1665">
        <v>14026.922568069531</v>
      </c>
      <c r="F12" s="1664">
        <v>10017.200000000001</v>
      </c>
      <c r="G12" s="1666">
        <v>3664.1</v>
      </c>
      <c r="H12" s="1663">
        <v>587.27080996548773</v>
      </c>
      <c r="I12" s="1665">
        <v>14268.570809965489</v>
      </c>
    </row>
    <row r="13" spans="1:12" ht="0.75" hidden="1" customHeight="1" thickBot="1">
      <c r="A13" s="943">
        <v>1996</v>
      </c>
      <c r="B13" s="1662">
        <v>11035.2</v>
      </c>
      <c r="C13" s="1666">
        <v>4337.5</v>
      </c>
      <c r="D13" s="1663">
        <v>640.36315374410731</v>
      </c>
      <c r="E13" s="1665">
        <v>16013.063153744108</v>
      </c>
      <c r="F13" s="1664">
        <v>10780.5</v>
      </c>
      <c r="G13" s="1666">
        <v>3809.6285714248806</v>
      </c>
      <c r="H13" s="1663">
        <v>512.67578326995283</v>
      </c>
      <c r="I13" s="1665">
        <v>15102.804354694834</v>
      </c>
      <c r="K13"/>
      <c r="L13"/>
    </row>
    <row r="14" spans="1:12" ht="19.5" hidden="1" customHeight="1" thickBot="1">
      <c r="A14" s="943">
        <v>1997</v>
      </c>
      <c r="B14" s="441">
        <v>11924.8</v>
      </c>
      <c r="C14" s="442">
        <v>4410.6000000000004</v>
      </c>
      <c r="D14" s="441">
        <v>601.9</v>
      </c>
      <c r="E14" s="440">
        <v>16937.3</v>
      </c>
      <c r="F14" s="1674">
        <v>11360.5</v>
      </c>
      <c r="G14" s="442">
        <v>3288.3</v>
      </c>
      <c r="H14" s="441">
        <v>475.9</v>
      </c>
      <c r="I14" s="440">
        <v>15124.7</v>
      </c>
      <c r="K14"/>
      <c r="L14"/>
    </row>
    <row r="15" spans="1:12" ht="0.75" customHeight="1" thickBot="1">
      <c r="A15" s="943">
        <v>1998</v>
      </c>
      <c r="B15" s="441">
        <v>12604.2</v>
      </c>
      <c r="C15" s="442">
        <v>4453.3</v>
      </c>
      <c r="D15" s="441">
        <v>637.79999999999995</v>
      </c>
      <c r="E15" s="440">
        <v>17695.3</v>
      </c>
      <c r="F15" s="1674">
        <v>11926.9</v>
      </c>
      <c r="G15" s="442">
        <v>3299.5</v>
      </c>
      <c r="H15" s="441">
        <v>460.1</v>
      </c>
      <c r="I15" s="440">
        <v>15686.5</v>
      </c>
      <c r="K15"/>
      <c r="L15"/>
    </row>
    <row r="16" spans="1:12" ht="20" customHeight="1" thickBot="1">
      <c r="A16" s="943">
        <v>1999</v>
      </c>
      <c r="B16" s="441">
        <v>12949.5</v>
      </c>
      <c r="C16" s="442">
        <v>3766.7</v>
      </c>
      <c r="D16" s="441">
        <v>1098.2</v>
      </c>
      <c r="E16" s="440">
        <v>17814.400000000001</v>
      </c>
      <c r="F16" s="1674">
        <v>12430.6</v>
      </c>
      <c r="G16" s="442">
        <v>2787.1</v>
      </c>
      <c r="H16" s="441">
        <v>763.9</v>
      </c>
      <c r="I16" s="440">
        <v>15981.6</v>
      </c>
      <c r="K16"/>
      <c r="L16"/>
    </row>
    <row r="17" spans="1:12" ht="20" customHeight="1" thickBot="1">
      <c r="A17" s="943">
        <v>2000</v>
      </c>
      <c r="B17" s="441">
        <v>13346.7</v>
      </c>
      <c r="C17" s="442">
        <v>2917.4</v>
      </c>
      <c r="D17" s="441">
        <v>2242.9</v>
      </c>
      <c r="E17" s="440">
        <v>18507</v>
      </c>
      <c r="F17" s="1674">
        <v>13190.3</v>
      </c>
      <c r="G17" s="442">
        <v>2199.1</v>
      </c>
      <c r="H17" s="441">
        <v>1583.8</v>
      </c>
      <c r="I17" s="440">
        <v>16973.2</v>
      </c>
      <c r="K17"/>
      <c r="L17"/>
    </row>
    <row r="18" spans="1:12" ht="20" customHeight="1" thickBot="1">
      <c r="A18" s="943">
        <v>2001</v>
      </c>
      <c r="B18" s="441">
        <v>13954.7</v>
      </c>
      <c r="C18" s="442">
        <v>1986.99</v>
      </c>
      <c r="D18" s="441">
        <v>3190.46</v>
      </c>
      <c r="E18" s="440">
        <v>19132.150000000001</v>
      </c>
      <c r="F18" s="1674">
        <v>13986.27</v>
      </c>
      <c r="G18" s="442">
        <v>1576.7</v>
      </c>
      <c r="H18" s="441">
        <v>2353.3000000000002</v>
      </c>
      <c r="I18" s="440">
        <v>17916.27</v>
      </c>
      <c r="K18"/>
      <c r="L18"/>
    </row>
    <row r="19" spans="1:12" ht="20" customHeight="1" thickBot="1">
      <c r="A19" s="943">
        <v>2002</v>
      </c>
      <c r="B19" s="441">
        <v>15296.16</v>
      </c>
      <c r="C19" s="442">
        <v>1958.4404729999999</v>
      </c>
      <c r="D19" s="441">
        <v>3432.3745709999994</v>
      </c>
      <c r="E19" s="440">
        <v>20686.975043999999</v>
      </c>
      <c r="F19" s="1674">
        <v>14592.75</v>
      </c>
      <c r="G19" s="442">
        <v>1422.34175</v>
      </c>
      <c r="H19" s="441">
        <v>2395.4617459999999</v>
      </c>
      <c r="I19" s="440">
        <v>18410.553496</v>
      </c>
      <c r="K19"/>
      <c r="L19"/>
    </row>
    <row r="20" spans="1:12" ht="20" customHeight="1" thickBot="1">
      <c r="A20" s="943">
        <v>2003</v>
      </c>
      <c r="B20" s="441">
        <v>16759.707467</v>
      </c>
      <c r="C20" s="442">
        <v>1882.6076640000001</v>
      </c>
      <c r="D20" s="441">
        <v>3406.1985699999996</v>
      </c>
      <c r="E20" s="440">
        <v>22048.513701</v>
      </c>
      <c r="F20" s="1674">
        <v>15335.619704000001</v>
      </c>
      <c r="G20" s="442">
        <v>1354.5729260000001</v>
      </c>
      <c r="H20" s="441">
        <v>2360.4405969999998</v>
      </c>
      <c r="I20" s="440">
        <v>19050.633227000002</v>
      </c>
      <c r="K20"/>
      <c r="L20"/>
    </row>
    <row r="21" spans="1:12" ht="20" customHeight="1" thickBot="1">
      <c r="A21" s="943">
        <v>2004</v>
      </c>
      <c r="B21" s="441">
        <v>17979.586842000001</v>
      </c>
      <c r="C21" s="442">
        <v>1358.7895999899999</v>
      </c>
      <c r="D21" s="441">
        <v>4022.0203419999989</v>
      </c>
      <c r="E21" s="440">
        <v>23360.39678399</v>
      </c>
      <c r="F21" s="1674">
        <v>16307.508545000001</v>
      </c>
      <c r="G21" s="442">
        <v>1040.45917962</v>
      </c>
      <c r="H21" s="441">
        <v>2754.9745040000003</v>
      </c>
      <c r="I21" s="440">
        <v>20102.942228620002</v>
      </c>
      <c r="K21"/>
      <c r="L21"/>
    </row>
    <row r="22" spans="1:12" ht="20" customHeight="1" thickBot="1">
      <c r="A22" s="943">
        <v>2005</v>
      </c>
      <c r="B22" s="441">
        <v>18442.676721830001</v>
      </c>
      <c r="C22" s="442">
        <v>1397.6693543900001</v>
      </c>
      <c r="D22" s="441">
        <v>4025.3035210000007</v>
      </c>
      <c r="E22" s="440">
        <v>23865.649597220003</v>
      </c>
      <c r="F22" s="1674">
        <v>17352.720037080002</v>
      </c>
      <c r="G22" s="442">
        <v>1144.4166189</v>
      </c>
      <c r="H22" s="441">
        <v>2812.7367870000003</v>
      </c>
      <c r="I22" s="440">
        <v>21309.873442980002</v>
      </c>
      <c r="K22"/>
      <c r="L22"/>
    </row>
    <row r="23" spans="1:12" ht="20" customHeight="1" thickBot="1">
      <c r="A23" s="943">
        <v>2006</v>
      </c>
      <c r="B23" s="441">
        <v>19234.85838514</v>
      </c>
      <c r="C23" s="442">
        <v>1384.0624223099999</v>
      </c>
      <c r="D23" s="441">
        <v>4199.0627370000002</v>
      </c>
      <c r="E23" s="440">
        <v>24817.983544449999</v>
      </c>
      <c r="F23" s="1674">
        <v>17563.915602790003</v>
      </c>
      <c r="G23" s="442">
        <v>1083.2765844199998</v>
      </c>
      <c r="H23" s="441">
        <v>2891.0596519999999</v>
      </c>
      <c r="I23" s="440">
        <v>21538.251839210003</v>
      </c>
      <c r="K23"/>
      <c r="L23"/>
    </row>
    <row r="24" spans="1:12" ht="20" customHeight="1" thickBot="1">
      <c r="A24" s="943">
        <v>2007</v>
      </c>
      <c r="B24" s="441">
        <v>19629.610287169999</v>
      </c>
      <c r="C24" s="442">
        <v>1410.6232075</v>
      </c>
      <c r="D24" s="441">
        <v>4207.0683449999997</v>
      </c>
      <c r="E24" s="440">
        <v>25247.301839669999</v>
      </c>
      <c r="F24" s="1674">
        <v>18423.621994609999</v>
      </c>
      <c r="G24" s="442">
        <v>1170.1273056000002</v>
      </c>
      <c r="H24" s="441">
        <v>3037.7777310000001</v>
      </c>
      <c r="I24" s="440">
        <v>22631.527031209996</v>
      </c>
      <c r="K24"/>
      <c r="L24"/>
    </row>
    <row r="25" spans="1:12" ht="20" customHeight="1" thickBot="1">
      <c r="A25" s="943">
        <v>2008</v>
      </c>
      <c r="B25" s="441">
        <v>19621.43996068</v>
      </c>
      <c r="C25" s="442">
        <v>1412.4505677400002</v>
      </c>
      <c r="D25" s="441">
        <v>4509.4953152600001</v>
      </c>
      <c r="E25" s="440">
        <v>25543.38584368</v>
      </c>
      <c r="F25" s="1674">
        <v>19431.457254779998</v>
      </c>
      <c r="G25" s="442">
        <v>1241.37670198</v>
      </c>
      <c r="H25" s="441">
        <v>3128.0701190199998</v>
      </c>
      <c r="I25" s="440">
        <v>23800.904075779996</v>
      </c>
      <c r="K25"/>
      <c r="L25"/>
    </row>
    <row r="26" spans="1:12" ht="24.75" customHeight="1" thickBot="1">
      <c r="A26" s="946">
        <v>2009</v>
      </c>
      <c r="B26" s="690">
        <v>20057.64279962</v>
      </c>
      <c r="C26" s="935">
        <v>1381.60592514</v>
      </c>
      <c r="D26" s="690">
        <v>4313.5737268599996</v>
      </c>
      <c r="E26" s="935">
        <v>25752.822451619999</v>
      </c>
      <c r="F26" s="1675">
        <v>20273.850593919997</v>
      </c>
      <c r="G26" s="935">
        <v>1229.2542896300001</v>
      </c>
      <c r="H26" s="690">
        <v>3158.8125223699999</v>
      </c>
      <c r="I26" s="935">
        <v>24661.917405919998</v>
      </c>
      <c r="K26"/>
      <c r="L26"/>
    </row>
    <row r="27" spans="1:12" ht="17.25" customHeight="1">
      <c r="A27" s="1011" t="s">
        <v>323</v>
      </c>
      <c r="B27" s="1012"/>
      <c r="C27" s="1012"/>
      <c r="D27" s="1012"/>
      <c r="E27" s="1012"/>
      <c r="F27" s="1012"/>
      <c r="G27" s="1012"/>
      <c r="H27" s="1012"/>
      <c r="I27" s="1012"/>
    </row>
    <row r="28" spans="1:12" ht="13.5" customHeight="1">
      <c r="A28" s="1024"/>
      <c r="B28" s="1025"/>
      <c r="C28" s="1025"/>
      <c r="D28" s="1025"/>
      <c r="E28" s="1025"/>
      <c r="F28" s="1025"/>
      <c r="G28" s="1025"/>
      <c r="H28" s="1025"/>
      <c r="I28" s="1025"/>
    </row>
    <row r="29" spans="1:12">
      <c r="A29" s="201" t="s">
        <v>363</v>
      </c>
      <c r="B29" s="1016"/>
      <c r="C29" s="1016"/>
      <c r="D29" s="1016"/>
      <c r="E29" s="1016"/>
      <c r="F29" s="1016"/>
      <c r="G29" s="1016"/>
      <c r="H29" s="1016"/>
      <c r="I29" s="1016"/>
    </row>
    <row r="30" spans="1:12">
      <c r="A30" s="201" t="s">
        <v>354</v>
      </c>
      <c r="B30" s="1016"/>
      <c r="C30" s="1016"/>
      <c r="D30" s="1016"/>
      <c r="E30" s="1016"/>
      <c r="F30" s="1016"/>
      <c r="G30" s="1016"/>
      <c r="H30" s="1016"/>
      <c r="I30" s="1016"/>
    </row>
    <row r="31" spans="1:12">
      <c r="A31" s="1024" t="s">
        <v>349</v>
      </c>
      <c r="B31" s="1016"/>
      <c r="C31" s="1016"/>
      <c r="D31" s="1016"/>
      <c r="E31" s="1016"/>
      <c r="F31" s="1016"/>
      <c r="G31" s="1016"/>
      <c r="H31" s="1016"/>
      <c r="I31" s="1016"/>
    </row>
    <row r="32" spans="1:12">
      <c r="A32" s="1024" t="s">
        <v>350</v>
      </c>
      <c r="B32" s="1016"/>
      <c r="C32" s="1016"/>
      <c r="D32" s="1016"/>
      <c r="E32" s="1016"/>
      <c r="F32" s="1016"/>
      <c r="G32" s="1016"/>
      <c r="H32" s="1016"/>
      <c r="I32" s="1016"/>
    </row>
    <row r="33" spans="1:1">
      <c r="A33" s="201" t="s">
        <v>355</v>
      </c>
    </row>
    <row r="34" spans="1:1">
      <c r="A34" s="201" t="s">
        <v>356</v>
      </c>
    </row>
    <row r="35" spans="1:1">
      <c r="A35" s="201" t="s">
        <v>357</v>
      </c>
    </row>
    <row r="36" spans="1:1">
      <c r="A36" s="201" t="s">
        <v>358</v>
      </c>
    </row>
    <row r="39" spans="1:1">
      <c r="A39" s="2" t="s">
        <v>710</v>
      </c>
    </row>
  </sheetData>
  <phoneticPr fontId="0" type="noConversion"/>
  <pageMargins left="0.47" right="0.42" top="0.95" bottom="0.49" header="0.45" footer="0.4921259845"/>
  <pageSetup paperSize="9" scale="60" orientation="portrait" horizontalDpi="1200" verticalDpi="1200"/>
  <headerFooter alignWithMargins="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9AB72-1164-784B-B509-1846AD58B493}">
  <sheetPr>
    <pageSetUpPr fitToPage="1"/>
  </sheetPr>
  <dimension ref="A2:O121"/>
  <sheetViews>
    <sheetView zoomScale="75" workbookViewId="0">
      <selection activeCell="A3" sqref="A3"/>
    </sheetView>
  </sheetViews>
  <sheetFormatPr baseColWidth="10" defaultColWidth="11.3984375" defaultRowHeight="13"/>
  <cols>
    <col min="1" max="1" width="27.19921875" style="2" customWidth="1"/>
    <col min="2" max="2" width="0.19921875" style="2" customWidth="1"/>
    <col min="3" max="3" width="0.3984375" style="2" hidden="1" customWidth="1"/>
    <col min="4" max="4" width="9.59765625" style="2" customWidth="1"/>
    <col min="5" max="15" width="10" style="2" customWidth="1"/>
    <col min="16" max="16" width="8.19921875" style="2" customWidth="1"/>
    <col min="17" max="16384" width="11.3984375" style="2"/>
  </cols>
  <sheetData>
    <row r="2" spans="1:15" ht="19.5" customHeight="1">
      <c r="A2" s="1187" t="s">
        <v>1236</v>
      </c>
    </row>
    <row r="3" spans="1:15" s="1" customFormat="1" ht="29.25" customHeight="1">
      <c r="A3" s="271"/>
      <c r="B3" s="271"/>
      <c r="C3" s="271"/>
      <c r="D3" s="271"/>
      <c r="E3" s="271"/>
      <c r="F3" s="271"/>
    </row>
    <row r="4" spans="1:15" s="1" customFormat="1" ht="21.75" customHeight="1">
      <c r="A4" s="1074" t="s">
        <v>1237</v>
      </c>
      <c r="B4" s="478"/>
      <c r="C4" s="478"/>
      <c r="D4" s="478"/>
      <c r="E4" s="478"/>
      <c r="F4" s="478"/>
      <c r="G4" s="478"/>
      <c r="H4" s="478"/>
      <c r="I4" s="398"/>
      <c r="J4" s="398"/>
      <c r="K4" s="398"/>
    </row>
    <row r="5" spans="1:15" ht="78" customHeight="1">
      <c r="A5" s="1745" t="s">
        <v>1238</v>
      </c>
      <c r="B5" s="1746">
        <v>1996</v>
      </c>
      <c r="C5" s="1747">
        <v>1997</v>
      </c>
      <c r="D5" s="1746">
        <v>1998</v>
      </c>
      <c r="E5" s="1747">
        <v>1999</v>
      </c>
      <c r="F5" s="1746">
        <v>2000</v>
      </c>
      <c r="G5" s="1747">
        <v>2001</v>
      </c>
      <c r="H5" s="1746">
        <v>2002</v>
      </c>
      <c r="I5" s="1747">
        <v>2003</v>
      </c>
      <c r="J5" s="1746">
        <v>2004</v>
      </c>
      <c r="K5" s="1747">
        <v>2005</v>
      </c>
      <c r="L5" s="1746">
        <v>2006</v>
      </c>
      <c r="M5" s="1747">
        <v>2007</v>
      </c>
      <c r="N5" s="1746">
        <v>2008</v>
      </c>
      <c r="O5" s="1747">
        <v>2009</v>
      </c>
    </row>
    <row r="6" spans="1:15" ht="30" customHeight="1" thickBot="1">
      <c r="A6" s="1052" t="s">
        <v>1239</v>
      </c>
      <c r="B6" s="454">
        <v>7.5999999999999998E-2</v>
      </c>
      <c r="C6" s="945">
        <v>7.5999999999999998E-2</v>
      </c>
      <c r="D6" s="454">
        <v>7.8E-2</v>
      </c>
      <c r="E6" s="945">
        <v>7.8E-2</v>
      </c>
      <c r="F6" s="454">
        <v>0.08</v>
      </c>
      <c r="G6" s="945">
        <v>8.1000000000000003E-2</v>
      </c>
      <c r="H6" s="454">
        <v>8.4000000000000005E-2</v>
      </c>
      <c r="I6" s="945">
        <v>8.3000000000000004E-2</v>
      </c>
      <c r="J6" s="454">
        <v>8.5000000000000006E-2</v>
      </c>
      <c r="K6" s="945">
        <v>8.4000000000000005E-2</v>
      </c>
      <c r="L6" s="454">
        <v>8.5000000000000006E-2</v>
      </c>
      <c r="M6" s="945">
        <v>8.5000000000000006E-2</v>
      </c>
      <c r="N6" s="454" t="s">
        <v>744</v>
      </c>
      <c r="O6" s="945" t="s">
        <v>744</v>
      </c>
    </row>
    <row r="7" spans="1:15" ht="18" customHeight="1" thickBot="1">
      <c r="A7" s="943" t="s">
        <v>1240</v>
      </c>
      <c r="B7" s="457">
        <v>8.4000000000000005E-2</v>
      </c>
      <c r="C7" s="158">
        <v>8.3000000000000004E-2</v>
      </c>
      <c r="D7" s="457">
        <v>8.4000000000000005E-2</v>
      </c>
      <c r="E7" s="158">
        <v>8.900000000000001E-2</v>
      </c>
      <c r="F7" s="457">
        <v>0.09</v>
      </c>
      <c r="G7" s="158">
        <v>9.0999999999999998E-2</v>
      </c>
      <c r="H7" s="457">
        <v>9.3000000000000013E-2</v>
      </c>
      <c r="I7" s="158">
        <v>0.10400000000000001</v>
      </c>
      <c r="J7" s="457">
        <v>0.109</v>
      </c>
      <c r="K7" s="158">
        <v>0.106</v>
      </c>
      <c r="L7" s="457">
        <v>0.1</v>
      </c>
      <c r="M7" s="158">
        <v>0.10800000000000001</v>
      </c>
      <c r="N7" s="457">
        <v>0.111</v>
      </c>
      <c r="O7" s="158" t="s">
        <v>744</v>
      </c>
    </row>
    <row r="8" spans="1:15" ht="18" customHeight="1" thickBot="1">
      <c r="A8" s="943" t="s">
        <v>1241</v>
      </c>
      <c r="B8" s="457">
        <v>8.199999999999999E-2</v>
      </c>
      <c r="C8" s="158">
        <v>8.199999999999999E-2</v>
      </c>
      <c r="D8" s="457">
        <v>8.3000000000000004E-2</v>
      </c>
      <c r="E8" s="158">
        <v>8.5000000000000006E-2</v>
      </c>
      <c r="F8" s="457">
        <v>8.3000000000000004E-2</v>
      </c>
      <c r="G8" s="158">
        <v>8.5999999999999993E-2</v>
      </c>
      <c r="H8" s="457">
        <v>8.8000000000000009E-2</v>
      </c>
      <c r="I8" s="158">
        <v>9.3000000000000013E-2</v>
      </c>
      <c r="J8" s="457">
        <v>9.5000000000000001E-2</v>
      </c>
      <c r="K8" s="158">
        <v>9.5000000000000001E-2</v>
      </c>
      <c r="L8" s="457">
        <v>9.6000000000000002E-2</v>
      </c>
      <c r="M8" s="158">
        <v>9.6999999999999989E-2</v>
      </c>
      <c r="N8" s="457" t="s">
        <v>744</v>
      </c>
      <c r="O8" s="158" t="s">
        <v>744</v>
      </c>
    </row>
    <row r="9" spans="1:15" ht="18" customHeight="1" thickBot="1">
      <c r="A9" s="943" t="s">
        <v>1242</v>
      </c>
      <c r="B9" s="457">
        <v>0.10400000000000001</v>
      </c>
      <c r="C9" s="158">
        <v>0.10199999999999999</v>
      </c>
      <c r="D9" s="457">
        <v>0.10199999999999999</v>
      </c>
      <c r="E9" s="158">
        <v>0.10300000000000001</v>
      </c>
      <c r="F9" s="457">
        <v>0.10300000000000001</v>
      </c>
      <c r="G9" s="158">
        <v>0.10400000000000001</v>
      </c>
      <c r="H9" s="457">
        <v>0.106</v>
      </c>
      <c r="I9" s="158">
        <v>0.10800000000000001</v>
      </c>
      <c r="J9" s="457">
        <v>0.106</v>
      </c>
      <c r="K9" s="158">
        <v>0.107</v>
      </c>
      <c r="L9" s="457">
        <v>0.105</v>
      </c>
      <c r="M9" s="158">
        <v>0.10400000000000001</v>
      </c>
      <c r="N9" s="457">
        <v>0.105</v>
      </c>
      <c r="O9" s="158" t="s">
        <v>744</v>
      </c>
    </row>
    <row r="10" spans="1:15" ht="18" customHeight="1" thickBot="1">
      <c r="A10" s="943" t="s">
        <v>1243</v>
      </c>
      <c r="B10" s="457">
        <v>0.08</v>
      </c>
      <c r="C10" s="158">
        <v>7.5999999999999998E-2</v>
      </c>
      <c r="D10" s="457">
        <v>7.400000000000001E-2</v>
      </c>
      <c r="E10" s="158">
        <v>7.400000000000001E-2</v>
      </c>
      <c r="F10" s="457">
        <v>7.2000000000000008E-2</v>
      </c>
      <c r="G10" s="158">
        <v>7.400000000000001E-2</v>
      </c>
      <c r="H10" s="457">
        <v>7.8E-2</v>
      </c>
      <c r="I10" s="158">
        <v>8.199999999999999E-2</v>
      </c>
      <c r="J10" s="457">
        <v>8.199999999999999E-2</v>
      </c>
      <c r="K10" s="158">
        <v>8.4000000000000005E-2</v>
      </c>
      <c r="L10" s="457">
        <v>8.4000000000000005E-2</v>
      </c>
      <c r="M10" s="158">
        <v>8.199999999999999E-2</v>
      </c>
      <c r="N10" s="457">
        <v>8.4000000000000005E-2</v>
      </c>
      <c r="O10" s="158" t="s">
        <v>744</v>
      </c>
    </row>
    <row r="11" spans="1:15" ht="18" customHeight="1" thickBot="1">
      <c r="A11" s="943" t="s">
        <v>1244</v>
      </c>
      <c r="B11" s="457">
        <v>0.10400000000000001</v>
      </c>
      <c r="C11" s="158">
        <v>0.10199999999999999</v>
      </c>
      <c r="D11" s="457">
        <v>0.10099999999999999</v>
      </c>
      <c r="E11" s="158">
        <v>0.10099999999999999</v>
      </c>
      <c r="F11" s="457">
        <v>0.10099999999999999</v>
      </c>
      <c r="G11" s="158">
        <v>0.10199999999999999</v>
      </c>
      <c r="H11" s="457">
        <v>0.105</v>
      </c>
      <c r="I11" s="158">
        <v>0.109</v>
      </c>
      <c r="J11" s="457">
        <v>0.11</v>
      </c>
      <c r="K11" s="158">
        <v>0.111</v>
      </c>
      <c r="L11" s="457">
        <v>0.111</v>
      </c>
      <c r="M11" s="158">
        <v>0.11</v>
      </c>
      <c r="N11" s="457">
        <v>0.11199999999999999</v>
      </c>
      <c r="O11" s="158" t="s">
        <v>744</v>
      </c>
    </row>
    <row r="12" spans="1:15" ht="18" customHeight="1" thickBot="1">
      <c r="A12" s="943" t="s">
        <v>1245</v>
      </c>
      <c r="B12" s="457">
        <v>6.8000000000000005E-2</v>
      </c>
      <c r="C12" s="158">
        <v>6.6000000000000003E-2</v>
      </c>
      <c r="D12" s="457">
        <v>6.7000000000000004E-2</v>
      </c>
      <c r="E12" s="158">
        <v>6.9000000000000006E-2</v>
      </c>
      <c r="F12" s="457">
        <v>7.0000000000000007E-2</v>
      </c>
      <c r="G12" s="158">
        <v>7.2999999999999995E-2</v>
      </c>
      <c r="H12" s="457">
        <v>7.5999999999999998E-2</v>
      </c>
      <c r="I12" s="158">
        <v>7.8E-2</v>
      </c>
      <c r="J12" s="457">
        <v>0.08</v>
      </c>
      <c r="K12" s="158">
        <v>8.3000000000000004E-2</v>
      </c>
      <c r="L12" s="457">
        <v>8.5000000000000006E-2</v>
      </c>
      <c r="M12" s="158">
        <v>8.4000000000000005E-2</v>
      </c>
      <c r="N12" s="457">
        <v>8.6999999999999994E-2</v>
      </c>
      <c r="O12" s="158" t="s">
        <v>744</v>
      </c>
    </row>
    <row r="13" spans="1:15" ht="18" customHeight="1" thickBot="1">
      <c r="A13" s="943" t="s">
        <v>1246</v>
      </c>
      <c r="B13" s="457">
        <v>7.400000000000001E-2</v>
      </c>
      <c r="C13" s="158">
        <v>7.6999999999999999E-2</v>
      </c>
      <c r="D13" s="457">
        <v>7.6999999999999999E-2</v>
      </c>
      <c r="E13" s="158">
        <v>7.8E-2</v>
      </c>
      <c r="F13" s="457">
        <v>8.1000000000000003E-2</v>
      </c>
      <c r="G13" s="158">
        <v>8.199999999999999E-2</v>
      </c>
      <c r="H13" s="457">
        <v>8.3000000000000004E-2</v>
      </c>
      <c r="I13" s="158">
        <v>8.3000000000000004E-2</v>
      </c>
      <c r="J13" s="457">
        <v>8.6999999999999994E-2</v>
      </c>
      <c r="K13" s="158">
        <v>8.900000000000001E-2</v>
      </c>
      <c r="L13" s="457">
        <v>0.09</v>
      </c>
      <c r="M13" s="158">
        <v>8.6999999999999994E-2</v>
      </c>
      <c r="N13" s="457">
        <v>9.0999999999999998E-2</v>
      </c>
      <c r="O13" s="158">
        <v>9.5000000000000001E-2</v>
      </c>
    </row>
    <row r="14" spans="1:15" ht="18" customHeight="1" thickBot="1">
      <c r="A14" s="943" t="s">
        <v>1247</v>
      </c>
      <c r="B14" s="457">
        <v>7.0000000000000007E-2</v>
      </c>
      <c r="C14" s="158">
        <v>7.0000000000000007E-2</v>
      </c>
      <c r="D14" s="457">
        <v>7.2999999999999995E-2</v>
      </c>
      <c r="E14" s="158">
        <v>7.4999999999999997E-2</v>
      </c>
      <c r="F14" s="457">
        <v>7.6999999999999999E-2</v>
      </c>
      <c r="G14" s="158">
        <v>7.9000000000000001E-2</v>
      </c>
      <c r="H14" s="457">
        <v>0.08</v>
      </c>
      <c r="I14" s="158">
        <v>8.1000000000000003E-2</v>
      </c>
      <c r="J14" s="457">
        <v>0.08</v>
      </c>
      <c r="K14" s="158">
        <v>8.199999999999999E-2</v>
      </c>
      <c r="L14" s="457">
        <v>8.1000000000000003E-2</v>
      </c>
      <c r="M14" s="158">
        <v>8.1000000000000003E-2</v>
      </c>
      <c r="N14" s="457" t="s">
        <v>744</v>
      </c>
      <c r="O14" s="158" t="s">
        <v>744</v>
      </c>
    </row>
    <row r="15" spans="1:15" ht="18" customHeight="1" thickBot="1">
      <c r="A15" s="943" t="s">
        <v>1248</v>
      </c>
      <c r="B15" s="457">
        <v>8.199999999999999E-2</v>
      </c>
      <c r="C15" s="158">
        <v>7.9000000000000001E-2</v>
      </c>
      <c r="D15" s="457">
        <v>8.1000000000000003E-2</v>
      </c>
      <c r="E15" s="158">
        <v>8.1000000000000003E-2</v>
      </c>
      <c r="F15" s="457">
        <v>0.08</v>
      </c>
      <c r="G15" s="158">
        <v>8.3000000000000004E-2</v>
      </c>
      <c r="H15" s="457">
        <v>8.900000000000001E-2</v>
      </c>
      <c r="I15" s="158">
        <v>9.8000000000000004E-2</v>
      </c>
      <c r="J15" s="457">
        <v>0.1</v>
      </c>
      <c r="K15" s="158">
        <v>9.8000000000000004E-2</v>
      </c>
      <c r="L15" s="457">
        <v>9.6999999999999989E-2</v>
      </c>
      <c r="M15" s="158">
        <v>9.6999999999999989E-2</v>
      </c>
      <c r="N15" s="457">
        <v>9.9000000000000005E-2</v>
      </c>
      <c r="O15" s="158" t="s">
        <v>744</v>
      </c>
    </row>
    <row r="16" spans="1:15" ht="18" customHeight="1" thickBot="1">
      <c r="A16" s="943" t="s">
        <v>1249</v>
      </c>
      <c r="B16" s="457">
        <v>7.8E-2</v>
      </c>
      <c r="C16" s="158">
        <v>8.4000000000000005E-2</v>
      </c>
      <c r="D16" s="457">
        <v>9.3000000000000013E-2</v>
      </c>
      <c r="E16" s="158">
        <v>9.3000000000000013E-2</v>
      </c>
      <c r="F16" s="457">
        <v>8.4000000000000005E-2</v>
      </c>
      <c r="G16" s="158">
        <v>8.8000000000000009E-2</v>
      </c>
      <c r="H16" s="457">
        <v>9.8000000000000004E-2</v>
      </c>
      <c r="I16" s="158">
        <v>0.1</v>
      </c>
      <c r="J16" s="457">
        <v>9.6999999999999989E-2</v>
      </c>
      <c r="K16" s="158">
        <v>9.0999999999999998E-2</v>
      </c>
      <c r="L16" s="457">
        <v>8.5999999999999993E-2</v>
      </c>
      <c r="M16" s="158">
        <v>8.900000000000001E-2</v>
      </c>
      <c r="N16" s="457">
        <v>8.5000000000000006E-2</v>
      </c>
      <c r="O16" s="158" t="s">
        <v>744</v>
      </c>
    </row>
    <row r="17" spans="1:15" ht="18" customHeight="1" thickBot="1">
      <c r="A17" s="943" t="s">
        <v>1250</v>
      </c>
      <c r="B17" s="457">
        <v>9.5000000000000001E-2</v>
      </c>
      <c r="C17" s="158">
        <v>9.8000000000000004E-2</v>
      </c>
      <c r="D17" s="457">
        <v>0.1</v>
      </c>
      <c r="E17" s="158">
        <v>0.10099999999999999</v>
      </c>
      <c r="F17" s="457">
        <v>9.9000000000000005E-2</v>
      </c>
      <c r="G17" s="158">
        <v>0.10099999999999999</v>
      </c>
      <c r="H17" s="457">
        <v>0.10099999999999999</v>
      </c>
      <c r="I17" s="158">
        <v>0.10300000000000001</v>
      </c>
      <c r="J17" s="457">
        <v>0.10400000000000001</v>
      </c>
      <c r="K17" s="158">
        <v>0.10400000000000001</v>
      </c>
      <c r="L17" s="457">
        <v>0.10300000000000001</v>
      </c>
      <c r="M17" s="158">
        <v>0.10300000000000001</v>
      </c>
      <c r="N17" s="457">
        <v>0.105</v>
      </c>
      <c r="O17" s="158" t="s">
        <v>744</v>
      </c>
    </row>
    <row r="18" spans="1:15" ht="18" customHeight="1" thickBot="1">
      <c r="A18" s="943" t="s">
        <v>1251</v>
      </c>
      <c r="B18" s="457">
        <v>8.199999999999999E-2</v>
      </c>
      <c r="C18" s="158">
        <v>8.1000000000000003E-2</v>
      </c>
      <c r="D18" s="457">
        <v>8.199999999999999E-2</v>
      </c>
      <c r="E18" s="158">
        <v>8.3000000000000004E-2</v>
      </c>
      <c r="F18" s="457">
        <v>8.199999999999999E-2</v>
      </c>
      <c r="G18" s="158">
        <v>0.09</v>
      </c>
      <c r="H18" s="457">
        <v>9.3000000000000013E-2</v>
      </c>
      <c r="I18" s="158">
        <v>9.4E-2</v>
      </c>
      <c r="J18" s="457">
        <v>9.1999999999999998E-2</v>
      </c>
      <c r="K18" s="158">
        <v>9.1999999999999998E-2</v>
      </c>
      <c r="L18" s="457">
        <v>9.0999999999999998E-2</v>
      </c>
      <c r="M18" s="158">
        <v>9.0999999999999998E-2</v>
      </c>
      <c r="N18" s="457">
        <v>9.4E-2</v>
      </c>
      <c r="O18" s="158" t="s">
        <v>744</v>
      </c>
    </row>
    <row r="19" spans="1:15" ht="18" customHeight="1" thickBot="1">
      <c r="A19" s="943" t="s">
        <v>1252</v>
      </c>
      <c r="B19" s="457">
        <v>7.4999999999999997E-2</v>
      </c>
      <c r="C19" s="158">
        <v>7.2999999999999995E-2</v>
      </c>
      <c r="D19" s="457">
        <v>7.2999999999999995E-2</v>
      </c>
      <c r="E19" s="158">
        <v>7.2999999999999995E-2</v>
      </c>
      <c r="F19" s="457">
        <v>7.2000000000000008E-2</v>
      </c>
      <c r="G19" s="158">
        <v>7.2000000000000008E-2</v>
      </c>
      <c r="H19" s="457">
        <v>7.2999999999999995E-2</v>
      </c>
      <c r="I19" s="158">
        <v>8.199999999999999E-2</v>
      </c>
      <c r="J19" s="457">
        <v>8.199999999999999E-2</v>
      </c>
      <c r="K19" s="158">
        <v>8.3000000000000004E-2</v>
      </c>
      <c r="L19" s="457">
        <v>8.4000000000000005E-2</v>
      </c>
      <c r="M19" s="158">
        <v>8.4000000000000005E-2</v>
      </c>
      <c r="N19" s="457">
        <v>0.09</v>
      </c>
      <c r="O19" s="158" t="s">
        <v>744</v>
      </c>
    </row>
    <row r="20" spans="1:15" ht="18" customHeight="1" thickBot="1">
      <c r="A20" s="943" t="s">
        <v>1253</v>
      </c>
      <c r="B20" s="457">
        <v>0.13500000000000001</v>
      </c>
      <c r="C20" s="158">
        <v>0.13400000000000001</v>
      </c>
      <c r="D20" s="457">
        <v>0.13400000000000001</v>
      </c>
      <c r="E20" s="158">
        <v>0.13400000000000001</v>
      </c>
      <c r="F20" s="457">
        <v>0.13400000000000001</v>
      </c>
      <c r="G20" s="158">
        <v>0.14099999999999999</v>
      </c>
      <c r="H20" s="457">
        <v>0.14800000000000002</v>
      </c>
      <c r="I20" s="158">
        <v>0.153</v>
      </c>
      <c r="J20" s="457">
        <v>0.154</v>
      </c>
      <c r="K20" s="158">
        <v>0.154</v>
      </c>
      <c r="L20" s="457">
        <v>0.155</v>
      </c>
      <c r="M20" s="158">
        <v>0.157</v>
      </c>
      <c r="N20" s="457">
        <v>0.16</v>
      </c>
      <c r="O20" s="158" t="s">
        <v>744</v>
      </c>
    </row>
    <row r="21" spans="1:15" s="162" customFormat="1" ht="30" customHeight="1" thickBot="1">
      <c r="A21" s="1699" t="s">
        <v>1262</v>
      </c>
      <c r="B21" s="598">
        <v>9.9000000000000005E-2</v>
      </c>
      <c r="C21" s="1147">
        <v>0.1</v>
      </c>
      <c r="D21" s="598">
        <v>0.10099999999999999</v>
      </c>
      <c r="E21" s="1147">
        <v>0.10199999999999999</v>
      </c>
      <c r="F21" s="598">
        <v>0.10199999999999999</v>
      </c>
      <c r="G21" s="1147">
        <v>0.106</v>
      </c>
      <c r="H21" s="598">
        <v>0.109</v>
      </c>
      <c r="I21" s="1147">
        <v>0.113</v>
      </c>
      <c r="J21" s="598">
        <v>0.113</v>
      </c>
      <c r="K21" s="1147">
        <v>0.11199999999999999</v>
      </c>
      <c r="L21" s="598">
        <v>0.10800000000000001</v>
      </c>
      <c r="M21" s="1147">
        <v>0.106</v>
      </c>
      <c r="N21" s="598">
        <v>0.107</v>
      </c>
      <c r="O21" s="1748">
        <v>0.11466490153255463</v>
      </c>
    </row>
    <row r="22" spans="1:15" ht="9.75" customHeight="1">
      <c r="A22" s="1749"/>
      <c r="B22" s="1750"/>
      <c r="C22" s="1750"/>
      <c r="D22" s="1750"/>
      <c r="E22" s="1750"/>
      <c r="F22" s="1750"/>
      <c r="G22" s="1751"/>
      <c r="H22" s="1751"/>
      <c r="I22" s="1751"/>
      <c r="J22" s="1751"/>
      <c r="K22" s="1751"/>
      <c r="L22" s="1751"/>
      <c r="M22" s="1751"/>
      <c r="N22" s="1751"/>
      <c r="O22" s="1751"/>
    </row>
    <row r="23" spans="1:15" s="94" customFormat="1" ht="26.25" customHeight="1" thickBot="1">
      <c r="A23" s="1752" t="s">
        <v>1263</v>
      </c>
      <c r="B23" s="1753">
        <v>3.5624658814363358E-2</v>
      </c>
      <c r="C23" s="1754">
        <v>3.6541719623972846E-2</v>
      </c>
      <c r="D23" s="1753">
        <v>3.7643432570707028E-2</v>
      </c>
      <c r="E23" s="1754">
        <v>3.8407716952479763E-2</v>
      </c>
      <c r="F23" s="1753">
        <v>3.871842657206593E-2</v>
      </c>
      <c r="G23" s="1754">
        <v>4.019167602662601E-2</v>
      </c>
      <c r="H23" s="1753">
        <v>4.1494101249786454E-2</v>
      </c>
      <c r="I23" s="1754">
        <v>4.3116092512608215E-2</v>
      </c>
      <c r="J23" s="1753">
        <v>4.4590486061892129E-2</v>
      </c>
      <c r="K23" s="1754">
        <v>4.6026031703889358E-2</v>
      </c>
      <c r="L23" s="1753">
        <v>4.4196971221844489E-2</v>
      </c>
      <c r="M23" s="1754">
        <v>4.346644776913719E-2</v>
      </c>
      <c r="N23" s="1753">
        <v>4.390062689592053E-2</v>
      </c>
      <c r="O23" s="1754">
        <v>4.6313101316194483E-2</v>
      </c>
    </row>
    <row r="24" spans="1:15" ht="20" customHeight="1">
      <c r="A24" s="1755"/>
      <c r="B24" s="474"/>
      <c r="C24" s="474"/>
      <c r="D24" s="474"/>
      <c r="E24" s="474"/>
      <c r="F24" s="474"/>
    </row>
    <row r="25" spans="1:15" ht="20" customHeight="1">
      <c r="A25" s="1756"/>
      <c r="B25" s="474"/>
      <c r="C25" s="474"/>
      <c r="D25" s="474"/>
      <c r="E25" s="474"/>
      <c r="F25" s="474"/>
    </row>
    <row r="26" spans="1:15" ht="20" customHeight="1">
      <c r="A26" s="1074" t="s">
        <v>1264</v>
      </c>
      <c r="B26" s="474"/>
      <c r="C26" s="474"/>
      <c r="D26" s="474"/>
      <c r="E26" s="474"/>
      <c r="F26" s="474"/>
    </row>
    <row r="27" spans="1:15" ht="78" customHeight="1">
      <c r="A27" s="1745" t="s">
        <v>1238</v>
      </c>
      <c r="B27" s="1746">
        <v>1996</v>
      </c>
      <c r="C27" s="1747">
        <v>1997</v>
      </c>
      <c r="D27" s="1746">
        <v>1998</v>
      </c>
      <c r="E27" s="1747">
        <v>1999</v>
      </c>
      <c r="F27" s="1746">
        <v>2000</v>
      </c>
      <c r="G27" s="1747">
        <v>2001</v>
      </c>
      <c r="H27" s="1746">
        <v>2002</v>
      </c>
      <c r="I27" s="1747">
        <v>2003</v>
      </c>
      <c r="J27" s="1746">
        <v>2004</v>
      </c>
      <c r="K27" s="1747">
        <v>2005</v>
      </c>
      <c r="L27" s="1746">
        <v>2006</v>
      </c>
      <c r="M27" s="1747">
        <v>2007</v>
      </c>
      <c r="N27" s="1746">
        <v>2008</v>
      </c>
      <c r="O27" s="1747">
        <v>2009</v>
      </c>
    </row>
    <row r="28" spans="1:15" ht="30" customHeight="1" thickBot="1">
      <c r="A28" s="1052" t="s">
        <v>1239</v>
      </c>
      <c r="B28" s="185">
        <v>2192.1048443716359</v>
      </c>
      <c r="C28" s="184">
        <v>2560.8662900188324</v>
      </c>
      <c r="D28" s="185">
        <v>2317.1413775245987</v>
      </c>
      <c r="E28" s="184">
        <v>2632.5</v>
      </c>
      <c r="F28" s="185">
        <v>2919.8254463020685</v>
      </c>
      <c r="G28" s="184">
        <v>2780.3189493433397</v>
      </c>
      <c r="H28" s="185">
        <v>2898.3908872901679</v>
      </c>
      <c r="I28" s="184">
        <v>3158.0263475462593</v>
      </c>
      <c r="J28" s="185">
        <v>3582.3184839231185</v>
      </c>
      <c r="K28" s="184">
        <v>3947.7820650232225</v>
      </c>
      <c r="L28" s="185">
        <v>4191.6957986172665</v>
      </c>
      <c r="M28" s="184">
        <v>4770.2609551944861</v>
      </c>
      <c r="N28" s="185" t="s">
        <v>744</v>
      </c>
      <c r="O28" s="184" t="s">
        <v>744</v>
      </c>
    </row>
    <row r="29" spans="1:15" ht="18" customHeight="1" thickBot="1">
      <c r="A29" s="943" t="s">
        <v>1240</v>
      </c>
      <c r="B29" s="188">
        <v>2936.0318277556753</v>
      </c>
      <c r="C29" s="187">
        <v>3042.2975517890773</v>
      </c>
      <c r="D29" s="188">
        <v>3159.606421543242</v>
      </c>
      <c r="E29" s="187">
        <v>3315</v>
      </c>
      <c r="F29" s="188">
        <v>3426.7395862850667</v>
      </c>
      <c r="G29" s="187">
        <v>3468.2154918252481</v>
      </c>
      <c r="H29" s="188">
        <v>3556.6906474820144</v>
      </c>
      <c r="I29" s="187">
        <v>4204.4010458567982</v>
      </c>
      <c r="J29" s="188">
        <v>4637.5462547152865</v>
      </c>
      <c r="K29" s="187">
        <v>4797.8428010003572</v>
      </c>
      <c r="L29" s="188">
        <v>4692.9991136323351</v>
      </c>
      <c r="M29" s="187">
        <v>5585.1055309371413</v>
      </c>
      <c r="N29" s="188">
        <v>5787.7504618445355</v>
      </c>
      <c r="O29" s="187" t="s">
        <v>744</v>
      </c>
    </row>
    <row r="30" spans="1:15" ht="18" customHeight="1" thickBot="1">
      <c r="A30" s="943" t="s">
        <v>1241</v>
      </c>
      <c r="B30" s="188">
        <v>3568.3697636321085</v>
      </c>
      <c r="C30" s="187">
        <v>3815.1977401129943</v>
      </c>
      <c r="D30" s="188">
        <v>3954.2206110823408</v>
      </c>
      <c r="E30" s="187">
        <v>4153.5</v>
      </c>
      <c r="F30" s="188">
        <v>4190.4902238594505</v>
      </c>
      <c r="G30" s="187">
        <v>4338.6496917716431</v>
      </c>
      <c r="H30" s="188">
        <v>4424.0239808153483</v>
      </c>
      <c r="I30" s="187">
        <v>4953.740345937249</v>
      </c>
      <c r="J30" s="188">
        <v>5310.8584515897255</v>
      </c>
      <c r="K30" s="187">
        <v>5641.6530903894245</v>
      </c>
      <c r="L30" s="188">
        <v>6058.144300655912</v>
      </c>
      <c r="M30" s="187">
        <v>6660.3643525356974</v>
      </c>
      <c r="N30" s="188" t="s">
        <v>744</v>
      </c>
      <c r="O30" s="187" t="s">
        <v>744</v>
      </c>
    </row>
    <row r="31" spans="1:15" ht="18" customHeight="1" thickBot="1">
      <c r="A31" s="943" t="s">
        <v>1242</v>
      </c>
      <c r="B31" s="188">
        <v>3827.5043295108821</v>
      </c>
      <c r="C31" s="187">
        <v>3887.7024482109227</v>
      </c>
      <c r="D31" s="188">
        <v>3948.4205075090626</v>
      </c>
      <c r="E31" s="187">
        <v>4015.5</v>
      </c>
      <c r="F31" s="188">
        <v>3999.5525644658542</v>
      </c>
      <c r="G31" s="187">
        <v>4032.7300991691236</v>
      </c>
      <c r="H31" s="188">
        <v>4066.794964028777</v>
      </c>
      <c r="I31" s="187">
        <v>4293.5116653258247</v>
      </c>
      <c r="J31" s="188">
        <v>4337.4697323513565</v>
      </c>
      <c r="K31" s="187">
        <v>4542.824580207217</v>
      </c>
      <c r="L31" s="188">
        <v>4652.9948590675413</v>
      </c>
      <c r="M31" s="187">
        <v>5063.0769735762351</v>
      </c>
      <c r="N31" s="188">
        <v>5091.1467955094495</v>
      </c>
      <c r="O31" s="187" t="s">
        <v>744</v>
      </c>
    </row>
    <row r="32" spans="1:15" ht="18" customHeight="1" thickBot="1">
      <c r="A32" s="943" t="s">
        <v>1243</v>
      </c>
      <c r="B32" s="188">
        <v>2505.7940556985723</v>
      </c>
      <c r="C32" s="187">
        <v>2668.1732580037665</v>
      </c>
      <c r="D32" s="188">
        <v>2689.7980321077162</v>
      </c>
      <c r="E32" s="187">
        <v>2799</v>
      </c>
      <c r="F32" s="188">
        <v>2860.6854633040521</v>
      </c>
      <c r="G32" s="187">
        <v>3003.4205306888234</v>
      </c>
      <c r="H32" s="188">
        <v>3166.7026378896885</v>
      </c>
      <c r="I32" s="187">
        <v>3455.0617457763478</v>
      </c>
      <c r="J32" s="188">
        <v>3669.1174779953299</v>
      </c>
      <c r="K32" s="187">
        <v>3955.2826009289029</v>
      </c>
      <c r="L32" s="188">
        <v>4121.6883531288777</v>
      </c>
      <c r="M32" s="187">
        <v>4581.850648284918</v>
      </c>
      <c r="N32" s="188">
        <v>4624.5843399175783</v>
      </c>
      <c r="O32" s="187" t="s">
        <v>744</v>
      </c>
    </row>
    <row r="33" spans="1:15" ht="18" customHeight="1" thickBot="1">
      <c r="A33" s="943" t="s">
        <v>1244</v>
      </c>
      <c r="B33" s="188">
        <v>3398.5064357594197</v>
      </c>
      <c r="C33" s="187">
        <v>3536.7796610169494</v>
      </c>
      <c r="D33" s="188">
        <v>3603.3143448990163</v>
      </c>
      <c r="E33" s="187">
        <v>3682.5</v>
      </c>
      <c r="F33" s="188">
        <v>3717.3703598753186</v>
      </c>
      <c r="G33" s="187">
        <v>3779.2055749128922</v>
      </c>
      <c r="H33" s="188">
        <v>3904.5599520383694</v>
      </c>
      <c r="I33" s="187">
        <v>4259.7576427996783</v>
      </c>
      <c r="J33" s="188">
        <v>4489.9879647925272</v>
      </c>
      <c r="K33" s="187">
        <v>4770.3408360128615</v>
      </c>
      <c r="L33" s="188">
        <v>4949.2763694380428</v>
      </c>
      <c r="M33" s="187">
        <v>5401.495486623995</v>
      </c>
      <c r="N33" s="188">
        <v>5395.7083984652545</v>
      </c>
      <c r="O33" s="187" t="s">
        <v>744</v>
      </c>
    </row>
    <row r="34" spans="1:15" ht="18" customHeight="1" thickBot="1">
      <c r="A34" s="943" t="s">
        <v>1245</v>
      </c>
      <c r="B34" s="188">
        <v>1781.705125204774</v>
      </c>
      <c r="C34" s="187">
        <v>2246.1958568738232</v>
      </c>
      <c r="D34" s="188">
        <v>2430.2433972035215</v>
      </c>
      <c r="E34" s="187">
        <v>2652</v>
      </c>
      <c r="F34" s="188">
        <v>2990.7934258996884</v>
      </c>
      <c r="G34" s="187">
        <v>3076.0975609756097</v>
      </c>
      <c r="H34" s="188">
        <v>3202.5815347721823</v>
      </c>
      <c r="I34" s="187">
        <v>3298.4430812550281</v>
      </c>
      <c r="J34" s="188">
        <v>3631.9179091072392</v>
      </c>
      <c r="K34" s="187">
        <v>3906.5291175419793</v>
      </c>
      <c r="L34" s="188">
        <v>4286.7059032086509</v>
      </c>
      <c r="M34" s="187">
        <v>4710.2576727392097</v>
      </c>
      <c r="N34" s="188">
        <v>4145.0618161148213</v>
      </c>
      <c r="O34" s="187" t="s">
        <v>744</v>
      </c>
    </row>
    <row r="35" spans="1:15" ht="18" customHeight="1" thickBot="1">
      <c r="A35" s="943" t="s">
        <v>1246</v>
      </c>
      <c r="B35" s="188">
        <v>2018.5218815820267</v>
      </c>
      <c r="C35" s="187">
        <v>2325.9510357815443</v>
      </c>
      <c r="D35" s="188">
        <v>2388.1926462972551</v>
      </c>
      <c r="E35" s="187">
        <v>2461.5</v>
      </c>
      <c r="F35" s="188">
        <v>2613.9872485123265</v>
      </c>
      <c r="G35" s="187">
        <v>2716.0927365317611</v>
      </c>
      <c r="H35" s="188">
        <v>2779.8345323741009</v>
      </c>
      <c r="I35" s="187">
        <v>2935.2497988736927</v>
      </c>
      <c r="J35" s="188">
        <v>3169.4032692653136</v>
      </c>
      <c r="K35" s="187">
        <v>3407.7434798142194</v>
      </c>
      <c r="L35" s="188">
        <v>3550.3775926254211</v>
      </c>
      <c r="M35" s="187">
        <v>3727.4039061217795</v>
      </c>
      <c r="N35" s="188">
        <v>3828.6201506323714</v>
      </c>
      <c r="O35" s="187">
        <v>3712.4024509121291</v>
      </c>
    </row>
    <row r="36" spans="1:15" ht="18" customHeight="1" thickBot="1">
      <c r="A36" s="943" t="s">
        <v>1247</v>
      </c>
      <c r="B36" s="188">
        <v>3216.2443248303298</v>
      </c>
      <c r="C36" s="187">
        <v>3420.7721280602636</v>
      </c>
      <c r="D36" s="188">
        <v>3221.9575349559814</v>
      </c>
      <c r="E36" s="187">
        <v>3901.5</v>
      </c>
      <c r="F36" s="188">
        <v>4776.8209124397845</v>
      </c>
      <c r="G36" s="187">
        <v>4323.4382203162695</v>
      </c>
      <c r="H36" s="188">
        <v>3821.8824940047962</v>
      </c>
      <c r="I36" s="187">
        <v>3617.0810539018503</v>
      </c>
      <c r="J36" s="188">
        <v>3597.1983114783548</v>
      </c>
      <c r="K36" s="187">
        <v>3635.2597356198639</v>
      </c>
      <c r="L36" s="188">
        <v>3449.1168232582877</v>
      </c>
      <c r="M36" s="187">
        <v>3338.5826358115874</v>
      </c>
      <c r="N36" s="188" t="s">
        <v>744</v>
      </c>
      <c r="O36" s="187" t="s">
        <v>744</v>
      </c>
    </row>
    <row r="37" spans="1:15" ht="18" customHeight="1" thickBot="1">
      <c r="A37" s="943" t="s">
        <v>1248</v>
      </c>
      <c r="B37" s="188">
        <v>2722.7727591855837</v>
      </c>
      <c r="C37" s="187">
        <v>2839.2843691148778</v>
      </c>
      <c r="D37" s="188">
        <v>2997.2035214914554</v>
      </c>
      <c r="E37" s="187">
        <v>3153</v>
      </c>
      <c r="F37" s="188">
        <v>3237.491640691414</v>
      </c>
      <c r="G37" s="187">
        <v>3493.5679442508713</v>
      </c>
      <c r="H37" s="188">
        <v>3761.0443645083933</v>
      </c>
      <c r="I37" s="187">
        <v>4358.3193885760256</v>
      </c>
      <c r="J37" s="188">
        <v>4604.0666427160049</v>
      </c>
      <c r="K37" s="187">
        <v>4831.5952125759195</v>
      </c>
      <c r="L37" s="188">
        <v>5020.5339478815813</v>
      </c>
      <c r="M37" s="187">
        <v>5555.1038897095032</v>
      </c>
      <c r="N37" s="188">
        <v>5695.9499786840979</v>
      </c>
      <c r="O37" s="187" t="s">
        <v>744</v>
      </c>
    </row>
    <row r="38" spans="1:15" ht="18" customHeight="1" thickBot="1">
      <c r="A38" s="943" t="s">
        <v>1249</v>
      </c>
      <c r="B38" s="188">
        <v>3547.2918324362277</v>
      </c>
      <c r="C38" s="187">
        <v>4376.3841807909603</v>
      </c>
      <c r="D38" s="188">
        <v>4571.9316416364582</v>
      </c>
      <c r="E38" s="187">
        <v>4987.5</v>
      </c>
      <c r="F38" s="188">
        <v>5332.7367526211392</v>
      </c>
      <c r="G38" s="187">
        <v>5633.3149289734656</v>
      </c>
      <c r="H38" s="188">
        <v>6462.8812949640287</v>
      </c>
      <c r="I38" s="187">
        <v>6665.7443684633954</v>
      </c>
      <c r="J38" s="188">
        <v>6740.5618825220054</v>
      </c>
      <c r="K38" s="187">
        <v>7426.7806359414071</v>
      </c>
      <c r="L38" s="188">
        <v>7815.8312355965254</v>
      </c>
      <c r="M38" s="187">
        <v>8825.282783522076</v>
      </c>
      <c r="N38" s="188">
        <v>8721.0459002415791</v>
      </c>
      <c r="O38" s="187" t="s">
        <v>744</v>
      </c>
    </row>
    <row r="39" spans="1:15" ht="18" customHeight="1" thickBot="1">
      <c r="A39" s="943" t="s">
        <v>1250</v>
      </c>
      <c r="B39" s="188">
        <v>3455.5408378188627</v>
      </c>
      <c r="C39" s="187">
        <v>3684.6892655367233</v>
      </c>
      <c r="D39" s="188">
        <v>3848.3687208700157</v>
      </c>
      <c r="E39" s="187">
        <v>4000.5</v>
      </c>
      <c r="F39" s="188">
        <v>3994.4834230660244</v>
      </c>
      <c r="G39" s="187">
        <v>4022.5891181988745</v>
      </c>
      <c r="H39" s="188">
        <v>4029.3561151079139</v>
      </c>
      <c r="I39" s="187">
        <v>4294.861826226871</v>
      </c>
      <c r="J39" s="188">
        <v>4537.1074187174427</v>
      </c>
      <c r="K39" s="187">
        <v>4809.0936048588783</v>
      </c>
      <c r="L39" s="188">
        <v>4975.5291614961889</v>
      </c>
      <c r="M39" s="187">
        <v>5520.3019858854432</v>
      </c>
      <c r="N39" s="188">
        <v>5632.2296433139118</v>
      </c>
      <c r="O39" s="187" t="s">
        <v>744</v>
      </c>
    </row>
    <row r="40" spans="1:15" ht="18" customHeight="1" thickBot="1">
      <c r="A40" s="943" t="s">
        <v>1251</v>
      </c>
      <c r="B40" s="188">
        <v>3177.8080973554879</v>
      </c>
      <c r="C40" s="187">
        <v>3333.7664783427495</v>
      </c>
      <c r="D40" s="188">
        <v>3385.8104609010875</v>
      </c>
      <c r="E40" s="187">
        <v>3594</v>
      </c>
      <c r="F40" s="188">
        <v>3852.5474638707851</v>
      </c>
      <c r="G40" s="187">
        <v>3836.6711337443044</v>
      </c>
      <c r="H40" s="188">
        <v>4040.275779376499</v>
      </c>
      <c r="I40" s="187">
        <v>4408.275341914723</v>
      </c>
      <c r="J40" s="188">
        <v>4528.4275193102212</v>
      </c>
      <c r="K40" s="187">
        <v>4642.8317256162918</v>
      </c>
      <c r="L40" s="188">
        <v>4906.7718489629497</v>
      </c>
      <c r="M40" s="187">
        <v>5412.296077465945</v>
      </c>
      <c r="N40" s="188">
        <v>5269.3477334091231</v>
      </c>
      <c r="O40" s="187" t="s">
        <v>744</v>
      </c>
    </row>
    <row r="41" spans="1:15" ht="18" customHeight="1" thickBot="1">
      <c r="A41" s="943" t="s">
        <v>1252</v>
      </c>
      <c r="B41" s="188">
        <v>1461.8165223496374</v>
      </c>
      <c r="C41" s="187">
        <v>1538.5499058380415</v>
      </c>
      <c r="D41" s="188">
        <v>1602.2786121180736</v>
      </c>
      <c r="E41" s="187">
        <v>1696.5</v>
      </c>
      <c r="F41" s="188">
        <v>1750.5434967412864</v>
      </c>
      <c r="G41" s="187">
        <v>1825.3765746448673</v>
      </c>
      <c r="H41" s="188">
        <v>1882.8621103117507</v>
      </c>
      <c r="I41" s="187">
        <v>2304.7246580852775</v>
      </c>
      <c r="J41" s="188">
        <v>2470.0513741692116</v>
      </c>
      <c r="K41" s="187">
        <v>2711.4437299035371</v>
      </c>
      <c r="L41" s="188">
        <v>2916.5601843644745</v>
      </c>
      <c r="M41" s="187">
        <v>3256.9781716724115</v>
      </c>
      <c r="N41" s="188">
        <v>3499.2184169390362</v>
      </c>
      <c r="O41" s="187" t="s">
        <v>744</v>
      </c>
    </row>
    <row r="42" spans="1:15" ht="22.5" customHeight="1" thickBot="1">
      <c r="A42" s="943" t="s">
        <v>1253</v>
      </c>
      <c r="B42" s="370">
        <v>4835.5253919962552</v>
      </c>
      <c r="C42" s="778">
        <v>5880.1318267419965</v>
      </c>
      <c r="D42" s="370">
        <v>6142.3096841015022</v>
      </c>
      <c r="E42" s="187">
        <v>6675</v>
      </c>
      <c r="F42" s="188">
        <v>7946.7240011334652</v>
      </c>
      <c r="G42" s="187">
        <v>8538.7059769498792</v>
      </c>
      <c r="H42" s="188">
        <v>8506.4184652278182</v>
      </c>
      <c r="I42" s="187">
        <v>7901.141592920354</v>
      </c>
      <c r="J42" s="188">
        <v>7682.9509610202986</v>
      </c>
      <c r="K42" s="187">
        <v>8204.3361914969628</v>
      </c>
      <c r="L42" s="188">
        <v>8664.6715121432371</v>
      </c>
      <c r="M42" s="187">
        <v>8742.4782537337942</v>
      </c>
      <c r="N42" s="188">
        <v>8141.0828478044614</v>
      </c>
      <c r="O42" s="187" t="s">
        <v>744</v>
      </c>
    </row>
    <row r="43" spans="1:15" s="265" customFormat="1" ht="21.75" customHeight="1" thickBot="1">
      <c r="A43" s="1699" t="s">
        <v>1254</v>
      </c>
      <c r="B43" s="298">
        <v>5298</v>
      </c>
      <c r="C43" s="395">
        <v>5390</v>
      </c>
      <c r="D43" s="298">
        <v>5600</v>
      </c>
      <c r="E43" s="193">
        <v>5754</v>
      </c>
      <c r="F43" s="192">
        <v>5963</v>
      </c>
      <c r="G43" s="193">
        <v>6306</v>
      </c>
      <c r="H43" s="192">
        <v>6505</v>
      </c>
      <c r="I43" s="193">
        <v>6713</v>
      </c>
      <c r="J43" s="192">
        <v>6903</v>
      </c>
      <c r="K43" s="193">
        <v>6998</v>
      </c>
      <c r="L43" s="192">
        <v>7052</v>
      </c>
      <c r="M43" s="193">
        <v>7312</v>
      </c>
      <c r="N43" s="192">
        <v>7600</v>
      </c>
      <c r="O43" s="193">
        <v>7827</v>
      </c>
    </row>
    <row r="44" spans="1:15" ht="9.75" customHeight="1">
      <c r="A44" s="1749"/>
      <c r="B44" s="1750"/>
      <c r="C44" s="1750"/>
      <c r="D44" s="1750"/>
      <c r="E44" s="1757"/>
      <c r="F44" s="1757"/>
      <c r="G44" s="1758"/>
      <c r="H44" s="1758"/>
      <c r="I44" s="1758"/>
      <c r="J44" s="1758"/>
      <c r="K44" s="1758"/>
      <c r="L44" s="1758"/>
      <c r="M44" s="1758"/>
      <c r="N44" s="1758"/>
      <c r="O44" s="1758"/>
    </row>
    <row r="45" spans="1:15" s="94" customFormat="1" ht="26.25" customHeight="1" thickBot="1">
      <c r="A45" s="1759" t="s">
        <v>1263</v>
      </c>
      <c r="B45" s="1760">
        <v>1855.3107485800188</v>
      </c>
      <c r="C45" s="1761">
        <v>1939.0233128827574</v>
      </c>
      <c r="D45" s="1760">
        <v>2053.2393946360617</v>
      </c>
      <c r="E45" s="1761">
        <v>2128.4240170100579</v>
      </c>
      <c r="F45" s="1762">
        <v>2249.3257570804471</v>
      </c>
      <c r="G45" s="472">
        <v>2368.8798186562203</v>
      </c>
      <c r="H45" s="1762">
        <v>2453.378303724407</v>
      </c>
      <c r="I45" s="472">
        <v>2559.9512260364686</v>
      </c>
      <c r="J45" s="1762">
        <v>2725.9429772763169</v>
      </c>
      <c r="K45" s="472">
        <v>2870.7950047573486</v>
      </c>
      <c r="L45" s="1762">
        <v>2899.0829518125847</v>
      </c>
      <c r="M45" s="472">
        <v>3004.9921877854235</v>
      </c>
      <c r="N45" s="1762">
        <v>3137.0665548927504</v>
      </c>
      <c r="O45" s="472">
        <v>3215.8599114526196</v>
      </c>
    </row>
    <row r="46" spans="1:15" ht="20" customHeight="1">
      <c r="A46" s="1720" t="s">
        <v>323</v>
      </c>
      <c r="B46" s="418"/>
      <c r="C46" s="418"/>
      <c r="D46" s="418"/>
      <c r="E46" s="418"/>
      <c r="F46" s="418"/>
      <c r="G46" s="418"/>
    </row>
    <row r="47" spans="1:15" ht="16.5" customHeight="1">
      <c r="A47" s="1720"/>
      <c r="B47" s="418"/>
      <c r="C47" s="418"/>
      <c r="D47" s="418"/>
      <c r="E47" s="418"/>
      <c r="F47" s="418"/>
      <c r="G47" s="418"/>
    </row>
    <row r="48" spans="1:15" ht="16.5" customHeight="1">
      <c r="A48" s="1756" t="s">
        <v>1255</v>
      </c>
      <c r="B48" s="474"/>
      <c r="C48" s="474"/>
      <c r="D48" s="474"/>
      <c r="E48" s="474"/>
      <c r="F48" s="474"/>
      <c r="G48" s="141"/>
      <c r="H48" s="141"/>
      <c r="I48" s="141"/>
      <c r="J48" s="141"/>
      <c r="K48" s="141"/>
      <c r="L48" s="141"/>
      <c r="M48" s="141"/>
      <c r="N48" s="141"/>
      <c r="O48" s="141"/>
    </row>
    <row r="49" spans="1:11" ht="17.25" customHeight="1">
      <c r="A49" s="1756" t="s">
        <v>1256</v>
      </c>
      <c r="B49" s="474"/>
      <c r="C49" s="474"/>
      <c r="D49" s="474"/>
      <c r="E49" s="474"/>
      <c r="F49" s="474"/>
    </row>
    <row r="50" spans="1:11" ht="16.5" customHeight="1">
      <c r="A50" s="1756" t="s">
        <v>1257</v>
      </c>
      <c r="B50" s="474"/>
      <c r="C50" s="474"/>
      <c r="D50" s="474"/>
      <c r="E50" s="474"/>
      <c r="F50" s="474"/>
    </row>
    <row r="51" spans="1:11" ht="16.5" customHeight="1">
      <c r="A51" s="1756" t="s">
        <v>1258</v>
      </c>
      <c r="B51" s="474"/>
      <c r="C51" s="474"/>
      <c r="D51" s="474"/>
      <c r="E51" s="474"/>
      <c r="F51" s="474"/>
    </row>
    <row r="52" spans="1:11" ht="13.5" customHeight="1">
      <c r="A52" s="1756"/>
      <c r="B52" s="474"/>
      <c r="C52" s="474"/>
      <c r="D52" s="474"/>
      <c r="E52" s="474"/>
      <c r="F52" s="474"/>
    </row>
    <row r="53" spans="1:11" ht="12.75" customHeight="1">
      <c r="A53" s="1756" t="s">
        <v>1259</v>
      </c>
      <c r="B53" s="474"/>
      <c r="C53" s="474"/>
      <c r="D53" s="474"/>
      <c r="E53" s="474"/>
      <c r="F53" s="474"/>
    </row>
    <row r="54" spans="1:11" ht="12.75" customHeight="1">
      <c r="A54" s="1756" t="s">
        <v>1260</v>
      </c>
      <c r="B54" s="474"/>
      <c r="C54" s="474"/>
      <c r="D54" s="474"/>
      <c r="E54" s="474"/>
      <c r="F54" s="474"/>
    </row>
    <row r="55" spans="1:11" ht="15.75" customHeight="1">
      <c r="A55" s="1756" t="s">
        <v>1261</v>
      </c>
      <c r="B55" s="474"/>
      <c r="C55" s="474"/>
      <c r="D55" s="474"/>
      <c r="E55" s="474"/>
      <c r="F55" s="474"/>
    </row>
    <row r="56" spans="1:11" ht="14.25" customHeight="1">
      <c r="A56" s="697"/>
      <c r="B56" s="418"/>
      <c r="C56" s="418"/>
      <c r="D56" s="418"/>
      <c r="E56" s="418"/>
      <c r="F56" s="418"/>
      <c r="G56" s="418"/>
    </row>
    <row r="57" spans="1:11" ht="14.25" customHeight="1">
      <c r="A57" s="918"/>
      <c r="B57" s="418"/>
      <c r="C57" s="418"/>
      <c r="D57" s="418"/>
      <c r="E57" s="418"/>
      <c r="F57" s="418"/>
      <c r="G57" s="418"/>
    </row>
    <row r="58" spans="1:11" ht="18.75" customHeight="1">
      <c r="A58" s="273" t="s">
        <v>710</v>
      </c>
      <c r="B58" s="418"/>
      <c r="C58" s="418"/>
      <c r="D58" s="418"/>
      <c r="E58" s="418"/>
      <c r="F58" s="418"/>
      <c r="G58" s="418"/>
    </row>
    <row r="59" spans="1:11" ht="31" customHeight="1">
      <c r="A59" s="418"/>
      <c r="B59" s="418"/>
      <c r="C59" s="418"/>
      <c r="D59" s="418"/>
      <c r="E59" s="418"/>
      <c r="F59" s="418"/>
      <c r="G59" s="418"/>
      <c r="K59" s="1"/>
    </row>
    <row r="60" spans="1:11" ht="31" customHeight="1">
      <c r="A60" s="418"/>
      <c r="B60" s="418"/>
      <c r="C60" s="418"/>
      <c r="D60" s="418"/>
      <c r="E60" s="418"/>
      <c r="F60" s="418"/>
      <c r="G60" s="418"/>
    </row>
    <row r="61" spans="1:11" ht="31" customHeight="1">
      <c r="A61" s="418"/>
      <c r="B61" s="418"/>
      <c r="C61" s="418"/>
      <c r="D61" s="418"/>
      <c r="E61" s="418"/>
      <c r="F61" s="418"/>
      <c r="G61" s="418"/>
    </row>
    <row r="62" spans="1:11" ht="31" customHeight="1">
      <c r="A62" s="418"/>
      <c r="B62" s="418"/>
      <c r="C62" s="418"/>
      <c r="D62" s="418"/>
      <c r="E62" s="418"/>
      <c r="F62" s="418"/>
      <c r="G62" s="418"/>
    </row>
    <row r="63" spans="1:11" ht="31" customHeight="1">
      <c r="A63" s="418"/>
      <c r="B63" s="418"/>
      <c r="C63" s="418"/>
      <c r="D63" s="418"/>
      <c r="E63" s="418"/>
      <c r="F63" s="418"/>
      <c r="G63" s="418"/>
    </row>
    <row r="64" spans="1:11" ht="31" customHeight="1">
      <c r="A64" s="418"/>
      <c r="B64" s="418"/>
      <c r="C64" s="418"/>
      <c r="D64" s="418"/>
      <c r="E64" s="418"/>
      <c r="F64" s="418"/>
      <c r="G64" s="418"/>
    </row>
    <row r="65" spans="1:7" ht="31" customHeight="1">
      <c r="A65" s="418"/>
      <c r="B65" s="418"/>
      <c r="C65" s="418"/>
      <c r="D65" s="418"/>
      <c r="E65" s="418"/>
      <c r="F65" s="418"/>
      <c r="G65" s="418"/>
    </row>
    <row r="66" spans="1:7">
      <c r="A66" s="418"/>
      <c r="B66" s="418"/>
      <c r="C66" s="418"/>
      <c r="D66" s="418"/>
      <c r="E66" s="418"/>
      <c r="F66" s="418"/>
      <c r="G66" s="418"/>
    </row>
    <row r="67" spans="1:7">
      <c r="A67" s="418"/>
      <c r="B67" s="418"/>
      <c r="C67" s="418"/>
      <c r="D67" s="418"/>
      <c r="E67" s="418"/>
      <c r="F67" s="418"/>
      <c r="G67" s="418"/>
    </row>
    <row r="68" spans="1:7">
      <c r="A68" s="418"/>
      <c r="B68" s="418"/>
      <c r="C68" s="418"/>
      <c r="D68" s="418"/>
      <c r="E68" s="418"/>
      <c r="F68" s="418"/>
      <c r="G68" s="418"/>
    </row>
    <row r="69" spans="1:7">
      <c r="A69" s="418"/>
      <c r="B69" s="418"/>
      <c r="C69" s="418"/>
      <c r="D69" s="418"/>
      <c r="E69" s="418"/>
      <c r="F69" s="418"/>
      <c r="G69" s="418"/>
    </row>
    <row r="70" spans="1:7">
      <c r="A70" s="418"/>
      <c r="B70" s="418"/>
      <c r="C70" s="418"/>
      <c r="D70" s="418"/>
      <c r="E70" s="418"/>
      <c r="F70" s="418"/>
      <c r="G70" s="418"/>
    </row>
    <row r="71" spans="1:7">
      <c r="A71" s="418"/>
      <c r="B71" s="418"/>
      <c r="C71" s="418"/>
      <c r="D71" s="418"/>
      <c r="E71" s="418"/>
      <c r="F71" s="418"/>
      <c r="G71" s="418"/>
    </row>
    <row r="72" spans="1:7">
      <c r="A72" s="418"/>
      <c r="B72" s="418"/>
      <c r="C72" s="418"/>
      <c r="D72" s="418"/>
      <c r="E72" s="418"/>
      <c r="F72" s="418"/>
      <c r="G72" s="418"/>
    </row>
    <row r="73" spans="1:7">
      <c r="A73" s="418"/>
      <c r="B73" s="418"/>
      <c r="C73" s="418"/>
      <c r="D73" s="418"/>
      <c r="E73" s="418"/>
      <c r="F73" s="418"/>
      <c r="G73" s="418"/>
    </row>
    <row r="74" spans="1:7">
      <c r="A74" s="418"/>
      <c r="B74" s="418"/>
      <c r="C74" s="418"/>
      <c r="D74" s="418"/>
      <c r="E74" s="418"/>
      <c r="F74" s="418"/>
      <c r="G74" s="418"/>
    </row>
    <row r="75" spans="1:7">
      <c r="A75" s="418"/>
      <c r="B75" s="418"/>
      <c r="C75" s="418"/>
      <c r="D75" s="418"/>
      <c r="E75" s="418"/>
      <c r="F75" s="418"/>
      <c r="G75" s="418"/>
    </row>
    <row r="76" spans="1:7">
      <c r="A76" s="418"/>
      <c r="B76" s="418"/>
      <c r="C76" s="418"/>
      <c r="D76" s="418"/>
      <c r="E76" s="418"/>
      <c r="F76" s="418"/>
      <c r="G76" s="418"/>
    </row>
    <row r="77" spans="1:7">
      <c r="A77" s="418"/>
      <c r="B77" s="418"/>
      <c r="C77" s="418"/>
      <c r="D77" s="418"/>
      <c r="E77" s="418"/>
      <c r="F77" s="418"/>
      <c r="G77" s="418"/>
    </row>
    <row r="78" spans="1:7">
      <c r="A78" s="418"/>
      <c r="B78" s="418"/>
      <c r="C78" s="418"/>
      <c r="D78" s="418"/>
      <c r="E78" s="418"/>
      <c r="F78" s="418"/>
      <c r="G78" s="418"/>
    </row>
    <row r="79" spans="1:7">
      <c r="A79" s="418"/>
      <c r="B79" s="418"/>
      <c r="C79" s="418"/>
      <c r="D79" s="418"/>
      <c r="E79" s="418"/>
      <c r="F79" s="418"/>
      <c r="G79" s="418"/>
    </row>
    <row r="80" spans="1:7">
      <c r="A80" s="418"/>
      <c r="B80" s="418"/>
      <c r="C80" s="418"/>
      <c r="D80" s="418"/>
      <c r="E80" s="418"/>
      <c r="F80" s="418"/>
      <c r="G80" s="418"/>
    </row>
    <row r="81" spans="1:7">
      <c r="A81" s="418"/>
      <c r="B81" s="418"/>
      <c r="C81" s="418"/>
      <c r="D81" s="418"/>
      <c r="E81" s="418"/>
      <c r="F81" s="418"/>
      <c r="G81" s="418"/>
    </row>
    <row r="82" spans="1:7">
      <c r="A82" s="418"/>
      <c r="B82" s="418"/>
      <c r="C82" s="418"/>
      <c r="D82" s="418"/>
      <c r="E82" s="418"/>
      <c r="F82" s="418"/>
      <c r="G82" s="418"/>
    </row>
    <row r="83" spans="1:7">
      <c r="A83" s="418"/>
      <c r="B83" s="418"/>
      <c r="C83" s="418"/>
      <c r="D83" s="418"/>
      <c r="E83" s="418"/>
      <c r="F83" s="418"/>
      <c r="G83" s="418"/>
    </row>
    <row r="84" spans="1:7">
      <c r="A84" s="418"/>
      <c r="B84" s="418"/>
      <c r="C84" s="418"/>
      <c r="D84" s="418"/>
      <c r="E84" s="418"/>
      <c r="F84" s="418"/>
      <c r="G84" s="418"/>
    </row>
    <row r="85" spans="1:7">
      <c r="A85" s="418"/>
      <c r="B85" s="418"/>
      <c r="C85" s="418"/>
      <c r="D85" s="418"/>
      <c r="E85" s="418"/>
      <c r="F85" s="418"/>
      <c r="G85" s="418"/>
    </row>
    <row r="86" spans="1:7">
      <c r="A86" s="418"/>
      <c r="B86" s="418"/>
      <c r="C86" s="418"/>
      <c r="D86" s="418"/>
      <c r="E86" s="418"/>
      <c r="F86" s="418"/>
      <c r="G86" s="418"/>
    </row>
    <row r="87" spans="1:7">
      <c r="A87" s="418"/>
      <c r="B87" s="418"/>
      <c r="C87" s="418"/>
      <c r="D87" s="418"/>
      <c r="E87" s="418"/>
      <c r="F87" s="418"/>
      <c r="G87" s="418"/>
    </row>
    <row r="88" spans="1:7">
      <c r="A88" s="418"/>
      <c r="B88" s="418"/>
      <c r="C88" s="418"/>
      <c r="D88" s="418"/>
      <c r="E88" s="418"/>
      <c r="F88" s="418"/>
      <c r="G88" s="418"/>
    </row>
    <row r="89" spans="1:7">
      <c r="A89" s="418"/>
      <c r="B89" s="418"/>
      <c r="C89" s="418"/>
      <c r="D89" s="418"/>
      <c r="E89" s="418"/>
      <c r="F89" s="418"/>
      <c r="G89" s="418"/>
    </row>
    <row r="90" spans="1:7">
      <c r="A90" s="418"/>
      <c r="B90" s="418"/>
      <c r="C90" s="418"/>
      <c r="D90" s="418"/>
      <c r="E90" s="418"/>
      <c r="F90" s="418"/>
      <c r="G90" s="418"/>
    </row>
    <row r="91" spans="1:7">
      <c r="A91" s="418"/>
      <c r="B91" s="418"/>
      <c r="C91" s="418"/>
      <c r="D91" s="418"/>
      <c r="E91" s="418"/>
      <c r="F91" s="418"/>
      <c r="G91" s="418"/>
    </row>
    <row r="92" spans="1:7">
      <c r="A92" s="418"/>
      <c r="B92" s="418"/>
      <c r="C92" s="418"/>
      <c r="D92" s="418"/>
      <c r="E92" s="418"/>
      <c r="F92" s="418"/>
      <c r="G92" s="418"/>
    </row>
    <row r="93" spans="1:7">
      <c r="A93" s="418"/>
      <c r="B93" s="418"/>
      <c r="C93" s="418"/>
      <c r="D93" s="418"/>
      <c r="E93" s="418"/>
      <c r="F93" s="418"/>
      <c r="G93" s="418"/>
    </row>
    <row r="94" spans="1:7">
      <c r="A94" s="418"/>
      <c r="B94" s="418"/>
      <c r="C94" s="418"/>
      <c r="D94" s="418"/>
      <c r="E94" s="418"/>
      <c r="F94" s="418"/>
      <c r="G94" s="418"/>
    </row>
    <row r="95" spans="1:7">
      <c r="A95" s="418"/>
      <c r="B95" s="418"/>
      <c r="C95" s="418"/>
      <c r="D95" s="418"/>
      <c r="E95" s="418"/>
      <c r="F95" s="418"/>
      <c r="G95" s="418"/>
    </row>
    <row r="96" spans="1:7">
      <c r="A96" s="418"/>
      <c r="B96" s="418"/>
      <c r="C96" s="418"/>
      <c r="D96" s="418"/>
      <c r="E96" s="418"/>
      <c r="F96" s="418"/>
      <c r="G96" s="418"/>
    </row>
    <row r="97" spans="1:7">
      <c r="A97" s="418"/>
      <c r="B97" s="418"/>
      <c r="C97" s="418"/>
      <c r="D97" s="418"/>
      <c r="E97" s="418"/>
      <c r="F97" s="418"/>
      <c r="G97" s="418"/>
    </row>
    <row r="98" spans="1:7">
      <c r="A98" s="418"/>
      <c r="B98" s="418"/>
      <c r="C98" s="418"/>
      <c r="D98" s="418"/>
      <c r="E98" s="418"/>
      <c r="F98" s="418"/>
      <c r="G98" s="418"/>
    </row>
    <row r="99" spans="1:7">
      <c r="A99" s="418"/>
      <c r="B99" s="418"/>
      <c r="C99" s="418"/>
      <c r="D99" s="418"/>
      <c r="E99" s="418"/>
      <c r="F99" s="418"/>
      <c r="G99" s="418"/>
    </row>
    <row r="100" spans="1:7">
      <c r="A100" s="418"/>
      <c r="B100" s="418"/>
      <c r="C100" s="418"/>
      <c r="D100" s="418"/>
      <c r="E100" s="418"/>
      <c r="F100" s="418"/>
      <c r="G100" s="418"/>
    </row>
    <row r="101" spans="1:7">
      <c r="A101" s="418"/>
      <c r="B101" s="418"/>
      <c r="C101" s="418"/>
      <c r="D101" s="418"/>
      <c r="E101" s="418"/>
      <c r="F101" s="418"/>
      <c r="G101" s="418"/>
    </row>
    <row r="102" spans="1:7">
      <c r="A102" s="418"/>
      <c r="B102" s="418"/>
      <c r="C102" s="418"/>
      <c r="D102" s="418"/>
      <c r="E102" s="418"/>
      <c r="F102" s="418"/>
      <c r="G102" s="418"/>
    </row>
    <row r="103" spans="1:7">
      <c r="A103" s="418"/>
      <c r="B103" s="418"/>
      <c r="C103" s="418"/>
      <c r="D103" s="418"/>
      <c r="E103" s="418"/>
      <c r="F103" s="418"/>
      <c r="G103" s="418"/>
    </row>
    <row r="104" spans="1:7">
      <c r="A104" s="418"/>
      <c r="B104" s="418"/>
      <c r="C104" s="418"/>
      <c r="D104" s="418"/>
      <c r="E104" s="418"/>
      <c r="F104" s="418"/>
      <c r="G104" s="418"/>
    </row>
    <row r="105" spans="1:7">
      <c r="A105" s="418"/>
      <c r="B105" s="418"/>
      <c r="C105" s="418"/>
      <c r="D105" s="418"/>
      <c r="E105" s="418"/>
      <c r="F105" s="418"/>
      <c r="G105" s="418"/>
    </row>
    <row r="106" spans="1:7">
      <c r="A106" s="418"/>
      <c r="B106" s="418"/>
      <c r="C106" s="418"/>
      <c r="D106" s="418"/>
      <c r="E106" s="418"/>
      <c r="F106" s="418"/>
      <c r="G106" s="418"/>
    </row>
    <row r="107" spans="1:7">
      <c r="A107" s="418"/>
      <c r="B107" s="418"/>
      <c r="C107" s="418"/>
      <c r="D107" s="418"/>
      <c r="E107" s="418"/>
      <c r="F107" s="418"/>
      <c r="G107" s="418"/>
    </row>
    <row r="108" spans="1:7">
      <c r="A108" s="418"/>
      <c r="B108" s="418"/>
      <c r="C108" s="418"/>
      <c r="D108" s="418"/>
      <c r="E108" s="418"/>
      <c r="F108" s="418"/>
      <c r="G108" s="418"/>
    </row>
    <row r="109" spans="1:7">
      <c r="A109" s="418"/>
      <c r="B109" s="418"/>
      <c r="C109" s="418"/>
      <c r="D109" s="418"/>
      <c r="E109" s="418"/>
      <c r="F109" s="418"/>
      <c r="G109" s="418"/>
    </row>
    <row r="110" spans="1:7">
      <c r="A110" s="418"/>
      <c r="B110" s="418"/>
      <c r="C110" s="418"/>
      <c r="D110" s="418"/>
      <c r="E110" s="418"/>
      <c r="F110" s="418"/>
      <c r="G110" s="418"/>
    </row>
    <row r="111" spans="1:7">
      <c r="A111" s="418"/>
      <c r="B111" s="418"/>
      <c r="C111" s="418"/>
      <c r="D111" s="418"/>
      <c r="E111" s="418"/>
      <c r="F111" s="418"/>
      <c r="G111" s="418"/>
    </row>
    <row r="112" spans="1:7">
      <c r="A112" s="418"/>
      <c r="B112" s="418"/>
      <c r="C112" s="418"/>
      <c r="D112" s="418"/>
      <c r="E112" s="418"/>
      <c r="F112" s="418"/>
      <c r="G112" s="418"/>
    </row>
    <row r="113" spans="1:7">
      <c r="A113" s="418"/>
      <c r="B113" s="418"/>
      <c r="C113" s="418"/>
      <c r="D113" s="418"/>
      <c r="E113" s="418"/>
      <c r="F113" s="418"/>
      <c r="G113" s="418"/>
    </row>
    <row r="114" spans="1:7">
      <c r="A114" s="418"/>
      <c r="B114" s="418"/>
      <c r="C114" s="418"/>
      <c r="D114" s="418"/>
      <c r="E114" s="418"/>
      <c r="F114" s="418"/>
      <c r="G114" s="418"/>
    </row>
    <row r="115" spans="1:7">
      <c r="A115" s="418"/>
      <c r="B115" s="418"/>
      <c r="C115" s="418"/>
      <c r="D115" s="418"/>
      <c r="E115" s="418"/>
      <c r="F115" s="418"/>
      <c r="G115" s="418"/>
    </row>
    <row r="116" spans="1:7">
      <c r="A116" s="418"/>
      <c r="B116" s="418"/>
      <c r="C116" s="418"/>
      <c r="D116" s="418"/>
      <c r="E116" s="418"/>
      <c r="F116" s="418"/>
      <c r="G116" s="418"/>
    </row>
    <row r="117" spans="1:7">
      <c r="A117" s="418"/>
      <c r="B117" s="418"/>
      <c r="C117" s="418"/>
      <c r="D117" s="418"/>
      <c r="E117" s="418"/>
      <c r="F117" s="418"/>
      <c r="G117" s="418"/>
    </row>
    <row r="118" spans="1:7">
      <c r="A118" s="418"/>
      <c r="B118" s="418"/>
      <c r="C118" s="418"/>
      <c r="D118" s="418"/>
      <c r="E118" s="418"/>
      <c r="F118" s="418"/>
      <c r="G118" s="418"/>
    </row>
    <row r="119" spans="1:7">
      <c r="A119" s="418"/>
      <c r="B119" s="418"/>
      <c r="C119" s="418"/>
      <c r="D119" s="418"/>
      <c r="E119" s="418"/>
      <c r="F119" s="418"/>
      <c r="G119" s="418"/>
    </row>
    <row r="120" spans="1:7">
      <c r="A120" s="418"/>
      <c r="B120" s="418"/>
      <c r="C120" s="418"/>
      <c r="D120" s="418"/>
      <c r="E120" s="418"/>
      <c r="F120" s="418"/>
      <c r="G120" s="418"/>
    </row>
    <row r="121" spans="1:7">
      <c r="A121" s="418"/>
      <c r="B121" s="418"/>
      <c r="C121" s="418"/>
      <c r="D121" s="418"/>
      <c r="E121" s="418"/>
      <c r="F121" s="418"/>
      <c r="G121" s="418"/>
    </row>
  </sheetData>
  <phoneticPr fontId="0" type="noConversion"/>
  <pageMargins left="0.49" right="0.51" top="0.74" bottom="0.49" header="0.47" footer="0.4921259845"/>
  <pageSetup paperSize="9" scale="60" orientation="portrait" horizontalDpi="1200" verticalDpi="1200"/>
  <headerFooter alignWithMargins="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F7D75-982C-5B44-8AF0-A7D42F59E07F}">
  <sheetPr>
    <pageSetUpPr fitToPage="1"/>
  </sheetPr>
  <dimension ref="A1:G35"/>
  <sheetViews>
    <sheetView topLeftCell="A14" zoomScale="75" workbookViewId="0">
      <selection activeCell="I7" sqref="I7"/>
    </sheetView>
  </sheetViews>
  <sheetFormatPr baseColWidth="10" defaultColWidth="10.796875" defaultRowHeight="13"/>
  <cols>
    <col min="1" max="1" width="35.59765625" style="2" customWidth="1"/>
    <col min="2" max="3" width="12.796875" style="7" customWidth="1"/>
    <col min="4" max="4" width="14.3984375" style="7" customWidth="1"/>
    <col min="5" max="5" width="12.796875" style="7" customWidth="1"/>
    <col min="6" max="6" width="14.3984375" style="7" customWidth="1"/>
    <col min="7" max="7" width="12.796875" style="2" customWidth="1"/>
    <col min="8" max="16384" width="10.796875" style="2"/>
  </cols>
  <sheetData>
    <row r="1" spans="1:7" ht="14" customHeight="1">
      <c r="A1" s="275"/>
    </row>
    <row r="2" spans="1:7" ht="28" customHeight="1">
      <c r="A2" s="48" t="s">
        <v>1469</v>
      </c>
      <c r="G2" s="398">
        <v>2009</v>
      </c>
    </row>
    <row r="3" spans="1:7" s="87" customFormat="1" ht="25" customHeight="1">
      <c r="A3" s="1676" t="s">
        <v>364</v>
      </c>
      <c r="B3" s="147" t="s">
        <v>1833</v>
      </c>
      <c r="C3" s="148" t="s">
        <v>1834</v>
      </c>
      <c r="D3" s="147" t="s">
        <v>1800</v>
      </c>
      <c r="E3" s="121" t="s">
        <v>1904</v>
      </c>
      <c r="F3" s="356" t="s">
        <v>1567</v>
      </c>
      <c r="G3" s="121" t="s">
        <v>1801</v>
      </c>
    </row>
    <row r="4" spans="1:7" s="87" customFormat="1" ht="15" customHeight="1">
      <c r="A4" s="1677"/>
      <c r="B4" s="149"/>
      <c r="C4" s="150"/>
      <c r="D4" s="149"/>
      <c r="E4" s="150"/>
      <c r="F4" s="123"/>
      <c r="G4" s="124" t="s">
        <v>1802</v>
      </c>
    </row>
    <row r="5" spans="1:7" s="87" customFormat="1" ht="15" customHeight="1">
      <c r="A5" s="1677"/>
      <c r="B5" s="149"/>
      <c r="C5" s="150"/>
      <c r="D5" s="149"/>
      <c r="E5" s="150"/>
      <c r="F5" s="123"/>
      <c r="G5" s="124" t="s">
        <v>1806</v>
      </c>
    </row>
    <row r="6" spans="1:7" s="87" customFormat="1" ht="24" customHeight="1">
      <c r="A6" s="1678"/>
      <c r="B6" s="1679"/>
      <c r="C6" s="1680"/>
      <c r="D6" s="1679"/>
      <c r="E6" s="1680"/>
      <c r="F6" s="599"/>
      <c r="G6" s="128"/>
    </row>
    <row r="7" spans="1:7" ht="30" customHeight="1" thickBot="1">
      <c r="A7" s="1681" t="s">
        <v>1905</v>
      </c>
      <c r="B7" s="185">
        <v>3018366.51</v>
      </c>
      <c r="C7" s="184">
        <v>3183510.14</v>
      </c>
      <c r="D7" s="185">
        <v>6201876.6500000004</v>
      </c>
      <c r="E7" s="184">
        <v>1506974.9</v>
      </c>
      <c r="F7" s="294">
        <v>7708851.5099999998</v>
      </c>
      <c r="G7" s="1682">
        <v>1.2249676889299304E-2</v>
      </c>
    </row>
    <row r="8" spans="1:7" ht="24" customHeight="1" thickBot="1">
      <c r="A8" s="1683" t="s">
        <v>1906</v>
      </c>
      <c r="B8" s="188">
        <v>2189264</v>
      </c>
      <c r="C8" s="187">
        <v>2878089</v>
      </c>
      <c r="D8" s="188">
        <v>5067353</v>
      </c>
      <c r="E8" s="187">
        <v>1395720</v>
      </c>
      <c r="F8" s="295">
        <v>6463073</v>
      </c>
      <c r="G8" s="1682">
        <v>3.4623429548469573E-2</v>
      </c>
    </row>
    <row r="9" spans="1:7" ht="23.25" customHeight="1" thickBot="1">
      <c r="A9" s="1683" t="s">
        <v>1907</v>
      </c>
      <c r="B9" s="441">
        <v>72.53</v>
      </c>
      <c r="C9" s="442">
        <v>90.41</v>
      </c>
      <c r="D9" s="441">
        <v>81.706768547226744</v>
      </c>
      <c r="E9" s="442">
        <v>92.62</v>
      </c>
      <c r="F9" s="908">
        <v>83.84</v>
      </c>
      <c r="G9" s="1682">
        <v>2.2107442896697863E-2</v>
      </c>
    </row>
    <row r="10" spans="1:7" ht="24" customHeight="1" thickBot="1">
      <c r="A10" s="1683" t="s">
        <v>1908</v>
      </c>
      <c r="B10" s="188">
        <v>515799</v>
      </c>
      <c r="C10" s="187">
        <v>690869</v>
      </c>
      <c r="D10" s="188">
        <v>1206668</v>
      </c>
      <c r="E10" s="187">
        <v>82666</v>
      </c>
      <c r="F10" s="295">
        <v>1289334</v>
      </c>
      <c r="G10" s="1682">
        <v>4.6009557209631385E-3</v>
      </c>
    </row>
    <row r="11" spans="1:7" ht="20" customHeight="1" thickBot="1">
      <c r="A11" s="1683" t="s">
        <v>2309</v>
      </c>
      <c r="B11" s="188" t="s">
        <v>744</v>
      </c>
      <c r="C11" s="187">
        <v>93895</v>
      </c>
      <c r="D11" s="188">
        <v>93895</v>
      </c>
      <c r="E11" s="187">
        <v>522</v>
      </c>
      <c r="F11" s="295">
        <v>94417</v>
      </c>
      <c r="G11" s="1682">
        <v>4.6713060503522103E-3</v>
      </c>
    </row>
    <row r="12" spans="1:7" ht="20" customHeight="1" thickBot="1">
      <c r="A12" s="1684" t="s">
        <v>1888</v>
      </c>
      <c r="B12" s="441">
        <v>17.09</v>
      </c>
      <c r="C12" s="442">
        <v>21.7</v>
      </c>
      <c r="D12" s="441">
        <v>19.456497897293715</v>
      </c>
      <c r="E12" s="442">
        <v>5.49</v>
      </c>
      <c r="F12" s="908">
        <v>16.73</v>
      </c>
      <c r="G12" s="1682">
        <v>-7.121661721068308E-3</v>
      </c>
    </row>
    <row r="13" spans="1:7" ht="24" customHeight="1" thickBot="1">
      <c r="A13" s="1683" t="s">
        <v>1909</v>
      </c>
      <c r="B13" s="188">
        <v>4974307</v>
      </c>
      <c r="C13" s="187">
        <v>6480824</v>
      </c>
      <c r="D13" s="188">
        <v>11455131</v>
      </c>
      <c r="E13" s="187">
        <v>511744</v>
      </c>
      <c r="F13" s="295">
        <v>11966875</v>
      </c>
      <c r="G13" s="1682">
        <v>1.5025020920743419E-2</v>
      </c>
    </row>
    <row r="14" spans="1:7" ht="20" customHeight="1" thickBot="1">
      <c r="A14" s="1683" t="s">
        <v>2309</v>
      </c>
      <c r="B14" s="915" t="s">
        <v>744</v>
      </c>
      <c r="C14" s="187">
        <v>528472</v>
      </c>
      <c r="D14" s="188">
        <v>528472</v>
      </c>
      <c r="E14" s="187">
        <v>2837</v>
      </c>
      <c r="F14" s="295">
        <v>531309</v>
      </c>
      <c r="G14" s="1682">
        <v>2.2213970598137997E-2</v>
      </c>
    </row>
    <row r="15" spans="1:7" ht="20" customHeight="1" thickBot="1">
      <c r="A15" s="1683" t="s">
        <v>1889</v>
      </c>
      <c r="B15" s="441">
        <v>164.8</v>
      </c>
      <c r="C15" s="442">
        <v>203.57</v>
      </c>
      <c r="D15" s="441">
        <v>184.70427011798114</v>
      </c>
      <c r="E15" s="442">
        <v>33.96</v>
      </c>
      <c r="F15" s="908">
        <v>155.24</v>
      </c>
      <c r="G15" s="1682">
        <v>2.7775983463600982E-3</v>
      </c>
    </row>
    <row r="16" spans="1:7" ht="30" customHeight="1" thickBot="1">
      <c r="A16" s="1685" t="s">
        <v>1890</v>
      </c>
      <c r="B16" s="1686">
        <v>9.64</v>
      </c>
      <c r="C16" s="1687">
        <v>9.3800000000000008</v>
      </c>
      <c r="D16" s="1686">
        <v>9.4931919964729321</v>
      </c>
      <c r="E16" s="1687">
        <v>6.19</v>
      </c>
      <c r="F16" s="690">
        <v>9.2799999999999994</v>
      </c>
      <c r="G16" s="1688">
        <v>9.7932535364526514E-3</v>
      </c>
    </row>
    <row r="17" spans="1:7" ht="20" customHeight="1">
      <c r="A17" s="140" t="s">
        <v>324</v>
      </c>
      <c r="B17" s="164"/>
      <c r="C17" s="164"/>
      <c r="D17" s="164"/>
      <c r="E17" s="164"/>
      <c r="F17" s="164"/>
      <c r="G17" s="140"/>
    </row>
    <row r="18" spans="1:7" ht="13.5" customHeight="1">
      <c r="A18" s="141"/>
      <c r="B18" s="166"/>
      <c r="C18" s="166"/>
      <c r="D18" s="166"/>
      <c r="E18" s="166"/>
      <c r="F18" s="166"/>
      <c r="G18" s="141"/>
    </row>
    <row r="19" spans="1:7" ht="13.5" customHeight="1">
      <c r="A19" s="141" t="s">
        <v>1891</v>
      </c>
      <c r="B19" s="166"/>
      <c r="C19" s="166"/>
      <c r="D19" s="166"/>
      <c r="E19" s="166"/>
      <c r="F19" s="166"/>
      <c r="G19" s="141"/>
    </row>
    <row r="20" spans="1:7" ht="12.75" customHeight="1">
      <c r="A20" s="141" t="s">
        <v>1892</v>
      </c>
      <c r="B20" s="166"/>
      <c r="C20" s="166"/>
      <c r="D20" s="166"/>
      <c r="E20" s="166"/>
      <c r="F20" s="166"/>
      <c r="G20" s="141"/>
    </row>
    <row r="21" spans="1:7" ht="12.75" customHeight="1">
      <c r="A21" s="141" t="s">
        <v>1893</v>
      </c>
      <c r="B21" s="166"/>
      <c r="C21" s="166"/>
      <c r="D21" s="166"/>
      <c r="E21" s="166"/>
      <c r="F21" s="166"/>
      <c r="G21" s="141"/>
    </row>
    <row r="22" spans="1:7" ht="12.75" customHeight="1">
      <c r="A22" s="1689" t="s">
        <v>1894</v>
      </c>
    </row>
    <row r="23" spans="1:7" ht="12.75" customHeight="1">
      <c r="A23" s="1689" t="s">
        <v>1895</v>
      </c>
    </row>
    <row r="24" spans="1:7" ht="12.75" customHeight="1">
      <c r="A24" s="1689" t="s">
        <v>1896</v>
      </c>
    </row>
    <row r="25" spans="1:7" ht="12.75" customHeight="1">
      <c r="A25" s="1689" t="s">
        <v>1897</v>
      </c>
    </row>
    <row r="26" spans="1:7" ht="12.75" customHeight="1">
      <c r="A26" s="1689" t="s">
        <v>1898</v>
      </c>
    </row>
    <row r="27" spans="1:7" ht="12.75" customHeight="1">
      <c r="A27" s="1689" t="s">
        <v>1899</v>
      </c>
    </row>
    <row r="28" spans="1:7" ht="12.75" customHeight="1">
      <c r="A28" s="1689" t="s">
        <v>1900</v>
      </c>
    </row>
    <row r="29" spans="1:7" ht="12.75" customHeight="1">
      <c r="A29" s="1689" t="s">
        <v>1901</v>
      </c>
    </row>
    <row r="30" spans="1:7" ht="12.75" customHeight="1">
      <c r="A30" s="1689" t="s">
        <v>1902</v>
      </c>
    </row>
    <row r="32" spans="1:7">
      <c r="A32" s="2" t="s">
        <v>1903</v>
      </c>
    </row>
    <row r="35" spans="1:1">
      <c r="A35" s="418" t="s">
        <v>710</v>
      </c>
    </row>
  </sheetData>
  <phoneticPr fontId="0" type="noConversion"/>
  <pageMargins left="0.57999999999999996" right="0.65" top="0.85" bottom="0.47244094488188981" header="0.49" footer="0.51181102362204722"/>
  <pageSetup paperSize="9" scale="78" orientation="portrait" horizontalDpi="1200" verticalDpi="1200"/>
  <headerFooter alignWithMargins="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F3019-14EC-D84B-B5E9-764ECFB6639D}">
  <sheetPr>
    <pageSetUpPr fitToPage="1"/>
  </sheetPr>
  <dimension ref="A1:B10"/>
  <sheetViews>
    <sheetView workbookViewId="0">
      <selection activeCell="B8" sqref="B8"/>
    </sheetView>
  </sheetViews>
  <sheetFormatPr baseColWidth="10" defaultColWidth="11.3984375" defaultRowHeight="13"/>
  <cols>
    <col min="1" max="1" width="5.59765625" style="979" customWidth="1"/>
    <col min="2" max="16384" width="11.3984375" style="979"/>
  </cols>
  <sheetData>
    <row r="1" spans="1:2" ht="16">
      <c r="A1" s="978" t="s">
        <v>944</v>
      </c>
    </row>
    <row r="2" spans="1:2" ht="16">
      <c r="A2" s="978"/>
    </row>
    <row r="3" spans="1:2" s="982" customFormat="1">
      <c r="A3" s="980" t="s">
        <v>747</v>
      </c>
      <c r="B3" s="981" t="s">
        <v>945</v>
      </c>
    </row>
    <row r="4" spans="1:2" s="982" customFormat="1">
      <c r="A4" s="980" t="s">
        <v>748</v>
      </c>
      <c r="B4" s="981" t="s">
        <v>946</v>
      </c>
    </row>
    <row r="5" spans="1:2">
      <c r="A5" s="980" t="s">
        <v>749</v>
      </c>
      <c r="B5" s="981" t="s">
        <v>947</v>
      </c>
    </row>
    <row r="6" spans="1:2">
      <c r="A6" s="980" t="s">
        <v>948</v>
      </c>
      <c r="B6" s="981" t="s">
        <v>949</v>
      </c>
    </row>
    <row r="7" spans="1:2" s="982" customFormat="1">
      <c r="A7" s="980" t="s">
        <v>950</v>
      </c>
      <c r="B7" s="981" t="s">
        <v>951</v>
      </c>
    </row>
    <row r="8" spans="1:2" ht="18.75" customHeight="1"/>
    <row r="10" spans="1:2">
      <c r="A10" s="983" t="s">
        <v>710</v>
      </c>
    </row>
  </sheetData>
  <phoneticPr fontId="30" type="noConversion"/>
  <pageMargins left="0.46" right="0.35" top="0.88" bottom="0.984251969" header="0.4921259845" footer="0.4921259845"/>
  <pageSetup paperSize="9" orientation="portrait"/>
  <headerFooter alignWithMargins="0"/>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CA01F-5EA0-8A40-A1E2-3F8B7FEB1319}">
  <dimension ref="A1:K29"/>
  <sheetViews>
    <sheetView topLeftCell="A7" zoomScale="75" workbookViewId="0">
      <selection activeCell="A3" sqref="A3"/>
    </sheetView>
  </sheetViews>
  <sheetFormatPr baseColWidth="10" defaultColWidth="11.3984375" defaultRowHeight="13"/>
  <cols>
    <col min="1" max="1" width="21.796875" style="2" customWidth="1"/>
    <col min="2" max="7" width="12.796875" style="2" customWidth="1"/>
    <col min="8" max="16384" width="11.3984375" style="2"/>
  </cols>
  <sheetData>
    <row r="1" spans="1:11" s="1" customFormat="1" ht="14" customHeight="1"/>
    <row r="2" spans="1:11" s="1" customFormat="1" ht="28" customHeight="1">
      <c r="A2" s="48" t="s">
        <v>146</v>
      </c>
      <c r="G2" s="146"/>
    </row>
    <row r="3" spans="1:11" ht="24" customHeight="1">
      <c r="A3" s="119" t="s">
        <v>132</v>
      </c>
      <c r="B3" s="120" t="s">
        <v>869</v>
      </c>
      <c r="C3" s="121" t="s">
        <v>147</v>
      </c>
      <c r="D3" s="120" t="s">
        <v>869</v>
      </c>
      <c r="E3" s="121" t="s">
        <v>147</v>
      </c>
      <c r="F3" s="120" t="s">
        <v>1567</v>
      </c>
      <c r="G3" s="121" t="s">
        <v>1801</v>
      </c>
    </row>
    <row r="4" spans="1:11" ht="15" customHeight="1">
      <c r="A4" s="325" t="s">
        <v>133</v>
      </c>
      <c r="B4" s="123" t="s">
        <v>150</v>
      </c>
      <c r="C4" s="124" t="s">
        <v>610</v>
      </c>
      <c r="D4" s="123" t="s">
        <v>151</v>
      </c>
      <c r="E4" s="124" t="s">
        <v>610</v>
      </c>
      <c r="F4" s="123"/>
      <c r="G4" s="124" t="s">
        <v>1802</v>
      </c>
    </row>
    <row r="5" spans="1:11" ht="15" customHeight="1">
      <c r="A5" s="325" t="s">
        <v>137</v>
      </c>
      <c r="B5" s="123"/>
      <c r="C5" s="124"/>
      <c r="D5" s="123"/>
      <c r="E5" s="124"/>
      <c r="F5" s="123"/>
      <c r="G5" s="124" t="s">
        <v>1806</v>
      </c>
    </row>
    <row r="6" spans="1:11" ht="14.25" customHeight="1">
      <c r="A6" s="326"/>
      <c r="B6" s="129"/>
      <c r="C6" s="128"/>
      <c r="D6" s="129"/>
      <c r="E6" s="128"/>
      <c r="F6" s="129"/>
      <c r="G6" s="128"/>
    </row>
    <row r="7" spans="1:11" ht="1.5" customHeight="1" thickBot="1">
      <c r="A7" s="327">
        <v>1996</v>
      </c>
      <c r="B7" s="155">
        <v>82</v>
      </c>
      <c r="C7" s="157">
        <v>0.56551724137931036</v>
      </c>
      <c r="D7" s="170">
        <v>63</v>
      </c>
      <c r="E7" s="157">
        <v>0.43448275862068964</v>
      </c>
      <c r="F7" s="170">
        <v>145</v>
      </c>
      <c r="G7" s="157">
        <v>-0.12650602409638553</v>
      </c>
      <c r="I7" s="8"/>
      <c r="J7" s="8"/>
      <c r="K7" s="8"/>
    </row>
    <row r="8" spans="1:11" ht="19.5" hidden="1" customHeight="1" thickBot="1">
      <c r="A8" s="328">
        <v>1997</v>
      </c>
      <c r="B8" s="455">
        <v>60</v>
      </c>
      <c r="C8" s="158">
        <v>0.46511627906976744</v>
      </c>
      <c r="D8" s="188">
        <v>69</v>
      </c>
      <c r="E8" s="158">
        <v>0.53488372093023251</v>
      </c>
      <c r="F8" s="188">
        <v>129</v>
      </c>
      <c r="G8" s="158">
        <v>-0.1103448275862069</v>
      </c>
    </row>
    <row r="9" spans="1:11" ht="19.5" hidden="1" customHeight="1" thickBot="1">
      <c r="A9" s="328">
        <v>1998</v>
      </c>
      <c r="B9" s="455">
        <v>62</v>
      </c>
      <c r="C9" s="158">
        <v>0.52542372881355937</v>
      </c>
      <c r="D9" s="188">
        <v>56</v>
      </c>
      <c r="E9" s="158">
        <v>0.47457627118644069</v>
      </c>
      <c r="F9" s="188">
        <v>118</v>
      </c>
      <c r="G9" s="158">
        <v>-8.5271317829457363E-2</v>
      </c>
    </row>
    <row r="10" spans="1:11" ht="20" customHeight="1" thickBot="1">
      <c r="A10" s="328">
        <v>1999</v>
      </c>
      <c r="B10" s="455">
        <v>59</v>
      </c>
      <c r="C10" s="158">
        <v>0.54128440366972475</v>
      </c>
      <c r="D10" s="188">
        <v>50</v>
      </c>
      <c r="E10" s="158">
        <v>0.45871559633027525</v>
      </c>
      <c r="F10" s="188">
        <v>109</v>
      </c>
      <c r="G10" s="158">
        <v>-7.6271186440677971E-2</v>
      </c>
    </row>
    <row r="11" spans="1:11" ht="19.5" customHeight="1" thickBot="1">
      <c r="A11" s="328">
        <v>2000</v>
      </c>
      <c r="B11" s="455">
        <v>59</v>
      </c>
      <c r="C11" s="158">
        <v>0.58415841584158412</v>
      </c>
      <c r="D11" s="188">
        <v>42</v>
      </c>
      <c r="E11" s="158">
        <v>0.41584158415841582</v>
      </c>
      <c r="F11" s="188">
        <v>101</v>
      </c>
      <c r="G11" s="158">
        <v>-7.3394495412844041E-2</v>
      </c>
    </row>
    <row r="12" spans="1:11" ht="20" customHeight="1" thickBot="1">
      <c r="A12" s="328">
        <v>2001</v>
      </c>
      <c r="B12" s="455">
        <v>64</v>
      </c>
      <c r="C12" s="158">
        <v>0.64646464646464652</v>
      </c>
      <c r="D12" s="188">
        <v>35</v>
      </c>
      <c r="E12" s="158">
        <v>0.35353535353535354</v>
      </c>
      <c r="F12" s="188">
        <v>99</v>
      </c>
      <c r="G12" s="158">
        <v>-1.9801980198019802E-2</v>
      </c>
    </row>
    <row r="13" spans="1:11" ht="20" customHeight="1" thickBot="1">
      <c r="A13" s="328">
        <v>2002</v>
      </c>
      <c r="B13" s="455">
        <v>68</v>
      </c>
      <c r="C13" s="158">
        <v>0.73118279569892475</v>
      </c>
      <c r="D13" s="188">
        <v>25</v>
      </c>
      <c r="E13" s="158">
        <v>0.26881720430107525</v>
      </c>
      <c r="F13" s="188">
        <v>93</v>
      </c>
      <c r="G13" s="158">
        <v>-6.0606060606060608E-2</v>
      </c>
    </row>
    <row r="14" spans="1:11" ht="20" customHeight="1" thickBot="1">
      <c r="A14" s="328">
        <v>2003</v>
      </c>
      <c r="B14" s="455">
        <v>70</v>
      </c>
      <c r="C14" s="158">
        <v>0.75268817204301075</v>
      </c>
      <c r="D14" s="188">
        <v>23</v>
      </c>
      <c r="E14" s="158">
        <v>0.24731182795698925</v>
      </c>
      <c r="F14" s="188">
        <v>93</v>
      </c>
      <c r="G14" s="158">
        <v>0</v>
      </c>
    </row>
    <row r="15" spans="1:11" ht="20" customHeight="1" thickBot="1">
      <c r="A15" s="328">
        <v>2004</v>
      </c>
      <c r="B15" s="455">
        <v>72</v>
      </c>
      <c r="C15" s="158">
        <v>0.77419354838709675</v>
      </c>
      <c r="D15" s="188">
        <v>21</v>
      </c>
      <c r="E15" s="158">
        <v>0.22580645161290322</v>
      </c>
      <c r="F15" s="188">
        <v>93</v>
      </c>
      <c r="G15" s="158">
        <v>0</v>
      </c>
    </row>
    <row r="16" spans="1:11" ht="20" customHeight="1" thickBot="1">
      <c r="A16" s="328">
        <v>2005</v>
      </c>
      <c r="B16" s="455">
        <v>65</v>
      </c>
      <c r="C16" s="158">
        <v>0.76470588235294112</v>
      </c>
      <c r="D16" s="188">
        <v>20</v>
      </c>
      <c r="E16" s="158">
        <v>0.23529411764705882</v>
      </c>
      <c r="F16" s="188">
        <v>85</v>
      </c>
      <c r="G16" s="158">
        <v>-8.6021505376344093E-2</v>
      </c>
    </row>
    <row r="17" spans="1:7" ht="20" customHeight="1" thickBot="1">
      <c r="A17" s="328">
        <v>2006</v>
      </c>
      <c r="B17" s="455">
        <v>66</v>
      </c>
      <c r="C17" s="158">
        <v>0.75862068965517238</v>
      </c>
      <c r="D17" s="188">
        <v>21</v>
      </c>
      <c r="E17" s="158">
        <v>0.2413793103448276</v>
      </c>
      <c r="F17" s="188">
        <v>87</v>
      </c>
      <c r="G17" s="158">
        <v>2.3529411764705882E-2</v>
      </c>
    </row>
    <row r="18" spans="1:7" ht="20" customHeight="1" thickBot="1">
      <c r="A18" s="328">
        <v>2007</v>
      </c>
      <c r="B18" s="455">
        <v>66</v>
      </c>
      <c r="C18" s="158">
        <v>0.75862068965517238</v>
      </c>
      <c r="D18" s="188">
        <v>21</v>
      </c>
      <c r="E18" s="158">
        <v>0.2413793103448276</v>
      </c>
      <c r="F18" s="188">
        <v>87</v>
      </c>
      <c r="G18" s="158">
        <v>0</v>
      </c>
    </row>
    <row r="19" spans="1:7" ht="20" customHeight="1" thickBot="1">
      <c r="A19" s="328">
        <v>2008</v>
      </c>
      <c r="B19" s="455">
        <v>63</v>
      </c>
      <c r="C19" s="158">
        <v>0.73255813953488369</v>
      </c>
      <c r="D19" s="188">
        <v>23</v>
      </c>
      <c r="E19" s="158">
        <v>0.26744186046511625</v>
      </c>
      <c r="F19" s="188">
        <v>86</v>
      </c>
      <c r="G19" s="158">
        <v>-1.1494252873563204E-2</v>
      </c>
    </row>
    <row r="20" spans="1:7" ht="24.75" customHeight="1" thickBot="1">
      <c r="A20" s="1003">
        <v>2009</v>
      </c>
      <c r="B20" s="801">
        <v>59</v>
      </c>
      <c r="C20" s="1004">
        <v>0.71951219512195119</v>
      </c>
      <c r="D20" s="295">
        <v>23</v>
      </c>
      <c r="E20" s="1004">
        <v>0.28048780487804881</v>
      </c>
      <c r="F20" s="295">
        <v>82</v>
      </c>
      <c r="G20" s="1004">
        <v>-4.6511627906976716E-2</v>
      </c>
    </row>
    <row r="21" spans="1:7">
      <c r="A21" s="140" t="s">
        <v>152</v>
      </c>
      <c r="B21" s="140"/>
      <c r="C21" s="140"/>
      <c r="D21" s="140"/>
      <c r="E21" s="140"/>
      <c r="F21" s="140"/>
      <c r="G21" s="140"/>
    </row>
    <row r="22" spans="1:7">
      <c r="A22" s="141"/>
      <c r="B22" s="141"/>
      <c r="C22" s="141"/>
      <c r="D22" s="141"/>
      <c r="E22" s="141"/>
      <c r="F22" s="141"/>
      <c r="G22" s="141"/>
    </row>
    <row r="23" spans="1:7">
      <c r="A23" s="141" t="s">
        <v>955</v>
      </c>
      <c r="B23" s="141"/>
      <c r="C23" s="141"/>
      <c r="D23" s="141"/>
      <c r="E23" s="141"/>
      <c r="F23" s="141"/>
      <c r="G23" s="141"/>
    </row>
    <row r="24" spans="1:7">
      <c r="A24" s="141"/>
      <c r="B24" s="141"/>
      <c r="C24" s="141"/>
      <c r="D24" s="141"/>
      <c r="E24" s="141"/>
      <c r="F24" s="141"/>
      <c r="G24" s="141"/>
    </row>
    <row r="25" spans="1:7">
      <c r="A25" s="2" t="s">
        <v>148</v>
      </c>
    </row>
    <row r="26" spans="1:7">
      <c r="A26" s="2" t="s">
        <v>149</v>
      </c>
    </row>
    <row r="29" spans="1:7">
      <c r="A29" s="141" t="s">
        <v>710</v>
      </c>
    </row>
  </sheetData>
  <phoneticPr fontId="0" type="noConversion"/>
  <pageMargins left="0.56000000000000005" right="0.56999999999999995" top="0.81" bottom="0.49" header="0.47" footer="0.4921259845"/>
  <pageSetup paperSize="9" scale="80" orientation="portrait" horizontalDpi="1200" verticalDpi="1200"/>
  <headerFooter alignWithMargins="0"/>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CD2BA-AF34-8B48-B2C6-EAAE2A80B812}">
  <dimension ref="A1:K30"/>
  <sheetViews>
    <sheetView zoomScale="75" workbookViewId="0">
      <selection activeCell="I10" sqref="I10"/>
    </sheetView>
  </sheetViews>
  <sheetFormatPr baseColWidth="10" defaultColWidth="11.3984375" defaultRowHeight="13"/>
  <cols>
    <col min="1" max="1" width="21.796875" style="2" customWidth="1"/>
    <col min="2" max="2" width="15.19921875" style="2" customWidth="1"/>
    <col min="3" max="4" width="12.796875" style="2" customWidth="1"/>
    <col min="5" max="5" width="13" style="2" customWidth="1"/>
    <col min="6" max="6" width="15.3984375" style="2" customWidth="1"/>
    <col min="7" max="7" width="13" style="2" customWidth="1"/>
    <col min="8" max="16384" width="11.3984375" style="2"/>
  </cols>
  <sheetData>
    <row r="1" spans="1:11" s="1" customFormat="1" ht="14" customHeight="1"/>
    <row r="2" spans="1:11" s="1" customFormat="1" ht="32.25" customHeight="1">
      <c r="A2" s="177" t="s">
        <v>131</v>
      </c>
      <c r="B2" s="478"/>
      <c r="C2" s="478"/>
      <c r="D2" s="478"/>
      <c r="E2" s="478"/>
      <c r="F2" s="478"/>
      <c r="G2" s="146"/>
    </row>
    <row r="3" spans="1:11" ht="24" customHeight="1">
      <c r="A3" s="119" t="s">
        <v>132</v>
      </c>
      <c r="B3" s="998" t="s">
        <v>144</v>
      </c>
      <c r="C3" s="999"/>
      <c r="D3" s="1000"/>
      <c r="E3" s="999"/>
      <c r="F3" s="1001" t="s">
        <v>145</v>
      </c>
      <c r="G3" s="1002"/>
    </row>
    <row r="4" spans="1:11" ht="15" customHeight="1">
      <c r="A4" s="325" t="s">
        <v>133</v>
      </c>
      <c r="B4" s="123" t="s">
        <v>134</v>
      </c>
      <c r="C4" s="124" t="s">
        <v>1801</v>
      </c>
      <c r="D4" s="123" t="s">
        <v>135</v>
      </c>
      <c r="E4" s="124" t="s">
        <v>1801</v>
      </c>
      <c r="F4" s="123" t="s">
        <v>136</v>
      </c>
      <c r="G4" s="124" t="s">
        <v>1801</v>
      </c>
    </row>
    <row r="5" spans="1:11" ht="15" customHeight="1">
      <c r="A5" s="325" t="s">
        <v>137</v>
      </c>
      <c r="B5" s="123" t="s">
        <v>138</v>
      </c>
      <c r="C5" s="124" t="s">
        <v>1802</v>
      </c>
      <c r="D5" s="123" t="s">
        <v>606</v>
      </c>
      <c r="E5" s="124" t="s">
        <v>1802</v>
      </c>
      <c r="F5" s="123" t="s">
        <v>139</v>
      </c>
      <c r="G5" s="124" t="s">
        <v>1802</v>
      </c>
    </row>
    <row r="6" spans="1:11" ht="24" customHeight="1">
      <c r="A6" s="326"/>
      <c r="B6" s="129"/>
      <c r="C6" s="128" t="s">
        <v>1806</v>
      </c>
      <c r="D6" s="129"/>
      <c r="E6" s="128" t="s">
        <v>140</v>
      </c>
      <c r="F6" s="129"/>
      <c r="G6" s="128" t="s">
        <v>140</v>
      </c>
    </row>
    <row r="7" spans="1:11" ht="1.5" customHeight="1" thickBot="1">
      <c r="A7" s="327">
        <v>1996</v>
      </c>
      <c r="B7" s="170">
        <v>913.21658500000001</v>
      </c>
      <c r="C7" s="157">
        <v>0.93069045454545452</v>
      </c>
      <c r="D7" s="170">
        <v>2674.048675</v>
      </c>
      <c r="E7" s="440" t="s">
        <v>1854</v>
      </c>
      <c r="F7" s="170">
        <v>530</v>
      </c>
      <c r="G7" s="157">
        <v>0.4887640449438202</v>
      </c>
      <c r="I7" s="8"/>
      <c r="J7" s="8"/>
      <c r="K7" s="8"/>
    </row>
    <row r="8" spans="1:11" ht="0.75" hidden="1" customHeight="1" thickBot="1">
      <c r="A8" s="328">
        <v>1997</v>
      </c>
      <c r="B8" s="188">
        <v>951.20448216581099</v>
      </c>
      <c r="C8" s="158">
        <v>4.1597905458332182E-2</v>
      </c>
      <c r="D8" s="188">
        <v>2894.7924399622598</v>
      </c>
      <c r="E8" s="158">
        <v>8.2550391481658339E-2</v>
      </c>
      <c r="F8" s="188">
        <v>532</v>
      </c>
      <c r="G8" s="158">
        <v>3.7735849056603774E-3</v>
      </c>
    </row>
    <row r="9" spans="1:11" ht="19.5" hidden="1" customHeight="1" thickBot="1">
      <c r="A9" s="328">
        <v>1998</v>
      </c>
      <c r="B9" s="188">
        <v>1005.42211</v>
      </c>
      <c r="C9" s="158">
        <v>5.6998919633704945E-2</v>
      </c>
      <c r="D9" s="188">
        <v>3172.9022279999999</v>
      </c>
      <c r="E9" s="158">
        <v>9.6072445194504488E-2</v>
      </c>
      <c r="F9" s="188">
        <v>609.28660000000002</v>
      </c>
      <c r="G9" s="158">
        <v>0.14527556390977447</v>
      </c>
    </row>
    <row r="10" spans="1:11" ht="20" customHeight="1" thickBot="1">
      <c r="A10" s="328">
        <v>1999</v>
      </c>
      <c r="B10" s="188">
        <v>1043.283537</v>
      </c>
      <c r="C10" s="158">
        <v>3.7657245273828376E-2</v>
      </c>
      <c r="D10" s="188">
        <v>3340.3853559999998</v>
      </c>
      <c r="E10" s="158">
        <v>5.2785467677512014E-2</v>
      </c>
      <c r="F10" s="188">
        <v>659.60795700000006</v>
      </c>
      <c r="G10" s="158">
        <v>8.2590618273896119E-2</v>
      </c>
    </row>
    <row r="11" spans="1:11" ht="20.25" customHeight="1" thickBot="1">
      <c r="A11" s="328">
        <v>2000</v>
      </c>
      <c r="B11" s="188">
        <v>1090.4996369999999</v>
      </c>
      <c r="C11" s="158">
        <v>4.5257207964549594E-2</v>
      </c>
      <c r="D11" s="188">
        <v>3554.1311930000002</v>
      </c>
      <c r="E11" s="158">
        <v>6.3988376854805129E-2</v>
      </c>
      <c r="F11" s="188">
        <v>732.09943699999997</v>
      </c>
      <c r="G11" s="158">
        <v>0.10990085736640061</v>
      </c>
    </row>
    <row r="12" spans="1:11" ht="20" customHeight="1" thickBot="1">
      <c r="A12" s="328">
        <v>2001</v>
      </c>
      <c r="B12" s="188">
        <v>1148.4065562125586</v>
      </c>
      <c r="C12" s="158">
        <v>5.3101273258432738E-2</v>
      </c>
      <c r="D12" s="188">
        <v>3804.1073437743612</v>
      </c>
      <c r="E12" s="158">
        <v>7.0333968331472624E-2</v>
      </c>
      <c r="F12" s="188">
        <v>844.73803099999998</v>
      </c>
      <c r="G12" s="158">
        <v>0.15385696028065654</v>
      </c>
    </row>
    <row r="13" spans="1:11" ht="20" customHeight="1" thickBot="1">
      <c r="A13" s="328">
        <v>2002</v>
      </c>
      <c r="B13" s="188">
        <v>1176.9857406315903</v>
      </c>
      <c r="C13" s="158">
        <v>2.4885946761994921E-2</v>
      </c>
      <c r="D13" s="188">
        <v>3992.1493332093432</v>
      </c>
      <c r="E13" s="158">
        <v>4.9431304756087785E-2</v>
      </c>
      <c r="F13" s="188">
        <v>928.34341900000004</v>
      </c>
      <c r="G13" s="158">
        <v>9.8971971110414073E-2</v>
      </c>
    </row>
    <row r="14" spans="1:11" ht="20" customHeight="1" thickBot="1">
      <c r="A14" s="328">
        <v>2003</v>
      </c>
      <c r="B14" s="188">
        <v>1165.5985248499421</v>
      </c>
      <c r="C14" s="158">
        <v>-9.6748969749944191E-3</v>
      </c>
      <c r="D14" s="188">
        <v>4231.4747261964076</v>
      </c>
      <c r="E14" s="158">
        <v>5.9949008168656705E-2</v>
      </c>
      <c r="F14" s="188">
        <v>1008.669965</v>
      </c>
      <c r="G14" s="158">
        <v>8.652675761576116E-2</v>
      </c>
    </row>
    <row r="15" spans="1:11" ht="20" customHeight="1" thickBot="1">
      <c r="A15" s="328">
        <v>2004</v>
      </c>
      <c r="B15" s="188">
        <v>1233.4256947047143</v>
      </c>
      <c r="C15" s="158">
        <v>5.8190850802169757E-2</v>
      </c>
      <c r="D15" s="188">
        <v>4554.5751523643485</v>
      </c>
      <c r="E15" s="158">
        <v>7.6356458935622609E-2</v>
      </c>
      <c r="F15" s="188">
        <v>1102.909758</v>
      </c>
      <c r="G15" s="158">
        <v>9.3429760248685462E-2</v>
      </c>
    </row>
    <row r="16" spans="1:11" ht="20" customHeight="1" thickBot="1">
      <c r="A16" s="328">
        <v>2005</v>
      </c>
      <c r="B16" s="188">
        <v>1249.2878390447622</v>
      </c>
      <c r="C16" s="158">
        <v>1.286023504143507E-2</v>
      </c>
      <c r="D16" s="188">
        <v>4844.6728040822618</v>
      </c>
      <c r="E16" s="158">
        <v>6.3693679874251119E-2</v>
      </c>
      <c r="F16" s="188">
        <v>1201.552809</v>
      </c>
      <c r="G16" s="158">
        <v>8.9438914004059442E-2</v>
      </c>
    </row>
    <row r="17" spans="1:7" ht="20" customHeight="1" thickBot="1">
      <c r="A17" s="328">
        <v>2006</v>
      </c>
      <c r="B17" s="188">
        <v>1280.5357003449858</v>
      </c>
      <c r="C17" s="158">
        <v>2.5012539403342388E-2</v>
      </c>
      <c r="D17" s="188">
        <v>4994.7882609152675</v>
      </c>
      <c r="E17" s="158">
        <v>3.0985674967876901E-2</v>
      </c>
      <c r="F17" s="188">
        <v>1236.2073047456083</v>
      </c>
      <c r="G17" s="158">
        <v>2.884142543385149E-2</v>
      </c>
    </row>
    <row r="18" spans="1:7" ht="20" customHeight="1" thickBot="1">
      <c r="A18" s="328">
        <v>2007</v>
      </c>
      <c r="B18" s="188">
        <v>1328.2484532036312</v>
      </c>
      <c r="C18" s="158">
        <v>3.7259994270984614E-2</v>
      </c>
      <c r="D18" s="188">
        <v>5286.2111265764588</v>
      </c>
      <c r="E18" s="158">
        <v>5.8345389321426341E-2</v>
      </c>
      <c r="F18" s="188">
        <v>1323.229456</v>
      </c>
      <c r="G18" s="158">
        <v>7.0394464520899647E-2</v>
      </c>
    </row>
    <row r="19" spans="1:7" ht="20" customHeight="1" thickBot="1">
      <c r="A19" s="328">
        <v>2008</v>
      </c>
      <c r="B19" s="188">
        <v>1413.6658153593723</v>
      </c>
      <c r="C19" s="158">
        <v>6.4308271505772119E-2</v>
      </c>
      <c r="D19" s="188">
        <v>5584.9685713290592</v>
      </c>
      <c r="E19" s="158">
        <v>5.6516366372617144E-2</v>
      </c>
      <c r="F19" s="188">
        <v>1444.5191400000001</v>
      </c>
      <c r="G19" s="158">
        <v>9.1661868204360841E-2</v>
      </c>
    </row>
    <row r="20" spans="1:7" ht="24" customHeight="1" thickBot="1">
      <c r="A20" s="1003">
        <v>2009</v>
      </c>
      <c r="B20" s="295">
        <v>1466.6020914374751</v>
      </c>
      <c r="C20" s="1004">
        <v>3.744610324657649E-2</v>
      </c>
      <c r="D20" s="295">
        <v>5832.6763857591932</v>
      </c>
      <c r="E20" s="1004">
        <v>4.4352588786580549E-2</v>
      </c>
      <c r="F20" s="295">
        <v>1561.012176</v>
      </c>
      <c r="G20" s="1004">
        <v>8.0644854591542359E-2</v>
      </c>
    </row>
    <row r="21" spans="1:7">
      <c r="A21" s="140" t="s">
        <v>152</v>
      </c>
      <c r="B21" s="140"/>
      <c r="C21" s="140"/>
      <c r="D21" s="140"/>
      <c r="E21" s="140"/>
      <c r="F21" s="140"/>
      <c r="G21" s="140"/>
    </row>
    <row r="22" spans="1:7">
      <c r="A22" s="141"/>
      <c r="B22" s="141"/>
      <c r="C22" s="141"/>
      <c r="D22" s="141"/>
      <c r="E22" s="141"/>
      <c r="F22" s="141"/>
      <c r="G22" s="141"/>
    </row>
    <row r="23" spans="1:7">
      <c r="A23" s="141" t="s">
        <v>955</v>
      </c>
      <c r="B23" s="141"/>
      <c r="C23" s="141"/>
      <c r="D23" s="141"/>
      <c r="E23" s="141"/>
      <c r="F23" s="141"/>
      <c r="G23" s="141"/>
    </row>
    <row r="24" spans="1:7">
      <c r="A24" s="141"/>
      <c r="B24" s="141"/>
      <c r="C24" s="141"/>
      <c r="D24" s="141"/>
      <c r="E24" s="141"/>
      <c r="F24" s="141"/>
      <c r="G24" s="141"/>
    </row>
    <row r="25" spans="1:7">
      <c r="A25" s="141" t="s">
        <v>141</v>
      </c>
    </row>
    <row r="26" spans="1:7">
      <c r="A26" s="93" t="s">
        <v>142</v>
      </c>
    </row>
    <row r="27" spans="1:7">
      <c r="A27" s="93" t="s">
        <v>143</v>
      </c>
    </row>
    <row r="30" spans="1:7">
      <c r="A30" s="141" t="s">
        <v>710</v>
      </c>
    </row>
  </sheetData>
  <phoneticPr fontId="0" type="noConversion"/>
  <pageMargins left="0.62" right="0.66" top="0.89" bottom="0.49" header="0.53" footer="0.4921259845"/>
  <pageSetup paperSize="9" scale="80" orientation="portrait" horizontalDpi="1200" verticalDpi="1200"/>
  <headerFooter alignWithMargins="0"/>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AA341-3581-6048-991E-44822A9F77A2}">
  <dimension ref="A1:J35"/>
  <sheetViews>
    <sheetView zoomScale="75" workbookViewId="0">
      <selection activeCell="A33" sqref="A33"/>
    </sheetView>
  </sheetViews>
  <sheetFormatPr baseColWidth="10" defaultColWidth="11.3984375" defaultRowHeight="13"/>
  <cols>
    <col min="1" max="1" width="14.796875" style="2" customWidth="1"/>
    <col min="2" max="2" width="14.796875" style="176" customWidth="1"/>
    <col min="3" max="3" width="14.3984375" style="168" customWidth="1"/>
    <col min="4" max="4" width="14.796875" style="176" customWidth="1"/>
    <col min="5" max="5" width="14.796875" style="168" customWidth="1"/>
    <col min="6" max="6" width="14.796875" style="176" customWidth="1"/>
    <col min="7" max="7" width="14.796875" style="168" customWidth="1"/>
    <col min="8" max="8" width="7.59765625" style="2" customWidth="1"/>
    <col min="9" max="9" width="6.3984375" style="2" customWidth="1"/>
    <col min="10" max="10" width="8.59765625" style="2" customWidth="1"/>
    <col min="11" max="16384" width="11.3984375" style="2"/>
  </cols>
  <sheetData>
    <row r="1" spans="1:10" s="1" customFormat="1" ht="18.75" customHeight="1">
      <c r="A1" s="489"/>
      <c r="B1" s="490"/>
      <c r="C1" s="993"/>
      <c r="D1" s="994"/>
      <c r="E1" s="993"/>
      <c r="F1" s="994"/>
      <c r="G1" s="993"/>
    </row>
    <row r="2" spans="1:10" s="1" customFormat="1" ht="40.5" customHeight="1">
      <c r="A2" s="2039" t="s">
        <v>130</v>
      </c>
      <c r="B2" s="2018"/>
      <c r="C2" s="2018"/>
      <c r="D2" s="2018"/>
      <c r="E2" s="2018"/>
      <c r="F2" s="2018"/>
      <c r="G2" s="146">
        <v>2009</v>
      </c>
    </row>
    <row r="3" spans="1:10" ht="27" customHeight="1">
      <c r="A3" s="119" t="s">
        <v>661</v>
      </c>
      <c r="B3" s="147" t="s">
        <v>2304</v>
      </c>
      <c r="C3" s="121" t="s">
        <v>970</v>
      </c>
      <c r="D3" s="147" t="s">
        <v>2305</v>
      </c>
      <c r="E3" s="121" t="s">
        <v>970</v>
      </c>
      <c r="F3" s="147" t="s">
        <v>1567</v>
      </c>
      <c r="G3" s="121" t="s">
        <v>970</v>
      </c>
    </row>
    <row r="4" spans="1:10" ht="15" customHeight="1">
      <c r="A4" s="122"/>
      <c r="B4" s="149"/>
      <c r="C4" s="124" t="s">
        <v>663</v>
      </c>
      <c r="D4" s="149"/>
      <c r="E4" s="124" t="s">
        <v>663</v>
      </c>
      <c r="F4" s="149"/>
      <c r="G4" s="124" t="s">
        <v>663</v>
      </c>
    </row>
    <row r="5" spans="1:10" ht="15" customHeight="1">
      <c r="A5" s="122"/>
      <c r="B5" s="149"/>
      <c r="C5" s="124" t="s">
        <v>1806</v>
      </c>
      <c r="D5" s="149"/>
      <c r="E5" s="124" t="s">
        <v>1806</v>
      </c>
      <c r="F5" s="149"/>
      <c r="G5" s="124" t="s">
        <v>1806</v>
      </c>
    </row>
    <row r="6" spans="1:10" ht="23" customHeight="1">
      <c r="A6" s="126"/>
      <c r="B6" s="154"/>
      <c r="C6" s="128"/>
      <c r="D6" s="154"/>
      <c r="E6" s="128"/>
      <c r="F6" s="154"/>
      <c r="G6" s="128"/>
    </row>
    <row r="7" spans="1:10" ht="30" customHeight="1" thickBot="1">
      <c r="A7" s="131" t="s">
        <v>971</v>
      </c>
      <c r="B7" s="170">
        <v>0</v>
      </c>
      <c r="C7" s="157" t="s">
        <v>744</v>
      </c>
      <c r="D7" s="170">
        <v>0</v>
      </c>
      <c r="E7" s="157" t="s">
        <v>744</v>
      </c>
      <c r="F7" s="170">
        <v>0</v>
      </c>
      <c r="G7" s="157" t="s">
        <v>744</v>
      </c>
      <c r="H7" s="995"/>
      <c r="I7" s="995"/>
      <c r="J7" s="995"/>
    </row>
    <row r="8" spans="1:10" ht="20" customHeight="1" thickBot="1">
      <c r="A8" s="135" t="s">
        <v>972</v>
      </c>
      <c r="B8" s="188">
        <v>-199.22073853283658</v>
      </c>
      <c r="C8" s="996">
        <v>-5.0004619316588617</v>
      </c>
      <c r="D8" s="185">
        <v>-152.96532712102561</v>
      </c>
      <c r="E8" s="996">
        <v>-3.8983368736366231</v>
      </c>
      <c r="F8" s="185">
        <v>-176.04907582150395</v>
      </c>
      <c r="G8" s="996">
        <v>-4.4342495558572637</v>
      </c>
      <c r="H8" s="995"/>
      <c r="I8" s="995"/>
      <c r="J8" s="995"/>
    </row>
    <row r="9" spans="1:10" ht="20" customHeight="1" thickBot="1">
      <c r="A9" s="135" t="s">
        <v>973</v>
      </c>
      <c r="B9" s="188">
        <v>-192.94361094440541</v>
      </c>
      <c r="C9" s="996">
        <v>-4.9831441957250036</v>
      </c>
      <c r="D9" s="185">
        <v>-106.23258373645714</v>
      </c>
      <c r="E9" s="996">
        <v>-1.8749144578298456</v>
      </c>
      <c r="F9" s="185">
        <v>-149.82556158244631</v>
      </c>
      <c r="G9" s="996">
        <v>-3.4994967408983939</v>
      </c>
      <c r="H9" s="995"/>
      <c r="I9" s="995"/>
      <c r="J9" s="995"/>
    </row>
    <row r="10" spans="1:10" ht="20" customHeight="1" thickBot="1">
      <c r="A10" s="135" t="s">
        <v>974</v>
      </c>
      <c r="B10" s="188">
        <v>-181.9629725602399</v>
      </c>
      <c r="C10" s="996">
        <v>-5.2102757419557406</v>
      </c>
      <c r="D10" s="185">
        <v>-76.958176308427994</v>
      </c>
      <c r="E10" s="996">
        <v>-2.5745954260929125</v>
      </c>
      <c r="F10" s="185">
        <v>-129.54992566416698</v>
      </c>
      <c r="G10" s="996">
        <v>-3.9823839063292468</v>
      </c>
      <c r="H10" s="995"/>
      <c r="I10" s="995"/>
      <c r="J10" s="995"/>
    </row>
    <row r="11" spans="1:10" ht="20" customHeight="1" thickBot="1">
      <c r="A11" s="135" t="s">
        <v>975</v>
      </c>
      <c r="B11" s="188">
        <v>-165.48284050142215</v>
      </c>
      <c r="C11" s="996">
        <v>-5.2750841296873716</v>
      </c>
      <c r="D11" s="185">
        <v>-87.223479264796765</v>
      </c>
      <c r="E11" s="996">
        <v>-1.2095928291619771</v>
      </c>
      <c r="F11" s="185">
        <v>-126.4346900757312</v>
      </c>
      <c r="G11" s="996">
        <v>-3.2900391857798894</v>
      </c>
      <c r="H11" s="995"/>
      <c r="I11" s="995"/>
      <c r="J11" s="995"/>
    </row>
    <row r="12" spans="1:10" ht="20" customHeight="1" thickBot="1">
      <c r="A12" s="135" t="s">
        <v>976</v>
      </c>
      <c r="B12" s="188">
        <v>-144.86619601970744</v>
      </c>
      <c r="C12" s="996">
        <v>-5.3407507626400275</v>
      </c>
      <c r="D12" s="185">
        <v>-91.3007923498769</v>
      </c>
      <c r="E12" s="996">
        <v>-2.2764581884463269</v>
      </c>
      <c r="F12" s="185">
        <v>-118.34733477278407</v>
      </c>
      <c r="G12" s="996">
        <v>-3.785593003817894</v>
      </c>
      <c r="H12" s="995"/>
      <c r="I12" s="995"/>
      <c r="J12" s="995"/>
    </row>
    <row r="13" spans="1:10" ht="20" customHeight="1" thickBot="1">
      <c r="A13" s="135" t="s">
        <v>977</v>
      </c>
      <c r="B13" s="188">
        <v>-115.54230892197447</v>
      </c>
      <c r="C13" s="996">
        <v>-4.4592323544280816</v>
      </c>
      <c r="D13" s="185">
        <v>-66.580275454197164</v>
      </c>
      <c r="E13" s="996">
        <v>-3.2186873299947649</v>
      </c>
      <c r="F13" s="185">
        <v>-91.34736079650709</v>
      </c>
      <c r="G13" s="996">
        <v>-3.838306724064708</v>
      </c>
      <c r="H13" s="995"/>
      <c r="I13" s="995"/>
      <c r="J13" s="995"/>
    </row>
    <row r="14" spans="1:10" ht="20" customHeight="1" thickBot="1">
      <c r="A14" s="135" t="s">
        <v>978</v>
      </c>
      <c r="B14" s="188">
        <v>-69.982720188967193</v>
      </c>
      <c r="C14" s="996">
        <v>-3.4707488664355424</v>
      </c>
      <c r="D14" s="185">
        <v>-27.155195233311787</v>
      </c>
      <c r="E14" s="996">
        <v>-2.7694727083760711</v>
      </c>
      <c r="F14" s="185">
        <v>-48.840058800179712</v>
      </c>
      <c r="G14" s="996">
        <v>-3.1886798729987191</v>
      </c>
      <c r="H14" s="995"/>
      <c r="I14" s="995"/>
      <c r="J14" s="995"/>
    </row>
    <row r="15" spans="1:10" ht="20" customHeight="1" thickBot="1">
      <c r="A15" s="135" t="s">
        <v>979</v>
      </c>
      <c r="B15" s="188">
        <v>-10.561119827316134</v>
      </c>
      <c r="C15" s="996">
        <v>-2.6391008809715117</v>
      </c>
      <c r="D15" s="185">
        <v>11.48945581335434</v>
      </c>
      <c r="E15" s="996">
        <v>-2.1667488642737283</v>
      </c>
      <c r="F15" s="185">
        <v>0.4904274036547584</v>
      </c>
      <c r="G15" s="996">
        <v>-2.4052526152351628</v>
      </c>
      <c r="H15" s="995"/>
      <c r="I15" s="995"/>
      <c r="J15" s="995"/>
    </row>
    <row r="16" spans="1:10" ht="20" customHeight="1" thickBot="1">
      <c r="A16" s="135" t="s">
        <v>980</v>
      </c>
      <c r="B16" s="188">
        <v>70.782354747693688</v>
      </c>
      <c r="C16" s="996">
        <v>1.1478630426292113</v>
      </c>
      <c r="D16" s="185">
        <v>71.120696821994983</v>
      </c>
      <c r="E16" s="996">
        <v>0.15661564186828514</v>
      </c>
      <c r="F16" s="185">
        <v>70.95380079025972</v>
      </c>
      <c r="G16" s="996">
        <v>0.64540997482900764</v>
      </c>
      <c r="H16" s="995"/>
      <c r="I16" s="995"/>
      <c r="J16" s="995"/>
    </row>
    <row r="17" spans="1:10" ht="20" customHeight="1" thickBot="1">
      <c r="A17" s="135" t="s">
        <v>981</v>
      </c>
      <c r="B17" s="188">
        <v>161.65247623089121</v>
      </c>
      <c r="C17" s="996">
        <v>2.5159169970771984</v>
      </c>
      <c r="D17" s="185">
        <v>146.87264090374694</v>
      </c>
      <c r="E17" s="996">
        <v>4.1182108883743638</v>
      </c>
      <c r="F17" s="185">
        <v>153.91006299507237</v>
      </c>
      <c r="G17" s="996">
        <v>3.3931291164952313</v>
      </c>
      <c r="H17" s="995"/>
      <c r="I17" s="995"/>
      <c r="J17" s="995"/>
    </row>
    <row r="18" spans="1:10" ht="20" customHeight="1" thickBot="1">
      <c r="A18" s="135" t="s">
        <v>982</v>
      </c>
      <c r="B18" s="188">
        <v>268.89066247321978</v>
      </c>
      <c r="C18" s="996">
        <v>5.3574828855495298</v>
      </c>
      <c r="D18" s="185">
        <v>243.26014926559785</v>
      </c>
      <c r="E18" s="996">
        <v>6.554252042601405</v>
      </c>
      <c r="F18" s="185">
        <v>254.89379678431393</v>
      </c>
      <c r="G18" s="996">
        <v>6.0825969283288828</v>
      </c>
      <c r="H18" s="995"/>
      <c r="I18" s="995"/>
      <c r="J18" s="995"/>
    </row>
    <row r="19" spans="1:10" ht="20" customHeight="1" thickBot="1">
      <c r="A19" s="135" t="s">
        <v>983</v>
      </c>
      <c r="B19" s="188">
        <v>396.95321315504304</v>
      </c>
      <c r="C19" s="996">
        <v>10.497848427786323</v>
      </c>
      <c r="D19" s="185">
        <v>370.66952326176681</v>
      </c>
      <c r="E19" s="996">
        <v>10.463680268331871</v>
      </c>
      <c r="F19" s="185">
        <v>381.70178880923601</v>
      </c>
      <c r="G19" s="996">
        <v>10.570812055061651</v>
      </c>
      <c r="H19" s="995"/>
      <c r="I19" s="995"/>
      <c r="J19" s="995"/>
    </row>
    <row r="20" spans="1:10" ht="20" customHeight="1" thickBot="1">
      <c r="A20" s="135" t="s">
        <v>984</v>
      </c>
      <c r="B20" s="188">
        <v>512.08121519472763</v>
      </c>
      <c r="C20" s="996">
        <v>10.814483051014861</v>
      </c>
      <c r="D20" s="185">
        <v>547.21187744743668</v>
      </c>
      <c r="E20" s="996">
        <v>11.916741535179312</v>
      </c>
      <c r="F20" s="185">
        <v>534.13129519492918</v>
      </c>
      <c r="G20" s="996">
        <v>11.401528405846307</v>
      </c>
      <c r="H20" s="995"/>
      <c r="I20" s="995"/>
      <c r="J20" s="995"/>
    </row>
    <row r="21" spans="1:10" ht="20" customHeight="1" thickBot="1">
      <c r="A21" s="135" t="s">
        <v>122</v>
      </c>
      <c r="B21" s="188">
        <v>677.84178896072819</v>
      </c>
      <c r="C21" s="996">
        <v>31.949559516191243</v>
      </c>
      <c r="D21" s="185">
        <v>803.13289684315714</v>
      </c>
      <c r="E21" s="996">
        <v>13.660785142993518</v>
      </c>
      <c r="F21" s="185">
        <v>762.35133996403908</v>
      </c>
      <c r="G21" s="996">
        <v>19.465385579857184</v>
      </c>
      <c r="H21" s="995"/>
      <c r="I21" s="995"/>
      <c r="J21" s="995"/>
    </row>
    <row r="22" spans="1:10" ht="20" customHeight="1" thickBot="1">
      <c r="A22" s="135" t="s">
        <v>123</v>
      </c>
      <c r="B22" s="188">
        <v>945.55790379557197</v>
      </c>
      <c r="C22" s="997">
        <v>18.400171944321528</v>
      </c>
      <c r="D22" s="679">
        <v>1244.704433842536</v>
      </c>
      <c r="E22" s="997">
        <v>38.866486728181599</v>
      </c>
      <c r="F22" s="679">
        <v>1167.7650340284622</v>
      </c>
      <c r="G22" s="997">
        <v>32.404288423330172</v>
      </c>
      <c r="H22" s="995"/>
      <c r="I22" s="995"/>
      <c r="J22" s="995"/>
    </row>
    <row r="23" spans="1:10" ht="20" customHeight="1">
      <c r="A23" s="140" t="s">
        <v>152</v>
      </c>
      <c r="B23" s="174"/>
      <c r="C23" s="165"/>
      <c r="D23" s="174"/>
      <c r="E23" s="165"/>
      <c r="F23" s="174"/>
      <c r="G23" s="165"/>
    </row>
    <row r="24" spans="1:10" ht="11.25" customHeight="1">
      <c r="A24" s="141"/>
      <c r="B24" s="175"/>
      <c r="C24" s="167"/>
      <c r="D24" s="175"/>
      <c r="E24" s="167"/>
      <c r="F24" s="175"/>
      <c r="G24" s="167"/>
    </row>
    <row r="25" spans="1:10" ht="15.75" customHeight="1">
      <c r="A25" s="141" t="s">
        <v>955</v>
      </c>
      <c r="B25" s="175"/>
      <c r="C25" s="167"/>
      <c r="D25" s="175"/>
      <c r="E25" s="167"/>
      <c r="F25" s="175"/>
      <c r="G25" s="167"/>
    </row>
    <row r="26" spans="1:10">
      <c r="A26" s="696"/>
      <c r="B26" s="175"/>
      <c r="C26" s="167"/>
      <c r="D26" s="175"/>
      <c r="E26" s="167"/>
      <c r="F26" s="175"/>
      <c r="G26" s="167"/>
    </row>
    <row r="27" spans="1:10">
      <c r="A27" s="696" t="s">
        <v>124</v>
      </c>
      <c r="B27" s="175"/>
      <c r="C27" s="167"/>
      <c r="D27" s="175"/>
      <c r="E27" s="167"/>
      <c r="F27" s="175"/>
      <c r="G27" s="167"/>
    </row>
    <row r="28" spans="1:10">
      <c r="A28" s="696" t="s">
        <v>125</v>
      </c>
      <c r="B28" s="175"/>
      <c r="C28" s="167"/>
      <c r="D28" s="175"/>
      <c r="E28" s="167"/>
      <c r="F28" s="175"/>
      <c r="G28" s="167"/>
    </row>
    <row r="29" spans="1:10">
      <c r="A29" s="696" t="s">
        <v>126</v>
      </c>
      <c r="B29" s="175"/>
      <c r="C29" s="167"/>
      <c r="D29" s="175"/>
      <c r="E29" s="167"/>
      <c r="F29" s="175"/>
      <c r="G29" s="167"/>
    </row>
    <row r="30" spans="1:10">
      <c r="A30" s="696" t="s">
        <v>127</v>
      </c>
      <c r="B30" s="175"/>
      <c r="C30" s="167"/>
      <c r="D30" s="175"/>
      <c r="E30" s="167"/>
      <c r="F30" s="175"/>
      <c r="G30" s="167"/>
    </row>
    <row r="31" spans="1:10">
      <c r="A31" s="696" t="s">
        <v>128</v>
      </c>
      <c r="B31" s="175"/>
      <c r="C31" s="167"/>
      <c r="D31" s="175"/>
      <c r="E31" s="167"/>
      <c r="F31" s="175"/>
      <c r="G31" s="167"/>
    </row>
    <row r="32" spans="1:10">
      <c r="A32" s="696" t="s">
        <v>129</v>
      </c>
      <c r="B32" s="175"/>
      <c r="C32" s="167"/>
      <c r="D32" s="175"/>
      <c r="E32" s="167"/>
      <c r="F32" s="175"/>
      <c r="G32" s="167"/>
    </row>
    <row r="33" spans="1:7">
      <c r="A33" s="696"/>
      <c r="B33" s="175"/>
      <c r="C33" s="167"/>
      <c r="D33" s="175"/>
      <c r="E33" s="167"/>
      <c r="F33" s="175"/>
      <c r="G33" s="167"/>
    </row>
    <row r="34" spans="1:7">
      <c r="A34" s="696"/>
      <c r="B34" s="175"/>
      <c r="C34" s="167"/>
      <c r="D34" s="175"/>
      <c r="E34" s="167"/>
      <c r="F34" s="175"/>
      <c r="G34" s="167"/>
    </row>
    <row r="35" spans="1:7">
      <c r="A35" s="141" t="s">
        <v>710</v>
      </c>
    </row>
  </sheetData>
  <mergeCells count="1">
    <mergeCell ref="A2:F2"/>
  </mergeCells>
  <phoneticPr fontId="0" type="noConversion"/>
  <pageMargins left="0.62" right="0.54" top="0.74" bottom="0.86614173228346458" header="0.4" footer="0.51181102362204722"/>
  <pageSetup paperSize="9" scale="80" orientation="portrait" horizontalDpi="1200" verticalDpi="1200"/>
  <headerFooter alignWithMargins="0"/>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173BC-89F9-1A4F-A772-7BE6AB5FD0F2}">
  <sheetPr>
    <pageSetUpPr fitToPage="1"/>
  </sheetPr>
  <dimension ref="A1:H55"/>
  <sheetViews>
    <sheetView zoomScale="75" workbookViewId="0">
      <selection activeCell="A3" sqref="A3"/>
    </sheetView>
  </sheetViews>
  <sheetFormatPr baseColWidth="10" defaultColWidth="11.3984375" defaultRowHeight="13"/>
  <cols>
    <col min="1" max="5" width="14.796875" style="2" customWidth="1"/>
    <col min="6" max="6" width="15.59765625" style="2" customWidth="1"/>
    <col min="7" max="7" width="15" style="94" customWidth="1"/>
    <col min="8" max="8" width="12.19921875" style="2" customWidth="1"/>
    <col min="9" max="16384" width="11.3984375" style="2"/>
  </cols>
  <sheetData>
    <row r="1" spans="1:8" s="1" customFormat="1" ht="14" customHeight="1">
      <c r="G1" s="142"/>
    </row>
    <row r="2" spans="1:8" s="1" customFormat="1" ht="48" customHeight="1">
      <c r="A2" s="2014" t="s">
        <v>969</v>
      </c>
      <c r="B2" s="2015"/>
      <c r="C2" s="2015"/>
      <c r="D2" s="2015"/>
      <c r="E2" s="2015"/>
      <c r="F2" s="2015"/>
      <c r="G2" s="118">
        <v>2009</v>
      </c>
    </row>
    <row r="3" spans="1:8" ht="27" customHeight="1">
      <c r="A3" s="119" t="s">
        <v>1797</v>
      </c>
      <c r="B3" s="120" t="s">
        <v>1798</v>
      </c>
      <c r="C3" s="121" t="s">
        <v>1833</v>
      </c>
      <c r="D3" s="120" t="s">
        <v>1834</v>
      </c>
      <c r="E3" s="121" t="s">
        <v>1567</v>
      </c>
      <c r="F3" s="120" t="s">
        <v>1567</v>
      </c>
      <c r="G3" s="984" t="s">
        <v>911</v>
      </c>
    </row>
    <row r="4" spans="1:8" ht="15" customHeight="1">
      <c r="A4" s="122"/>
      <c r="B4" s="123"/>
      <c r="C4" s="122"/>
      <c r="D4" s="125"/>
      <c r="E4" s="124" t="s">
        <v>1800</v>
      </c>
      <c r="F4" s="123" t="s">
        <v>953</v>
      </c>
      <c r="G4" s="985" t="s">
        <v>1798</v>
      </c>
    </row>
    <row r="5" spans="1:8" ht="15" customHeight="1">
      <c r="A5" s="122"/>
      <c r="B5" s="123"/>
      <c r="C5" s="122"/>
      <c r="D5" s="125"/>
      <c r="E5" s="124"/>
      <c r="F5" s="123" t="s">
        <v>1800</v>
      </c>
      <c r="G5" s="985" t="s">
        <v>607</v>
      </c>
    </row>
    <row r="6" spans="1:8" ht="24" customHeight="1">
      <c r="A6" s="126"/>
      <c r="B6" s="127"/>
      <c r="C6" s="126"/>
      <c r="D6" s="127"/>
      <c r="E6" s="128"/>
      <c r="F6" s="129"/>
      <c r="G6" s="986"/>
      <c r="H6" s="130"/>
    </row>
    <row r="7" spans="1:8" ht="30" customHeight="1" thickBot="1">
      <c r="A7" s="131" t="s">
        <v>1807</v>
      </c>
      <c r="B7" s="132">
        <v>245471</v>
      </c>
      <c r="C7" s="133">
        <v>531268</v>
      </c>
      <c r="D7" s="132">
        <v>558600</v>
      </c>
      <c r="E7" s="133">
        <v>1089867</v>
      </c>
      <c r="F7" s="132">
        <v>1335337</v>
      </c>
      <c r="G7" s="987">
        <v>126254</v>
      </c>
      <c r="H7" s="134"/>
    </row>
    <row r="8" spans="1:8" ht="20" customHeight="1" thickBot="1">
      <c r="A8" s="135" t="s">
        <v>1808</v>
      </c>
      <c r="B8" s="132">
        <v>178699</v>
      </c>
      <c r="C8" s="133">
        <v>378384</v>
      </c>
      <c r="D8" s="132">
        <v>410798</v>
      </c>
      <c r="E8" s="133">
        <v>789179</v>
      </c>
      <c r="F8" s="132">
        <v>967879</v>
      </c>
      <c r="G8" s="987">
        <v>91335</v>
      </c>
      <c r="H8" s="134"/>
    </row>
    <row r="9" spans="1:8" ht="20" customHeight="1" thickBot="1">
      <c r="A9" s="135" t="s">
        <v>1809</v>
      </c>
      <c r="B9" s="132">
        <v>76045</v>
      </c>
      <c r="C9" s="133">
        <v>144256</v>
      </c>
      <c r="D9" s="132">
        <v>151326</v>
      </c>
      <c r="E9" s="133">
        <v>295582</v>
      </c>
      <c r="F9" s="132">
        <v>371627</v>
      </c>
      <c r="G9" s="987">
        <v>38915</v>
      </c>
      <c r="H9" s="134"/>
    </row>
    <row r="10" spans="1:8" ht="20" customHeight="1" thickBot="1">
      <c r="A10" s="135" t="s">
        <v>1810</v>
      </c>
      <c r="B10" s="132">
        <v>7183</v>
      </c>
      <c r="C10" s="133">
        <v>14099</v>
      </c>
      <c r="D10" s="132">
        <v>14094</v>
      </c>
      <c r="E10" s="133">
        <v>28193</v>
      </c>
      <c r="F10" s="132">
        <v>35376</v>
      </c>
      <c r="G10" s="987">
        <v>3692</v>
      </c>
      <c r="H10" s="134"/>
    </row>
    <row r="11" spans="1:8" ht="20" customHeight="1" thickBot="1">
      <c r="A11" s="135" t="s">
        <v>1811</v>
      </c>
      <c r="B11" s="132">
        <v>29411</v>
      </c>
      <c r="C11" s="133">
        <v>58206</v>
      </c>
      <c r="D11" s="132">
        <v>56785</v>
      </c>
      <c r="E11" s="133">
        <v>114992</v>
      </c>
      <c r="F11" s="132">
        <v>144403</v>
      </c>
      <c r="G11" s="987">
        <v>15042</v>
      </c>
      <c r="H11" s="134"/>
    </row>
    <row r="12" spans="1:8" ht="20" customHeight="1" thickBot="1">
      <c r="A12" s="135" t="s">
        <v>1812</v>
      </c>
      <c r="B12" s="132">
        <v>7361</v>
      </c>
      <c r="C12" s="133">
        <v>13907</v>
      </c>
      <c r="D12" s="132">
        <v>13971</v>
      </c>
      <c r="E12" s="133">
        <v>27877</v>
      </c>
      <c r="F12" s="132">
        <v>35238</v>
      </c>
      <c r="G12" s="987">
        <v>3711</v>
      </c>
      <c r="H12" s="134"/>
    </row>
    <row r="13" spans="1:8" ht="20" customHeight="1" thickBot="1">
      <c r="A13" s="135" t="s">
        <v>1813</v>
      </c>
      <c r="B13" s="132">
        <v>7679</v>
      </c>
      <c r="C13" s="133">
        <v>16380</v>
      </c>
      <c r="D13" s="132">
        <v>16227</v>
      </c>
      <c r="E13" s="133">
        <v>32607</v>
      </c>
      <c r="F13" s="132">
        <v>40286</v>
      </c>
      <c r="G13" s="987">
        <v>3977</v>
      </c>
      <c r="H13" s="134"/>
    </row>
    <row r="14" spans="1:8" ht="20" customHeight="1" thickBot="1">
      <c r="A14" s="135" t="s">
        <v>1814</v>
      </c>
      <c r="B14" s="132">
        <v>7462</v>
      </c>
      <c r="C14" s="133">
        <v>15214</v>
      </c>
      <c r="D14" s="132">
        <v>15714</v>
      </c>
      <c r="E14" s="133">
        <v>30926</v>
      </c>
      <c r="F14" s="132">
        <v>38388</v>
      </c>
      <c r="G14" s="987">
        <v>3880</v>
      </c>
      <c r="H14" s="134"/>
    </row>
    <row r="15" spans="1:8" ht="20" customHeight="1" thickBot="1">
      <c r="A15" s="135" t="s">
        <v>1815</v>
      </c>
      <c r="B15" s="132">
        <v>21466</v>
      </c>
      <c r="C15" s="133">
        <v>44488</v>
      </c>
      <c r="D15" s="132">
        <v>44389</v>
      </c>
      <c r="E15" s="133">
        <v>88877</v>
      </c>
      <c r="F15" s="132">
        <v>110343</v>
      </c>
      <c r="G15" s="987">
        <v>10929</v>
      </c>
      <c r="H15" s="134"/>
    </row>
    <row r="16" spans="1:8" ht="20" customHeight="1" thickBot="1">
      <c r="A16" s="135" t="s">
        <v>1816</v>
      </c>
      <c r="B16" s="132">
        <v>61650</v>
      </c>
      <c r="C16" s="133">
        <v>104775</v>
      </c>
      <c r="D16" s="132">
        <v>106991</v>
      </c>
      <c r="E16" s="133">
        <v>211761</v>
      </c>
      <c r="F16" s="132">
        <v>273411</v>
      </c>
      <c r="G16" s="987">
        <v>31512</v>
      </c>
      <c r="H16" s="134"/>
    </row>
    <row r="17" spans="1:8" ht="20" customHeight="1" thickBot="1">
      <c r="A17" s="135" t="s">
        <v>1817</v>
      </c>
      <c r="B17" s="132">
        <v>47945</v>
      </c>
      <c r="C17" s="133">
        <v>100718</v>
      </c>
      <c r="D17" s="132">
        <v>105339</v>
      </c>
      <c r="E17" s="133">
        <v>206058</v>
      </c>
      <c r="F17" s="132">
        <v>254003</v>
      </c>
      <c r="G17" s="987">
        <v>24672</v>
      </c>
      <c r="H17" s="134"/>
    </row>
    <row r="18" spans="1:8" ht="20" customHeight="1" thickBot="1">
      <c r="A18" s="135" t="s">
        <v>1818</v>
      </c>
      <c r="B18" s="132">
        <v>28106</v>
      </c>
      <c r="C18" s="133">
        <v>71331</v>
      </c>
      <c r="D18" s="132">
        <v>80957</v>
      </c>
      <c r="E18" s="133">
        <v>152286</v>
      </c>
      <c r="F18" s="132">
        <v>180392</v>
      </c>
      <c r="G18" s="987">
        <v>14504</v>
      </c>
      <c r="H18" s="134"/>
    </row>
    <row r="19" spans="1:8" ht="20" customHeight="1" thickBot="1">
      <c r="A19" s="135" t="s">
        <v>1819</v>
      </c>
      <c r="B19" s="132">
        <v>49541</v>
      </c>
      <c r="C19" s="133">
        <v>107671</v>
      </c>
      <c r="D19" s="132">
        <v>114690</v>
      </c>
      <c r="E19" s="133">
        <v>222358</v>
      </c>
      <c r="F19" s="132">
        <v>271899</v>
      </c>
      <c r="G19" s="987">
        <v>25338</v>
      </c>
      <c r="H19" s="134"/>
    </row>
    <row r="20" spans="1:8" ht="20" customHeight="1" thickBot="1">
      <c r="A20" s="135" t="s">
        <v>1820</v>
      </c>
      <c r="B20" s="132">
        <v>13814</v>
      </c>
      <c r="C20" s="133">
        <v>30715</v>
      </c>
      <c r="D20" s="132">
        <v>32203</v>
      </c>
      <c r="E20" s="133">
        <v>62916</v>
      </c>
      <c r="F20" s="132">
        <v>76730</v>
      </c>
      <c r="G20" s="987">
        <v>7151</v>
      </c>
      <c r="H20" s="134"/>
    </row>
    <row r="21" spans="1:8" ht="20" customHeight="1" thickBot="1">
      <c r="A21" s="135" t="s">
        <v>1821</v>
      </c>
      <c r="B21" s="132">
        <v>10818</v>
      </c>
      <c r="C21" s="133">
        <v>21079</v>
      </c>
      <c r="D21" s="132">
        <v>21638</v>
      </c>
      <c r="E21" s="133">
        <v>42715</v>
      </c>
      <c r="F21" s="132">
        <v>53533</v>
      </c>
      <c r="G21" s="987">
        <v>5701</v>
      </c>
      <c r="H21" s="134"/>
    </row>
    <row r="22" spans="1:8" ht="20" customHeight="1" thickBot="1">
      <c r="A22" s="135" t="s">
        <v>1822</v>
      </c>
      <c r="B22" s="132">
        <v>3550</v>
      </c>
      <c r="C22" s="133">
        <v>6131</v>
      </c>
      <c r="D22" s="132">
        <v>5891</v>
      </c>
      <c r="E22" s="133">
        <v>12020</v>
      </c>
      <c r="F22" s="132">
        <v>15569</v>
      </c>
      <c r="G22" s="987">
        <v>1830</v>
      </c>
      <c r="H22" s="134"/>
    </row>
    <row r="23" spans="1:8" ht="20" customHeight="1" thickBot="1">
      <c r="A23" s="135" t="s">
        <v>1823</v>
      </c>
      <c r="B23" s="132">
        <v>97733</v>
      </c>
      <c r="C23" s="133">
        <v>184581</v>
      </c>
      <c r="D23" s="132">
        <v>191220</v>
      </c>
      <c r="E23" s="133">
        <v>375799</v>
      </c>
      <c r="F23" s="132">
        <v>473532</v>
      </c>
      <c r="G23" s="987">
        <v>49861</v>
      </c>
      <c r="H23" s="134"/>
    </row>
    <row r="24" spans="1:8" ht="20" customHeight="1" thickBot="1">
      <c r="A24" s="135" t="s">
        <v>1824</v>
      </c>
      <c r="B24" s="132">
        <v>35136</v>
      </c>
      <c r="C24" s="133">
        <v>79612</v>
      </c>
      <c r="D24" s="132">
        <v>80991</v>
      </c>
      <c r="E24" s="133">
        <v>160603</v>
      </c>
      <c r="F24" s="132">
        <v>195739</v>
      </c>
      <c r="G24" s="987">
        <v>17949</v>
      </c>
      <c r="H24" s="134"/>
    </row>
    <row r="25" spans="1:8" ht="20" customHeight="1" thickBot="1">
      <c r="A25" s="135" t="s">
        <v>1825</v>
      </c>
      <c r="B25" s="132">
        <v>118715</v>
      </c>
      <c r="C25" s="133">
        <v>238985</v>
      </c>
      <c r="D25" s="132">
        <v>243469</v>
      </c>
      <c r="E25" s="133">
        <v>482454</v>
      </c>
      <c r="F25" s="132">
        <v>601168</v>
      </c>
      <c r="G25" s="987">
        <v>61136</v>
      </c>
      <c r="H25" s="134"/>
    </row>
    <row r="26" spans="1:8" ht="20" customHeight="1" thickBot="1">
      <c r="A26" s="135" t="s">
        <v>1826</v>
      </c>
      <c r="B26" s="132">
        <v>50753</v>
      </c>
      <c r="C26" s="133">
        <v>96286</v>
      </c>
      <c r="D26" s="132">
        <v>97777</v>
      </c>
      <c r="E26" s="133">
        <v>194062</v>
      </c>
      <c r="F26" s="132">
        <v>244815</v>
      </c>
      <c r="G26" s="987">
        <v>26088</v>
      </c>
      <c r="H26" s="134"/>
    </row>
    <row r="27" spans="1:8" ht="20" customHeight="1" thickBot="1">
      <c r="A27" s="135" t="s">
        <v>1827</v>
      </c>
      <c r="B27" s="132">
        <v>58258</v>
      </c>
      <c r="C27" s="133">
        <v>127697</v>
      </c>
      <c r="D27" s="132">
        <v>141339</v>
      </c>
      <c r="E27" s="133">
        <v>269033</v>
      </c>
      <c r="F27" s="132">
        <v>327292</v>
      </c>
      <c r="G27" s="987">
        <v>29832</v>
      </c>
      <c r="H27" s="134"/>
    </row>
    <row r="28" spans="1:8" ht="20" customHeight="1" thickBot="1">
      <c r="A28" s="135" t="s">
        <v>1828</v>
      </c>
      <c r="B28" s="132">
        <v>144890</v>
      </c>
      <c r="C28" s="133">
        <v>255348</v>
      </c>
      <c r="D28" s="132">
        <v>279311</v>
      </c>
      <c r="E28" s="133">
        <v>534659</v>
      </c>
      <c r="F28" s="132">
        <v>679549</v>
      </c>
      <c r="G28" s="987">
        <v>74186</v>
      </c>
      <c r="H28" s="134"/>
    </row>
    <row r="29" spans="1:8" ht="20" customHeight="1" thickBot="1">
      <c r="A29" s="135" t="s">
        <v>1829</v>
      </c>
      <c r="B29" s="132">
        <v>60491</v>
      </c>
      <c r="C29" s="133">
        <v>121864</v>
      </c>
      <c r="D29" s="132">
        <v>126617</v>
      </c>
      <c r="E29" s="133">
        <v>248479</v>
      </c>
      <c r="F29" s="132">
        <v>308970</v>
      </c>
      <c r="G29" s="987">
        <v>31140</v>
      </c>
      <c r="H29" s="134"/>
    </row>
    <row r="30" spans="1:8" ht="20" customHeight="1" thickBot="1">
      <c r="A30" s="135" t="s">
        <v>1830</v>
      </c>
      <c r="B30" s="132">
        <v>35515</v>
      </c>
      <c r="C30" s="133">
        <v>64779</v>
      </c>
      <c r="D30" s="132">
        <v>70837</v>
      </c>
      <c r="E30" s="133">
        <v>135612</v>
      </c>
      <c r="F30" s="132">
        <v>171126</v>
      </c>
      <c r="G30" s="987">
        <v>18311</v>
      </c>
      <c r="H30" s="134"/>
    </row>
    <row r="31" spans="1:8" ht="20" customHeight="1" thickBot="1">
      <c r="A31" s="135" t="s">
        <v>1831</v>
      </c>
      <c r="B31" s="132">
        <v>87996</v>
      </c>
      <c r="C31" s="133">
        <v>154927</v>
      </c>
      <c r="D31" s="132">
        <v>172789</v>
      </c>
      <c r="E31" s="133">
        <v>327714</v>
      </c>
      <c r="F31" s="132">
        <v>415711</v>
      </c>
      <c r="G31" s="987">
        <v>45017</v>
      </c>
      <c r="H31" s="134"/>
    </row>
    <row r="32" spans="1:8" ht="20" customHeight="1" thickBot="1">
      <c r="A32" s="136" t="s">
        <v>1832</v>
      </c>
      <c r="B32" s="132">
        <v>15114</v>
      </c>
      <c r="C32" s="133">
        <v>26695</v>
      </c>
      <c r="D32" s="132">
        <v>28326</v>
      </c>
      <c r="E32" s="133">
        <v>55020</v>
      </c>
      <c r="F32" s="132">
        <v>70133</v>
      </c>
      <c r="G32" s="987">
        <v>7811</v>
      </c>
      <c r="H32" s="134"/>
    </row>
    <row r="33" spans="1:8" ht="30" customHeight="1" thickBot="1">
      <c r="A33" s="137" t="s">
        <v>1222</v>
      </c>
      <c r="B33" s="138">
        <v>1500802</v>
      </c>
      <c r="C33" s="139">
        <v>3009396</v>
      </c>
      <c r="D33" s="138">
        <v>3182289</v>
      </c>
      <c r="E33" s="139">
        <v>6191649</v>
      </c>
      <c r="F33" s="138">
        <v>7692449</v>
      </c>
      <c r="G33" s="988">
        <v>769774</v>
      </c>
      <c r="H33" s="134"/>
    </row>
    <row r="34" spans="1:8" ht="20" customHeight="1">
      <c r="A34" s="140" t="s">
        <v>152</v>
      </c>
      <c r="B34" s="140"/>
      <c r="C34" s="140"/>
      <c r="D34" s="140"/>
      <c r="E34" s="140"/>
      <c r="F34" s="140"/>
      <c r="H34" s="130"/>
    </row>
    <row r="35" spans="1:8" ht="11.25" customHeight="1">
      <c r="A35" s="141"/>
      <c r="B35" s="141"/>
      <c r="C35" s="141"/>
      <c r="D35" s="141"/>
      <c r="E35" s="141"/>
      <c r="F35" s="141"/>
      <c r="H35" s="130"/>
    </row>
    <row r="36" spans="1:8" ht="14.25" customHeight="1">
      <c r="A36" s="141" t="s">
        <v>955</v>
      </c>
      <c r="B36" s="141"/>
      <c r="C36" s="141"/>
      <c r="D36" s="141"/>
      <c r="E36" s="141"/>
      <c r="F36" s="141"/>
      <c r="H36" s="130"/>
    </row>
    <row r="37" spans="1:8" ht="13.5" customHeight="1">
      <c r="A37" s="141"/>
      <c r="B37" s="141"/>
      <c r="C37" s="141"/>
      <c r="D37" s="141"/>
      <c r="E37" s="141"/>
      <c r="F37" s="141"/>
      <c r="H37" s="130"/>
    </row>
    <row r="38" spans="1:8" ht="12" customHeight="1">
      <c r="A38" s="141" t="s">
        <v>959</v>
      </c>
    </row>
    <row r="39" spans="1:8" ht="12.75" customHeight="1">
      <c r="A39" s="989" t="s">
        <v>960</v>
      </c>
      <c r="G39" s="2"/>
    </row>
    <row r="40" spans="1:8" ht="12" customHeight="1">
      <c r="A40" s="990" t="s">
        <v>961</v>
      </c>
      <c r="G40" s="2"/>
    </row>
    <row r="41" spans="1:8" ht="12" customHeight="1">
      <c r="A41" s="141" t="s">
        <v>962</v>
      </c>
      <c r="G41" s="2"/>
    </row>
    <row r="42" spans="1:8" ht="12" customHeight="1">
      <c r="A42" s="2" t="s">
        <v>854</v>
      </c>
      <c r="G42" s="2"/>
    </row>
    <row r="43" spans="1:8" ht="12" customHeight="1">
      <c r="A43" s="2" t="s">
        <v>855</v>
      </c>
      <c r="G43" s="2"/>
    </row>
    <row r="44" spans="1:8" ht="12" customHeight="1">
      <c r="A44" s="2" t="s">
        <v>856</v>
      </c>
      <c r="G44" s="2"/>
    </row>
    <row r="45" spans="1:8" ht="12" customHeight="1">
      <c r="A45" s="2" t="s">
        <v>367</v>
      </c>
      <c r="G45" s="2"/>
    </row>
    <row r="46" spans="1:8" ht="12" customHeight="1">
      <c r="A46" s="991" t="s">
        <v>368</v>
      </c>
      <c r="G46" s="2"/>
    </row>
    <row r="47" spans="1:8" ht="12" customHeight="1">
      <c r="A47" s="2" t="s">
        <v>369</v>
      </c>
      <c r="G47" s="2"/>
    </row>
    <row r="48" spans="1:8" ht="12" customHeight="1">
      <c r="A48" s="991" t="s">
        <v>68</v>
      </c>
      <c r="G48" s="2"/>
    </row>
    <row r="49" spans="1:7" ht="12" customHeight="1">
      <c r="A49" s="991" t="s">
        <v>69</v>
      </c>
      <c r="G49" s="2"/>
    </row>
    <row r="50" spans="1:7" ht="12" customHeight="1">
      <c r="A50" s="991" t="s">
        <v>70</v>
      </c>
      <c r="G50" s="2"/>
    </row>
    <row r="51" spans="1:7" ht="12" customHeight="1">
      <c r="A51" s="989" t="s">
        <v>71</v>
      </c>
      <c r="G51" s="2"/>
    </row>
    <row r="52" spans="1:7" ht="12" customHeight="1">
      <c r="A52" s="992" t="s">
        <v>72</v>
      </c>
      <c r="G52" s="2"/>
    </row>
    <row r="53" spans="1:7" ht="12" customHeight="1"/>
    <row r="54" spans="1:7" ht="12" customHeight="1"/>
    <row r="55" spans="1:7" ht="12" customHeight="1">
      <c r="A55" s="141" t="s">
        <v>710</v>
      </c>
    </row>
  </sheetData>
  <mergeCells count="1">
    <mergeCell ref="A2:F2"/>
  </mergeCells>
  <phoneticPr fontId="0" type="noConversion"/>
  <pageMargins left="0.52" right="0.51" top="0.45" bottom="0.49" header="0.33" footer="0.4921259845"/>
  <pageSetup paperSize="9" scale="79" orientation="portrait"/>
  <headerFooter alignWithMargins="0"/>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A708D-1C1E-3441-8DC0-7213D9BC18C3}">
  <dimension ref="A1:H42"/>
  <sheetViews>
    <sheetView zoomScale="75" workbookViewId="0">
      <selection activeCell="I10" sqref="I10"/>
    </sheetView>
  </sheetViews>
  <sheetFormatPr baseColWidth="10" defaultColWidth="11.3984375" defaultRowHeight="13"/>
  <cols>
    <col min="1" max="3" width="14.796875" style="2" customWidth="1"/>
    <col min="4" max="4" width="15.796875" style="2" customWidth="1"/>
    <col min="5" max="5" width="15.59765625" style="2" customWidth="1"/>
    <col min="6" max="6" width="16.19921875" style="2" customWidth="1"/>
    <col min="7" max="7" width="13.3984375" style="2" customWidth="1"/>
    <col min="8" max="8" width="15.19921875" style="2" hidden="1" customWidth="1"/>
    <col min="9" max="16384" width="11.3984375" style="2"/>
  </cols>
  <sheetData>
    <row r="1" spans="1:8" s="1" customFormat="1" ht="14" customHeight="1"/>
    <row r="2" spans="1:8" s="1" customFormat="1" ht="45" customHeight="1">
      <c r="A2" s="2014" t="s">
        <v>957</v>
      </c>
      <c r="B2" s="2018"/>
      <c r="C2" s="2018"/>
      <c r="D2" s="2018"/>
      <c r="E2" s="2018"/>
      <c r="F2" s="118">
        <v>2009</v>
      </c>
    </row>
    <row r="3" spans="1:8" ht="27" customHeight="1">
      <c r="A3" s="119" t="s">
        <v>1797</v>
      </c>
      <c r="B3" s="120" t="s">
        <v>1798</v>
      </c>
      <c r="C3" s="121" t="s">
        <v>1833</v>
      </c>
      <c r="D3" s="120" t="s">
        <v>1834</v>
      </c>
      <c r="E3" s="121" t="s">
        <v>1567</v>
      </c>
      <c r="F3" s="120" t="s">
        <v>1567</v>
      </c>
    </row>
    <row r="4" spans="1:8" ht="15" customHeight="1">
      <c r="A4" s="122"/>
      <c r="B4" s="123"/>
      <c r="C4" s="122"/>
      <c r="D4" s="125"/>
      <c r="E4" s="124" t="s">
        <v>952</v>
      </c>
      <c r="F4" s="123" t="s">
        <v>953</v>
      </c>
    </row>
    <row r="5" spans="1:8" ht="15" customHeight="1">
      <c r="A5" s="122"/>
      <c r="B5" s="123"/>
      <c r="C5" s="122"/>
      <c r="D5" s="125"/>
      <c r="E5" s="124" t="s">
        <v>954</v>
      </c>
      <c r="F5" s="123" t="s">
        <v>1800</v>
      </c>
    </row>
    <row r="6" spans="1:8" ht="24" customHeight="1">
      <c r="A6" s="126"/>
      <c r="B6" s="127"/>
      <c r="C6" s="126"/>
      <c r="D6" s="127"/>
      <c r="E6" s="128"/>
      <c r="F6" s="129"/>
    </row>
    <row r="7" spans="1:8" ht="30" customHeight="1" thickBot="1">
      <c r="A7" s="131" t="s">
        <v>1807</v>
      </c>
      <c r="B7" s="155">
        <v>223832269</v>
      </c>
      <c r="C7" s="156">
        <v>1318641764</v>
      </c>
      <c r="D7" s="155">
        <v>1924579634</v>
      </c>
      <c r="E7" s="156">
        <v>3243221398</v>
      </c>
      <c r="F7" s="155">
        <v>3467053667</v>
      </c>
      <c r="H7" s="7">
        <v>2156035045</v>
      </c>
    </row>
    <row r="8" spans="1:8" ht="20" customHeight="1" thickBot="1">
      <c r="A8" s="135" t="s">
        <v>1808</v>
      </c>
      <c r="B8" s="455">
        <v>132447144</v>
      </c>
      <c r="C8" s="578">
        <v>1070340030</v>
      </c>
      <c r="D8" s="455">
        <v>1551226276</v>
      </c>
      <c r="E8" s="578">
        <v>2621566306</v>
      </c>
      <c r="F8" s="455">
        <v>2754013450</v>
      </c>
      <c r="H8" s="7">
        <v>1563935884</v>
      </c>
    </row>
    <row r="9" spans="1:8" ht="20" customHeight="1" thickBot="1">
      <c r="A9" s="135" t="s">
        <v>1809</v>
      </c>
      <c r="B9" s="455">
        <v>50745428</v>
      </c>
      <c r="C9" s="578">
        <v>317632680</v>
      </c>
      <c r="D9" s="455">
        <v>463578602</v>
      </c>
      <c r="E9" s="578">
        <v>781211282</v>
      </c>
      <c r="F9" s="455">
        <v>831956710</v>
      </c>
      <c r="H9" s="7">
        <v>464604355</v>
      </c>
    </row>
    <row r="10" spans="1:8" ht="20" customHeight="1" thickBot="1">
      <c r="A10" s="135" t="s">
        <v>1810</v>
      </c>
      <c r="B10" s="455">
        <v>4538669</v>
      </c>
      <c r="C10" s="578">
        <v>31024009</v>
      </c>
      <c r="D10" s="455">
        <v>41000880</v>
      </c>
      <c r="E10" s="578">
        <v>72024889</v>
      </c>
      <c r="F10" s="455">
        <v>76563558</v>
      </c>
      <c r="H10" s="7">
        <v>45901795</v>
      </c>
    </row>
    <row r="11" spans="1:8" ht="20" customHeight="1" thickBot="1">
      <c r="A11" s="135" t="s">
        <v>1811</v>
      </c>
      <c r="B11" s="455">
        <v>23811642</v>
      </c>
      <c r="C11" s="578">
        <v>126982404</v>
      </c>
      <c r="D11" s="455">
        <v>169941783</v>
      </c>
      <c r="E11" s="578">
        <v>296924187</v>
      </c>
      <c r="F11" s="455">
        <v>320735829</v>
      </c>
      <c r="H11" s="7">
        <v>171549320</v>
      </c>
    </row>
    <row r="12" spans="1:8" ht="20" customHeight="1" thickBot="1">
      <c r="A12" s="135" t="s">
        <v>1812</v>
      </c>
      <c r="B12" s="455">
        <v>5021245</v>
      </c>
      <c r="C12" s="578">
        <v>27316939</v>
      </c>
      <c r="D12" s="455">
        <v>40215395</v>
      </c>
      <c r="E12" s="578">
        <v>67532334</v>
      </c>
      <c r="F12" s="455">
        <v>72553579</v>
      </c>
      <c r="H12" s="7">
        <v>41764939</v>
      </c>
    </row>
    <row r="13" spans="1:8" ht="20" customHeight="1" thickBot="1">
      <c r="A13" s="135" t="s">
        <v>1813</v>
      </c>
      <c r="B13" s="455">
        <v>4906106</v>
      </c>
      <c r="C13" s="578">
        <v>31594713</v>
      </c>
      <c r="D13" s="455">
        <v>43553713</v>
      </c>
      <c r="E13" s="578">
        <v>75148426</v>
      </c>
      <c r="F13" s="455">
        <v>80054532</v>
      </c>
      <c r="H13" s="7">
        <v>44323506</v>
      </c>
    </row>
    <row r="14" spans="1:8" ht="20" customHeight="1" thickBot="1">
      <c r="A14" s="135" t="s">
        <v>1814</v>
      </c>
      <c r="B14" s="455">
        <v>5588861</v>
      </c>
      <c r="C14" s="578">
        <v>32913120</v>
      </c>
      <c r="D14" s="455">
        <v>47991486</v>
      </c>
      <c r="E14" s="578">
        <v>80904606</v>
      </c>
      <c r="F14" s="455">
        <v>86493467</v>
      </c>
      <c r="H14" s="7">
        <v>55927154</v>
      </c>
    </row>
    <row r="15" spans="1:8" ht="20" customHeight="1" thickBot="1">
      <c r="A15" s="135" t="s">
        <v>1815</v>
      </c>
      <c r="B15" s="455">
        <v>15861229</v>
      </c>
      <c r="C15" s="578">
        <v>92493297</v>
      </c>
      <c r="D15" s="455">
        <v>132168059</v>
      </c>
      <c r="E15" s="578">
        <v>224661356</v>
      </c>
      <c r="F15" s="455">
        <v>240522585</v>
      </c>
      <c r="H15" s="7">
        <v>128772453</v>
      </c>
    </row>
    <row r="16" spans="1:8" ht="20" customHeight="1" thickBot="1">
      <c r="A16" s="135" t="s">
        <v>1816</v>
      </c>
      <c r="B16" s="455">
        <v>49597166</v>
      </c>
      <c r="C16" s="578">
        <v>253071919</v>
      </c>
      <c r="D16" s="455">
        <v>361818176</v>
      </c>
      <c r="E16" s="578">
        <v>614890095</v>
      </c>
      <c r="F16" s="455">
        <v>664487261</v>
      </c>
      <c r="H16" s="7">
        <v>391250033</v>
      </c>
    </row>
    <row r="17" spans="1:8" ht="20" customHeight="1" thickBot="1">
      <c r="A17" s="135" t="s">
        <v>1817</v>
      </c>
      <c r="B17" s="455">
        <v>39141896</v>
      </c>
      <c r="C17" s="578">
        <v>253502321</v>
      </c>
      <c r="D17" s="455">
        <v>348355408</v>
      </c>
      <c r="E17" s="578">
        <v>601857729</v>
      </c>
      <c r="F17" s="455">
        <v>640999625</v>
      </c>
      <c r="H17" s="7">
        <v>393696828</v>
      </c>
    </row>
    <row r="18" spans="1:8" ht="20" customHeight="1" thickBot="1">
      <c r="A18" s="135" t="s">
        <v>1818</v>
      </c>
      <c r="B18" s="455">
        <v>30969756</v>
      </c>
      <c r="C18" s="578">
        <v>244947691</v>
      </c>
      <c r="D18" s="455">
        <v>388402305</v>
      </c>
      <c r="E18" s="578">
        <v>633349996</v>
      </c>
      <c r="F18" s="455">
        <v>664319752</v>
      </c>
      <c r="H18" s="7">
        <v>473520714</v>
      </c>
    </row>
    <row r="19" spans="1:8" ht="20" customHeight="1" thickBot="1">
      <c r="A19" s="135" t="s">
        <v>1819</v>
      </c>
      <c r="B19" s="455">
        <v>48053255</v>
      </c>
      <c r="C19" s="578">
        <v>295397198</v>
      </c>
      <c r="D19" s="455">
        <v>427036500</v>
      </c>
      <c r="E19" s="578">
        <v>722433698</v>
      </c>
      <c r="F19" s="455">
        <v>770486953</v>
      </c>
      <c r="H19" s="7">
        <v>469771093</v>
      </c>
    </row>
    <row r="20" spans="1:8" ht="20" customHeight="1" thickBot="1">
      <c r="A20" s="135" t="s">
        <v>1820</v>
      </c>
      <c r="B20" s="455">
        <v>10082684</v>
      </c>
      <c r="C20" s="578">
        <v>73651254</v>
      </c>
      <c r="D20" s="455">
        <v>105444375</v>
      </c>
      <c r="E20" s="578">
        <v>179095629</v>
      </c>
      <c r="F20" s="455">
        <v>189178313</v>
      </c>
      <c r="H20" s="7">
        <v>127694959</v>
      </c>
    </row>
    <row r="21" spans="1:8" ht="20" customHeight="1" thickBot="1">
      <c r="A21" s="135" t="s">
        <v>1821</v>
      </c>
      <c r="B21" s="455">
        <v>7679179</v>
      </c>
      <c r="C21" s="578">
        <v>43047089</v>
      </c>
      <c r="D21" s="455">
        <v>59718634</v>
      </c>
      <c r="E21" s="578">
        <v>102765723</v>
      </c>
      <c r="F21" s="455">
        <v>110444902</v>
      </c>
      <c r="H21" s="7">
        <v>69489100</v>
      </c>
    </row>
    <row r="22" spans="1:8" ht="20" customHeight="1" thickBot="1">
      <c r="A22" s="135" t="s">
        <v>1822</v>
      </c>
      <c r="B22" s="455">
        <v>2042017</v>
      </c>
      <c r="C22" s="578">
        <v>11206728</v>
      </c>
      <c r="D22" s="455">
        <v>13938020</v>
      </c>
      <c r="E22" s="578">
        <v>25144748</v>
      </c>
      <c r="F22" s="455">
        <v>27186765</v>
      </c>
      <c r="H22" s="7">
        <v>16712649</v>
      </c>
    </row>
    <row r="23" spans="1:8" ht="20" customHeight="1" thickBot="1">
      <c r="A23" s="135" t="s">
        <v>1823</v>
      </c>
      <c r="B23" s="455">
        <v>73705417</v>
      </c>
      <c r="C23" s="578">
        <v>398946747</v>
      </c>
      <c r="D23" s="455">
        <v>562585218</v>
      </c>
      <c r="E23" s="578">
        <v>961531965</v>
      </c>
      <c r="F23" s="455">
        <v>1035237382</v>
      </c>
      <c r="H23" s="7">
        <v>615853738</v>
      </c>
    </row>
    <row r="24" spans="1:8" ht="20" customHeight="1" thickBot="1">
      <c r="A24" s="135" t="s">
        <v>1824</v>
      </c>
      <c r="B24" s="455">
        <v>29124008</v>
      </c>
      <c r="C24" s="578">
        <v>174130674</v>
      </c>
      <c r="D24" s="455">
        <v>246449571</v>
      </c>
      <c r="E24" s="578">
        <v>420580245</v>
      </c>
      <c r="F24" s="455">
        <v>449704253</v>
      </c>
      <c r="H24" s="7">
        <v>264690646</v>
      </c>
    </row>
    <row r="25" spans="1:8" ht="20" customHeight="1" thickBot="1">
      <c r="A25" s="135" t="s">
        <v>1825</v>
      </c>
      <c r="B25" s="455">
        <v>98879031</v>
      </c>
      <c r="C25" s="578">
        <v>549692887</v>
      </c>
      <c r="D25" s="455">
        <v>766249904</v>
      </c>
      <c r="E25" s="578">
        <v>1315942791</v>
      </c>
      <c r="F25" s="455">
        <v>1414821822</v>
      </c>
      <c r="H25" s="7">
        <v>819222625</v>
      </c>
    </row>
    <row r="26" spans="1:8" ht="20" customHeight="1" thickBot="1">
      <c r="A26" s="135" t="s">
        <v>1826</v>
      </c>
      <c r="B26" s="455">
        <v>39637369</v>
      </c>
      <c r="C26" s="578">
        <v>212932118</v>
      </c>
      <c r="D26" s="455">
        <v>292737946</v>
      </c>
      <c r="E26" s="578">
        <v>505670064</v>
      </c>
      <c r="F26" s="455">
        <v>545307433</v>
      </c>
      <c r="H26" s="7">
        <v>344655658</v>
      </c>
    </row>
    <row r="27" spans="1:8" ht="20" customHeight="1" thickBot="1">
      <c r="A27" s="135" t="s">
        <v>1827</v>
      </c>
      <c r="B27" s="455">
        <v>49624206</v>
      </c>
      <c r="C27" s="578">
        <v>387995233</v>
      </c>
      <c r="D27" s="455">
        <v>541794763</v>
      </c>
      <c r="E27" s="578">
        <v>929789996</v>
      </c>
      <c r="F27" s="455">
        <v>979414202</v>
      </c>
      <c r="H27" s="7">
        <v>627641817</v>
      </c>
    </row>
    <row r="28" spans="1:8" ht="20" customHeight="1" thickBot="1">
      <c r="A28" s="135" t="s">
        <v>1828</v>
      </c>
      <c r="B28" s="455">
        <v>142995622</v>
      </c>
      <c r="C28" s="578">
        <v>726302292</v>
      </c>
      <c r="D28" s="455">
        <v>1118385480</v>
      </c>
      <c r="E28" s="578">
        <v>1844687772</v>
      </c>
      <c r="F28" s="455">
        <v>1987683394</v>
      </c>
      <c r="H28" s="7">
        <v>1280335377</v>
      </c>
    </row>
    <row r="29" spans="1:8" ht="20" customHeight="1" thickBot="1">
      <c r="A29" s="135" t="s">
        <v>1829</v>
      </c>
      <c r="B29" s="455">
        <v>46022204</v>
      </c>
      <c r="C29" s="578">
        <v>290468275</v>
      </c>
      <c r="D29" s="455">
        <v>398730566</v>
      </c>
      <c r="E29" s="578">
        <v>689198841</v>
      </c>
      <c r="F29" s="455">
        <v>735221045</v>
      </c>
      <c r="H29" s="7">
        <v>410743307</v>
      </c>
    </row>
    <row r="30" spans="1:8" ht="20" customHeight="1" thickBot="1">
      <c r="A30" s="135" t="s">
        <v>1830</v>
      </c>
      <c r="B30" s="455">
        <v>29259809</v>
      </c>
      <c r="C30" s="578">
        <v>170387522</v>
      </c>
      <c r="D30" s="455">
        <v>262887397</v>
      </c>
      <c r="E30" s="578">
        <v>433274919</v>
      </c>
      <c r="F30" s="455">
        <v>462534728</v>
      </c>
      <c r="H30" s="7">
        <v>318756043</v>
      </c>
    </row>
    <row r="31" spans="1:8" ht="20" customHeight="1" thickBot="1">
      <c r="A31" s="135" t="s">
        <v>1831</v>
      </c>
      <c r="B31" s="455">
        <v>107318073</v>
      </c>
      <c r="C31" s="578">
        <v>504411051</v>
      </c>
      <c r="D31" s="455">
        <v>797422825</v>
      </c>
      <c r="E31" s="578">
        <v>1301833876</v>
      </c>
      <c r="F31" s="455">
        <v>1409151949</v>
      </c>
      <c r="H31" s="7">
        <v>966736347</v>
      </c>
    </row>
    <row r="32" spans="1:8" ht="20" customHeight="1" thickBot="1">
      <c r="A32" s="136" t="s">
        <v>1832</v>
      </c>
      <c r="B32" s="455">
        <v>12685424</v>
      </c>
      <c r="C32" s="578">
        <v>72031581</v>
      </c>
      <c r="D32" s="455">
        <v>105975709</v>
      </c>
      <c r="E32" s="578">
        <v>178007290</v>
      </c>
      <c r="F32" s="455">
        <v>190692714</v>
      </c>
      <c r="H32" s="7">
        <v>146808815</v>
      </c>
    </row>
    <row r="33" spans="1:8" ht="30" customHeight="1" thickBot="1">
      <c r="A33" s="137" t="s">
        <v>1222</v>
      </c>
      <c r="B33" s="383">
        <v>1283569709</v>
      </c>
      <c r="C33" s="382">
        <v>7711061536</v>
      </c>
      <c r="D33" s="383">
        <v>11212188625</v>
      </c>
      <c r="E33" s="382">
        <v>18923250161</v>
      </c>
      <c r="F33" s="383">
        <v>20206819870</v>
      </c>
      <c r="H33" s="7">
        <v>12410394200</v>
      </c>
    </row>
    <row r="34" spans="1:8" ht="20" customHeight="1">
      <c r="A34" s="140" t="s">
        <v>152</v>
      </c>
      <c r="B34" s="140"/>
      <c r="C34" s="140"/>
      <c r="D34" s="140"/>
      <c r="E34" s="140"/>
      <c r="F34" s="140"/>
    </row>
    <row r="35" spans="1:8" ht="12.75" customHeight="1">
      <c r="A35" s="141"/>
      <c r="B35" s="141"/>
      <c r="C35" s="141"/>
      <c r="D35" s="141"/>
      <c r="E35" s="141"/>
      <c r="F35" s="141"/>
    </row>
    <row r="36" spans="1:8" ht="14.25" customHeight="1">
      <c r="A36" s="141" t="s">
        <v>955</v>
      </c>
      <c r="B36" s="141"/>
      <c r="C36" s="141"/>
      <c r="D36" s="141"/>
      <c r="E36" s="141"/>
      <c r="F36" s="141"/>
    </row>
    <row r="37" spans="1:8" ht="10.5" customHeight="1">
      <c r="A37" s="141"/>
      <c r="B37" s="141"/>
      <c r="C37" s="141"/>
      <c r="D37" s="141"/>
      <c r="E37" s="141"/>
      <c r="F37" s="141"/>
    </row>
    <row r="38" spans="1:8" ht="15" customHeight="1">
      <c r="A38" s="141" t="s">
        <v>958</v>
      </c>
      <c r="B38" s="141"/>
      <c r="C38" s="141"/>
      <c r="D38" s="141"/>
      <c r="E38" s="141"/>
      <c r="F38" s="141"/>
    </row>
    <row r="39" spans="1:8" ht="15" customHeight="1">
      <c r="A39" s="143" t="s">
        <v>956</v>
      </c>
    </row>
    <row r="40" spans="1:8" ht="12" customHeight="1"/>
    <row r="41" spans="1:8" ht="12" customHeight="1"/>
    <row r="42" spans="1:8" ht="12" customHeight="1">
      <c r="A42" s="141" t="s">
        <v>710</v>
      </c>
    </row>
  </sheetData>
  <mergeCells count="1">
    <mergeCell ref="A2:E2"/>
  </mergeCells>
  <phoneticPr fontId="0" type="noConversion"/>
  <pageMargins left="0.6" right="0.59" top="0.76" bottom="0.49" header="0.35" footer="0.4921259845"/>
  <pageSetup paperSize="9" scale="80" orientation="portrait" horizontalDpi="4294967292" verticalDpi="4294967292"/>
  <headerFooter alignWithMargins="0"/>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AA783-19C2-154E-B3AC-8AECA6D700A4}">
  <sheetPr>
    <pageSetUpPr fitToPage="1"/>
  </sheetPr>
  <dimension ref="A1:C22"/>
  <sheetViews>
    <sheetView workbookViewId="0">
      <selection activeCell="B14" sqref="B14"/>
    </sheetView>
  </sheetViews>
  <sheetFormatPr baseColWidth="10" defaultColWidth="11.3984375" defaultRowHeight="13"/>
  <cols>
    <col min="1" max="1" width="5.59765625" style="1210" customWidth="1"/>
    <col min="2" max="16384" width="11.3984375" style="1210"/>
  </cols>
  <sheetData>
    <row r="1" spans="1:3" ht="16">
      <c r="A1" s="1209" t="s">
        <v>1161</v>
      </c>
    </row>
    <row r="3" spans="1:3">
      <c r="A3" s="1211">
        <v>11.01</v>
      </c>
      <c r="B3" s="1212" t="s">
        <v>1162</v>
      </c>
      <c r="C3" s="1213"/>
    </row>
    <row r="4" spans="1:3">
      <c r="A4" s="1211">
        <v>11.02</v>
      </c>
      <c r="B4" s="1212" t="s">
        <v>1163</v>
      </c>
      <c r="C4" s="1213"/>
    </row>
    <row r="5" spans="1:3">
      <c r="A5" s="1211">
        <v>11.03</v>
      </c>
      <c r="B5" s="1212" t="s">
        <v>1164</v>
      </c>
      <c r="C5" s="1213"/>
    </row>
    <row r="6" spans="1:3">
      <c r="A6" s="1211">
        <v>11.04</v>
      </c>
      <c r="B6" s="1214" t="s">
        <v>1165</v>
      </c>
      <c r="C6" s="1213"/>
    </row>
    <row r="7" spans="1:3">
      <c r="A7" s="1211">
        <v>11.05</v>
      </c>
      <c r="B7" s="1212" t="s">
        <v>1166</v>
      </c>
      <c r="C7" s="1213"/>
    </row>
    <row r="8" spans="1:3">
      <c r="A8" s="1211">
        <v>11.06</v>
      </c>
      <c r="B8" s="1212" t="s">
        <v>1167</v>
      </c>
      <c r="C8" s="1213"/>
    </row>
    <row r="9" spans="1:3">
      <c r="A9" s="1211">
        <v>11.07</v>
      </c>
      <c r="B9" s="1212" t="s">
        <v>1168</v>
      </c>
      <c r="C9" s="1213"/>
    </row>
    <row r="10" spans="1:3">
      <c r="A10" s="1211">
        <v>11.08</v>
      </c>
      <c r="B10" s="1212" t="s">
        <v>1169</v>
      </c>
      <c r="C10" s="1213"/>
    </row>
    <row r="11" spans="1:3">
      <c r="A11" s="1211">
        <v>11.09</v>
      </c>
      <c r="B11" s="1212" t="s">
        <v>1170</v>
      </c>
      <c r="C11" s="1213"/>
    </row>
    <row r="12" spans="1:3">
      <c r="A12" s="1211">
        <v>11.1</v>
      </c>
      <c r="B12" s="1212" t="s">
        <v>1171</v>
      </c>
      <c r="C12" s="1213"/>
    </row>
    <row r="13" spans="1:3">
      <c r="A13" s="1211">
        <v>11.11</v>
      </c>
      <c r="B13" s="1215" t="s">
        <v>1172</v>
      </c>
      <c r="C13" s="1213"/>
    </row>
    <row r="14" spans="1:3">
      <c r="A14" s="1211">
        <v>11.12</v>
      </c>
      <c r="B14" s="1212" t="s">
        <v>1173</v>
      </c>
      <c r="C14" s="1213"/>
    </row>
    <row r="15" spans="1:3">
      <c r="A15" s="1211">
        <v>11.13</v>
      </c>
      <c r="B15" s="1212" t="s">
        <v>1174</v>
      </c>
      <c r="C15" s="1213"/>
    </row>
    <row r="16" spans="1:3">
      <c r="A16" s="1211">
        <v>11.14</v>
      </c>
      <c r="B16" s="1216" t="s">
        <v>1175</v>
      </c>
      <c r="C16" s="1213"/>
    </row>
    <row r="17" spans="1:3">
      <c r="A17" s="1211">
        <v>11.15</v>
      </c>
      <c r="B17" s="1216" t="s">
        <v>1176</v>
      </c>
      <c r="C17" s="1213"/>
    </row>
    <row r="18" spans="1:3">
      <c r="A18" s="1211">
        <v>11.16</v>
      </c>
      <c r="B18" s="1216" t="s">
        <v>1177</v>
      </c>
      <c r="C18" s="1213"/>
    </row>
    <row r="19" spans="1:3">
      <c r="A19" s="1211">
        <v>11.17</v>
      </c>
      <c r="B19" s="1215" t="s">
        <v>1178</v>
      </c>
      <c r="C19" s="1213"/>
    </row>
    <row r="20" spans="1:3">
      <c r="A20" s="1211"/>
      <c r="B20" s="1217"/>
    </row>
    <row r="22" spans="1:3">
      <c r="A22" s="1218" t="s">
        <v>710</v>
      </c>
    </row>
  </sheetData>
  <phoneticPr fontId="30" type="noConversion"/>
  <pageMargins left="0.46" right="0.46" top="0.63" bottom="0.984251969" header="0.38" footer="0.4921259845"/>
  <pageSetup paperSize="9" orientation="portrait"/>
  <headerFooter alignWithMargins="0"/>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C2F69-2D58-7D41-A539-9FD7343ABB5D}">
  <sheetPr>
    <pageSetUpPr fitToPage="1"/>
  </sheetPr>
  <dimension ref="A1:K29"/>
  <sheetViews>
    <sheetView topLeftCell="A11" zoomScale="75" workbookViewId="0">
      <selection activeCell="A3" sqref="A3"/>
    </sheetView>
  </sheetViews>
  <sheetFormatPr baseColWidth="10" defaultColWidth="11.3984375" defaultRowHeight="13"/>
  <cols>
    <col min="1" max="1" width="20.796875" style="2" customWidth="1"/>
    <col min="2" max="5" width="14" style="2" customWidth="1"/>
    <col min="6" max="6" width="14.796875" style="2" customWidth="1"/>
    <col min="7" max="7" width="13.796875" style="2" customWidth="1"/>
    <col min="8" max="16384" width="11.3984375" style="2"/>
  </cols>
  <sheetData>
    <row r="1" spans="1:11" s="1" customFormat="1" ht="14" customHeight="1"/>
    <row r="2" spans="1:11" s="1" customFormat="1" ht="28" customHeight="1">
      <c r="A2" s="118" t="s">
        <v>650</v>
      </c>
      <c r="G2" s="177"/>
    </row>
    <row r="3" spans="1:11" ht="24" customHeight="1">
      <c r="A3" s="119" t="s">
        <v>651</v>
      </c>
      <c r="B3" s="120" t="s">
        <v>1833</v>
      </c>
      <c r="C3" s="121" t="s">
        <v>1834</v>
      </c>
      <c r="D3" s="120" t="s">
        <v>1800</v>
      </c>
      <c r="E3" s="121" t="s">
        <v>1798</v>
      </c>
      <c r="F3" s="120" t="s">
        <v>1567</v>
      </c>
      <c r="G3" s="121" t="s">
        <v>1801</v>
      </c>
    </row>
    <row r="4" spans="1:11" ht="15" customHeight="1">
      <c r="A4" s="325"/>
      <c r="B4" s="123"/>
      <c r="C4" s="124"/>
      <c r="D4" s="123"/>
      <c r="E4" s="150"/>
      <c r="F4" s="123"/>
      <c r="G4" s="124" t="s">
        <v>1802</v>
      </c>
    </row>
    <row r="5" spans="1:11" ht="15" customHeight="1">
      <c r="A5" s="325"/>
      <c r="B5" s="123"/>
      <c r="C5" s="124"/>
      <c r="D5" s="123"/>
      <c r="E5" s="150"/>
      <c r="F5" s="123"/>
      <c r="G5" s="124" t="s">
        <v>1806</v>
      </c>
    </row>
    <row r="6" spans="1:11" ht="24" customHeight="1">
      <c r="A6" s="326"/>
      <c r="B6" s="129"/>
      <c r="C6" s="128"/>
      <c r="D6" s="129"/>
      <c r="E6" s="153"/>
      <c r="F6" s="129"/>
      <c r="G6" s="128"/>
    </row>
    <row r="7" spans="1:11" ht="1.5" customHeight="1" thickBot="1">
      <c r="A7" s="327">
        <v>1996</v>
      </c>
      <c r="B7" s="170">
        <v>2792349</v>
      </c>
      <c r="C7" s="171">
        <v>2968829</v>
      </c>
      <c r="D7" s="170">
        <v>5761178</v>
      </c>
      <c r="E7" s="171">
        <v>1471489</v>
      </c>
      <c r="F7" s="170">
        <v>7232667</v>
      </c>
      <c r="G7" s="157">
        <v>1.8350297937143788E-2</v>
      </c>
    </row>
    <row r="8" spans="1:11" ht="0.75" hidden="1" customHeight="1" thickBot="1">
      <c r="A8" s="328">
        <v>1997</v>
      </c>
      <c r="B8" s="188">
        <v>2750986</v>
      </c>
      <c r="C8" s="187">
        <v>2929423</v>
      </c>
      <c r="D8" s="188">
        <v>5680409</v>
      </c>
      <c r="E8" s="187">
        <v>1556062</v>
      </c>
      <c r="F8" s="188">
        <v>7236471</v>
      </c>
      <c r="G8" s="158">
        <v>5.2594706765844463E-4</v>
      </c>
      <c r="I8" s="8"/>
      <c r="J8" s="8"/>
      <c r="K8" s="8"/>
    </row>
    <row r="9" spans="1:11" ht="19.5" hidden="1" customHeight="1" thickBot="1">
      <c r="A9" s="328">
        <v>1998</v>
      </c>
      <c r="B9" s="188">
        <v>2746839</v>
      </c>
      <c r="C9" s="187">
        <v>2927739</v>
      </c>
      <c r="D9" s="188">
        <v>5674578</v>
      </c>
      <c r="E9" s="187">
        <v>1572038</v>
      </c>
      <c r="F9" s="188">
        <v>7246616</v>
      </c>
      <c r="G9" s="158">
        <v>1.401926436242196E-3</v>
      </c>
    </row>
    <row r="10" spans="1:11" ht="20" customHeight="1" thickBot="1">
      <c r="A10" s="328">
        <v>1999</v>
      </c>
      <c r="B10" s="188">
        <v>2760031</v>
      </c>
      <c r="C10" s="187">
        <v>2940891</v>
      </c>
      <c r="D10" s="188">
        <v>5700922</v>
      </c>
      <c r="E10" s="187">
        <v>1569600</v>
      </c>
      <c r="F10" s="188">
        <v>7270522</v>
      </c>
      <c r="G10" s="158">
        <v>3.298919109278041E-3</v>
      </c>
    </row>
    <row r="11" spans="1:11" ht="20" customHeight="1" thickBot="1">
      <c r="A11" s="328">
        <v>2000</v>
      </c>
      <c r="B11" s="188">
        <v>2758998</v>
      </c>
      <c r="C11" s="187">
        <v>2947662</v>
      </c>
      <c r="D11" s="188">
        <v>5706660</v>
      </c>
      <c r="E11" s="187">
        <v>1558453</v>
      </c>
      <c r="F11" s="188">
        <v>7265113</v>
      </c>
      <c r="G11" s="158">
        <v>-7.4396308820742166E-4</v>
      </c>
    </row>
    <row r="12" spans="1:11" ht="20" customHeight="1" thickBot="1">
      <c r="A12" s="328">
        <v>2001</v>
      </c>
      <c r="B12" s="188">
        <v>2778660</v>
      </c>
      <c r="C12" s="187">
        <v>2968477</v>
      </c>
      <c r="D12" s="188">
        <v>5747137</v>
      </c>
      <c r="E12" s="187">
        <v>1553913</v>
      </c>
      <c r="F12" s="188">
        <v>7301050</v>
      </c>
      <c r="G12" s="158">
        <v>4.9465163170896312E-3</v>
      </c>
    </row>
    <row r="13" spans="1:11" ht="20" customHeight="1" thickBot="1">
      <c r="A13" s="328">
        <v>2002</v>
      </c>
      <c r="B13" s="188">
        <v>2803463</v>
      </c>
      <c r="C13" s="187">
        <v>2992002</v>
      </c>
      <c r="D13" s="188">
        <v>5795465</v>
      </c>
      <c r="E13" s="187">
        <v>1549167</v>
      </c>
      <c r="F13" s="188">
        <v>7344632</v>
      </c>
      <c r="G13" s="158">
        <v>5.9692783914642418E-3</v>
      </c>
    </row>
    <row r="14" spans="1:11" ht="20" customHeight="1" thickBot="1">
      <c r="A14" s="328">
        <v>2003</v>
      </c>
      <c r="B14" s="188">
        <v>2880411</v>
      </c>
      <c r="C14" s="187">
        <v>2950352</v>
      </c>
      <c r="D14" s="188">
        <v>5830763</v>
      </c>
      <c r="E14" s="187">
        <v>1541742</v>
      </c>
      <c r="F14" s="188">
        <v>7372505</v>
      </c>
      <c r="G14" s="158">
        <v>3.7950165508632699E-3</v>
      </c>
    </row>
    <row r="15" spans="1:11" ht="20" customHeight="1" thickBot="1">
      <c r="A15" s="328">
        <v>2004</v>
      </c>
      <c r="B15" s="188">
        <v>2832331</v>
      </c>
      <c r="C15" s="187">
        <v>3021580</v>
      </c>
      <c r="D15" s="188">
        <v>5853911</v>
      </c>
      <c r="E15" s="187">
        <v>1529663</v>
      </c>
      <c r="F15" s="188">
        <v>7383574</v>
      </c>
      <c r="G15" s="158">
        <v>1.5013892835610148E-3</v>
      </c>
    </row>
    <row r="16" spans="1:11" ht="20" customHeight="1" thickBot="1">
      <c r="A16" s="328">
        <v>2005</v>
      </c>
      <c r="B16" s="188">
        <v>2861206</v>
      </c>
      <c r="C16" s="187">
        <v>3049366</v>
      </c>
      <c r="D16" s="188">
        <v>5910572</v>
      </c>
      <c r="E16" s="187">
        <v>1525293</v>
      </c>
      <c r="F16" s="188">
        <v>7435865</v>
      </c>
      <c r="G16" s="158">
        <v>7.0820716363104719E-3</v>
      </c>
    </row>
    <row r="17" spans="1:7" ht="20" customHeight="1" thickBot="1">
      <c r="A17" s="328">
        <v>2006</v>
      </c>
      <c r="B17" s="188">
        <v>2886537.34</v>
      </c>
      <c r="C17" s="187">
        <v>3073653.46</v>
      </c>
      <c r="D17" s="188">
        <v>5960190.7999999998</v>
      </c>
      <c r="E17" s="187">
        <v>1518236.03</v>
      </c>
      <c r="F17" s="188">
        <v>7478426.8300000001</v>
      </c>
      <c r="G17" s="158">
        <v>5.7238572782050134E-3</v>
      </c>
    </row>
    <row r="18" spans="1:7" ht="20" customHeight="1" thickBot="1">
      <c r="A18" s="328">
        <v>2007</v>
      </c>
      <c r="B18" s="188">
        <v>2922195.75</v>
      </c>
      <c r="C18" s="187">
        <v>3104949.1</v>
      </c>
      <c r="D18" s="188">
        <v>6027144.8499999996</v>
      </c>
      <c r="E18" s="187">
        <v>1510442.56</v>
      </c>
      <c r="F18" s="188">
        <v>7537587.4100000001</v>
      </c>
      <c r="G18" s="158">
        <v>7.9108322304732859E-3</v>
      </c>
    </row>
    <row r="19" spans="1:7" ht="20" customHeight="1" thickBot="1">
      <c r="A19" s="328">
        <v>2008</v>
      </c>
      <c r="B19" s="188">
        <v>2966175.79</v>
      </c>
      <c r="C19" s="187">
        <v>3141735.96</v>
      </c>
      <c r="D19" s="188">
        <v>6107911.75</v>
      </c>
      <c r="E19" s="187">
        <v>1507651.61</v>
      </c>
      <c r="F19" s="188">
        <v>7615563.3600000003</v>
      </c>
      <c r="G19" s="158">
        <v>1.0344948026280942E-2</v>
      </c>
    </row>
    <row r="20" spans="1:7" ht="30" customHeight="1" thickBot="1">
      <c r="A20" s="329">
        <v>2009</v>
      </c>
      <c r="B20" s="191">
        <v>3018366.51</v>
      </c>
      <c r="C20" s="190">
        <v>3183510.14</v>
      </c>
      <c r="D20" s="191">
        <v>6201876.6500000004</v>
      </c>
      <c r="E20" s="190">
        <v>1506974.9</v>
      </c>
      <c r="F20" s="191">
        <v>7708851.5500000007</v>
      </c>
      <c r="G20" s="161">
        <v>1.2249676824959144E-2</v>
      </c>
    </row>
    <row r="21" spans="1:7" ht="20" customHeight="1">
      <c r="A21" s="140" t="s">
        <v>1837</v>
      </c>
      <c r="B21" s="194"/>
      <c r="C21" s="194"/>
      <c r="D21" s="194"/>
      <c r="E21" s="194"/>
      <c r="F21" s="194"/>
      <c r="G21" s="195"/>
    </row>
    <row r="22" spans="1:7" ht="20" customHeight="1">
      <c r="A22" s="141"/>
      <c r="B22" s="196"/>
      <c r="C22" s="196"/>
      <c r="D22" s="196"/>
      <c r="E22" s="196"/>
      <c r="F22" s="196"/>
      <c r="G22" s="197"/>
    </row>
    <row r="23" spans="1:7" ht="12.75" customHeight="1">
      <c r="A23" s="487" t="s">
        <v>647</v>
      </c>
      <c r="B23" s="196"/>
      <c r="C23" s="196"/>
      <c r="D23" s="196"/>
      <c r="E23" s="196"/>
      <c r="F23" s="196"/>
      <c r="G23" s="197"/>
    </row>
    <row r="24" spans="1:7" ht="12.75" customHeight="1">
      <c r="A24" s="303" t="s">
        <v>648</v>
      </c>
    </row>
    <row r="26" spans="1:7">
      <c r="A26" s="2" t="s">
        <v>649</v>
      </c>
    </row>
    <row r="29" spans="1:7">
      <c r="A29" s="2" t="s">
        <v>710</v>
      </c>
    </row>
  </sheetData>
  <phoneticPr fontId="0" type="noConversion"/>
  <pageMargins left="0.5" right="0.49" top="1.03" bottom="0.49" header="0.56000000000000005" footer="0.4921259845"/>
  <pageSetup paperSize="9" scale="89" orientation="portrait" horizontalDpi="1200" verticalDpi="1200"/>
  <headerFooter alignWithMargins="0"/>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A759-1C0F-7F42-A44B-7C1CD8750287}">
  <sheetPr>
    <pageSetUpPr fitToPage="1"/>
  </sheetPr>
  <dimension ref="A1:K30"/>
  <sheetViews>
    <sheetView topLeftCell="A12" zoomScale="75" workbookViewId="0">
      <selection activeCell="G27" sqref="G27"/>
    </sheetView>
  </sheetViews>
  <sheetFormatPr baseColWidth="10" defaultColWidth="11.3984375" defaultRowHeight="13"/>
  <cols>
    <col min="1" max="1" width="20.796875" style="2" customWidth="1"/>
    <col min="2" max="3" width="14" style="2" customWidth="1"/>
    <col min="4" max="4" width="15.3984375" style="2" customWidth="1"/>
    <col min="5" max="5" width="14" style="2" customWidth="1"/>
    <col min="6" max="6" width="14.796875" style="2" customWidth="1"/>
    <col min="7" max="7" width="13.796875" style="2" customWidth="1"/>
    <col min="8" max="16384" width="11.3984375" style="2"/>
  </cols>
  <sheetData>
    <row r="1" spans="1:11" s="1" customFormat="1" ht="14" customHeight="1"/>
    <row r="2" spans="1:11" s="1" customFormat="1" ht="28" customHeight="1">
      <c r="A2" s="118" t="s">
        <v>652</v>
      </c>
      <c r="G2" s="398"/>
    </row>
    <row r="3" spans="1:11" ht="24" customHeight="1">
      <c r="A3" s="119" t="s">
        <v>651</v>
      </c>
      <c r="B3" s="120" t="s">
        <v>1833</v>
      </c>
      <c r="C3" s="121" t="s">
        <v>1834</v>
      </c>
      <c r="D3" s="120" t="s">
        <v>1800</v>
      </c>
      <c r="E3" s="121" t="s">
        <v>656</v>
      </c>
      <c r="F3" s="120" t="s">
        <v>1567</v>
      </c>
      <c r="G3" s="121" t="s">
        <v>1801</v>
      </c>
    </row>
    <row r="4" spans="1:11" ht="15" customHeight="1">
      <c r="A4" s="325"/>
      <c r="B4" s="123"/>
      <c r="C4" s="124"/>
      <c r="D4" s="123"/>
      <c r="E4" s="150"/>
      <c r="F4" s="123"/>
      <c r="G4" s="124" t="s">
        <v>1802</v>
      </c>
    </row>
    <row r="5" spans="1:11" ht="15" customHeight="1">
      <c r="A5" s="325"/>
      <c r="B5" s="123"/>
      <c r="C5" s="124"/>
      <c r="D5" s="123"/>
      <c r="E5" s="150"/>
      <c r="F5" s="123"/>
      <c r="G5" s="124" t="s">
        <v>1806</v>
      </c>
    </row>
    <row r="6" spans="1:11" ht="24" customHeight="1">
      <c r="A6" s="326"/>
      <c r="B6" s="129"/>
      <c r="C6" s="128"/>
      <c r="D6" s="129"/>
      <c r="E6" s="153"/>
      <c r="F6" s="129"/>
      <c r="G6" s="128"/>
    </row>
    <row r="7" spans="1:11" ht="3" customHeight="1" thickBot="1">
      <c r="A7" s="327">
        <v>1996</v>
      </c>
      <c r="B7" s="170">
        <v>2760146</v>
      </c>
      <c r="C7" s="171">
        <v>2938608</v>
      </c>
      <c r="D7" s="170">
        <v>5698754</v>
      </c>
      <c r="E7" s="171">
        <v>1496000</v>
      </c>
      <c r="F7" s="170">
        <v>7194754</v>
      </c>
      <c r="G7" s="157">
        <v>4.3855246833913626E-3</v>
      </c>
    </row>
    <row r="8" spans="1:11" ht="0.75" hidden="1" customHeight="1" thickBot="1">
      <c r="A8" s="328">
        <v>1997</v>
      </c>
      <c r="B8" s="188">
        <v>2725064</v>
      </c>
      <c r="C8" s="187">
        <v>2902973</v>
      </c>
      <c r="D8" s="188">
        <v>5628037</v>
      </c>
      <c r="E8" s="187">
        <v>1586768</v>
      </c>
      <c r="F8" s="188">
        <v>7214805</v>
      </c>
      <c r="G8" s="158">
        <v>2.7868916713483186E-3</v>
      </c>
      <c r="I8" s="8"/>
      <c r="J8" s="8"/>
      <c r="K8" s="8"/>
    </row>
    <row r="9" spans="1:11" ht="19.5" hidden="1" customHeight="1" thickBot="1">
      <c r="A9" s="328">
        <v>1998</v>
      </c>
      <c r="B9" s="188">
        <v>2736949</v>
      </c>
      <c r="C9" s="187">
        <v>2915969</v>
      </c>
      <c r="D9" s="188">
        <v>5652918</v>
      </c>
      <c r="E9" s="187">
        <v>1595685</v>
      </c>
      <c r="F9" s="188">
        <v>7248603</v>
      </c>
      <c r="G9" s="158">
        <v>4.6845340934370365E-3</v>
      </c>
    </row>
    <row r="10" spans="1:11" ht="20" customHeight="1" thickBot="1">
      <c r="A10" s="328">
        <v>1999</v>
      </c>
      <c r="B10" s="188">
        <v>2741177</v>
      </c>
      <c r="C10" s="187">
        <v>2926032</v>
      </c>
      <c r="D10" s="188">
        <v>5667209</v>
      </c>
      <c r="E10" s="187">
        <v>1599325</v>
      </c>
      <c r="F10" s="188">
        <v>7266534</v>
      </c>
      <c r="G10" s="158">
        <v>2.4737180391863093E-3</v>
      </c>
    </row>
    <row r="11" spans="1:11" ht="20" customHeight="1" thickBot="1">
      <c r="A11" s="328">
        <v>2000</v>
      </c>
      <c r="B11" s="188">
        <v>2746615</v>
      </c>
      <c r="C11" s="187">
        <v>2936748</v>
      </c>
      <c r="D11" s="188">
        <v>5683363</v>
      </c>
      <c r="E11" s="187">
        <v>1584748</v>
      </c>
      <c r="F11" s="188">
        <v>7268111</v>
      </c>
      <c r="G11" s="158">
        <v>2.1702231077429761E-4</v>
      </c>
    </row>
    <row r="12" spans="1:11" ht="20" customHeight="1" thickBot="1">
      <c r="A12" s="328">
        <v>2001</v>
      </c>
      <c r="B12" s="188">
        <v>2775829</v>
      </c>
      <c r="C12" s="187">
        <v>2962533</v>
      </c>
      <c r="D12" s="188">
        <v>5738362</v>
      </c>
      <c r="E12" s="187">
        <v>1582925</v>
      </c>
      <c r="F12" s="188">
        <v>7321287</v>
      </c>
      <c r="G12" s="158">
        <v>7.3163439578729601E-3</v>
      </c>
    </row>
    <row r="13" spans="1:11" ht="20" customHeight="1" thickBot="1">
      <c r="A13" s="328">
        <v>2002</v>
      </c>
      <c r="B13" s="188">
        <v>2798041</v>
      </c>
      <c r="C13" s="187">
        <v>2982916</v>
      </c>
      <c r="D13" s="188">
        <v>5780957</v>
      </c>
      <c r="E13" s="187">
        <v>1578408</v>
      </c>
      <c r="F13" s="188">
        <v>7359365</v>
      </c>
      <c r="G13" s="158">
        <v>5.2009981305199482E-3</v>
      </c>
    </row>
    <row r="14" spans="1:11" ht="19.5" customHeight="1" thickBot="1">
      <c r="A14" s="328">
        <v>2003</v>
      </c>
      <c r="B14" s="188">
        <v>2818135</v>
      </c>
      <c r="C14" s="187">
        <v>3002978</v>
      </c>
      <c r="D14" s="188">
        <v>5821113</v>
      </c>
      <c r="E14" s="187">
        <v>1572075</v>
      </c>
      <c r="F14" s="188">
        <v>7393188</v>
      </c>
      <c r="G14" s="158">
        <v>4.5959128267180661E-3</v>
      </c>
    </row>
    <row r="15" spans="1:11" ht="19.5" customHeight="1" thickBot="1">
      <c r="A15" s="328">
        <v>2004</v>
      </c>
      <c r="B15" s="188">
        <v>2834642</v>
      </c>
      <c r="C15" s="187">
        <v>3021025</v>
      </c>
      <c r="D15" s="188">
        <v>5855667</v>
      </c>
      <c r="E15" s="187">
        <v>1564307</v>
      </c>
      <c r="F15" s="188">
        <v>7419974</v>
      </c>
      <c r="G15" s="158">
        <v>3.623064907858423E-3</v>
      </c>
    </row>
    <row r="16" spans="1:11" ht="19.5" customHeight="1" thickBot="1">
      <c r="A16" s="328">
        <v>2005</v>
      </c>
      <c r="B16" s="188">
        <v>2858735</v>
      </c>
      <c r="C16" s="187">
        <v>3042765</v>
      </c>
      <c r="D16" s="188">
        <v>5901500</v>
      </c>
      <c r="E16" s="187">
        <v>1556975</v>
      </c>
      <c r="F16" s="188">
        <v>7458475</v>
      </c>
      <c r="G16" s="158">
        <v>5.1888321980642083E-3</v>
      </c>
    </row>
    <row r="17" spans="1:7" ht="19.5" customHeight="1" thickBot="1">
      <c r="A17" s="328">
        <v>2006</v>
      </c>
      <c r="B17" s="188">
        <v>2887156</v>
      </c>
      <c r="C17" s="187">
        <v>3068025</v>
      </c>
      <c r="D17" s="188">
        <v>5955181</v>
      </c>
      <c r="E17" s="187">
        <v>1552364</v>
      </c>
      <c r="F17" s="188">
        <v>7507545</v>
      </c>
      <c r="G17" s="158">
        <v>6.5790929110842722E-3</v>
      </c>
    </row>
    <row r="18" spans="1:7" ht="19.5" customHeight="1" thickBot="1">
      <c r="A18" s="328">
        <v>2007</v>
      </c>
      <c r="B18" s="188">
        <v>2927022</v>
      </c>
      <c r="C18" s="187">
        <v>3102846</v>
      </c>
      <c r="D18" s="188">
        <v>6029868</v>
      </c>
      <c r="E18" s="187">
        <v>1547264</v>
      </c>
      <c r="F18" s="188">
        <v>7577132</v>
      </c>
      <c r="G18" s="158">
        <v>9.2689421109031223E-3</v>
      </c>
    </row>
    <row r="19" spans="1:7" ht="19.5" customHeight="1" thickBot="1">
      <c r="A19" s="328">
        <v>2008</v>
      </c>
      <c r="B19" s="188">
        <v>2977802</v>
      </c>
      <c r="C19" s="187">
        <v>3143748</v>
      </c>
      <c r="D19" s="188">
        <v>6121550</v>
      </c>
      <c r="E19" s="187">
        <v>1548061</v>
      </c>
      <c r="F19" s="188">
        <v>7669611</v>
      </c>
      <c r="G19" s="158">
        <v>1.2205013717591306E-2</v>
      </c>
    </row>
    <row r="20" spans="1:7" ht="23.25" customHeight="1" thickBot="1">
      <c r="A20" s="329">
        <v>2009</v>
      </c>
      <c r="B20" s="191">
        <v>3021437</v>
      </c>
      <c r="C20" s="190">
        <v>3181817</v>
      </c>
      <c r="D20" s="191">
        <v>6203254</v>
      </c>
      <c r="E20" s="190">
        <v>1545668</v>
      </c>
      <c r="F20" s="191">
        <v>7748922</v>
      </c>
      <c r="G20" s="161">
        <v>1.0340941672269954E-2</v>
      </c>
    </row>
    <row r="21" spans="1:7" ht="20" customHeight="1">
      <c r="A21" s="140" t="s">
        <v>1837</v>
      </c>
      <c r="B21" s="194"/>
      <c r="C21" s="194"/>
      <c r="D21" s="194"/>
      <c r="E21" s="194"/>
      <c r="F21" s="194"/>
      <c r="G21" s="195"/>
    </row>
    <row r="22" spans="1:7" ht="13.5" customHeight="1">
      <c r="A22" s="141"/>
      <c r="B22" s="196"/>
      <c r="C22" s="196"/>
      <c r="D22" s="196"/>
      <c r="E22" s="196"/>
      <c r="F22" s="196"/>
      <c r="G22" s="197"/>
    </row>
    <row r="23" spans="1:7" ht="12.75" customHeight="1">
      <c r="A23" s="2" t="s">
        <v>653</v>
      </c>
    </row>
    <row r="24" spans="1:7" ht="12.75" customHeight="1">
      <c r="A24" s="143" t="s">
        <v>654</v>
      </c>
    </row>
    <row r="25" spans="1:7" ht="12.75" customHeight="1">
      <c r="A25" s="893" t="s">
        <v>1991</v>
      </c>
    </row>
    <row r="26" spans="1:7">
      <c r="A26" s="388"/>
    </row>
    <row r="27" spans="1:7">
      <c r="A27" s="2" t="s">
        <v>1992</v>
      </c>
    </row>
    <row r="30" spans="1:7">
      <c r="A30" s="2" t="s">
        <v>710</v>
      </c>
    </row>
  </sheetData>
  <phoneticPr fontId="0" type="noConversion"/>
  <pageMargins left="0.49" right="0.56000000000000005" top="0.96" bottom="0.49" header="0.53" footer="0.4921259845"/>
  <pageSetup paperSize="9" scale="86" orientation="portrait" horizontalDpi="1200" verticalDpi="1200"/>
  <headerFooter alignWithMargins="0"/>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4E48E-4B6C-EE44-9E45-277CAA8FC836}">
  <sheetPr>
    <pageSetUpPr fitToPage="1"/>
  </sheetPr>
  <dimension ref="A1:F46"/>
  <sheetViews>
    <sheetView topLeftCell="A25" zoomScale="75" workbookViewId="0">
      <selection activeCell="H35" sqref="H35"/>
    </sheetView>
  </sheetViews>
  <sheetFormatPr baseColWidth="10" defaultColWidth="11.3984375" defaultRowHeight="13"/>
  <cols>
    <col min="1" max="1" width="16.3984375" style="2" customWidth="1"/>
    <col min="2" max="5" width="17.3984375" style="2" customWidth="1"/>
    <col min="6" max="6" width="17.3984375" style="488" customWidth="1"/>
    <col min="7" max="8" width="11.3984375" style="2"/>
    <col min="9" max="9" width="14.59765625" style="2" customWidth="1"/>
    <col min="10" max="16384" width="11.3984375" style="2"/>
  </cols>
  <sheetData>
    <row r="1" spans="1:6" s="1" customFormat="1" ht="14" customHeight="1">
      <c r="F1" s="587"/>
    </row>
    <row r="2" spans="1:6" s="1" customFormat="1" ht="28" customHeight="1">
      <c r="A2" s="118" t="s">
        <v>573</v>
      </c>
      <c r="F2" s="398">
        <v>2009</v>
      </c>
    </row>
    <row r="3" spans="1:6" ht="27" customHeight="1">
      <c r="A3" s="119" t="s">
        <v>1797</v>
      </c>
      <c r="B3" s="120" t="s">
        <v>1833</v>
      </c>
      <c r="C3" s="121" t="s">
        <v>1834</v>
      </c>
      <c r="D3" s="120" t="s">
        <v>1798</v>
      </c>
      <c r="E3" s="121" t="s">
        <v>1567</v>
      </c>
      <c r="F3" s="588" t="s">
        <v>574</v>
      </c>
    </row>
    <row r="4" spans="1:6" ht="12" customHeight="1">
      <c r="A4" s="122"/>
      <c r="B4" s="125"/>
      <c r="C4" s="122"/>
      <c r="D4" s="125"/>
      <c r="E4" s="122"/>
      <c r="F4" s="589" t="s">
        <v>575</v>
      </c>
    </row>
    <row r="5" spans="1:6" ht="30.75" customHeight="1">
      <c r="A5" s="126"/>
      <c r="B5" s="127"/>
      <c r="C5" s="126"/>
      <c r="D5" s="127"/>
      <c r="E5" s="126"/>
      <c r="F5" s="590" t="s">
        <v>1806</v>
      </c>
    </row>
    <row r="6" spans="1:6" ht="30" customHeight="1" thickBot="1">
      <c r="A6" s="131" t="s">
        <v>1807</v>
      </c>
      <c r="B6" s="132">
        <v>533891</v>
      </c>
      <c r="C6" s="133">
        <v>559624</v>
      </c>
      <c r="D6" s="132">
        <v>254148</v>
      </c>
      <c r="E6" s="133">
        <v>1347663</v>
      </c>
      <c r="F6" s="591">
        <v>1.2629475036724402E-2</v>
      </c>
    </row>
    <row r="7" spans="1:6" ht="20" customHeight="1" thickBot="1">
      <c r="A7" s="135" t="s">
        <v>1808</v>
      </c>
      <c r="B7" s="455">
        <v>381035</v>
      </c>
      <c r="C7" s="578">
        <v>410835</v>
      </c>
      <c r="D7" s="455">
        <v>184188</v>
      </c>
      <c r="E7" s="578">
        <v>976058</v>
      </c>
      <c r="F7" s="592">
        <v>5.1790420265511727E-3</v>
      </c>
    </row>
    <row r="8" spans="1:6" ht="20" customHeight="1" thickBot="1">
      <c r="A8" s="135" t="s">
        <v>1809</v>
      </c>
      <c r="B8" s="455">
        <v>145130</v>
      </c>
      <c r="C8" s="578">
        <v>151291</v>
      </c>
      <c r="D8" s="455">
        <v>78105</v>
      </c>
      <c r="E8" s="578">
        <v>374526</v>
      </c>
      <c r="F8" s="592">
        <v>1.1833168533497584E-2</v>
      </c>
    </row>
    <row r="9" spans="1:6" ht="20" customHeight="1" thickBot="1">
      <c r="A9" s="135" t="s">
        <v>1810</v>
      </c>
      <c r="B9" s="455">
        <v>14143</v>
      </c>
      <c r="C9" s="578">
        <v>14034</v>
      </c>
      <c r="D9" s="455">
        <v>7346</v>
      </c>
      <c r="E9" s="578">
        <v>35523</v>
      </c>
      <c r="F9" s="592">
        <v>4.0418315432446672E-3</v>
      </c>
    </row>
    <row r="10" spans="1:6" ht="20" customHeight="1" thickBot="1">
      <c r="A10" s="135" t="s">
        <v>1811</v>
      </c>
      <c r="B10" s="455">
        <v>58454</v>
      </c>
      <c r="C10" s="578">
        <v>56799</v>
      </c>
      <c r="D10" s="455">
        <v>30187</v>
      </c>
      <c r="E10" s="578">
        <v>145440</v>
      </c>
      <c r="F10" s="592">
        <v>1.1003983122128247E-2</v>
      </c>
    </row>
    <row r="11" spans="1:6" ht="20" customHeight="1" thickBot="1">
      <c r="A11" s="135" t="s">
        <v>1812</v>
      </c>
      <c r="B11" s="455">
        <v>14073</v>
      </c>
      <c r="C11" s="578">
        <v>14019</v>
      </c>
      <c r="D11" s="455">
        <v>7580</v>
      </c>
      <c r="E11" s="578">
        <v>35672</v>
      </c>
      <c r="F11" s="592">
        <v>1.8414366060467646E-2</v>
      </c>
    </row>
    <row r="12" spans="1:6" ht="20" customHeight="1" thickBot="1">
      <c r="A12" s="135" t="s">
        <v>1813</v>
      </c>
      <c r="B12" s="455">
        <v>16501</v>
      </c>
      <c r="C12" s="578">
        <v>16209</v>
      </c>
      <c r="D12" s="455">
        <v>7879</v>
      </c>
      <c r="E12" s="578">
        <v>40589</v>
      </c>
      <c r="F12" s="592">
        <v>4.5538918450687138E-3</v>
      </c>
    </row>
    <row r="13" spans="1:6" ht="20" customHeight="1" thickBot="1">
      <c r="A13" s="135" t="s">
        <v>1814</v>
      </c>
      <c r="B13" s="455">
        <v>15366</v>
      </c>
      <c r="C13" s="578">
        <v>15678</v>
      </c>
      <c r="D13" s="455">
        <v>7669</v>
      </c>
      <c r="E13" s="578">
        <v>38713</v>
      </c>
      <c r="F13" s="592">
        <v>1.1378623703741653E-3</v>
      </c>
    </row>
    <row r="14" spans="1:6" ht="20" customHeight="1" thickBot="1">
      <c r="A14" s="135" t="s">
        <v>1815</v>
      </c>
      <c r="B14" s="455">
        <v>44665</v>
      </c>
      <c r="C14" s="578">
        <v>44431</v>
      </c>
      <c r="D14" s="455">
        <v>22076</v>
      </c>
      <c r="E14" s="578">
        <v>111172</v>
      </c>
      <c r="F14" s="592">
        <v>5.3535901609693681E-3</v>
      </c>
    </row>
    <row r="15" spans="1:6" ht="20" customHeight="1" thickBot="1">
      <c r="A15" s="135" t="s">
        <v>1816</v>
      </c>
      <c r="B15" s="455">
        <v>103771</v>
      </c>
      <c r="C15" s="578">
        <v>106746</v>
      </c>
      <c r="D15" s="455">
        <v>63254</v>
      </c>
      <c r="E15" s="578">
        <v>273771</v>
      </c>
      <c r="F15" s="592">
        <v>1.7233115225557594E-2</v>
      </c>
    </row>
    <row r="16" spans="1:6" ht="20" customHeight="1" thickBot="1">
      <c r="A16" s="135" t="s">
        <v>1817</v>
      </c>
      <c r="B16" s="455">
        <v>101237</v>
      </c>
      <c r="C16" s="578">
        <v>105282</v>
      </c>
      <c r="D16" s="455">
        <v>49228</v>
      </c>
      <c r="E16" s="578">
        <v>255747</v>
      </c>
      <c r="F16" s="592">
        <v>5.6110412079271033E-3</v>
      </c>
    </row>
    <row r="17" spans="1:6" ht="20" customHeight="1" thickBot="1">
      <c r="A17" s="135" t="s">
        <v>1818</v>
      </c>
      <c r="B17" s="455">
        <v>69531</v>
      </c>
      <c r="C17" s="578">
        <v>79349</v>
      </c>
      <c r="D17" s="455">
        <v>28357</v>
      </c>
      <c r="E17" s="578">
        <v>177237</v>
      </c>
      <c r="F17" s="592">
        <v>7.165749874982863E-3</v>
      </c>
    </row>
    <row r="18" spans="1:6" ht="20" customHeight="1" thickBot="1">
      <c r="A18" s="135" t="s">
        <v>1819</v>
      </c>
      <c r="B18" s="455">
        <v>107175</v>
      </c>
      <c r="C18" s="578">
        <v>114151</v>
      </c>
      <c r="D18" s="455">
        <v>50945</v>
      </c>
      <c r="E18" s="578">
        <v>272271</v>
      </c>
      <c r="F18" s="592">
        <v>6.4801602850828033E-3</v>
      </c>
    </row>
    <row r="19" spans="1:6" ht="20" customHeight="1" thickBot="1">
      <c r="A19" s="135" t="s">
        <v>1820</v>
      </c>
      <c r="B19" s="455">
        <v>29825</v>
      </c>
      <c r="C19" s="578">
        <v>31652</v>
      </c>
      <c r="D19" s="455">
        <v>14021</v>
      </c>
      <c r="E19" s="578">
        <v>75498</v>
      </c>
      <c r="F19" s="592">
        <v>5.1256107464752176E-3</v>
      </c>
    </row>
    <row r="20" spans="1:6" ht="20" customHeight="1" thickBot="1">
      <c r="A20" s="135" t="s">
        <v>1821</v>
      </c>
      <c r="B20" s="455">
        <v>21188</v>
      </c>
      <c r="C20" s="578">
        <v>21560</v>
      </c>
      <c r="D20" s="455">
        <v>11051</v>
      </c>
      <c r="E20" s="578">
        <v>53799</v>
      </c>
      <c r="F20" s="592">
        <v>1.7503025789031845E-3</v>
      </c>
    </row>
    <row r="21" spans="1:6" ht="20" customHeight="1" thickBot="1">
      <c r="A21" s="135" t="s">
        <v>1822</v>
      </c>
      <c r="B21" s="455">
        <v>6188</v>
      </c>
      <c r="C21" s="578">
        <v>5872</v>
      </c>
      <c r="D21" s="455">
        <v>3645</v>
      </c>
      <c r="E21" s="578">
        <v>15705</v>
      </c>
      <c r="F21" s="592">
        <v>8.6057414424249856E-3</v>
      </c>
    </row>
    <row r="22" spans="1:6" ht="20" customHeight="1" thickBot="1">
      <c r="A22" s="135" t="s">
        <v>1823</v>
      </c>
      <c r="B22" s="455">
        <v>185333</v>
      </c>
      <c r="C22" s="578">
        <v>190928</v>
      </c>
      <c r="D22" s="455">
        <v>100342</v>
      </c>
      <c r="E22" s="578">
        <v>476603</v>
      </c>
      <c r="F22" s="592">
        <v>7.4128718061450272E-3</v>
      </c>
    </row>
    <row r="23" spans="1:6" ht="20" customHeight="1" thickBot="1">
      <c r="A23" s="135" t="s">
        <v>1824</v>
      </c>
      <c r="B23" s="455">
        <v>80307</v>
      </c>
      <c r="C23" s="578">
        <v>81444</v>
      </c>
      <c r="D23" s="455">
        <v>36031</v>
      </c>
      <c r="E23" s="578">
        <v>197781</v>
      </c>
      <c r="F23" s="592">
        <v>8.1762897791279876E-3</v>
      </c>
    </row>
    <row r="24" spans="1:6" ht="20" customHeight="1" thickBot="1">
      <c r="A24" s="135" t="s">
        <v>1825</v>
      </c>
      <c r="B24" s="455">
        <v>238620</v>
      </c>
      <c r="C24" s="578">
        <v>243479</v>
      </c>
      <c r="D24" s="455">
        <v>122090</v>
      </c>
      <c r="E24" s="578">
        <v>604189</v>
      </c>
      <c r="F24" s="592">
        <v>1.4264082781034526E-2</v>
      </c>
    </row>
    <row r="25" spans="1:6" ht="20" customHeight="1" thickBot="1">
      <c r="A25" s="135" t="s">
        <v>1826</v>
      </c>
      <c r="B25" s="455">
        <v>95968</v>
      </c>
      <c r="C25" s="578">
        <v>97317</v>
      </c>
      <c r="D25" s="455">
        <v>51996</v>
      </c>
      <c r="E25" s="578">
        <v>245281</v>
      </c>
      <c r="F25" s="592">
        <v>1.347828063085954E-2</v>
      </c>
    </row>
    <row r="26" spans="1:6" ht="20" customHeight="1" thickBot="1">
      <c r="A26" s="135" t="s">
        <v>1827</v>
      </c>
      <c r="B26" s="455">
        <v>128091</v>
      </c>
      <c r="C26" s="578">
        <v>141208</v>
      </c>
      <c r="D26" s="455">
        <v>60184</v>
      </c>
      <c r="E26" s="578">
        <v>329483</v>
      </c>
      <c r="F26" s="592">
        <v>8.7871578902247727E-3</v>
      </c>
    </row>
    <row r="27" spans="1:6" ht="20" customHeight="1" thickBot="1">
      <c r="A27" s="135" t="s">
        <v>1828</v>
      </c>
      <c r="B27" s="455">
        <v>258038</v>
      </c>
      <c r="C27" s="578">
        <v>280389</v>
      </c>
      <c r="D27" s="455">
        <v>150031</v>
      </c>
      <c r="E27" s="578">
        <v>688458</v>
      </c>
      <c r="F27" s="592">
        <v>1.5393328525222572E-2</v>
      </c>
    </row>
    <row r="28" spans="1:6" ht="20" customHeight="1" thickBot="1">
      <c r="A28" s="135" t="s">
        <v>1829</v>
      </c>
      <c r="B28" s="455">
        <v>123243</v>
      </c>
      <c r="C28" s="578">
        <v>127438</v>
      </c>
      <c r="D28" s="455">
        <v>62744</v>
      </c>
      <c r="E28" s="578">
        <v>313425</v>
      </c>
      <c r="F28" s="592">
        <v>1.4175974942079339E-2</v>
      </c>
    </row>
    <row r="29" spans="1:6" ht="20" customHeight="1" thickBot="1">
      <c r="A29" s="135" t="s">
        <v>1830</v>
      </c>
      <c r="B29" s="455">
        <v>65113</v>
      </c>
      <c r="C29" s="578">
        <v>70800</v>
      </c>
      <c r="D29" s="455">
        <v>36638</v>
      </c>
      <c r="E29" s="578">
        <v>172551</v>
      </c>
      <c r="F29" s="592">
        <v>5.7001975835357932E-3</v>
      </c>
    </row>
    <row r="30" spans="1:6" ht="20" customHeight="1" thickBot="1">
      <c r="A30" s="135" t="s">
        <v>1831</v>
      </c>
      <c r="B30" s="455">
        <v>154972</v>
      </c>
      <c r="C30" s="578">
        <v>171805</v>
      </c>
      <c r="D30" s="455">
        <v>89599</v>
      </c>
      <c r="E30" s="578">
        <v>416376</v>
      </c>
      <c r="F30" s="592">
        <v>8.0522939111487002E-3</v>
      </c>
    </row>
    <row r="31" spans="1:6" ht="22" customHeight="1" thickBot="1">
      <c r="A31" s="136" t="s">
        <v>1832</v>
      </c>
      <c r="B31" s="593">
        <v>26678</v>
      </c>
      <c r="C31" s="367">
        <v>28254</v>
      </c>
      <c r="D31" s="593">
        <v>15537</v>
      </c>
      <c r="E31" s="367">
        <v>70469</v>
      </c>
      <c r="F31" s="594">
        <v>2.7605834222697023E-3</v>
      </c>
    </row>
    <row r="32" spans="1:6" ht="21.75" customHeight="1" thickBot="1">
      <c r="A32" s="136" t="s">
        <v>576</v>
      </c>
      <c r="B32" s="593">
        <v>3018537</v>
      </c>
      <c r="C32" s="367">
        <v>3180594</v>
      </c>
      <c r="D32" s="593">
        <v>1544872</v>
      </c>
      <c r="E32" s="367">
        <v>7744003</v>
      </c>
      <c r="F32" s="594">
        <v>1.0195614443026191E-2</v>
      </c>
    </row>
    <row r="33" spans="1:6" ht="18.75" customHeight="1" thickBot="1">
      <c r="A33" s="318" t="s">
        <v>577</v>
      </c>
      <c r="B33" s="593">
        <v>2900</v>
      </c>
      <c r="C33" s="367">
        <v>1223</v>
      </c>
      <c r="D33" s="593">
        <v>796</v>
      </c>
      <c r="E33" s="367">
        <v>4919</v>
      </c>
      <c r="F33" s="594">
        <v>0.3061603823685608</v>
      </c>
    </row>
    <row r="34" spans="1:6" ht="22" customHeight="1" thickBot="1">
      <c r="A34" s="136" t="s">
        <v>657</v>
      </c>
      <c r="B34" s="593">
        <v>1</v>
      </c>
      <c r="C34" s="367">
        <v>1</v>
      </c>
      <c r="D34" s="593">
        <v>1</v>
      </c>
      <c r="E34" s="367">
        <v>3</v>
      </c>
      <c r="F34" s="595">
        <v>2</v>
      </c>
    </row>
    <row r="35" spans="1:6" s="277" customFormat="1" ht="30" customHeight="1" thickBot="1">
      <c r="A35" s="596" t="s">
        <v>2026</v>
      </c>
      <c r="B35" s="192">
        <v>3021437</v>
      </c>
      <c r="C35" s="193">
        <v>3181817</v>
      </c>
      <c r="D35" s="192">
        <v>1545668</v>
      </c>
      <c r="E35" s="597">
        <v>7748922</v>
      </c>
      <c r="F35" s="598">
        <v>1.0340941672269954E-2</v>
      </c>
    </row>
    <row r="36" spans="1:6">
      <c r="A36" s="141" t="s">
        <v>1837</v>
      </c>
    </row>
    <row r="38" spans="1:6">
      <c r="A38" s="495" t="s">
        <v>1993</v>
      </c>
    </row>
    <row r="39" spans="1:6">
      <c r="A39" s="892" t="s">
        <v>1994</v>
      </c>
    </row>
    <row r="40" spans="1:6">
      <c r="A40" s="495" t="s">
        <v>1995</v>
      </c>
    </row>
    <row r="41" spans="1:6">
      <c r="A41" s="495" t="s">
        <v>1996</v>
      </c>
    </row>
    <row r="43" spans="1:6">
      <c r="A43" s="2" t="s">
        <v>655</v>
      </c>
    </row>
    <row r="46" spans="1:6">
      <c r="A46" s="418" t="s">
        <v>710</v>
      </c>
    </row>
  </sheetData>
  <phoneticPr fontId="0" type="noConversion"/>
  <pageMargins left="0.62" right="0.52" top="0.74803149606299213" bottom="0.47244094488188981" header="0.43307086614173229" footer="0.31496062992125984"/>
  <pageSetup paperSize="9" scale="87" orientation="portrait" horizontalDpi="1200" verticalDpi="1200"/>
  <headerFooter alignWithMargins="0"/>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83190-FC70-A84A-B297-D965A3E9B44D}">
  <sheetPr>
    <pageSetUpPr fitToPage="1"/>
  </sheetPr>
  <dimension ref="A1:I47"/>
  <sheetViews>
    <sheetView zoomScale="75" workbookViewId="0">
      <selection activeCell="A27" sqref="A27"/>
    </sheetView>
  </sheetViews>
  <sheetFormatPr baseColWidth="10" defaultColWidth="11.3984375" defaultRowHeight="13"/>
  <cols>
    <col min="1" max="1" width="25.796875" style="2" customWidth="1"/>
    <col min="2" max="5" width="22.59765625" style="2" customWidth="1"/>
    <col min="6" max="16384" width="11.3984375" style="2"/>
  </cols>
  <sheetData>
    <row r="1" spans="1:9" s="1" customFormat="1" ht="14" customHeight="1"/>
    <row r="2" spans="1:9" s="1" customFormat="1" ht="28" customHeight="1">
      <c r="A2" s="118" t="s">
        <v>1093</v>
      </c>
      <c r="C2" s="507"/>
    </row>
    <row r="3" spans="1:9" ht="24" customHeight="1">
      <c r="A3" s="119" t="s">
        <v>1065</v>
      </c>
      <c r="B3" s="1046" t="s">
        <v>2108</v>
      </c>
      <c r="C3" s="1050" t="s">
        <v>2108</v>
      </c>
      <c r="D3" s="1046" t="s">
        <v>2109</v>
      </c>
      <c r="E3" s="1047" t="s">
        <v>1289</v>
      </c>
    </row>
    <row r="4" spans="1:9" ht="18" customHeight="1">
      <c r="A4" s="325"/>
      <c r="B4" s="1049" t="s">
        <v>2109</v>
      </c>
      <c r="C4" s="1050" t="s">
        <v>2109</v>
      </c>
      <c r="D4" s="1049" t="s">
        <v>2110</v>
      </c>
      <c r="E4" s="1050" t="s">
        <v>2111</v>
      </c>
    </row>
    <row r="5" spans="1:9" ht="18.75" customHeight="1">
      <c r="A5" s="325"/>
      <c r="B5" s="1049" t="s">
        <v>1094</v>
      </c>
      <c r="C5" s="1050" t="s">
        <v>1095</v>
      </c>
      <c r="D5" s="1049" t="s">
        <v>1096</v>
      </c>
      <c r="E5" s="1050" t="s">
        <v>1097</v>
      </c>
    </row>
    <row r="6" spans="1:9" ht="24" customHeight="1">
      <c r="A6" s="326"/>
      <c r="B6" s="129"/>
      <c r="C6" s="128"/>
      <c r="D6" s="129"/>
      <c r="E6" s="128"/>
    </row>
    <row r="7" spans="1:9" ht="1.5" customHeight="1" thickBot="1">
      <c r="A7" s="327">
        <v>1996</v>
      </c>
      <c r="B7" s="170">
        <v>7232667</v>
      </c>
      <c r="C7" s="171">
        <v>7170504.333333333</v>
      </c>
      <c r="D7" s="170">
        <v>7194754</v>
      </c>
      <c r="E7" s="171">
        <v>7105446</v>
      </c>
    </row>
    <row r="8" spans="1:9" ht="0.75" hidden="1" customHeight="1" thickBot="1">
      <c r="A8" s="328">
        <v>1997</v>
      </c>
      <c r="B8" s="188">
        <v>7236471</v>
      </c>
      <c r="C8" s="187">
        <v>7182491.833333334</v>
      </c>
      <c r="D8" s="188">
        <v>7214805</v>
      </c>
      <c r="E8" s="187">
        <v>7113565</v>
      </c>
      <c r="G8" s="8"/>
      <c r="H8" s="8"/>
      <c r="I8" s="8"/>
    </row>
    <row r="9" spans="1:9" ht="19.5" hidden="1" customHeight="1" thickBot="1">
      <c r="A9" s="328">
        <v>1998</v>
      </c>
      <c r="B9" s="188">
        <v>7246616</v>
      </c>
      <c r="C9" s="187">
        <v>7211591.916666666</v>
      </c>
      <c r="D9" s="188">
        <v>7248603</v>
      </c>
      <c r="E9" s="187">
        <v>7131888</v>
      </c>
    </row>
    <row r="10" spans="1:9" ht="20" customHeight="1" thickBot="1">
      <c r="A10" s="328">
        <v>1999</v>
      </c>
      <c r="B10" s="188">
        <v>7270522</v>
      </c>
      <c r="C10" s="187">
        <v>7248704.333333334</v>
      </c>
      <c r="D10" s="188">
        <v>7266534</v>
      </c>
      <c r="E10" s="187">
        <v>7166738</v>
      </c>
    </row>
    <row r="11" spans="1:9" ht="20" customHeight="1" thickBot="1">
      <c r="A11" s="328">
        <v>2000</v>
      </c>
      <c r="B11" s="188">
        <v>7265113</v>
      </c>
      <c r="C11" s="187">
        <v>7262246.833333333</v>
      </c>
      <c r="D11" s="188">
        <v>7268111</v>
      </c>
      <c r="E11" s="187">
        <v>7209042</v>
      </c>
    </row>
    <row r="12" spans="1:9" ht="20" customHeight="1" thickBot="1">
      <c r="A12" s="328">
        <v>2001</v>
      </c>
      <c r="B12" s="188">
        <v>7301050</v>
      </c>
      <c r="C12" s="187">
        <v>7296058.5199999996</v>
      </c>
      <c r="D12" s="188">
        <v>7321287</v>
      </c>
      <c r="E12" s="187">
        <v>7260339</v>
      </c>
    </row>
    <row r="13" spans="1:9" ht="20" customHeight="1" thickBot="1">
      <c r="A13" s="328">
        <v>2002</v>
      </c>
      <c r="B13" s="188">
        <v>7344632</v>
      </c>
      <c r="C13" s="187">
        <v>7341111.2499999991</v>
      </c>
      <c r="D13" s="188">
        <v>7359365</v>
      </c>
      <c r="E13" s="187">
        <v>7347770</v>
      </c>
    </row>
    <row r="14" spans="1:9" ht="20" customHeight="1" thickBot="1">
      <c r="A14" s="328">
        <v>2003</v>
      </c>
      <c r="B14" s="188">
        <v>7372505</v>
      </c>
      <c r="C14" s="187">
        <v>7377771.6699999999</v>
      </c>
      <c r="D14" s="188">
        <v>7393188</v>
      </c>
      <c r="E14" s="187">
        <v>7405051</v>
      </c>
    </row>
    <row r="15" spans="1:9" ht="20" customHeight="1" thickBot="1">
      <c r="A15" s="328">
        <v>2004</v>
      </c>
      <c r="B15" s="188">
        <v>7383574</v>
      </c>
      <c r="C15" s="187">
        <v>7411732</v>
      </c>
      <c r="D15" s="188">
        <v>7419974</v>
      </c>
      <c r="E15" s="187">
        <v>7454112</v>
      </c>
    </row>
    <row r="16" spans="1:9" ht="20" customHeight="1" thickBot="1">
      <c r="A16" s="328">
        <v>2005</v>
      </c>
      <c r="B16" s="188">
        <v>7435865</v>
      </c>
      <c r="C16" s="187">
        <v>7444739</v>
      </c>
      <c r="D16" s="188">
        <v>7458475</v>
      </c>
      <c r="E16" s="187">
        <v>7501255</v>
      </c>
    </row>
    <row r="17" spans="1:5" ht="20" customHeight="1" thickBot="1">
      <c r="A17" s="328">
        <v>2006</v>
      </c>
      <c r="B17" s="188">
        <v>7478426.8300000001</v>
      </c>
      <c r="C17" s="187">
        <v>7488730</v>
      </c>
      <c r="D17" s="188">
        <v>7507545</v>
      </c>
      <c r="E17" s="187">
        <v>7557609</v>
      </c>
    </row>
    <row r="18" spans="1:5" ht="20" customHeight="1" thickBot="1">
      <c r="A18" s="328">
        <v>2007</v>
      </c>
      <c r="B18" s="188">
        <v>7537587.4100000001</v>
      </c>
      <c r="C18" s="187">
        <v>7517067</v>
      </c>
      <c r="D18" s="188">
        <v>7577132</v>
      </c>
      <c r="E18" s="187">
        <v>7618599</v>
      </c>
    </row>
    <row r="19" spans="1:5" ht="20" customHeight="1" thickBot="1">
      <c r="A19" s="328">
        <v>2008</v>
      </c>
      <c r="B19" s="188">
        <v>7615563.3600000003</v>
      </c>
      <c r="C19" s="187">
        <v>7602868</v>
      </c>
      <c r="D19" s="188">
        <v>7669611</v>
      </c>
      <c r="E19" s="187">
        <v>7711056</v>
      </c>
    </row>
    <row r="20" spans="1:5" ht="30" customHeight="1" thickBot="1">
      <c r="A20" s="329">
        <v>2009</v>
      </c>
      <c r="B20" s="191">
        <v>7708851.5500000007</v>
      </c>
      <c r="C20" s="190">
        <v>7692449</v>
      </c>
      <c r="D20" s="191">
        <v>7748922</v>
      </c>
      <c r="E20" s="190">
        <v>7801278</v>
      </c>
    </row>
    <row r="21" spans="1:5" ht="20" customHeight="1">
      <c r="A21" s="140" t="s">
        <v>1837</v>
      </c>
      <c r="B21" s="194"/>
      <c r="C21" s="194"/>
      <c r="D21" s="194"/>
      <c r="E21" s="194"/>
    </row>
    <row r="22" spans="1:5" ht="12.75" customHeight="1">
      <c r="A22" s="141"/>
      <c r="B22" s="196"/>
      <c r="C22" s="196"/>
      <c r="D22" s="196"/>
      <c r="E22" s="196"/>
    </row>
    <row r="23" spans="1:5" ht="12.75" customHeight="1">
      <c r="A23" s="487" t="s">
        <v>2112</v>
      </c>
      <c r="B23" s="196"/>
      <c r="C23" s="196"/>
      <c r="D23" s="196"/>
      <c r="E23" s="196"/>
    </row>
    <row r="24" spans="1:5" ht="12" customHeight="1">
      <c r="A24" s="989" t="s">
        <v>960</v>
      </c>
    </row>
    <row r="25" spans="1:5" ht="12" customHeight="1">
      <c r="A25" s="990" t="s">
        <v>961</v>
      </c>
    </row>
    <row r="26" spans="1:5" ht="12" customHeight="1">
      <c r="A26" s="141" t="s">
        <v>2113</v>
      </c>
    </row>
    <row r="27" spans="1:5" ht="12" customHeight="1">
      <c r="A27" s="2" t="s">
        <v>854</v>
      </c>
    </row>
    <row r="28" spans="1:5" ht="12" customHeight="1">
      <c r="A28" s="2" t="s">
        <v>855</v>
      </c>
    </row>
    <row r="29" spans="1:5" ht="12" customHeight="1">
      <c r="A29" s="2" t="s">
        <v>2114</v>
      </c>
    </row>
    <row r="30" spans="1:5" ht="12" customHeight="1">
      <c r="A30" s="2" t="s">
        <v>367</v>
      </c>
    </row>
    <row r="31" spans="1:5" ht="12" customHeight="1">
      <c r="A31" s="991" t="s">
        <v>368</v>
      </c>
    </row>
    <row r="32" spans="1:5" ht="12" customHeight="1">
      <c r="A32" s="2" t="s">
        <v>369</v>
      </c>
    </row>
    <row r="33" spans="1:1" ht="12" customHeight="1">
      <c r="A33" s="991" t="s">
        <v>68</v>
      </c>
    </row>
    <row r="34" spans="1:1" ht="12" customHeight="1">
      <c r="A34" s="991" t="s">
        <v>69</v>
      </c>
    </row>
    <row r="35" spans="1:1" ht="12" customHeight="1">
      <c r="A35" s="991" t="s">
        <v>70</v>
      </c>
    </row>
    <row r="36" spans="1:1" ht="12" customHeight="1">
      <c r="A36" s="989" t="s">
        <v>2115</v>
      </c>
    </row>
    <row r="37" spans="1:1" ht="12" customHeight="1">
      <c r="A37" s="992" t="s">
        <v>2116</v>
      </c>
    </row>
    <row r="38" spans="1:1" ht="12" customHeight="1">
      <c r="A38" s="88" t="s">
        <v>2117</v>
      </c>
    </row>
    <row r="39" spans="1:1" ht="12" customHeight="1">
      <c r="A39" s="88" t="s">
        <v>2118</v>
      </c>
    </row>
    <row r="40" spans="1:1" ht="12" customHeight="1">
      <c r="A40" s="88" t="s">
        <v>2119</v>
      </c>
    </row>
    <row r="41" spans="1:1" ht="12" customHeight="1">
      <c r="A41" s="487" t="s">
        <v>2120</v>
      </c>
    </row>
    <row r="42" spans="1:1" ht="12.75" customHeight="1">
      <c r="A42" s="141" t="s">
        <v>1091</v>
      </c>
    </row>
    <row r="44" spans="1:1">
      <c r="A44" s="2" t="s">
        <v>1092</v>
      </c>
    </row>
    <row r="47" spans="1:1">
      <c r="A47" s="2" t="s">
        <v>710</v>
      </c>
    </row>
  </sheetData>
  <phoneticPr fontId="0" type="noConversion"/>
  <pageMargins left="0.5" right="0.49" top="0.72" bottom="0.49" header="0.56000000000000005" footer="0.4921259845"/>
  <pageSetup paperSize="9" scale="73" orientation="portrait" horizontalDpi="1200" verticalDpi="1200"/>
  <headerFooter alignWithMargins="0"/>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21F31-E6DF-EA4D-865D-BCE1A4FA70F4}">
  <sheetPr>
    <pageSetUpPr fitToPage="1"/>
  </sheetPr>
  <dimension ref="A1:G28"/>
  <sheetViews>
    <sheetView zoomScale="75" workbookViewId="0">
      <selection activeCell="A3" sqref="A3"/>
    </sheetView>
  </sheetViews>
  <sheetFormatPr baseColWidth="10" defaultColWidth="11.3984375" defaultRowHeight="13"/>
  <cols>
    <col min="1" max="1" width="18.19921875" style="2" customWidth="1"/>
    <col min="2" max="7" width="14.59765625" style="2" customWidth="1"/>
    <col min="8" max="16384" width="11.3984375" style="2"/>
  </cols>
  <sheetData>
    <row r="1" spans="1:7" s="1" customFormat="1" ht="14" customHeight="1"/>
    <row r="2" spans="1:7" s="1" customFormat="1" ht="28" customHeight="1">
      <c r="A2" s="118" t="s">
        <v>592</v>
      </c>
      <c r="G2" s="398"/>
    </row>
    <row r="3" spans="1:7" ht="24" customHeight="1">
      <c r="A3" s="119" t="s">
        <v>1065</v>
      </c>
      <c r="B3" s="120" t="s">
        <v>2251</v>
      </c>
      <c r="C3" s="121" t="s">
        <v>2252</v>
      </c>
      <c r="D3" s="120" t="s">
        <v>2253</v>
      </c>
      <c r="E3" s="148" t="s">
        <v>2254</v>
      </c>
      <c r="F3" s="120" t="s">
        <v>1567</v>
      </c>
      <c r="G3" s="121" t="s">
        <v>1801</v>
      </c>
    </row>
    <row r="4" spans="1:7" ht="15" customHeight="1">
      <c r="A4" s="325"/>
      <c r="B4" s="123" t="s">
        <v>2255</v>
      </c>
      <c r="C4" s="124" t="s">
        <v>2256</v>
      </c>
      <c r="D4" s="123" t="s">
        <v>2257</v>
      </c>
      <c r="E4" s="150" t="s">
        <v>2258</v>
      </c>
      <c r="F4" s="123"/>
      <c r="G4" s="124" t="s">
        <v>1802</v>
      </c>
    </row>
    <row r="5" spans="1:7" ht="15" customHeight="1">
      <c r="A5" s="325"/>
      <c r="B5" s="123" t="s">
        <v>2259</v>
      </c>
      <c r="C5" s="124" t="s">
        <v>2260</v>
      </c>
      <c r="D5" s="123"/>
      <c r="E5" s="150" t="s">
        <v>589</v>
      </c>
      <c r="F5" s="123"/>
      <c r="G5" s="124" t="s">
        <v>1806</v>
      </c>
    </row>
    <row r="6" spans="1:7" ht="24" customHeight="1">
      <c r="A6" s="326"/>
      <c r="B6" s="129"/>
      <c r="C6" s="128"/>
      <c r="D6" s="129"/>
      <c r="E6" s="153" t="s">
        <v>2262</v>
      </c>
      <c r="F6" s="129"/>
      <c r="G6" s="128"/>
    </row>
    <row r="7" spans="1:7" ht="1.5" customHeight="1" thickBot="1">
      <c r="A7" s="327">
        <v>1996</v>
      </c>
      <c r="B7" s="170">
        <v>4739640</v>
      </c>
      <c r="C7" s="171">
        <v>2305688</v>
      </c>
      <c r="D7" s="170">
        <v>27828</v>
      </c>
      <c r="E7" s="171">
        <v>121598</v>
      </c>
      <c r="F7" s="155">
        <v>7194754</v>
      </c>
      <c r="G7" s="157">
        <v>3.9681470970374319E-3</v>
      </c>
    </row>
    <row r="8" spans="1:7" ht="0.75" hidden="1" customHeight="1" thickBot="1">
      <c r="A8" s="328">
        <v>1997</v>
      </c>
      <c r="B8" s="188">
        <v>4083854</v>
      </c>
      <c r="C8" s="187">
        <v>2736364</v>
      </c>
      <c r="D8" s="188">
        <v>11494</v>
      </c>
      <c r="E8" s="187">
        <v>383093</v>
      </c>
      <c r="F8" s="188">
        <v>7214805</v>
      </c>
      <c r="G8" s="158">
        <v>2.7868916713483186E-3</v>
      </c>
    </row>
    <row r="9" spans="1:7" ht="19.5" hidden="1" customHeight="1" thickBot="1">
      <c r="A9" s="328">
        <v>1998</v>
      </c>
      <c r="B9" s="188">
        <v>4016267</v>
      </c>
      <c r="C9" s="187">
        <v>2726468</v>
      </c>
      <c r="D9" s="188">
        <v>11828</v>
      </c>
      <c r="E9" s="187">
        <v>494040</v>
      </c>
      <c r="F9" s="188">
        <v>7248603</v>
      </c>
      <c r="G9" s="158">
        <v>4.6845340934370365E-3</v>
      </c>
    </row>
    <row r="10" spans="1:7" ht="20" customHeight="1" thickBot="1">
      <c r="A10" s="328">
        <v>1999</v>
      </c>
      <c r="B10" s="188">
        <v>3998744</v>
      </c>
      <c r="C10" s="187">
        <v>2715642</v>
      </c>
      <c r="D10" s="188">
        <v>10258</v>
      </c>
      <c r="E10" s="187">
        <v>541890</v>
      </c>
      <c r="F10" s="188">
        <v>7266534</v>
      </c>
      <c r="G10" s="158">
        <v>2.4737180391863093E-3</v>
      </c>
    </row>
    <row r="11" spans="1:7" ht="20" customHeight="1" thickBot="1">
      <c r="A11" s="328">
        <v>2000</v>
      </c>
      <c r="B11" s="188">
        <v>3921920</v>
      </c>
      <c r="C11" s="187">
        <v>2758539</v>
      </c>
      <c r="D11" s="188">
        <v>9811</v>
      </c>
      <c r="E11" s="187">
        <v>577841</v>
      </c>
      <c r="F11" s="188">
        <v>7268111</v>
      </c>
      <c r="G11" s="158">
        <v>2.1702231077429761E-4</v>
      </c>
    </row>
    <row r="12" spans="1:7" ht="20" customHeight="1" thickBot="1">
      <c r="A12" s="328">
        <v>2001</v>
      </c>
      <c r="B12" s="188">
        <v>3882191</v>
      </c>
      <c r="C12" s="187">
        <v>2833816</v>
      </c>
      <c r="D12" s="188">
        <v>9341</v>
      </c>
      <c r="E12" s="187">
        <v>595939</v>
      </c>
      <c r="F12" s="188">
        <v>7321287</v>
      </c>
      <c r="G12" s="158">
        <v>7.3163439578729601E-3</v>
      </c>
    </row>
    <row r="13" spans="1:7" ht="20" customHeight="1" thickBot="1">
      <c r="A13" s="328">
        <v>2002</v>
      </c>
      <c r="B13" s="188">
        <v>3812675</v>
      </c>
      <c r="C13" s="187">
        <v>2980820</v>
      </c>
      <c r="D13" s="188">
        <v>8835</v>
      </c>
      <c r="E13" s="187">
        <v>557035</v>
      </c>
      <c r="F13" s="188">
        <v>7359365</v>
      </c>
      <c r="G13" s="158">
        <v>5.2009981305199482E-3</v>
      </c>
    </row>
    <row r="14" spans="1:7" ht="20" customHeight="1" thickBot="1">
      <c r="A14" s="328">
        <v>2003</v>
      </c>
      <c r="B14" s="188">
        <v>3674270</v>
      </c>
      <c r="C14" s="187">
        <v>3107097</v>
      </c>
      <c r="D14" s="188">
        <v>8317</v>
      </c>
      <c r="E14" s="187">
        <v>603504</v>
      </c>
      <c r="F14" s="188">
        <v>7393188</v>
      </c>
      <c r="G14" s="158">
        <v>4.5959128267180661E-3</v>
      </c>
    </row>
    <row r="15" spans="1:7" ht="20" customHeight="1" thickBot="1">
      <c r="A15" s="328">
        <v>2004</v>
      </c>
      <c r="B15" s="188">
        <v>3639287</v>
      </c>
      <c r="C15" s="187">
        <v>3024823</v>
      </c>
      <c r="D15" s="188">
        <v>8098</v>
      </c>
      <c r="E15" s="187">
        <v>747766</v>
      </c>
      <c r="F15" s="188">
        <v>7419974</v>
      </c>
      <c r="G15" s="158">
        <v>3.623064907858423E-3</v>
      </c>
    </row>
    <row r="16" spans="1:7" ht="20" customHeight="1" thickBot="1">
      <c r="A16" s="328">
        <v>2005</v>
      </c>
      <c r="B16" s="188">
        <v>3605578</v>
      </c>
      <c r="C16" s="187">
        <v>2939073</v>
      </c>
      <c r="D16" s="188">
        <v>7711</v>
      </c>
      <c r="E16" s="187">
        <v>906113</v>
      </c>
      <c r="F16" s="188">
        <v>7458475</v>
      </c>
      <c r="G16" s="158">
        <v>5.1888321980643063E-3</v>
      </c>
    </row>
    <row r="17" spans="1:7" ht="20" customHeight="1" thickBot="1">
      <c r="A17" s="328">
        <v>2006</v>
      </c>
      <c r="B17" s="188">
        <v>3356090</v>
      </c>
      <c r="C17" s="187">
        <v>2787429</v>
      </c>
      <c r="D17" s="188">
        <v>7220</v>
      </c>
      <c r="E17" s="187">
        <v>1356806</v>
      </c>
      <c r="F17" s="188">
        <v>7507545</v>
      </c>
      <c r="G17" s="158">
        <v>6.5790929110843702E-3</v>
      </c>
    </row>
    <row r="18" spans="1:7" ht="20" customHeight="1" thickBot="1">
      <c r="A18" s="328">
        <v>2007</v>
      </c>
      <c r="B18" s="188">
        <v>3149431</v>
      </c>
      <c r="C18" s="187">
        <v>2579751</v>
      </c>
      <c r="D18" s="188">
        <v>6903</v>
      </c>
      <c r="E18" s="187">
        <v>1841047</v>
      </c>
      <c r="F18" s="188">
        <v>7577132</v>
      </c>
      <c r="G18" s="158">
        <v>9.268942110903098E-3</v>
      </c>
    </row>
    <row r="19" spans="1:7" ht="20" customHeight="1" thickBot="1">
      <c r="A19" s="328">
        <v>2008</v>
      </c>
      <c r="B19" s="188">
        <v>2968164</v>
      </c>
      <c r="C19" s="187">
        <v>2394419</v>
      </c>
      <c r="D19" s="188">
        <v>6557</v>
      </c>
      <c r="E19" s="187">
        <v>2300471</v>
      </c>
      <c r="F19" s="188">
        <v>7669611</v>
      </c>
      <c r="G19" s="158">
        <v>1.22050137175913E-2</v>
      </c>
    </row>
    <row r="20" spans="1:7" ht="30" customHeight="1" thickBot="1">
      <c r="A20" s="329">
        <v>2009</v>
      </c>
      <c r="B20" s="191">
        <v>2724152.39</v>
      </c>
      <c r="C20" s="190">
        <v>2160200.0299999998</v>
      </c>
      <c r="D20" s="191">
        <v>6148</v>
      </c>
      <c r="E20" s="190">
        <v>2858421.51</v>
      </c>
      <c r="F20" s="191">
        <v>7748921.9299999997</v>
      </c>
      <c r="G20" s="161">
        <v>1.0340932545340267E-2</v>
      </c>
    </row>
    <row r="21" spans="1:7" ht="19.5" customHeight="1">
      <c r="A21" s="140" t="s">
        <v>1837</v>
      </c>
      <c r="B21" s="140"/>
      <c r="C21" s="140"/>
      <c r="D21" s="140"/>
      <c r="E21" s="140"/>
      <c r="F21" s="140"/>
      <c r="G21" s="140"/>
    </row>
    <row r="23" spans="1:7">
      <c r="A23" s="141" t="s">
        <v>590</v>
      </c>
    </row>
    <row r="25" spans="1:7">
      <c r="A25" s="2" t="s">
        <v>591</v>
      </c>
    </row>
    <row r="28" spans="1:7">
      <c r="A28" s="2" t="s">
        <v>710</v>
      </c>
    </row>
  </sheetData>
  <phoneticPr fontId="0" type="noConversion"/>
  <pageMargins left="0.56000000000000005" right="0.54" top="0.96" bottom="0.49" header="0.57999999999999996" footer="0.4921259845"/>
  <pageSetup paperSize="9" scale="86" orientation="portrait" horizontalDpi="4294967292" verticalDpi="4294967292"/>
  <headerFooter alignWithMargins="0"/>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C59A8-7585-8746-9335-26F6928CF5DD}">
  <sheetPr>
    <pageSetUpPr fitToPage="1"/>
  </sheetPr>
  <dimension ref="A1:G22"/>
  <sheetViews>
    <sheetView topLeftCell="A7" zoomScale="75" workbookViewId="0">
      <selection activeCell="A17" sqref="A17"/>
    </sheetView>
  </sheetViews>
  <sheetFormatPr baseColWidth="10" defaultColWidth="11.3984375" defaultRowHeight="13"/>
  <cols>
    <col min="1" max="1" width="36.3984375" style="2" customWidth="1"/>
    <col min="2" max="7" width="14.3984375" style="2" customWidth="1"/>
    <col min="8" max="16384" width="11.3984375" style="2"/>
  </cols>
  <sheetData>
    <row r="1" spans="1:7" ht="14" customHeight="1">
      <c r="A1" s="275"/>
      <c r="B1" s="141"/>
      <c r="C1" s="141"/>
      <c r="D1" s="141"/>
      <c r="E1" s="141"/>
      <c r="F1" s="141"/>
      <c r="G1" s="141"/>
    </row>
    <row r="2" spans="1:7" ht="30" customHeight="1">
      <c r="A2" s="2014" t="s">
        <v>588</v>
      </c>
      <c r="B2" s="2018"/>
      <c r="C2" s="2018"/>
      <c r="D2" s="2018"/>
      <c r="E2" s="2018"/>
      <c r="F2" s="2018"/>
      <c r="G2" s="177">
        <v>2009</v>
      </c>
    </row>
    <row r="3" spans="1:7" ht="24" customHeight="1">
      <c r="A3" s="119" t="s">
        <v>578</v>
      </c>
      <c r="B3" s="120" t="s">
        <v>1833</v>
      </c>
      <c r="C3" s="121" t="s">
        <v>1834</v>
      </c>
      <c r="D3" s="120" t="s">
        <v>1798</v>
      </c>
      <c r="E3" s="121" t="s">
        <v>1567</v>
      </c>
      <c r="F3" s="120" t="s">
        <v>2104</v>
      </c>
      <c r="G3" s="121" t="s">
        <v>1801</v>
      </c>
    </row>
    <row r="4" spans="1:7" ht="15" customHeight="1">
      <c r="A4" s="325"/>
      <c r="B4" s="123"/>
      <c r="C4" s="124"/>
      <c r="D4" s="123"/>
      <c r="E4" s="150"/>
      <c r="F4" s="123" t="s">
        <v>2323</v>
      </c>
      <c r="G4" s="124" t="s">
        <v>1802</v>
      </c>
    </row>
    <row r="5" spans="1:7" ht="15" customHeight="1">
      <c r="A5" s="122"/>
      <c r="B5" s="123"/>
      <c r="C5" s="124"/>
      <c r="D5" s="123"/>
      <c r="E5" s="124"/>
      <c r="F5" s="123" t="s">
        <v>2105</v>
      </c>
      <c r="G5" s="124" t="s">
        <v>1806</v>
      </c>
    </row>
    <row r="6" spans="1:7" ht="24" customHeight="1">
      <c r="A6" s="292"/>
      <c r="B6" s="599"/>
      <c r="C6" s="600"/>
      <c r="D6" s="599"/>
      <c r="E6" s="600"/>
      <c r="F6" s="599"/>
      <c r="G6" s="128"/>
    </row>
    <row r="7" spans="1:7" ht="37.5" customHeight="1" thickBot="1">
      <c r="A7" s="601" t="s">
        <v>579</v>
      </c>
      <c r="B7" s="155">
        <v>824742.55</v>
      </c>
      <c r="C7" s="156">
        <v>1071640.96</v>
      </c>
      <c r="D7" s="155">
        <v>827768.88</v>
      </c>
      <c r="E7" s="156">
        <v>2724152.39</v>
      </c>
      <c r="F7" s="602">
        <v>0.35155243717883222</v>
      </c>
      <c r="G7" s="603">
        <v>-8.2209611733044363E-2</v>
      </c>
    </row>
    <row r="8" spans="1:7" ht="34.5" customHeight="1" thickBot="1">
      <c r="A8" s="601" t="s">
        <v>580</v>
      </c>
      <c r="B8" s="155">
        <v>1086326.03</v>
      </c>
      <c r="C8" s="156">
        <v>972439</v>
      </c>
      <c r="D8" s="155">
        <v>101435</v>
      </c>
      <c r="E8" s="156">
        <v>2160200.0299999998</v>
      </c>
      <c r="F8" s="602">
        <v>0.27877426686114515</v>
      </c>
      <c r="G8" s="603">
        <v>-9.7818706750990622E-2</v>
      </c>
    </row>
    <row r="9" spans="1:7" ht="31.5" customHeight="1" thickBot="1">
      <c r="A9" s="601" t="s">
        <v>581</v>
      </c>
      <c r="B9" s="155">
        <v>3982</v>
      </c>
      <c r="C9" s="156">
        <v>2118</v>
      </c>
      <c r="D9" s="155">
        <v>48</v>
      </c>
      <c r="E9" s="156">
        <v>6148</v>
      </c>
      <c r="F9" s="602">
        <v>7.9340068922335882E-4</v>
      </c>
      <c r="G9" s="603">
        <v>-6.2376086624980939E-2</v>
      </c>
    </row>
    <row r="10" spans="1:7" ht="33" customHeight="1" thickBot="1">
      <c r="A10" s="601" t="s">
        <v>582</v>
      </c>
      <c r="B10" s="155">
        <v>1106386.23</v>
      </c>
      <c r="C10" s="156">
        <v>1135619.1399999999</v>
      </c>
      <c r="D10" s="155">
        <v>616416.14</v>
      </c>
      <c r="E10" s="156">
        <v>2858421.51</v>
      </c>
      <c r="F10" s="602">
        <v>0.36887989527079929</v>
      </c>
      <c r="G10" s="603">
        <v>0.24253751079670197</v>
      </c>
    </row>
    <row r="11" spans="1:7" ht="34.5" customHeight="1" thickBot="1">
      <c r="A11" s="604" t="s">
        <v>583</v>
      </c>
      <c r="B11" s="427" t="s">
        <v>744</v>
      </c>
      <c r="C11" s="605" t="s">
        <v>744</v>
      </c>
      <c r="D11" s="427" t="s">
        <v>744</v>
      </c>
      <c r="E11" s="606">
        <v>1419477.97</v>
      </c>
      <c r="F11" s="607">
        <v>0.18318392969020403</v>
      </c>
      <c r="G11" s="608" t="s">
        <v>744</v>
      </c>
    </row>
    <row r="12" spans="1:7" ht="33" customHeight="1" thickBot="1">
      <c r="A12" s="609" t="s">
        <v>1567</v>
      </c>
      <c r="B12" s="610">
        <v>3021436.81</v>
      </c>
      <c r="C12" s="611">
        <v>3181817.1</v>
      </c>
      <c r="D12" s="610">
        <v>1545668.02</v>
      </c>
      <c r="E12" s="611">
        <v>7748921.9299999997</v>
      </c>
      <c r="F12" s="612">
        <v>1</v>
      </c>
      <c r="G12" s="613">
        <v>1.0340932545340267E-2</v>
      </c>
    </row>
    <row r="13" spans="1:7" ht="19.5" customHeight="1">
      <c r="A13" s="140" t="s">
        <v>1837</v>
      </c>
      <c r="B13" s="140"/>
      <c r="C13" s="140"/>
      <c r="D13" s="140"/>
      <c r="E13" s="140"/>
      <c r="F13" s="140"/>
      <c r="G13" s="140"/>
    </row>
    <row r="15" spans="1:7">
      <c r="A15" s="2" t="s">
        <v>584</v>
      </c>
    </row>
    <row r="16" spans="1:7">
      <c r="A16" s="2" t="s">
        <v>585</v>
      </c>
    </row>
    <row r="17" spans="1:1">
      <c r="A17" s="2" t="s">
        <v>586</v>
      </c>
    </row>
    <row r="19" spans="1:1">
      <c r="A19" s="2" t="s">
        <v>587</v>
      </c>
    </row>
    <row r="22" spans="1:1">
      <c r="A22" s="2" t="s">
        <v>710</v>
      </c>
    </row>
  </sheetData>
  <mergeCells count="1">
    <mergeCell ref="A2:F2"/>
  </mergeCells>
  <phoneticPr fontId="0" type="noConversion"/>
  <pageMargins left="0.53" right="0.54" top="0.79" bottom="0.49" header="0.42" footer="0.4921259845"/>
  <pageSetup paperSize="9" scale="75" orientation="portrait" horizontalDpi="1200" verticalDpi="1200"/>
  <headerFooter alignWithMargins="0"/>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BDF95-0155-BF47-9CC6-FD47F0A7B3F2}">
  <sheetPr>
    <pageSetUpPr fitToPage="1"/>
  </sheetPr>
  <dimension ref="A1:F26"/>
  <sheetViews>
    <sheetView topLeftCell="A6" zoomScale="75" workbookViewId="0">
      <selection activeCell="A19" sqref="A19:IV19"/>
    </sheetView>
  </sheetViews>
  <sheetFormatPr baseColWidth="10" defaultColWidth="11.3984375" defaultRowHeight="13"/>
  <cols>
    <col min="1" max="1" width="18.19921875" style="2" customWidth="1"/>
    <col min="2" max="6" width="14.59765625" style="2" customWidth="1"/>
    <col min="7" max="7" width="17.59765625" style="2" customWidth="1"/>
    <col min="8" max="16384" width="11.3984375" style="2"/>
  </cols>
  <sheetData>
    <row r="1" spans="1:6" s="1" customFormat="1" ht="14" customHeight="1"/>
    <row r="2" spans="1:6" s="1" customFormat="1" ht="39.75" customHeight="1">
      <c r="A2" s="2014" t="s">
        <v>593</v>
      </c>
      <c r="B2" s="2018"/>
      <c r="C2" s="2018"/>
      <c r="D2" s="2018"/>
      <c r="E2" s="2018"/>
      <c r="F2" s="48"/>
    </row>
    <row r="3" spans="1:6" ht="24" customHeight="1">
      <c r="A3" s="119" t="s">
        <v>1065</v>
      </c>
      <c r="B3" s="120" t="s">
        <v>2251</v>
      </c>
      <c r="C3" s="121" t="s">
        <v>2252</v>
      </c>
      <c r="D3" s="120" t="s">
        <v>2253</v>
      </c>
      <c r="E3" s="148" t="s">
        <v>2254</v>
      </c>
      <c r="F3" s="120" t="s">
        <v>1567</v>
      </c>
    </row>
    <row r="4" spans="1:6" ht="15" customHeight="1">
      <c r="A4" s="325"/>
      <c r="B4" s="123" t="s">
        <v>2255</v>
      </c>
      <c r="C4" s="124" t="s">
        <v>2256</v>
      </c>
      <c r="D4" s="123" t="s">
        <v>2257</v>
      </c>
      <c r="E4" s="150" t="s">
        <v>2258</v>
      </c>
      <c r="F4" s="123"/>
    </row>
    <row r="5" spans="1:6" ht="15" customHeight="1">
      <c r="A5" s="325"/>
      <c r="B5" s="123" t="s">
        <v>2259</v>
      </c>
      <c r="C5" s="124" t="s">
        <v>2260</v>
      </c>
      <c r="D5" s="123"/>
      <c r="E5" s="150" t="s">
        <v>589</v>
      </c>
      <c r="F5" s="123"/>
    </row>
    <row r="6" spans="1:6" ht="24" customHeight="1">
      <c r="A6" s="326"/>
      <c r="B6" s="129"/>
      <c r="C6" s="128"/>
      <c r="D6" s="129"/>
      <c r="E6" s="153" t="s">
        <v>2262</v>
      </c>
      <c r="F6" s="129"/>
    </row>
    <row r="7" spans="1:6" ht="1.5" customHeight="1" thickBot="1">
      <c r="A7" s="327">
        <v>1996</v>
      </c>
      <c r="B7" s="576">
        <v>0.65876331560467527</v>
      </c>
      <c r="C7" s="157">
        <v>0.32046794094697328</v>
      </c>
      <c r="D7" s="576">
        <v>3.8678181352691143E-3</v>
      </c>
      <c r="E7" s="157">
        <v>1.6900925313082283E-2</v>
      </c>
      <c r="F7" s="602">
        <v>1</v>
      </c>
    </row>
    <row r="8" spans="1:6" ht="19.5" hidden="1" customHeight="1" thickBot="1">
      <c r="A8" s="328">
        <v>1997</v>
      </c>
      <c r="B8" s="457">
        <v>0.56603802874783171</v>
      </c>
      <c r="C8" s="158">
        <v>0.37927068021935451</v>
      </c>
      <c r="D8" s="457">
        <v>1.5931130501794573E-3</v>
      </c>
      <c r="E8" s="158">
        <v>5.3098177982634318E-2</v>
      </c>
      <c r="F8" s="457">
        <v>1</v>
      </c>
    </row>
    <row r="9" spans="1:6" ht="19.5" hidden="1" customHeight="1" thickBot="1">
      <c r="A9" s="328">
        <v>1998</v>
      </c>
      <c r="B9" s="457">
        <v>0.55407462651768902</v>
      </c>
      <c r="C9" s="158">
        <v>0.37613702943863803</v>
      </c>
      <c r="D9" s="457">
        <v>1.6317626996539885E-3</v>
      </c>
      <c r="E9" s="158">
        <v>6.8156581344018974E-2</v>
      </c>
      <c r="F9" s="457">
        <v>1</v>
      </c>
    </row>
    <row r="10" spans="1:6" ht="20" customHeight="1" thickBot="1">
      <c r="A10" s="328">
        <v>1999</v>
      </c>
      <c r="B10" s="457">
        <v>0.55029591824658086</v>
      </c>
      <c r="C10" s="158">
        <v>0.37371902477852575</v>
      </c>
      <c r="D10" s="457">
        <v>1.4116771489681326E-3</v>
      </c>
      <c r="E10" s="158">
        <v>7.4573379825925268E-2</v>
      </c>
      <c r="F10" s="457">
        <v>1</v>
      </c>
    </row>
    <row r="11" spans="1:6" ht="20" customHeight="1" thickBot="1">
      <c r="A11" s="328">
        <v>2000</v>
      </c>
      <c r="B11" s="457">
        <v>0.53960650848618019</v>
      </c>
      <c r="C11" s="158">
        <v>0.37954002078394233</v>
      </c>
      <c r="D11" s="457">
        <v>1.3498693126728527E-3</v>
      </c>
      <c r="E11" s="158">
        <v>7.9503601417204556E-2</v>
      </c>
      <c r="F11" s="457">
        <v>1</v>
      </c>
    </row>
    <row r="12" spans="1:6" ht="20" customHeight="1" thickBot="1">
      <c r="A12" s="328">
        <v>2001</v>
      </c>
      <c r="B12" s="457">
        <v>0.53026073148068087</v>
      </c>
      <c r="C12" s="158">
        <v>0.38706527964277321</v>
      </c>
      <c r="D12" s="457">
        <v>1.2758685733806091E-3</v>
      </c>
      <c r="E12" s="158">
        <v>8.1398120303165275E-2</v>
      </c>
      <c r="F12" s="457">
        <v>1</v>
      </c>
    </row>
    <row r="13" spans="1:6" ht="20" customHeight="1" thickBot="1">
      <c r="A13" s="328">
        <v>2002</v>
      </c>
      <c r="B13" s="457">
        <v>0.51807119228357335</v>
      </c>
      <c r="C13" s="158">
        <v>0.40503766289618737</v>
      </c>
      <c r="D13" s="457">
        <v>1.2005111854079802E-3</v>
      </c>
      <c r="E13" s="158">
        <v>7.5690633634831264E-2</v>
      </c>
      <c r="F13" s="457">
        <v>1</v>
      </c>
    </row>
    <row r="14" spans="1:6" ht="20" customHeight="1" thickBot="1">
      <c r="A14" s="328">
        <v>2003</v>
      </c>
      <c r="B14" s="457">
        <v>0.49698046363760801</v>
      </c>
      <c r="C14" s="158">
        <v>0.42026484379945434</v>
      </c>
      <c r="D14" s="457">
        <v>1.1249544851287428E-3</v>
      </c>
      <c r="E14" s="158">
        <v>8.1629738077808919E-2</v>
      </c>
      <c r="F14" s="457">
        <v>1</v>
      </c>
    </row>
    <row r="15" spans="1:6" ht="20" customHeight="1" thickBot="1">
      <c r="A15" s="328">
        <v>2004</v>
      </c>
      <c r="B15" s="457">
        <v>0.49047166472550979</v>
      </c>
      <c r="C15" s="158">
        <v>0.40765951470988981</v>
      </c>
      <c r="D15" s="457">
        <v>1.0913784873100634E-3</v>
      </c>
      <c r="E15" s="158">
        <v>0.10077744207729029</v>
      </c>
      <c r="F15" s="457">
        <v>1</v>
      </c>
    </row>
    <row r="16" spans="1:6" ht="20" customHeight="1" thickBot="1">
      <c r="A16" s="328">
        <v>2005</v>
      </c>
      <c r="B16" s="457">
        <v>0.48342027022950401</v>
      </c>
      <c r="C16" s="158">
        <v>0.39405816872752136</v>
      </c>
      <c r="D16" s="457">
        <v>1.0338574574561153E-3</v>
      </c>
      <c r="E16" s="158">
        <v>0.12148770358551848</v>
      </c>
      <c r="F16" s="457">
        <v>1</v>
      </c>
    </row>
    <row r="17" spans="1:6" ht="20" customHeight="1" thickBot="1">
      <c r="A17" s="328">
        <v>2006</v>
      </c>
      <c r="B17" s="457">
        <v>0.44702895553739602</v>
      </c>
      <c r="C17" s="158">
        <v>0.37128368860925909</v>
      </c>
      <c r="D17" s="457">
        <v>9.6169919727420879E-4</v>
      </c>
      <c r="E17" s="158">
        <v>0.18072565665607065</v>
      </c>
      <c r="F17" s="457">
        <v>1</v>
      </c>
    </row>
    <row r="18" spans="1:6" ht="20" customHeight="1" thickBot="1">
      <c r="A18" s="328">
        <v>2007</v>
      </c>
      <c r="B18" s="457">
        <v>0.41564948320815842</v>
      </c>
      <c r="C18" s="158">
        <v>0.34046536341190836</v>
      </c>
      <c r="D18" s="457">
        <v>9.1103071716316941E-4</v>
      </c>
      <c r="E18" s="158">
        <v>0.24297412266277002</v>
      </c>
      <c r="F18" s="457">
        <v>1</v>
      </c>
    </row>
    <row r="19" spans="1:6" ht="20" customHeight="1" thickBot="1">
      <c r="A19" s="328">
        <v>2008</v>
      </c>
      <c r="B19" s="457">
        <v>0.38700320003191818</v>
      </c>
      <c r="C19" s="158">
        <v>0.31219562504539017</v>
      </c>
      <c r="D19" s="457">
        <v>8.5493253829953047E-4</v>
      </c>
      <c r="E19" s="158">
        <v>0.2999462423843921</v>
      </c>
      <c r="F19" s="457">
        <v>1</v>
      </c>
    </row>
    <row r="20" spans="1:6" ht="30" customHeight="1" thickBot="1">
      <c r="A20" s="329">
        <v>2009</v>
      </c>
      <c r="B20" s="614">
        <v>0.35155243717883222</v>
      </c>
      <c r="C20" s="615">
        <v>0.27877426686114515</v>
      </c>
      <c r="D20" s="614">
        <v>7.9340068922335882E-4</v>
      </c>
      <c r="E20" s="615">
        <v>0.36887989527079929</v>
      </c>
      <c r="F20" s="614">
        <v>1</v>
      </c>
    </row>
    <row r="21" spans="1:6" ht="19.5" customHeight="1">
      <c r="A21" s="140" t="s">
        <v>1837</v>
      </c>
      <c r="B21" s="140"/>
      <c r="C21" s="140"/>
      <c r="D21" s="140"/>
      <c r="E21" s="140"/>
      <c r="F21" s="140"/>
    </row>
    <row r="23" spans="1:6">
      <c r="A23" s="2" t="s">
        <v>594</v>
      </c>
    </row>
    <row r="26" spans="1:6">
      <c r="A26" s="2" t="s">
        <v>710</v>
      </c>
    </row>
  </sheetData>
  <mergeCells count="1">
    <mergeCell ref="A2:E2"/>
  </mergeCells>
  <phoneticPr fontId="0" type="noConversion"/>
  <pageMargins left="0.65" right="0.72" top="1.05" bottom="0.49" header="0.6" footer="0.4921259845"/>
  <pageSetup paperSize="9" scale="80" orientation="portrait" horizontalDpi="4294967292" verticalDpi="4294967292"/>
  <headerFooter alignWithMargins="0"/>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260E7-C637-8E44-B2F0-B24A544E1052}">
  <sheetPr>
    <pageSetUpPr fitToPage="1"/>
  </sheetPr>
  <dimension ref="A1:P50"/>
  <sheetViews>
    <sheetView topLeftCell="A24" zoomScale="75" workbookViewId="0">
      <selection activeCell="A38" sqref="A38"/>
    </sheetView>
  </sheetViews>
  <sheetFormatPr baseColWidth="10" defaultColWidth="11.3984375" defaultRowHeight="13"/>
  <cols>
    <col min="1" max="1" width="14.796875" style="2" customWidth="1"/>
    <col min="2" max="2" width="14.796875" style="277" customWidth="1"/>
    <col min="3" max="4" width="12.3984375" style="2" customWidth="1"/>
    <col min="5" max="7" width="12.59765625" style="2" customWidth="1"/>
    <col min="8" max="8" width="14.59765625" style="922" customWidth="1"/>
    <col min="9" max="9" width="16.3984375" style="922" customWidth="1"/>
    <col min="10" max="10" width="16" style="277" customWidth="1"/>
    <col min="11" max="14" width="13.3984375" style="2" customWidth="1"/>
    <col min="15" max="15" width="15.19921875" style="2" customWidth="1"/>
    <col min="16" max="16" width="13.3984375" style="2" customWidth="1"/>
    <col min="17" max="16384" width="11.3984375" style="2"/>
  </cols>
  <sheetData>
    <row r="1" spans="1:16" s="1" customFormat="1" ht="14" customHeight="1">
      <c r="A1" s="271"/>
      <c r="B1" s="272"/>
      <c r="C1" s="271"/>
      <c r="D1" s="271"/>
      <c r="E1" s="271"/>
      <c r="F1" s="271"/>
      <c r="G1" s="271"/>
      <c r="H1" s="1120"/>
      <c r="I1" s="1120"/>
      <c r="J1" s="16"/>
    </row>
    <row r="2" spans="1:16" s="1" customFormat="1" ht="28" customHeight="1">
      <c r="A2" s="118" t="s">
        <v>1072</v>
      </c>
      <c r="B2" s="272"/>
      <c r="C2" s="271"/>
      <c r="D2" s="271"/>
      <c r="E2" s="271"/>
      <c r="F2" s="271"/>
      <c r="G2" s="271"/>
      <c r="H2" s="1120"/>
      <c r="I2" s="1120"/>
      <c r="J2" s="1121"/>
      <c r="K2" s="894"/>
      <c r="P2" s="894">
        <v>2009</v>
      </c>
    </row>
    <row r="3" spans="1:16" ht="57.75" customHeight="1">
      <c r="A3" s="802" t="s">
        <v>1797</v>
      </c>
      <c r="B3" s="1122" t="s">
        <v>1090</v>
      </c>
      <c r="C3" s="1123"/>
      <c r="D3" s="1123"/>
      <c r="E3" s="1123"/>
      <c r="F3" s="1123"/>
      <c r="G3" s="1123"/>
      <c r="H3" s="1124"/>
      <c r="I3" s="1123"/>
      <c r="J3" s="1125" t="s">
        <v>1073</v>
      </c>
      <c r="K3" s="1126" t="s">
        <v>1074</v>
      </c>
      <c r="L3" s="1127"/>
      <c r="M3" s="1123"/>
      <c r="N3" s="1123"/>
      <c r="O3" s="1123"/>
      <c r="P3" s="1128"/>
    </row>
    <row r="4" spans="1:16" ht="84.75" customHeight="1">
      <c r="A4" s="125"/>
      <c r="B4" s="1125" t="s">
        <v>1075</v>
      </c>
      <c r="C4" s="1079" t="s">
        <v>1076</v>
      </c>
      <c r="D4" s="1078" t="s">
        <v>1077</v>
      </c>
      <c r="E4" s="1079" t="s">
        <v>1078</v>
      </c>
      <c r="F4" s="1078" t="s">
        <v>1079</v>
      </c>
      <c r="G4" s="1079" t="s">
        <v>1080</v>
      </c>
      <c r="H4" s="1078" t="s">
        <v>1081</v>
      </c>
      <c r="I4" s="1129" t="s">
        <v>2217</v>
      </c>
      <c r="J4" s="1125"/>
      <c r="K4" s="1079" t="s">
        <v>1082</v>
      </c>
      <c r="L4" s="1078" t="s">
        <v>1083</v>
      </c>
      <c r="M4" s="1130" t="s">
        <v>2495</v>
      </c>
      <c r="N4" s="1131" t="s">
        <v>1084</v>
      </c>
      <c r="O4" s="1132" t="s">
        <v>1085</v>
      </c>
      <c r="P4" s="1133" t="s">
        <v>1567</v>
      </c>
    </row>
    <row r="5" spans="1:16" ht="24" customHeight="1">
      <c r="A5" s="127"/>
      <c r="B5" s="1134"/>
      <c r="C5" s="127"/>
      <c r="D5" s="126"/>
      <c r="E5" s="129"/>
      <c r="F5" s="128"/>
      <c r="G5" s="129"/>
      <c r="H5" s="1134"/>
      <c r="I5" s="1135"/>
      <c r="J5" s="225"/>
      <c r="K5" s="127"/>
      <c r="L5" s="128"/>
      <c r="M5" s="223"/>
      <c r="N5" s="128"/>
      <c r="O5" s="1135"/>
      <c r="P5" s="225"/>
    </row>
    <row r="6" spans="1:16" ht="30" customHeight="1" thickBot="1">
      <c r="A6" s="1136" t="s">
        <v>1807</v>
      </c>
      <c r="B6" s="1137">
        <v>0.33286015160082882</v>
      </c>
      <c r="C6" s="454">
        <v>0.12829377938861067</v>
      </c>
      <c r="D6" s="945">
        <v>2.4185707497569871E-2</v>
      </c>
      <c r="E6" s="454">
        <v>8.9866381016273006E-2</v>
      </c>
      <c r="F6" s="945">
        <v>1.3620100633375031E-2</v>
      </c>
      <c r="G6" s="454">
        <v>9.7705814086010159E-2</v>
      </c>
      <c r="H6" s="422" t="s">
        <v>744</v>
      </c>
      <c r="I6" s="1138">
        <v>0.35367178262183874</v>
      </c>
      <c r="J6" s="1137">
        <v>1.4185571086411674E-3</v>
      </c>
      <c r="K6" s="454">
        <v>0.1039722005221336</v>
      </c>
      <c r="L6" s="945">
        <v>0.20807736304038385</v>
      </c>
      <c r="M6" s="1138">
        <v>0.31204953611560432</v>
      </c>
      <c r="N6" s="1139">
        <v>4.7864067955116864E-2</v>
      </c>
      <c r="O6" s="1140">
        <v>0.1797566591449011</v>
      </c>
      <c r="P6" s="1137">
        <v>1</v>
      </c>
    </row>
    <row r="7" spans="1:16" ht="20" customHeight="1" thickBot="1">
      <c r="A7" s="1141" t="s">
        <v>1808</v>
      </c>
      <c r="B7" s="1137">
        <v>0.23326881176633374</v>
      </c>
      <c r="C7" s="454">
        <v>0.15622029768123641</v>
      </c>
      <c r="D7" s="945">
        <v>2.3369753151720882E-2</v>
      </c>
      <c r="E7" s="454">
        <v>7.4144033421377056E-2</v>
      </c>
      <c r="F7" s="945">
        <v>1.2439539757042562E-2</v>
      </c>
      <c r="G7" s="454">
        <v>7.4364460502666679E-2</v>
      </c>
      <c r="H7" s="422" t="s">
        <v>744</v>
      </c>
      <c r="I7" s="1138">
        <v>0.34053808451404355</v>
      </c>
      <c r="J7" s="1137">
        <v>1.3939042422938721E-3</v>
      </c>
      <c r="K7" s="454">
        <v>0.14169434621519619</v>
      </c>
      <c r="L7" s="945">
        <v>0.28310482800841424</v>
      </c>
      <c r="M7" s="1138">
        <v>0.42479923735790648</v>
      </c>
      <c r="N7" s="1139">
        <v>2.4334811374547519E-2</v>
      </c>
      <c r="O7" s="1140">
        <v>0.16873902047240666</v>
      </c>
      <c r="P7" s="1137">
        <v>1</v>
      </c>
    </row>
    <row r="8" spans="1:16" ht="20" customHeight="1" thickBot="1">
      <c r="A8" s="1141" t="s">
        <v>1809</v>
      </c>
      <c r="B8" s="1137">
        <v>0.31351822520356959</v>
      </c>
      <c r="C8" s="454">
        <v>7.3461142369062982E-2</v>
      </c>
      <c r="D8" s="945">
        <v>1.5566324120011439E-2</v>
      </c>
      <c r="E8" s="454">
        <v>6.6842174130951448E-2</v>
      </c>
      <c r="F8" s="945">
        <v>7.6511338269913227E-3</v>
      </c>
      <c r="G8" s="454">
        <v>4.864839381993296E-2</v>
      </c>
      <c r="H8" s="422" t="s">
        <v>744</v>
      </c>
      <c r="I8" s="1138">
        <v>0.21216916826695015</v>
      </c>
      <c r="J8" s="1137">
        <v>9.8033827331670659E-4</v>
      </c>
      <c r="K8" s="454">
        <v>0.21247484159560601</v>
      </c>
      <c r="L8" s="945">
        <v>0.26085756145201539</v>
      </c>
      <c r="M8" s="1138">
        <v>0.47333223455829898</v>
      </c>
      <c r="N8" s="1139">
        <v>7.0521475463691877E-2</v>
      </c>
      <c r="O8" s="1140">
        <v>0.33313516742497529</v>
      </c>
      <c r="P8" s="1137">
        <v>1</v>
      </c>
    </row>
    <row r="9" spans="1:16" ht="20" customHeight="1" thickBot="1">
      <c r="A9" s="1141" t="s">
        <v>1810</v>
      </c>
      <c r="B9" s="1137">
        <v>0.28502138882179895</v>
      </c>
      <c r="C9" s="454">
        <v>0.11522628797059563</v>
      </c>
      <c r="D9" s="945">
        <v>1.9190707947546556E-2</v>
      </c>
      <c r="E9" s="454">
        <v>8.0649136685126896E-2</v>
      </c>
      <c r="F9" s="945">
        <v>9.3388012712000753E-3</v>
      </c>
      <c r="G9" s="454">
        <v>4.2605076101205175E-2</v>
      </c>
      <c r="H9" s="422" t="s">
        <v>744</v>
      </c>
      <c r="I9" s="1138">
        <v>0.26701000997567431</v>
      </c>
      <c r="J9" s="1137">
        <v>1.4880410371165102E-3</v>
      </c>
      <c r="K9" s="454">
        <v>0.16883926080288442</v>
      </c>
      <c r="L9" s="945">
        <v>0.27764342109404255</v>
      </c>
      <c r="M9" s="1138">
        <v>0.44648197465308803</v>
      </c>
      <c r="N9" s="1139">
        <v>2.7078952105093604E-2</v>
      </c>
      <c r="O9" s="1140">
        <v>0.27240981668593317</v>
      </c>
      <c r="P9" s="1137">
        <v>1</v>
      </c>
    </row>
    <row r="10" spans="1:16" ht="20" customHeight="1" thickBot="1">
      <c r="A10" s="1141" t="s">
        <v>1811</v>
      </c>
      <c r="B10" s="1137">
        <v>0.33700145321934466</v>
      </c>
      <c r="C10" s="454">
        <v>0.11322945046580335</v>
      </c>
      <c r="D10" s="945">
        <v>2.1829182036310266E-2</v>
      </c>
      <c r="E10" s="454">
        <v>9.6739441598275744E-2</v>
      </c>
      <c r="F10" s="945">
        <v>1.1215569778348256E-2</v>
      </c>
      <c r="G10" s="454">
        <v>6.6680787836310249E-2</v>
      </c>
      <c r="H10" s="422" t="s">
        <v>744</v>
      </c>
      <c r="I10" s="1138">
        <v>0.30969443171504785</v>
      </c>
      <c r="J10" s="1137">
        <v>1.3002351860267412E-3</v>
      </c>
      <c r="K10" s="454">
        <v>0.12777951954296699</v>
      </c>
      <c r="L10" s="945">
        <v>0.22422410001189685</v>
      </c>
      <c r="M10" s="1138">
        <v>0.35200379310467511</v>
      </c>
      <c r="N10" s="1139">
        <v>1.1521885195237896E-2</v>
      </c>
      <c r="O10" s="1140">
        <v>0.27401163599419615</v>
      </c>
      <c r="P10" s="1137">
        <v>1</v>
      </c>
    </row>
    <row r="11" spans="1:16" ht="20" customHeight="1" thickBot="1">
      <c r="A11" s="1141" t="s">
        <v>1812</v>
      </c>
      <c r="B11" s="1137">
        <v>0.27220369928213278</v>
      </c>
      <c r="C11" s="454">
        <v>0.10428018123251262</v>
      </c>
      <c r="D11" s="945">
        <v>1.7481302712339851E-2</v>
      </c>
      <c r="E11" s="454">
        <v>6.4381434676373583E-2</v>
      </c>
      <c r="F11" s="945">
        <v>6.2225402576086631E-3</v>
      </c>
      <c r="G11" s="454">
        <v>3.9438731086465756E-2</v>
      </c>
      <c r="H11" s="422" t="s">
        <v>744</v>
      </c>
      <c r="I11" s="1138">
        <v>0.23180418996530047</v>
      </c>
      <c r="J11" s="1137">
        <v>1.4476011283425288E-3</v>
      </c>
      <c r="K11" s="454">
        <v>0.22531750718081645</v>
      </c>
      <c r="L11" s="945">
        <v>0.26922914703767198</v>
      </c>
      <c r="M11" s="1138">
        <v>0.49454665421848842</v>
      </c>
      <c r="N11" s="1139">
        <v>2.3490455840659507E-3</v>
      </c>
      <c r="O11" s="1140">
        <v>0.41169490144159632</v>
      </c>
      <c r="P11" s="1137">
        <v>1</v>
      </c>
    </row>
    <row r="12" spans="1:16" ht="20" customHeight="1" thickBot="1">
      <c r="A12" s="1141" t="s">
        <v>1813</v>
      </c>
      <c r="B12" s="1137">
        <v>0.33450304418621885</v>
      </c>
      <c r="C12" s="454">
        <v>9.9125522702465135E-2</v>
      </c>
      <c r="D12" s="945">
        <v>2.1402475789699692E-2</v>
      </c>
      <c r="E12" s="454">
        <v>7.9358059918758675E-2</v>
      </c>
      <c r="F12" s="945">
        <v>9.1427755817318924E-3</v>
      </c>
      <c r="G12" s="454">
        <v>5.0134604176496005E-2</v>
      </c>
      <c r="H12" s="422" t="s">
        <v>744</v>
      </c>
      <c r="I12" s="1138">
        <v>0.25916343816915138</v>
      </c>
      <c r="J12" s="1137">
        <v>1.8070233278324594E-3</v>
      </c>
      <c r="K12" s="454">
        <v>0.18229129338037794</v>
      </c>
      <c r="L12" s="945">
        <v>0.2222352009364193</v>
      </c>
      <c r="M12" s="1138">
        <v>0.40452649431679721</v>
      </c>
      <c r="N12" s="1139">
        <v>5.1365209936462914E-3</v>
      </c>
      <c r="O12" s="1140">
        <v>0.30544244928059117</v>
      </c>
      <c r="P12" s="1137">
        <v>1</v>
      </c>
    </row>
    <row r="13" spans="1:16" ht="20" customHeight="1" thickBot="1">
      <c r="A13" s="1141" t="s">
        <v>1814</v>
      </c>
      <c r="B13" s="1137">
        <v>0.41264104321396433</v>
      </c>
      <c r="C13" s="454">
        <v>0.11693957341633689</v>
      </c>
      <c r="D13" s="945">
        <v>2.8373074114206545E-2</v>
      </c>
      <c r="E13" s="454">
        <v>0.11117291559213581</v>
      </c>
      <c r="F13" s="945">
        <v>2.1838534865542068E-2</v>
      </c>
      <c r="G13" s="454">
        <v>4.9498966202298059E-2</v>
      </c>
      <c r="H13" s="422" t="s">
        <v>744</v>
      </c>
      <c r="I13" s="1138">
        <v>0.32782306419051932</v>
      </c>
      <c r="J13" s="1137">
        <v>2.0232760243075738E-3</v>
      </c>
      <c r="K13" s="454">
        <v>9.9515955297803757E-2</v>
      </c>
      <c r="L13" s="945">
        <v>0.15799441318893351</v>
      </c>
      <c r="M13" s="1138">
        <v>0.25751036848673731</v>
      </c>
      <c r="N13" s="1139">
        <v>2.5435470019866645E-4</v>
      </c>
      <c r="O13" s="1140">
        <v>0.17586411549758779</v>
      </c>
      <c r="P13" s="1137">
        <v>1</v>
      </c>
    </row>
    <row r="14" spans="1:16" ht="20" customHeight="1" thickBot="1">
      <c r="A14" s="1141" t="s">
        <v>1815</v>
      </c>
      <c r="B14" s="1137">
        <v>0.34587538287139746</v>
      </c>
      <c r="C14" s="454">
        <v>0.11670830785710855</v>
      </c>
      <c r="D14" s="945">
        <v>2.4909335627472277E-2</v>
      </c>
      <c r="E14" s="454">
        <v>9.402572214806941E-2</v>
      </c>
      <c r="F14" s="945">
        <v>1.3603996031029117E-2</v>
      </c>
      <c r="G14" s="454">
        <v>7.1170762407318164E-2</v>
      </c>
      <c r="H14" s="422" t="s">
        <v>744</v>
      </c>
      <c r="I14" s="1138">
        <v>0.32041812407099757</v>
      </c>
      <c r="J14" s="1137">
        <v>1.6361532522746038E-3</v>
      </c>
      <c r="K14" s="454">
        <v>0.12591514202264967</v>
      </c>
      <c r="L14" s="945">
        <v>0.20615519778268082</v>
      </c>
      <c r="M14" s="1138">
        <v>0.33207011579749202</v>
      </c>
      <c r="N14" s="1139">
        <v>5.2896762963529624E-2</v>
      </c>
      <c r="O14" s="1140">
        <v>0.20740224941951169</v>
      </c>
      <c r="P14" s="1137">
        <v>1</v>
      </c>
    </row>
    <row r="15" spans="1:16" ht="20" customHeight="1" thickBot="1">
      <c r="A15" s="1141" t="s">
        <v>1816</v>
      </c>
      <c r="B15" s="1137">
        <v>0.29605213084455612</v>
      </c>
      <c r="C15" s="454">
        <v>0.20292664925275813</v>
      </c>
      <c r="D15" s="945">
        <v>2.5926154193774486E-2</v>
      </c>
      <c r="E15" s="454">
        <v>9.3700795952347454E-2</v>
      </c>
      <c r="F15" s="945">
        <v>2.5716775774288159E-2</v>
      </c>
      <c r="G15" s="454">
        <v>4.5065704148293265E-2</v>
      </c>
      <c r="H15" s="422" t="s">
        <v>744</v>
      </c>
      <c r="I15" s="1138">
        <v>0.39333607932146147</v>
      </c>
      <c r="J15" s="1137">
        <v>6.2513461231985287E-4</v>
      </c>
      <c r="K15" s="454">
        <v>9.5438170066906788E-2</v>
      </c>
      <c r="L15" s="945">
        <v>0.21454829463754052</v>
      </c>
      <c r="M15" s="1138">
        <v>0.30998636944583974</v>
      </c>
      <c r="N15" s="1139">
        <v>1.8522083660110049E-3</v>
      </c>
      <c r="O15" s="1140">
        <v>0.18479188709111555</v>
      </c>
      <c r="P15" s="1137">
        <v>1</v>
      </c>
    </row>
    <row r="16" spans="1:16" ht="20" customHeight="1" thickBot="1">
      <c r="A16" s="1141" t="s">
        <v>1817</v>
      </c>
      <c r="B16" s="1137">
        <v>0.3293958038433259</v>
      </c>
      <c r="C16" s="454">
        <v>0.16539959365078627</v>
      </c>
      <c r="D16" s="945">
        <v>2.4322589323957266E-2</v>
      </c>
      <c r="E16" s="454">
        <v>8.4169981587694134E-2</v>
      </c>
      <c r="F16" s="945">
        <v>1.4371395135201682E-2</v>
      </c>
      <c r="G16" s="454">
        <v>5.6254676453940174E-2</v>
      </c>
      <c r="H16" s="422" t="s">
        <v>744</v>
      </c>
      <c r="I16" s="1138">
        <v>0.3445182361515795</v>
      </c>
      <c r="J16" s="1137">
        <v>9.5499511767812499E-4</v>
      </c>
      <c r="K16" s="454">
        <v>0.10152473311633911</v>
      </c>
      <c r="L16" s="945">
        <v>0.22360632847944373</v>
      </c>
      <c r="M16" s="1138">
        <v>0.3251309648874165</v>
      </c>
      <c r="N16" s="1139">
        <v>4.8545665738943308E-3</v>
      </c>
      <c r="O16" s="1140">
        <v>0.20372502252579625</v>
      </c>
      <c r="P16" s="1137">
        <v>1</v>
      </c>
    </row>
    <row r="17" spans="1:16" ht="20" customHeight="1" thickBot="1">
      <c r="A17" s="1141" t="s">
        <v>1818</v>
      </c>
      <c r="B17" s="1137">
        <v>0.37348874577150648</v>
      </c>
      <c r="C17" s="454">
        <v>0.11242691817693157</v>
      </c>
      <c r="D17" s="945">
        <v>1.978285024844768E-2</v>
      </c>
      <c r="E17" s="454">
        <v>9.1094196019122442E-2</v>
      </c>
      <c r="F17" s="945">
        <v>7.9291170539300699E-3</v>
      </c>
      <c r="G17" s="454">
        <v>7.9473812215381148E-2</v>
      </c>
      <c r="H17" s="422" t="s">
        <v>744</v>
      </c>
      <c r="I17" s="1138">
        <v>0.31070689371381288</v>
      </c>
      <c r="J17" s="1137">
        <v>6.14797503838963E-4</v>
      </c>
      <c r="K17" s="454">
        <v>0.12044410299461251</v>
      </c>
      <c r="L17" s="945">
        <v>0.19474552708992587</v>
      </c>
      <c r="M17" s="1138">
        <v>0.31518949593714496</v>
      </c>
      <c r="N17" s="1139">
        <v>0.14203901623277365</v>
      </c>
      <c r="O17" s="1140">
        <v>0.11638158333363517</v>
      </c>
      <c r="P17" s="1137">
        <v>1</v>
      </c>
    </row>
    <row r="18" spans="1:16" ht="20" customHeight="1" thickBot="1">
      <c r="A18" s="1141" t="s">
        <v>1819</v>
      </c>
      <c r="B18" s="1137">
        <v>0.31324170169536847</v>
      </c>
      <c r="C18" s="454">
        <v>0.14462490175591375</v>
      </c>
      <c r="D18" s="945">
        <v>2.3850773085003673E-2</v>
      </c>
      <c r="E18" s="454">
        <v>9.5009259051287542E-2</v>
      </c>
      <c r="F18" s="945">
        <v>1.4205646104437626E-2</v>
      </c>
      <c r="G18" s="454">
        <v>8.1012571905470274E-2</v>
      </c>
      <c r="H18" s="422" t="s">
        <v>744</v>
      </c>
      <c r="I18" s="1138">
        <v>0.35870315190211288</v>
      </c>
      <c r="J18" s="1137">
        <v>1.1940834080452942E-3</v>
      </c>
      <c r="K18" s="454">
        <v>0.11593731285364151</v>
      </c>
      <c r="L18" s="945">
        <v>0.21092420116383784</v>
      </c>
      <c r="M18" s="1138">
        <v>0.32686146891517875</v>
      </c>
      <c r="N18" s="1139">
        <v>1.6444253691781159E-2</v>
      </c>
      <c r="O18" s="1140">
        <v>0.22212720670898525</v>
      </c>
      <c r="P18" s="1137">
        <v>1</v>
      </c>
    </row>
    <row r="19" spans="1:16" ht="20" customHeight="1" thickBot="1">
      <c r="A19" s="1141" t="s">
        <v>1820</v>
      </c>
      <c r="B19" s="1137">
        <v>0.28941216786414248</v>
      </c>
      <c r="C19" s="454">
        <v>0.11912976304306451</v>
      </c>
      <c r="D19" s="945">
        <v>2.2414682993290882E-2</v>
      </c>
      <c r="E19" s="454">
        <v>7.7012667158085787E-2</v>
      </c>
      <c r="F19" s="945">
        <v>2.0419908607725686E-2</v>
      </c>
      <c r="G19" s="454">
        <v>6.7027275059332939E-2</v>
      </c>
      <c r="H19" s="422" t="s">
        <v>744</v>
      </c>
      <c r="I19" s="1138">
        <v>0.30600429686149977</v>
      </c>
      <c r="J19" s="1137">
        <v>1.1465003911179158E-3</v>
      </c>
      <c r="K19" s="454">
        <v>0.16216993290555101</v>
      </c>
      <c r="L19" s="945">
        <v>0.24126758874547449</v>
      </c>
      <c r="M19" s="1138">
        <v>0.40343784616288259</v>
      </c>
      <c r="N19" s="1139">
        <v>1.9746546504252808E-4</v>
      </c>
      <c r="O19" s="1140">
        <v>0.31057245027383124</v>
      </c>
      <c r="P19" s="1137">
        <v>1</v>
      </c>
    </row>
    <row r="20" spans="1:16" ht="20" customHeight="1" thickBot="1">
      <c r="A20" s="1141" t="s">
        <v>1821</v>
      </c>
      <c r="B20" s="1137">
        <v>0.34870511285491307</v>
      </c>
      <c r="C20" s="454">
        <v>9.4673082184215274E-2</v>
      </c>
      <c r="D20" s="945">
        <v>2.560202569780172E-2</v>
      </c>
      <c r="E20" s="454">
        <v>7.6276163049471227E-2</v>
      </c>
      <c r="F20" s="945">
        <v>1.0095398509809003E-2</v>
      </c>
      <c r="G20" s="454">
        <v>5.4569261909433633E-2</v>
      </c>
      <c r="H20" s="422" t="s">
        <v>744</v>
      </c>
      <c r="I20" s="1138">
        <v>0.26121593135073085</v>
      </c>
      <c r="J20" s="1137">
        <v>1.2213190432092003E-3</v>
      </c>
      <c r="K20" s="454">
        <v>0.13507541604311271</v>
      </c>
      <c r="L20" s="945">
        <v>0.2537824537397157</v>
      </c>
      <c r="M20" s="1138">
        <v>0.38885717068778369</v>
      </c>
      <c r="N20" s="1139">
        <v>4.6864069357685452E-2</v>
      </c>
      <c r="O20" s="1140">
        <v>0.2586940624925721</v>
      </c>
      <c r="P20" s="1137">
        <v>1</v>
      </c>
    </row>
    <row r="21" spans="1:16" ht="20" customHeight="1" thickBot="1">
      <c r="A21" s="1141" t="s">
        <v>1822</v>
      </c>
      <c r="B21" s="1137">
        <v>0.34334238187030286</v>
      </c>
      <c r="C21" s="454">
        <v>8.6524568265755872E-2</v>
      </c>
      <c r="D21" s="945">
        <v>1.9954999785083471E-2</v>
      </c>
      <c r="E21" s="454">
        <v>7.2369008375131841E-2</v>
      </c>
      <c r="F21" s="945">
        <v>8.4718442814017848E-3</v>
      </c>
      <c r="G21" s="454">
        <v>4.0006712008543763E-2</v>
      </c>
      <c r="H21" s="422" t="s">
        <v>744</v>
      </c>
      <c r="I21" s="1138">
        <v>0.22732713271591676</v>
      </c>
      <c r="J21" s="1137">
        <v>1.2399030561130527E-3</v>
      </c>
      <c r="K21" s="454">
        <v>0.14267729787100381</v>
      </c>
      <c r="L21" s="945">
        <v>0.28541163128258878</v>
      </c>
      <c r="M21" s="1138">
        <v>0.42808892915359259</v>
      </c>
      <c r="N21" s="1139">
        <v>3.0873586097215017E-3</v>
      </c>
      <c r="O21" s="1140">
        <v>0.36447280975258151</v>
      </c>
      <c r="P21" s="1137">
        <v>1</v>
      </c>
    </row>
    <row r="22" spans="1:16" ht="20" customHeight="1" thickBot="1">
      <c r="A22" s="1141" t="s">
        <v>1823</v>
      </c>
      <c r="B22" s="1137">
        <v>0.29777279802485429</v>
      </c>
      <c r="C22" s="454">
        <v>7.9736579740210839E-2</v>
      </c>
      <c r="D22" s="945">
        <v>1.8567799900301281E-2</v>
      </c>
      <c r="E22" s="454">
        <v>6.7222423772992257E-2</v>
      </c>
      <c r="F22" s="945">
        <v>8.3852836038436802E-3</v>
      </c>
      <c r="G22" s="454">
        <v>5.0436696083655329E-2</v>
      </c>
      <c r="H22" s="422" t="s">
        <v>744</v>
      </c>
      <c r="I22" s="1138">
        <v>0.2243487831010034</v>
      </c>
      <c r="J22" s="1137">
        <v>1.0440589040901283E-3</v>
      </c>
      <c r="K22" s="454">
        <v>0.1858921805628207</v>
      </c>
      <c r="L22" s="945">
        <v>0.29094217940723155</v>
      </c>
      <c r="M22" s="1138">
        <v>0.4768343599700523</v>
      </c>
      <c r="N22" s="1139">
        <v>7.2007252011096201E-2</v>
      </c>
      <c r="O22" s="1140">
        <v>0.32383501770171763</v>
      </c>
      <c r="P22" s="1137">
        <v>1</v>
      </c>
    </row>
    <row r="23" spans="1:16" ht="20" customHeight="1" thickBot="1">
      <c r="A23" s="1141" t="s">
        <v>1824</v>
      </c>
      <c r="B23" s="1137">
        <v>0.45671549796038202</v>
      </c>
      <c r="C23" s="454">
        <v>7.0073870201180569E-2</v>
      </c>
      <c r="D23" s="945">
        <v>2.1113783785647044E-2</v>
      </c>
      <c r="E23" s="454">
        <v>8.4199620031515182E-2</v>
      </c>
      <c r="F23" s="945">
        <v>1.0349293628661764E-2</v>
      </c>
      <c r="G23" s="454">
        <v>5.2221475330835862E-2</v>
      </c>
      <c r="H23" s="422" t="s">
        <v>744</v>
      </c>
      <c r="I23" s="1138">
        <v>0.23795804297784046</v>
      </c>
      <c r="J23" s="1137">
        <v>7.2095756182189352E-4</v>
      </c>
      <c r="K23" s="454">
        <v>0.15011661836371082</v>
      </c>
      <c r="L23" s="945">
        <v>0.15448844837548226</v>
      </c>
      <c r="M23" s="1138">
        <v>0.30460500463051271</v>
      </c>
      <c r="N23" s="1139">
        <v>9.0070008283434707E-4</v>
      </c>
      <c r="O23" s="1140">
        <v>0.24110546246465009</v>
      </c>
      <c r="P23" s="1137">
        <v>1</v>
      </c>
    </row>
    <row r="24" spans="1:16" ht="20" customHeight="1" thickBot="1">
      <c r="A24" s="1141" t="s">
        <v>1825</v>
      </c>
      <c r="B24" s="1137">
        <v>0.33506375395635374</v>
      </c>
      <c r="C24" s="454">
        <v>0.10148859741960554</v>
      </c>
      <c r="D24" s="945">
        <v>2.2518519053835982E-2</v>
      </c>
      <c r="E24" s="454">
        <v>8.3561143217698947E-2</v>
      </c>
      <c r="F24" s="945">
        <v>1.1849644313387654E-2</v>
      </c>
      <c r="G24" s="454">
        <v>5.9263235837348147E-2</v>
      </c>
      <c r="H24" s="422" t="s">
        <v>744</v>
      </c>
      <c r="I24" s="1138">
        <v>0.27868113984187626</v>
      </c>
      <c r="J24" s="1137">
        <v>1.3420431884346175E-3</v>
      </c>
      <c r="K24" s="454">
        <v>0.16919583401551699</v>
      </c>
      <c r="L24" s="945">
        <v>0.21571731206432138</v>
      </c>
      <c r="M24" s="1138">
        <v>0.38491306301333544</v>
      </c>
      <c r="N24" s="1139">
        <v>2.6145306406163468E-2</v>
      </c>
      <c r="O24" s="1140">
        <v>0.28994011901934674</v>
      </c>
      <c r="P24" s="1137">
        <v>1</v>
      </c>
    </row>
    <row r="25" spans="1:16" ht="20" customHeight="1" thickBot="1">
      <c r="A25" s="1141" t="s">
        <v>1826</v>
      </c>
      <c r="B25" s="1137">
        <v>0.27090835156416587</v>
      </c>
      <c r="C25" s="454">
        <v>7.9706453629335719E-2</v>
      </c>
      <c r="D25" s="945">
        <v>2.0231606124400704E-2</v>
      </c>
      <c r="E25" s="454">
        <v>8.4969227272273365E-2</v>
      </c>
      <c r="F25" s="945">
        <v>1.2195310619909016E-2</v>
      </c>
      <c r="G25" s="454">
        <v>6.5931151897652834E-2</v>
      </c>
      <c r="H25" s="422" t="s">
        <v>744</v>
      </c>
      <c r="I25" s="1138">
        <v>0.26303374954357162</v>
      </c>
      <c r="J25" s="1137">
        <v>1.0292501701403515E-3</v>
      </c>
      <c r="K25" s="454">
        <v>0.17004416327657954</v>
      </c>
      <c r="L25" s="945">
        <v>0.29498443370362781</v>
      </c>
      <c r="M25" s="1138">
        <v>0.46502880394786666</v>
      </c>
      <c r="N25" s="1139">
        <v>3.3142714394305779E-2</v>
      </c>
      <c r="O25" s="1140">
        <v>0.36270999520818126</v>
      </c>
      <c r="P25" s="1137">
        <v>1</v>
      </c>
    </row>
    <row r="26" spans="1:16" ht="20" customHeight="1" thickBot="1">
      <c r="A26" s="1141" t="s">
        <v>1827</v>
      </c>
      <c r="B26" s="1137">
        <v>0.30641811099206095</v>
      </c>
      <c r="C26" s="454">
        <v>0.16985657712199856</v>
      </c>
      <c r="D26" s="945">
        <v>1.6066139198811308E-2</v>
      </c>
      <c r="E26" s="454">
        <v>8.7519186009688082E-2</v>
      </c>
      <c r="F26" s="945">
        <v>6.4499350847134198E-3</v>
      </c>
      <c r="G26" s="454">
        <v>0.10902191320864588</v>
      </c>
      <c r="H26" s="422" t="s">
        <v>744</v>
      </c>
      <c r="I26" s="1138">
        <v>0.38891375062385725</v>
      </c>
      <c r="J26" s="1137">
        <v>5.4791462772508864E-4</v>
      </c>
      <c r="K26" s="454">
        <v>9.2512121595416691E-2</v>
      </c>
      <c r="L26" s="945">
        <v>0.21160828768089263</v>
      </c>
      <c r="M26" s="1138">
        <v>0.30412033506832836</v>
      </c>
      <c r="N26" s="1139">
        <v>8.3339273063812679E-4</v>
      </c>
      <c r="O26" s="1140">
        <v>0.16474283094319941</v>
      </c>
      <c r="P26" s="1137">
        <v>1</v>
      </c>
    </row>
    <row r="27" spans="1:16" ht="20" customHeight="1" thickBot="1">
      <c r="A27" s="1141" t="s">
        <v>1828</v>
      </c>
      <c r="B27" s="1137">
        <v>0.24463928740524027</v>
      </c>
      <c r="C27" s="454">
        <v>0.19771301633252858</v>
      </c>
      <c r="D27" s="945">
        <v>2.9884704068070658E-2</v>
      </c>
      <c r="E27" s="454">
        <v>9.9977372895518848E-2</v>
      </c>
      <c r="F27" s="945">
        <v>9.5172968078112517E-3</v>
      </c>
      <c r="G27" s="454">
        <v>0.11126291328294734</v>
      </c>
      <c r="H27" s="422" t="s">
        <v>744</v>
      </c>
      <c r="I27" s="1138">
        <v>0.44835530338687668</v>
      </c>
      <c r="J27" s="1137">
        <v>2.62876175611999E-4</v>
      </c>
      <c r="K27" s="454">
        <v>8.04663173741101E-2</v>
      </c>
      <c r="L27" s="945">
        <v>0.22627643886017795</v>
      </c>
      <c r="M27" s="1138">
        <v>0.30674266323344762</v>
      </c>
      <c r="N27" s="1139">
        <v>1.8443926677765385E-3</v>
      </c>
      <c r="O27" s="1140">
        <v>0.14336029334697095</v>
      </c>
      <c r="P27" s="1137">
        <v>1</v>
      </c>
    </row>
    <row r="28" spans="1:16" ht="20" customHeight="1" thickBot="1">
      <c r="A28" s="1141" t="s">
        <v>1829</v>
      </c>
      <c r="B28" s="1137">
        <v>0.45363432448628394</v>
      </c>
      <c r="C28" s="454">
        <v>0.19309117371588408</v>
      </c>
      <c r="D28" s="945">
        <v>2.2273629913002135E-2</v>
      </c>
      <c r="E28" s="454">
        <v>7.002930737616489E-2</v>
      </c>
      <c r="F28" s="945">
        <v>1.417017083848794E-2</v>
      </c>
      <c r="G28" s="454">
        <v>4.4030744552481842E-2</v>
      </c>
      <c r="H28" s="422" t="s">
        <v>744</v>
      </c>
      <c r="I28" s="1138">
        <v>0.34359502639602085</v>
      </c>
      <c r="J28" s="1137">
        <v>3.0571232734301628E-4</v>
      </c>
      <c r="K28" s="454">
        <v>8.2848240940719353E-2</v>
      </c>
      <c r="L28" s="945">
        <v>0.11961669584963278</v>
      </c>
      <c r="M28" s="1138">
        <v>0.20246501688265692</v>
      </c>
      <c r="N28" s="1139">
        <v>6.3753474604412097E-5</v>
      </c>
      <c r="O28" s="1140">
        <v>0.12389042123266221</v>
      </c>
      <c r="P28" s="1137">
        <v>1</v>
      </c>
    </row>
    <row r="29" spans="1:16" ht="20" customHeight="1" thickBot="1">
      <c r="A29" s="1141" t="s">
        <v>1830</v>
      </c>
      <c r="B29" s="1137">
        <v>0.28772929691642979</v>
      </c>
      <c r="C29" s="454">
        <v>0.17051833605183372</v>
      </c>
      <c r="D29" s="945">
        <v>1.9330202962620238E-2</v>
      </c>
      <c r="E29" s="454">
        <v>7.4735168085181602E-2</v>
      </c>
      <c r="F29" s="945">
        <v>7.5926330423445008E-3</v>
      </c>
      <c r="G29" s="454">
        <v>0.10261225421458026</v>
      </c>
      <c r="H29" s="422" t="s">
        <v>744</v>
      </c>
      <c r="I29" s="1138">
        <v>0.37478859435656031</v>
      </c>
      <c r="J29" s="1137">
        <v>3.4289925685846188E-4</v>
      </c>
      <c r="K29" s="454">
        <v>9.0306461718286865E-2</v>
      </c>
      <c r="L29" s="945">
        <v>0.2468329677941683</v>
      </c>
      <c r="M29" s="1138">
        <v>0.33713950285988981</v>
      </c>
      <c r="N29" s="1139">
        <v>1.7750079178555671E-5</v>
      </c>
      <c r="O29" s="1140">
        <v>0.22938845402824842</v>
      </c>
      <c r="P29" s="1137">
        <v>1</v>
      </c>
    </row>
    <row r="30" spans="1:16" ht="20" customHeight="1" thickBot="1">
      <c r="A30" s="1141" t="s">
        <v>1831</v>
      </c>
      <c r="B30" s="1137">
        <v>0.31151587341249953</v>
      </c>
      <c r="C30" s="454">
        <v>0.21293684588561718</v>
      </c>
      <c r="D30" s="945">
        <v>2.4192923107676886E-2</v>
      </c>
      <c r="E30" s="454">
        <v>8.5931754566215074E-2</v>
      </c>
      <c r="F30" s="945">
        <v>5.5850669002750096E-3</v>
      </c>
      <c r="G30" s="454">
        <v>8.7292163047648169E-2</v>
      </c>
      <c r="H30" s="422" t="s">
        <v>744</v>
      </c>
      <c r="I30" s="1138">
        <v>0.41593875350743226</v>
      </c>
      <c r="J30" s="1137">
        <v>1.2809140318359959E-4</v>
      </c>
      <c r="K30" s="454">
        <v>7.2288289989872731E-2</v>
      </c>
      <c r="L30" s="945">
        <v>0.20012905293080968</v>
      </c>
      <c r="M30" s="1138">
        <v>0.27241740416448029</v>
      </c>
      <c r="N30" s="1139">
        <v>8.3581554445981254E-2</v>
      </c>
      <c r="O30" s="1140">
        <v>9.9335388430213681E-2</v>
      </c>
      <c r="P30" s="1137">
        <v>1</v>
      </c>
    </row>
    <row r="31" spans="1:16" ht="20" customHeight="1" thickBot="1">
      <c r="A31" s="1085" t="s">
        <v>1832</v>
      </c>
      <c r="B31" s="1137">
        <v>0.27400100389858778</v>
      </c>
      <c r="C31" s="454">
        <v>0.18355616290150276</v>
      </c>
      <c r="D31" s="945">
        <v>2.1982367738537935E-2</v>
      </c>
      <c r="E31" s="454">
        <v>0.12569448866205934</v>
      </c>
      <c r="F31" s="945">
        <v>1.3632812209467595E-2</v>
      </c>
      <c r="G31" s="454">
        <v>9.9531810288200892E-2</v>
      </c>
      <c r="H31" s="422" t="s">
        <v>744</v>
      </c>
      <c r="I31" s="1138">
        <v>0.44439764179976854</v>
      </c>
      <c r="J31" s="1137">
        <v>5.1555471383357384E-4</v>
      </c>
      <c r="K31" s="454">
        <v>7.910807946073195E-2</v>
      </c>
      <c r="L31" s="945">
        <v>0.20197790153267778</v>
      </c>
      <c r="M31" s="1138">
        <v>0.28108579958781021</v>
      </c>
      <c r="N31" s="1139">
        <v>0</v>
      </c>
      <c r="O31" s="1140">
        <v>0.20646877855437518</v>
      </c>
      <c r="P31" s="1137">
        <v>1</v>
      </c>
    </row>
    <row r="32" spans="1:16" ht="20" customHeight="1" thickBot="1">
      <c r="A32" s="1141" t="s">
        <v>2156</v>
      </c>
      <c r="B32" s="1137">
        <v>0.77968827466534463</v>
      </c>
      <c r="C32" s="454">
        <v>3.6818294496777391E-2</v>
      </c>
      <c r="D32" s="945">
        <v>2.0810609816559248E-2</v>
      </c>
      <c r="E32" s="454">
        <v>4.1419806643529997E-2</v>
      </c>
      <c r="F32" s="945">
        <v>5.1127912741695588E-3</v>
      </c>
      <c r="G32" s="454">
        <v>8.5625309866137825E-2</v>
      </c>
      <c r="H32" s="422" t="s">
        <v>744</v>
      </c>
      <c r="I32" s="1138">
        <v>0.18978681209717402</v>
      </c>
      <c r="J32" s="1137">
        <v>3.0986613782845812E-4</v>
      </c>
      <c r="K32" s="454">
        <v>1.2574367873078831E-2</v>
      </c>
      <c r="L32" s="945">
        <v>1.7634481903817549E-2</v>
      </c>
      <c r="M32" s="1138">
        <v>3.0211948438274665E-2</v>
      </c>
      <c r="N32" s="1139">
        <v>-3.3775409023301936E-4</v>
      </c>
      <c r="O32" s="1140">
        <v>2.0342711948438279E-2</v>
      </c>
      <c r="P32" s="1137">
        <v>1</v>
      </c>
    </row>
    <row r="33" spans="1:16" ht="5.25" customHeight="1" thickBot="1">
      <c r="A33" s="1085"/>
      <c r="B33" s="1137">
        <v>0</v>
      </c>
      <c r="C33" s="454">
        <v>0</v>
      </c>
      <c r="D33" s="945">
        <v>0</v>
      </c>
      <c r="E33" s="454">
        <v>0</v>
      </c>
      <c r="F33" s="945">
        <v>0</v>
      </c>
      <c r="G33" s="454">
        <v>0</v>
      </c>
      <c r="H33" s="422">
        <v>0</v>
      </c>
      <c r="I33" s="454">
        <v>0</v>
      </c>
      <c r="J33" s="945">
        <v>0</v>
      </c>
      <c r="K33" s="454">
        <v>0</v>
      </c>
      <c r="L33" s="945">
        <v>0</v>
      </c>
      <c r="M33" s="454">
        <v>0</v>
      </c>
      <c r="N33" s="1139">
        <v>0</v>
      </c>
      <c r="O33" s="1140">
        <v>0</v>
      </c>
      <c r="P33" s="1137">
        <v>0</v>
      </c>
    </row>
    <row r="34" spans="1:16" ht="30" customHeight="1" thickBot="1">
      <c r="A34" s="1142" t="s">
        <v>1222</v>
      </c>
      <c r="B34" s="948">
        <v>0.31099170090769795</v>
      </c>
      <c r="C34" s="1143">
        <v>0.14017244492412451</v>
      </c>
      <c r="D34" s="1144">
        <v>2.278093776945633E-2</v>
      </c>
      <c r="E34" s="1143">
        <v>8.4298703406714942E-2</v>
      </c>
      <c r="F34" s="1144">
        <v>1.1665074564720764E-2</v>
      </c>
      <c r="G34" s="1143">
        <v>7.6540237963501054E-2</v>
      </c>
      <c r="H34" s="1145" t="s">
        <v>744</v>
      </c>
      <c r="I34" s="1146">
        <v>0.33545739862851759</v>
      </c>
      <c r="J34" s="1147">
        <v>9.848393210747635E-4</v>
      </c>
      <c r="K34" s="461">
        <v>0.12497767953106785</v>
      </c>
      <c r="L34" s="970">
        <v>0.22758839612338311</v>
      </c>
      <c r="M34" s="598">
        <v>0.35256607565445097</v>
      </c>
      <c r="N34" s="1148">
        <v>3.2681592597752981E-2</v>
      </c>
      <c r="O34" s="1149">
        <v>0.20868754484964491</v>
      </c>
      <c r="P34" s="1147">
        <v>1</v>
      </c>
    </row>
    <row r="35" spans="1:16" ht="20" customHeight="1">
      <c r="A35" s="474" t="s">
        <v>1837</v>
      </c>
      <c r="B35" s="1150"/>
      <c r="C35" s="977"/>
      <c r="D35" s="977"/>
      <c r="E35" s="977"/>
      <c r="F35" s="977"/>
      <c r="G35" s="977"/>
      <c r="H35" s="1151"/>
      <c r="I35" s="1151"/>
      <c r="M35" s="99"/>
    </row>
    <row r="36" spans="1:16" ht="13.5" customHeight="1">
      <c r="B36" s="1152"/>
      <c r="C36" s="474"/>
      <c r="D36" s="474"/>
      <c r="E36" s="474"/>
      <c r="F36" s="474"/>
      <c r="G36" s="474"/>
      <c r="H36" s="1153"/>
      <c r="I36" s="1153"/>
      <c r="M36" s="3"/>
    </row>
    <row r="37" spans="1:16" ht="14.25" customHeight="1">
      <c r="A37" s="474" t="s">
        <v>1086</v>
      </c>
      <c r="B37" s="202"/>
      <c r="C37" s="201"/>
      <c r="D37" s="201"/>
      <c r="E37" s="201"/>
      <c r="F37" s="201"/>
      <c r="G37" s="201"/>
      <c r="H37" s="1154"/>
      <c r="I37" s="1154"/>
      <c r="M37" s="3"/>
    </row>
    <row r="38" spans="1:16" ht="12" customHeight="1">
      <c r="M38" s="3"/>
    </row>
    <row r="39" spans="1:16" ht="12" customHeight="1">
      <c r="A39" s="418" t="s">
        <v>1087</v>
      </c>
      <c r="M39" s="3"/>
    </row>
    <row r="40" spans="1:16" ht="12" customHeight="1">
      <c r="A40" s="418" t="s">
        <v>1088</v>
      </c>
      <c r="M40" s="3"/>
    </row>
    <row r="41" spans="1:16" ht="12" customHeight="1">
      <c r="A41" s="474" t="s">
        <v>1089</v>
      </c>
      <c r="M41" s="3"/>
    </row>
    <row r="42" spans="1:16" ht="12" customHeight="1">
      <c r="A42" s="474" t="s">
        <v>2506</v>
      </c>
      <c r="M42" s="3"/>
    </row>
    <row r="43" spans="1:16" ht="12" customHeight="1">
      <c r="M43" s="3"/>
    </row>
    <row r="44" spans="1:16" ht="12" customHeight="1"/>
    <row r="45" spans="1:16" ht="12" customHeight="1">
      <c r="A45" s="2" t="s">
        <v>710</v>
      </c>
    </row>
    <row r="49" spans="1:12">
      <c r="A49" s="99"/>
      <c r="B49" s="99"/>
      <c r="C49" s="1100"/>
      <c r="D49" s="385"/>
      <c r="E49" s="1101"/>
      <c r="F49" s="385"/>
      <c r="G49" s="1155"/>
      <c r="H49" s="1156"/>
      <c r="I49" s="1156"/>
      <c r="J49" s="99"/>
      <c r="K49" s="3"/>
      <c r="L49" s="3"/>
    </row>
    <row r="50" spans="1:12">
      <c r="A50" s="1101"/>
      <c r="B50" s="1101"/>
      <c r="C50" s="1101"/>
      <c r="D50" s="1102"/>
      <c r="E50" s="1101"/>
      <c r="F50" s="86"/>
      <c r="G50" s="3"/>
      <c r="H50" s="1156"/>
      <c r="I50" s="1156"/>
      <c r="J50" s="99"/>
      <c r="K50" s="3"/>
      <c r="L50" s="3"/>
    </row>
  </sheetData>
  <phoneticPr fontId="0" type="noConversion"/>
  <pageMargins left="0.59055118110236227" right="0.51181102362204722" top="0.47244094488188981" bottom="0.44" header="0.31496062992125984" footer="0.32"/>
  <pageSetup paperSize="9" scale="56" orientation="landscape" horizontalDpi="4294967292" verticalDpi="4294967292"/>
  <headerFooter alignWithMargins="0"/>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35422-8108-D643-8A5C-A71F2B14C74C}">
  <sheetPr>
    <pageSetUpPr fitToPage="1"/>
  </sheetPr>
  <dimension ref="A1:P45"/>
  <sheetViews>
    <sheetView topLeftCell="A25" zoomScale="75" workbookViewId="0">
      <selection activeCell="B34" sqref="B34:P34"/>
    </sheetView>
  </sheetViews>
  <sheetFormatPr baseColWidth="10" defaultColWidth="11.3984375" defaultRowHeight="13"/>
  <cols>
    <col min="1" max="1" width="14.796875" style="2" customWidth="1"/>
    <col min="2" max="2" width="14.796875" style="277" customWidth="1"/>
    <col min="3" max="4" width="12.3984375" style="2" customWidth="1"/>
    <col min="5" max="7" width="12.59765625" style="2" customWidth="1"/>
    <col min="8" max="8" width="14.59765625" style="922" customWidth="1"/>
    <col min="9" max="9" width="17" style="922" customWidth="1"/>
    <col min="10" max="10" width="16" style="277" customWidth="1"/>
    <col min="11" max="14" width="13.3984375" style="2" customWidth="1"/>
    <col min="15" max="15" width="15.19921875" style="2" customWidth="1"/>
    <col min="16" max="16" width="13.3984375" style="2" customWidth="1"/>
    <col min="17" max="16384" width="11.3984375" style="2"/>
  </cols>
  <sheetData>
    <row r="1" spans="1:16" s="1" customFormat="1" ht="14" customHeight="1">
      <c r="A1" s="271"/>
      <c r="B1" s="272"/>
      <c r="C1" s="271"/>
      <c r="D1" s="271"/>
      <c r="E1" s="271"/>
      <c r="F1" s="271"/>
      <c r="G1" s="271"/>
      <c r="H1" s="1120"/>
      <c r="I1" s="1120"/>
      <c r="J1" s="16"/>
    </row>
    <row r="2" spans="1:16" s="1" customFormat="1" ht="28" customHeight="1">
      <c r="A2" s="118" t="s">
        <v>2218</v>
      </c>
      <c r="B2" s="272"/>
      <c r="C2" s="271"/>
      <c r="D2" s="271"/>
      <c r="E2" s="271"/>
      <c r="F2" s="271"/>
      <c r="G2" s="271"/>
      <c r="H2" s="1120"/>
      <c r="I2" s="1120"/>
      <c r="J2" s="1121"/>
      <c r="K2" s="894"/>
      <c r="P2" s="894">
        <v>2009</v>
      </c>
    </row>
    <row r="3" spans="1:16" ht="57.75" customHeight="1">
      <c r="A3" s="802" t="s">
        <v>1797</v>
      </c>
      <c r="B3" s="1122" t="s">
        <v>1090</v>
      </c>
      <c r="C3" s="1123"/>
      <c r="D3" s="1123"/>
      <c r="E3" s="1123"/>
      <c r="F3" s="1123"/>
      <c r="G3" s="1123"/>
      <c r="H3" s="1124"/>
      <c r="I3" s="1123"/>
      <c r="J3" s="1125" t="s">
        <v>1073</v>
      </c>
      <c r="K3" s="1126" t="s">
        <v>1074</v>
      </c>
      <c r="L3" s="1127"/>
      <c r="M3" s="1123"/>
      <c r="N3" s="1123"/>
      <c r="O3" s="1123"/>
      <c r="P3" s="1128"/>
    </row>
    <row r="4" spans="1:16" ht="84.75" customHeight="1">
      <c r="A4" s="125"/>
      <c r="B4" s="1125" t="s">
        <v>2219</v>
      </c>
      <c r="C4" s="1079" t="s">
        <v>2220</v>
      </c>
      <c r="D4" s="1078" t="s">
        <v>2221</v>
      </c>
      <c r="E4" s="1079" t="s">
        <v>2222</v>
      </c>
      <c r="F4" s="1078" t="s">
        <v>2223</v>
      </c>
      <c r="G4" s="1079" t="s">
        <v>2224</v>
      </c>
      <c r="H4" s="1078" t="s">
        <v>2225</v>
      </c>
      <c r="I4" s="1129" t="s">
        <v>2217</v>
      </c>
      <c r="J4" s="1125"/>
      <c r="K4" s="1079" t="s">
        <v>1082</v>
      </c>
      <c r="L4" s="1078" t="s">
        <v>1083</v>
      </c>
      <c r="M4" s="1130" t="s">
        <v>2495</v>
      </c>
      <c r="N4" s="1131" t="s">
        <v>1084</v>
      </c>
      <c r="O4" s="1132" t="s">
        <v>1085</v>
      </c>
      <c r="P4" s="1133" t="s">
        <v>1567</v>
      </c>
    </row>
    <row r="5" spans="1:16" ht="24" customHeight="1">
      <c r="A5" s="127"/>
      <c r="B5" s="1134"/>
      <c r="C5" s="127"/>
      <c r="D5" s="126"/>
      <c r="E5" s="129"/>
      <c r="F5" s="128"/>
      <c r="G5" s="129"/>
      <c r="H5" s="1134"/>
      <c r="I5" s="1135"/>
      <c r="J5" s="225"/>
      <c r="K5" s="127"/>
      <c r="L5" s="128"/>
      <c r="M5" s="223"/>
      <c r="N5" s="128"/>
      <c r="O5" s="1135"/>
      <c r="P5" s="225"/>
    </row>
    <row r="6" spans="1:16" ht="30" customHeight="1" thickBot="1">
      <c r="A6" s="1136" t="s">
        <v>1807</v>
      </c>
      <c r="B6" s="1137">
        <v>0.60292767947845372</v>
      </c>
      <c r="C6" s="454">
        <v>2.1930230256713714E-3</v>
      </c>
      <c r="D6" s="945">
        <v>1.5301882486473604E-2</v>
      </c>
      <c r="E6" s="454">
        <v>5.9604195151703654E-3</v>
      </c>
      <c r="F6" s="945">
        <v>1.145891186990425E-2</v>
      </c>
      <c r="G6" s="454">
        <v>1.3594416158564293E-2</v>
      </c>
      <c r="H6" s="422">
        <v>6.3118331471918214E-3</v>
      </c>
      <c r="I6" s="1138">
        <v>4.8508653055783883E-2</v>
      </c>
      <c r="J6" s="1137">
        <v>5.2510082945734865E-5</v>
      </c>
      <c r="K6" s="454">
        <v>0.31475864548221427</v>
      </c>
      <c r="L6" s="945">
        <v>2.7440638361039136E-2</v>
      </c>
      <c r="M6" s="1138">
        <v>0.34219936462799633</v>
      </c>
      <c r="N6" s="1139">
        <v>4.1297968465675579E-2</v>
      </c>
      <c r="O6" s="1140">
        <v>0.18417237040612511</v>
      </c>
      <c r="P6" s="1137">
        <v>1</v>
      </c>
    </row>
    <row r="7" spans="1:16" ht="20" customHeight="1" thickBot="1">
      <c r="A7" s="1141" t="s">
        <v>1808</v>
      </c>
      <c r="B7" s="1137">
        <v>0.48582273534479703</v>
      </c>
      <c r="C7" s="454">
        <v>1.3727248853312544E-3</v>
      </c>
      <c r="D7" s="945">
        <v>1.9158157417770206E-2</v>
      </c>
      <c r="E7" s="454">
        <v>4.2850141259829439E-3</v>
      </c>
      <c r="F7" s="945">
        <v>1.2393423497508453E-2</v>
      </c>
      <c r="G7" s="454">
        <v>1.4924452828588472E-2</v>
      </c>
      <c r="H7" s="422">
        <v>6.4160294109381361E-3</v>
      </c>
      <c r="I7" s="1138">
        <v>5.2133772755181329E-2</v>
      </c>
      <c r="J7" s="1137">
        <v>5.0085231150854546E-5</v>
      </c>
      <c r="K7" s="454">
        <v>0.40973859460507489</v>
      </c>
      <c r="L7" s="945">
        <v>4.5838727002600929E-2</v>
      </c>
      <c r="M7" s="1138">
        <v>0.45557732160767578</v>
      </c>
      <c r="N7" s="1139">
        <v>1.4979323981827075E-2</v>
      </c>
      <c r="O7" s="1140">
        <v>0.14776851652386902</v>
      </c>
      <c r="P7" s="1137">
        <v>1</v>
      </c>
    </row>
    <row r="8" spans="1:16" ht="20" customHeight="1" thickBot="1">
      <c r="A8" s="1141" t="s">
        <v>1809</v>
      </c>
      <c r="B8" s="1137">
        <v>0.42075418120664065</v>
      </c>
      <c r="C8" s="454">
        <v>6.4461388847301363E-4</v>
      </c>
      <c r="D8" s="945">
        <v>4.3404264021892486E-3</v>
      </c>
      <c r="E8" s="454">
        <v>2.51815000402474E-3</v>
      </c>
      <c r="F8" s="945">
        <v>1.9600876895134678E-2</v>
      </c>
      <c r="G8" s="454">
        <v>5.8578975754809172E-3</v>
      </c>
      <c r="H8" s="422">
        <v>3.8532624384785071E-3</v>
      </c>
      <c r="I8" s="1138">
        <v>3.2961964765302595E-2</v>
      </c>
      <c r="J8" s="1137">
        <v>0</v>
      </c>
      <c r="K8" s="454">
        <v>0.46268213914797696</v>
      </c>
      <c r="L8" s="945">
        <v>7.9748321342579837E-2</v>
      </c>
      <c r="M8" s="1138">
        <v>0.54243059158957829</v>
      </c>
      <c r="N8" s="1139">
        <v>3.841057119581448E-2</v>
      </c>
      <c r="O8" s="1140">
        <v>0.2398662422903943</v>
      </c>
      <c r="P8" s="1137">
        <v>1</v>
      </c>
    </row>
    <row r="9" spans="1:16" ht="20" customHeight="1" thickBot="1">
      <c r="A9" s="1141" t="s">
        <v>1810</v>
      </c>
      <c r="B9" s="1137">
        <v>0.38920236047114848</v>
      </c>
      <c r="C9" s="454">
        <v>9.7356222244784137E-4</v>
      </c>
      <c r="D9" s="945">
        <v>5.0764315884780304E-3</v>
      </c>
      <c r="E9" s="454">
        <v>1.1411540050263626E-2</v>
      </c>
      <c r="F9" s="945">
        <v>5.1646085097683057E-2</v>
      </c>
      <c r="G9" s="454">
        <v>5.0068914297317557E-3</v>
      </c>
      <c r="H9" s="422">
        <v>4.3114898422690114E-3</v>
      </c>
      <c r="I9" s="1138">
        <v>7.4114510388604296E-2</v>
      </c>
      <c r="J9" s="1137">
        <v>0</v>
      </c>
      <c r="K9" s="454">
        <v>0.47043221990267153</v>
      </c>
      <c r="L9" s="945">
        <v>6.1943591804831367E-2</v>
      </c>
      <c r="M9" s="1138">
        <v>0.53237303010115311</v>
      </c>
      <c r="N9" s="1139">
        <v>1.0184851649979346E-2</v>
      </c>
      <c r="O9" s="1140">
        <v>0.16260714399958834</v>
      </c>
      <c r="P9" s="1137">
        <v>1</v>
      </c>
    </row>
    <row r="10" spans="1:16" ht="20" customHeight="1" thickBot="1">
      <c r="A10" s="1141" t="s">
        <v>1811</v>
      </c>
      <c r="B10" s="1137">
        <v>0.50233439881342923</v>
      </c>
      <c r="C10" s="454">
        <v>6.9004028288259067E-4</v>
      </c>
      <c r="D10" s="945">
        <v>8.3958293612479609E-3</v>
      </c>
      <c r="E10" s="454">
        <v>3.9536526335858958E-3</v>
      </c>
      <c r="F10" s="945">
        <v>3.5848847931270092E-2</v>
      </c>
      <c r="G10" s="454">
        <v>7.7122348823844321E-3</v>
      </c>
      <c r="H10" s="422">
        <v>4.9337540973262125E-3</v>
      </c>
      <c r="I10" s="1138">
        <v>5.6600605091370972E-2</v>
      </c>
      <c r="J10" s="1137">
        <v>0</v>
      </c>
      <c r="K10" s="454">
        <v>0.38308905997786713</v>
      </c>
      <c r="L10" s="945">
        <v>5.3043878284221961E-2</v>
      </c>
      <c r="M10" s="1138">
        <v>0.436132599009246</v>
      </c>
      <c r="N10" s="1139">
        <v>5.116950632604777E-3</v>
      </c>
      <c r="O10" s="1140">
        <v>0.23481555162173037</v>
      </c>
      <c r="P10" s="1137">
        <v>1</v>
      </c>
    </row>
    <row r="11" spans="1:16" ht="20" customHeight="1" thickBot="1">
      <c r="A11" s="1141" t="s">
        <v>1812</v>
      </c>
      <c r="B11" s="1137">
        <v>0.35956239793334965</v>
      </c>
      <c r="C11" s="454">
        <v>1.2896201864926538E-3</v>
      </c>
      <c r="D11" s="945">
        <v>4.6372026916409528E-3</v>
      </c>
      <c r="E11" s="454">
        <v>4.117282132244441E-3</v>
      </c>
      <c r="F11" s="945">
        <v>9.6599339442965514E-3</v>
      </c>
      <c r="G11" s="454">
        <v>3.5077669072600187E-3</v>
      </c>
      <c r="H11" s="422">
        <v>1.7199460803012552E-3</v>
      </c>
      <c r="I11" s="1138">
        <v>2.3211805861934616E-2</v>
      </c>
      <c r="J11" s="1137">
        <v>1.357494933150162E-4</v>
      </c>
      <c r="K11" s="454">
        <v>0.56637946598864319</v>
      </c>
      <c r="L11" s="945">
        <v>4.8990634642456191E-2</v>
      </c>
      <c r="M11" s="1138">
        <v>0.61537145812603256</v>
      </c>
      <c r="N11" s="1139">
        <v>9.3938649373991208E-4</v>
      </c>
      <c r="O11" s="1140">
        <v>0.32801150069707369</v>
      </c>
      <c r="P11" s="1137">
        <v>1</v>
      </c>
    </row>
    <row r="12" spans="1:16" ht="20" customHeight="1" thickBot="1">
      <c r="A12" s="1141" t="s">
        <v>1813</v>
      </c>
      <c r="B12" s="1137">
        <v>0.42928728631451485</v>
      </c>
      <c r="C12" s="454">
        <v>1.2991973558735413E-3</v>
      </c>
      <c r="D12" s="945">
        <v>5.6294221430000539E-3</v>
      </c>
      <c r="E12" s="454">
        <v>3.5078328608585613E-3</v>
      </c>
      <c r="F12" s="945">
        <v>2.52044287039467E-2</v>
      </c>
      <c r="G12" s="454">
        <v>3.4753529269617228E-3</v>
      </c>
      <c r="H12" s="422">
        <v>3.7676723320332695E-3</v>
      </c>
      <c r="I12" s="1138">
        <v>3.9116233990640577E-2</v>
      </c>
      <c r="J12" s="1137">
        <v>1.195261567403658E-4</v>
      </c>
      <c r="K12" s="454">
        <v>0.46224402564095901</v>
      </c>
      <c r="L12" s="945">
        <v>6.5467853959823616E-2</v>
      </c>
      <c r="M12" s="1138">
        <v>0.52771058040342678</v>
      </c>
      <c r="N12" s="1139">
        <v>1.6681694049416271E-3</v>
      </c>
      <c r="O12" s="1140">
        <v>0.19420661915068868</v>
      </c>
      <c r="P12" s="1137">
        <v>1</v>
      </c>
    </row>
    <row r="13" spans="1:16" ht="20" customHeight="1" thickBot="1">
      <c r="A13" s="1141" t="s">
        <v>1814</v>
      </c>
      <c r="B13" s="1137">
        <v>0.59033883565590384</v>
      </c>
      <c r="C13" s="454">
        <v>8.7763289869608829E-4</v>
      </c>
      <c r="D13" s="945">
        <v>7.8586824302695323E-3</v>
      </c>
      <c r="E13" s="454">
        <v>1.319383682963785E-2</v>
      </c>
      <c r="F13" s="945">
        <v>2.4575054952090315E-2</v>
      </c>
      <c r="G13" s="454">
        <v>5.1684308243880577E-3</v>
      </c>
      <c r="H13" s="422">
        <v>2.0050844021425984E-2</v>
      </c>
      <c r="I13" s="1138">
        <v>5.1673637935081847E-2</v>
      </c>
      <c r="J13" s="1137">
        <v>1.3337885998420795E-4</v>
      </c>
      <c r="K13" s="454">
        <v>0.30838392838088735</v>
      </c>
      <c r="L13" s="945">
        <v>2.9422042723916433E-2</v>
      </c>
      <c r="M13" s="1138">
        <v>0.33780597110480376</v>
      </c>
      <c r="N13" s="1139">
        <v>0</v>
      </c>
      <c r="O13" s="1140">
        <v>0.18715454875264093</v>
      </c>
      <c r="P13" s="1137">
        <v>1</v>
      </c>
    </row>
    <row r="14" spans="1:16" ht="20" customHeight="1" thickBot="1">
      <c r="A14" s="1141" t="s">
        <v>1815</v>
      </c>
      <c r="B14" s="1137">
        <v>0.55465198891651057</v>
      </c>
      <c r="C14" s="454">
        <v>9.8611686668210433E-4</v>
      </c>
      <c r="D14" s="945">
        <v>1.1674695591523945E-2</v>
      </c>
      <c r="E14" s="454">
        <v>3.9602453365953309E-3</v>
      </c>
      <c r="F14" s="945">
        <v>2.0967860943136095E-2</v>
      </c>
      <c r="G14" s="454">
        <v>1.006628097509092E-2</v>
      </c>
      <c r="H14" s="422">
        <v>4.2618810840510338E-3</v>
      </c>
      <c r="I14" s="1138">
        <v>4.7655199713028396E-2</v>
      </c>
      <c r="J14" s="1137">
        <v>0</v>
      </c>
      <c r="K14" s="454">
        <v>0.35598586859725923</v>
      </c>
      <c r="L14" s="945">
        <v>3.7445061689150905E-2</v>
      </c>
      <c r="M14" s="1138">
        <v>0.39343139434140628</v>
      </c>
      <c r="N14" s="1139">
        <v>4.6923384984201247E-2</v>
      </c>
      <c r="O14" s="1140">
        <v>0.15293118018002549</v>
      </c>
      <c r="P14" s="1137">
        <v>1</v>
      </c>
    </row>
    <row r="15" spans="1:16" ht="20" customHeight="1" thickBot="1">
      <c r="A15" s="1141" t="s">
        <v>1816</v>
      </c>
      <c r="B15" s="1137">
        <v>0.57656073774298411</v>
      </c>
      <c r="C15" s="454">
        <v>1.8916111525217798E-3</v>
      </c>
      <c r="D15" s="945">
        <v>2.6600446454704749E-2</v>
      </c>
      <c r="E15" s="454">
        <v>9.1178812133889588E-3</v>
      </c>
      <c r="F15" s="945">
        <v>1.4775803507895561E-2</v>
      </c>
      <c r="G15" s="454">
        <v>9.5151309379321296E-3</v>
      </c>
      <c r="H15" s="422">
        <v>7.4482290760130767E-3</v>
      </c>
      <c r="I15" s="1138">
        <v>6.1900873266443182E-2</v>
      </c>
      <c r="J15" s="1137">
        <v>3.2521467420644368E-5</v>
      </c>
      <c r="K15" s="454">
        <v>0.31986619367444452</v>
      </c>
      <c r="L15" s="945">
        <v>3.4192420416717079E-2</v>
      </c>
      <c r="M15" s="1138">
        <v>0.35405877669849867</v>
      </c>
      <c r="N15" s="1139">
        <v>3.8851771054072798E-3</v>
      </c>
      <c r="O15" s="1140">
        <v>0.17824203256569662</v>
      </c>
      <c r="P15" s="1137">
        <v>1</v>
      </c>
    </row>
    <row r="16" spans="1:16" ht="20" customHeight="1" thickBot="1">
      <c r="A16" s="1141" t="s">
        <v>1817</v>
      </c>
      <c r="B16" s="1137">
        <v>0.56005365875018864</v>
      </c>
      <c r="C16" s="454">
        <v>1.5269998603328477E-3</v>
      </c>
      <c r="D16" s="945">
        <v>1.2872206215956132E-2</v>
      </c>
      <c r="E16" s="454">
        <v>5.1865697892686238E-3</v>
      </c>
      <c r="F16" s="945">
        <v>1.480907624809618E-2</v>
      </c>
      <c r="G16" s="454">
        <v>8.335617883953407E-3</v>
      </c>
      <c r="H16" s="422">
        <v>6.5543947524996371E-3</v>
      </c>
      <c r="I16" s="1138">
        <v>4.2730469997607191E-2</v>
      </c>
      <c r="J16" s="1137">
        <v>6.2258760274511328E-5</v>
      </c>
      <c r="K16" s="454">
        <v>0.34652665639950536</v>
      </c>
      <c r="L16" s="945">
        <v>4.4074014044331145E-2</v>
      </c>
      <c r="M16" s="1138">
        <v>0.39060046291463563</v>
      </c>
      <c r="N16" s="1139">
        <v>4.3176450250373612E-3</v>
      </c>
      <c r="O16" s="1140">
        <v>0.20415353093295377</v>
      </c>
      <c r="P16" s="1137">
        <v>1</v>
      </c>
    </row>
    <row r="17" spans="1:16" ht="20" customHeight="1" thickBot="1">
      <c r="A17" s="1141" t="s">
        <v>1818</v>
      </c>
      <c r="B17" s="1137">
        <v>0.56894570115976806</v>
      </c>
      <c r="C17" s="454">
        <v>1.7797866927995729E-3</v>
      </c>
      <c r="D17" s="945">
        <v>2.2687676502735399E-2</v>
      </c>
      <c r="E17" s="454">
        <v>5.3231112650134514E-3</v>
      </c>
      <c r="F17" s="945">
        <v>2.1162093468229778E-2</v>
      </c>
      <c r="G17" s="454">
        <v>8.1124908961509434E-3</v>
      </c>
      <c r="H17" s="422">
        <v>1.3453656398259137E-2</v>
      </c>
      <c r="I17" s="1138">
        <v>5.9065158824929145E-2</v>
      </c>
      <c r="J17" s="1137">
        <v>0</v>
      </c>
      <c r="K17" s="454">
        <v>0.3220843400075033</v>
      </c>
      <c r="L17" s="945">
        <v>3.6451865779024081E-2</v>
      </c>
      <c r="M17" s="1138">
        <v>0.3585362057865274</v>
      </c>
      <c r="N17" s="1139">
        <v>0.14962376775318267</v>
      </c>
      <c r="O17" s="1140">
        <v>0.12140643951306999</v>
      </c>
      <c r="P17" s="1137">
        <v>1</v>
      </c>
    </row>
    <row r="18" spans="1:16" ht="20" customHeight="1" thickBot="1">
      <c r="A18" s="1141" t="s">
        <v>1819</v>
      </c>
      <c r="B18" s="1137">
        <v>0.54368966266086427</v>
      </c>
      <c r="C18" s="454">
        <v>1.4724113742922494E-3</v>
      </c>
      <c r="D18" s="945">
        <v>1.70293269534884E-2</v>
      </c>
      <c r="E18" s="454">
        <v>5.1404461674395023E-3</v>
      </c>
      <c r="F18" s="945">
        <v>2.0187487182627761E-2</v>
      </c>
      <c r="G18" s="454">
        <v>1.4571614712913022E-2</v>
      </c>
      <c r="H18" s="422">
        <v>1.2155602999698223E-2</v>
      </c>
      <c r="I18" s="1138">
        <v>5.8401286390760941E-2</v>
      </c>
      <c r="J18" s="1137">
        <v>2.0145182299798183E-5</v>
      </c>
      <c r="K18" s="454">
        <v>0.34226261823711118</v>
      </c>
      <c r="L18" s="945">
        <v>4.34716917883805E-2</v>
      </c>
      <c r="M18" s="1138">
        <v>0.38573370567002269</v>
      </c>
      <c r="N18" s="1139">
        <v>1.4645346080130283E-2</v>
      </c>
      <c r="O18" s="1140">
        <v>0.21575913291912149</v>
      </c>
      <c r="P18" s="1137">
        <v>1</v>
      </c>
    </row>
    <row r="19" spans="1:16" ht="20" customHeight="1" thickBot="1">
      <c r="A19" s="1141" t="s">
        <v>1820</v>
      </c>
      <c r="B19" s="1137">
        <v>0.51685472563182933</v>
      </c>
      <c r="C19" s="454">
        <v>8.4333658589117529E-4</v>
      </c>
      <c r="D19" s="945">
        <v>9.2104870614413258E-3</v>
      </c>
      <c r="E19" s="454">
        <v>3.2561960499249438E-3</v>
      </c>
      <c r="F19" s="945">
        <v>1.6559666973003768E-2</v>
      </c>
      <c r="G19" s="454">
        <v>1.3273637618487334E-2</v>
      </c>
      <c r="H19" s="422">
        <v>4.9967146982870586E-3</v>
      </c>
      <c r="I19" s="1138">
        <v>4.314332428874855E-2</v>
      </c>
      <c r="J19" s="1137">
        <v>1.4552831508044439E-4</v>
      </c>
      <c r="K19" s="454">
        <v>0.39206783365822528</v>
      </c>
      <c r="L19" s="945">
        <v>4.2795511615706286E-2</v>
      </c>
      <c r="M19" s="1138">
        <v>0.43486261763235617</v>
      </c>
      <c r="N19" s="1139">
        <v>5.9448316710361538E-4</v>
      </c>
      <c r="O19" s="1140">
        <v>0.27478801981804596</v>
      </c>
      <c r="P19" s="1137">
        <v>1</v>
      </c>
    </row>
    <row r="20" spans="1:16" ht="20" customHeight="1" thickBot="1">
      <c r="A20" s="1141" t="s">
        <v>1821</v>
      </c>
      <c r="B20" s="1137">
        <v>0.49979602384951916</v>
      </c>
      <c r="C20" s="454">
        <v>9.534269839218799E-4</v>
      </c>
      <c r="D20" s="945">
        <v>5.3532202388643785E-3</v>
      </c>
      <c r="E20" s="454">
        <v>7.7455559042327359E-3</v>
      </c>
      <c r="F20" s="945">
        <v>1.0506156203274693E-2</v>
      </c>
      <c r="G20" s="454">
        <v>1.003728794787071E-2</v>
      </c>
      <c r="H20" s="422">
        <v>3.0919461724475293E-3</v>
      </c>
      <c r="I20" s="1138">
        <v>3.4595647278164401E-2</v>
      </c>
      <c r="J20" s="1137">
        <v>0</v>
      </c>
      <c r="K20" s="454">
        <v>0.41591660052055451</v>
      </c>
      <c r="L20" s="945">
        <v>4.6600705148321118E-2</v>
      </c>
      <c r="M20" s="1138">
        <v>0.46251730566887561</v>
      </c>
      <c r="N20" s="1139">
        <v>3.4871615011167922E-2</v>
      </c>
      <c r="O20" s="1140">
        <v>0.29471507946763148</v>
      </c>
      <c r="P20" s="1137">
        <v>1</v>
      </c>
    </row>
    <row r="21" spans="1:16" ht="20" customHeight="1" thickBot="1">
      <c r="A21" s="1141" t="s">
        <v>1822</v>
      </c>
      <c r="B21" s="1137">
        <v>0.42371311923902522</v>
      </c>
      <c r="C21" s="454">
        <v>5.6119084697728576E-4</v>
      </c>
      <c r="D21" s="945">
        <v>3.086549658375072E-3</v>
      </c>
      <c r="E21" s="454">
        <v>4.1163348625783917E-3</v>
      </c>
      <c r="F21" s="945">
        <v>3.9058882949619092E-3</v>
      </c>
      <c r="G21" s="454">
        <v>7.1776309328394853E-3</v>
      </c>
      <c r="H21" s="422">
        <v>3.9283359288410005E-3</v>
      </c>
      <c r="I21" s="1138">
        <v>1.8847594595732143E-2</v>
      </c>
      <c r="J21" s="1137">
        <v>0</v>
      </c>
      <c r="K21" s="454">
        <v>0.49922976556252369</v>
      </c>
      <c r="L21" s="945">
        <v>5.4283990628112858E-2</v>
      </c>
      <c r="M21" s="1138">
        <v>0.55351375619063659</v>
      </c>
      <c r="N21" s="1139">
        <v>9.8208398221025011E-4</v>
      </c>
      <c r="O21" s="1140">
        <v>0.45632953126534509</v>
      </c>
      <c r="P21" s="1137">
        <v>1</v>
      </c>
    </row>
    <row r="22" spans="1:16" ht="20" customHeight="1" thickBot="1">
      <c r="A22" s="1141" t="s">
        <v>1823</v>
      </c>
      <c r="B22" s="1137">
        <v>0.43231989028781703</v>
      </c>
      <c r="C22" s="454">
        <v>5.1973006659844316E-4</v>
      </c>
      <c r="D22" s="945">
        <v>5.5661479356888584E-3</v>
      </c>
      <c r="E22" s="454">
        <v>2.7984680910410485E-3</v>
      </c>
      <c r="F22" s="945">
        <v>1.8927125444161232E-2</v>
      </c>
      <c r="G22" s="454">
        <v>6.9621196504657274E-3</v>
      </c>
      <c r="H22" s="422">
        <v>5.0709872975035625E-3</v>
      </c>
      <c r="I22" s="1138">
        <v>3.4773591187955311E-2</v>
      </c>
      <c r="J22" s="1137">
        <v>6.1168701443520179E-5</v>
      </c>
      <c r="K22" s="454">
        <v>0.46900133327379578</v>
      </c>
      <c r="L22" s="945">
        <v>5.8772519512306019E-2</v>
      </c>
      <c r="M22" s="1138">
        <v>0.52777405668177324</v>
      </c>
      <c r="N22" s="1139">
        <v>8.5981275444905456E-2</v>
      </c>
      <c r="O22" s="1140">
        <v>0.29499890813867918</v>
      </c>
      <c r="P22" s="1137">
        <v>1</v>
      </c>
    </row>
    <row r="23" spans="1:16" ht="20" customHeight="1" thickBot="1">
      <c r="A23" s="1141" t="s">
        <v>1824</v>
      </c>
      <c r="B23" s="1137">
        <v>0.59392443705984355</v>
      </c>
      <c r="C23" s="454">
        <v>9.1339006554148666E-4</v>
      </c>
      <c r="D23" s="945">
        <v>6.1796502258347711E-3</v>
      </c>
      <c r="E23" s="454">
        <v>2.3185400295964499E-3</v>
      </c>
      <c r="F23" s="945">
        <v>7.2685065831091262E-3</v>
      </c>
      <c r="G23" s="454">
        <v>6.8945759905327704E-3</v>
      </c>
      <c r="H23" s="422">
        <v>8.3349327833496679E-3</v>
      </c>
      <c r="I23" s="1138">
        <v>2.3574662894614604E-2</v>
      </c>
      <c r="J23" s="1137">
        <v>0</v>
      </c>
      <c r="K23" s="454">
        <v>0.35210150696584142</v>
      </c>
      <c r="L23" s="945">
        <v>2.2064460296350639E-2</v>
      </c>
      <c r="M23" s="1138">
        <v>0.37416568333615363</v>
      </c>
      <c r="N23" s="1139">
        <v>8.2821225402067661E-4</v>
      </c>
      <c r="O23" s="1140">
        <v>0.26635896655464836</v>
      </c>
      <c r="P23" s="1137">
        <v>1</v>
      </c>
    </row>
    <row r="24" spans="1:16" ht="20" customHeight="1" thickBot="1">
      <c r="A24" s="1141" t="s">
        <v>1825</v>
      </c>
      <c r="B24" s="1137">
        <v>0.58877981755042741</v>
      </c>
      <c r="C24" s="454">
        <v>1.5737189275154236E-3</v>
      </c>
      <c r="D24" s="945">
        <v>1.1141966972233507E-2</v>
      </c>
      <c r="E24" s="454">
        <v>3.969582496535542E-3</v>
      </c>
      <c r="F24" s="945">
        <v>9.8942998895657948E-3</v>
      </c>
      <c r="G24" s="454">
        <v>1.0967725404025788E-2</v>
      </c>
      <c r="H24" s="422">
        <v>4.4410596810976043E-3</v>
      </c>
      <c r="I24" s="1138">
        <v>3.7547293689876055E-2</v>
      </c>
      <c r="J24" s="1137">
        <v>6.7209862375204938E-5</v>
      </c>
      <c r="K24" s="454">
        <v>0.3371438244848049</v>
      </c>
      <c r="L24" s="945">
        <v>3.202029065745108E-2</v>
      </c>
      <c r="M24" s="1138">
        <v>0.36916445119156782</v>
      </c>
      <c r="N24" s="1139">
        <v>3.3175460167024912E-2</v>
      </c>
      <c r="O24" s="1140">
        <v>0.16421965359196811</v>
      </c>
      <c r="P24" s="1137">
        <v>1</v>
      </c>
    </row>
    <row r="25" spans="1:16" ht="20" customHeight="1" thickBot="1">
      <c r="A25" s="1141" t="s">
        <v>1826</v>
      </c>
      <c r="B25" s="1137">
        <v>0.43758543317750503</v>
      </c>
      <c r="C25" s="454">
        <v>7.3255191833583751E-4</v>
      </c>
      <c r="D25" s="945">
        <v>7.3253220488270687E-3</v>
      </c>
      <c r="E25" s="454">
        <v>3.7686208349909061E-3</v>
      </c>
      <c r="F25" s="945">
        <v>1.6977620105198873E-2</v>
      </c>
      <c r="G25" s="454">
        <v>1.5456727196167391E-2</v>
      </c>
      <c r="H25" s="422">
        <v>1.0891485720165956E-2</v>
      </c>
      <c r="I25" s="1138">
        <v>4.4260842103520076E-2</v>
      </c>
      <c r="J25" s="1137">
        <v>0</v>
      </c>
      <c r="K25" s="454">
        <v>0.44295163225420575</v>
      </c>
      <c r="L25" s="945">
        <v>6.4311198148197066E-2</v>
      </c>
      <c r="M25" s="1138">
        <v>0.50726263326787158</v>
      </c>
      <c r="N25" s="1139">
        <v>4.6436024521958622E-2</v>
      </c>
      <c r="O25" s="1140">
        <v>0.330352133527892</v>
      </c>
      <c r="P25" s="1137">
        <v>1</v>
      </c>
    </row>
    <row r="26" spans="1:16" ht="20" customHeight="1" thickBot="1">
      <c r="A26" s="1141" t="s">
        <v>1827</v>
      </c>
      <c r="B26" s="1137">
        <v>0.58029735555887563</v>
      </c>
      <c r="C26" s="454">
        <v>1.956416878321559E-3</v>
      </c>
      <c r="D26" s="945">
        <v>2.9325763558363391E-2</v>
      </c>
      <c r="E26" s="454">
        <v>5.4567263569035062E-3</v>
      </c>
      <c r="F26" s="945">
        <v>1.703267666958359E-2</v>
      </c>
      <c r="G26" s="454">
        <v>1.057759375066698E-2</v>
      </c>
      <c r="H26" s="422">
        <v>1.5331355516188932E-2</v>
      </c>
      <c r="I26" s="1138">
        <v>6.4349177213839037E-2</v>
      </c>
      <c r="J26" s="1137">
        <v>1.7074680383326576E-5</v>
      </c>
      <c r="K26" s="454">
        <v>0.29535969948562524</v>
      </c>
      <c r="L26" s="945">
        <v>4.4645679038695492E-2</v>
      </c>
      <c r="M26" s="1138">
        <v>0.34000452479030158</v>
      </c>
      <c r="N26" s="1139">
        <v>1.8765073741275906E-4</v>
      </c>
      <c r="O26" s="1140">
        <v>0.15773845858322838</v>
      </c>
      <c r="P26" s="1137">
        <v>1</v>
      </c>
    </row>
    <row r="27" spans="1:16" ht="20" customHeight="1" thickBot="1">
      <c r="A27" s="1141" t="s">
        <v>1828</v>
      </c>
      <c r="B27" s="1137">
        <v>0.51106701874223137</v>
      </c>
      <c r="C27" s="454">
        <v>6.77272571039434E-3</v>
      </c>
      <c r="D27" s="945">
        <v>5.0106818134201259E-2</v>
      </c>
      <c r="E27" s="454">
        <v>1.923972547308157E-2</v>
      </c>
      <c r="F27" s="945">
        <v>3.0286066645587414E-2</v>
      </c>
      <c r="G27" s="454">
        <v>1.5325639542853167E-2</v>
      </c>
      <c r="H27" s="422">
        <v>2.44877885257016E-2</v>
      </c>
      <c r="I27" s="1138">
        <v>0.12173097550611775</v>
      </c>
      <c r="J27" s="1137">
        <v>6.8468773925557186E-6</v>
      </c>
      <c r="K27" s="454">
        <v>0.26896499451770528</v>
      </c>
      <c r="L27" s="945">
        <v>7.3742581237173227E-2</v>
      </c>
      <c r="M27" s="1138">
        <v>0.34270757575487848</v>
      </c>
      <c r="N27" s="1139">
        <v>1.5256896893831907E-3</v>
      </c>
      <c r="O27" s="1140">
        <v>0.14302544888470528</v>
      </c>
      <c r="P27" s="1137">
        <v>1</v>
      </c>
    </row>
    <row r="28" spans="1:16" ht="20" customHeight="1" thickBot="1">
      <c r="A28" s="1141" t="s">
        <v>1829</v>
      </c>
      <c r="B28" s="1137">
        <v>0.70195328596555462</v>
      </c>
      <c r="C28" s="454">
        <v>4.1756064951694203E-3</v>
      </c>
      <c r="D28" s="945">
        <v>4.3291626422077865E-2</v>
      </c>
      <c r="E28" s="454">
        <v>7.2213333595486382E-3</v>
      </c>
      <c r="F28" s="945">
        <v>9.7951847400711591E-3</v>
      </c>
      <c r="G28" s="454">
        <v>6.3776920865006746E-3</v>
      </c>
      <c r="H28" s="422">
        <v>6.5479277211281427E-3</v>
      </c>
      <c r="I28" s="1138">
        <v>7.0861443103367755E-2</v>
      </c>
      <c r="J28" s="1137">
        <v>0</v>
      </c>
      <c r="K28" s="454">
        <v>0.2014767408805557</v>
      </c>
      <c r="L28" s="945">
        <v>1.9159946946777199E-2</v>
      </c>
      <c r="M28" s="1138">
        <v>0.22063734320994935</v>
      </c>
      <c r="N28" s="1139">
        <v>1.1306660899299641E-2</v>
      </c>
      <c r="O28" s="1140">
        <v>9.8300510952672351E-2</v>
      </c>
      <c r="P28" s="1137">
        <v>1</v>
      </c>
    </row>
    <row r="29" spans="1:16" ht="20" customHeight="1" thickBot="1">
      <c r="A29" s="1141" t="s">
        <v>1830</v>
      </c>
      <c r="B29" s="1137">
        <v>0.54047794651737113</v>
      </c>
      <c r="C29" s="454">
        <v>3.3641758020718092E-3</v>
      </c>
      <c r="D29" s="945">
        <v>2.4575357314470254E-2</v>
      </c>
      <c r="E29" s="454">
        <v>9.7919250840904255E-3</v>
      </c>
      <c r="F29" s="945">
        <v>2.0789611898935037E-2</v>
      </c>
      <c r="G29" s="454">
        <v>1.4194519874395161E-2</v>
      </c>
      <c r="H29" s="422">
        <v>1.698319308949903E-2</v>
      </c>
      <c r="I29" s="1138">
        <v>7.2715589973962685E-2</v>
      </c>
      <c r="J29" s="1137">
        <v>0</v>
      </c>
      <c r="K29" s="454">
        <v>0.32195626180339043</v>
      </c>
      <c r="L29" s="945">
        <v>4.7867846726340139E-2</v>
      </c>
      <c r="M29" s="1138">
        <v>0.36982354978935483</v>
      </c>
      <c r="N29" s="1139">
        <v>3.0451350475488058E-5</v>
      </c>
      <c r="O29" s="1140">
        <v>0.23427816330863702</v>
      </c>
      <c r="P29" s="1137">
        <v>1</v>
      </c>
    </row>
    <row r="30" spans="1:16" ht="20" customHeight="1" thickBot="1">
      <c r="A30" s="1141" t="s">
        <v>1831</v>
      </c>
      <c r="B30" s="1137">
        <v>0.64872799060957065</v>
      </c>
      <c r="C30" s="454">
        <v>7.1537307770497948E-3</v>
      </c>
      <c r="D30" s="945">
        <v>4.0271207417030518E-2</v>
      </c>
      <c r="E30" s="454">
        <v>1.3261831851767325E-2</v>
      </c>
      <c r="F30" s="945">
        <v>1.9712035066384054E-2</v>
      </c>
      <c r="G30" s="454">
        <v>6.350499649779795E-3</v>
      </c>
      <c r="H30" s="422">
        <v>1.3231189013033041E-2</v>
      </c>
      <c r="I30" s="1138">
        <v>8.6749304762011481E-2</v>
      </c>
      <c r="J30" s="1137">
        <v>0</v>
      </c>
      <c r="K30" s="454">
        <v>0.22385336898574262</v>
      </c>
      <c r="L30" s="945">
        <v>2.743780361279069E-2</v>
      </c>
      <c r="M30" s="1138">
        <v>0.25129105825958281</v>
      </c>
      <c r="N30" s="1139">
        <v>7.5819187127812424E-2</v>
      </c>
      <c r="O30" s="1140">
        <v>6.5773023919937126E-2</v>
      </c>
      <c r="P30" s="1137">
        <v>1</v>
      </c>
    </row>
    <row r="31" spans="1:16" ht="20" customHeight="1" thickBot="1">
      <c r="A31" s="1085" t="s">
        <v>1832</v>
      </c>
      <c r="B31" s="1137">
        <v>0.52226696074013623</v>
      </c>
      <c r="C31" s="454">
        <v>2.925340481526614E-3</v>
      </c>
      <c r="D31" s="945">
        <v>2.2040995671366959E-2</v>
      </c>
      <c r="E31" s="454">
        <v>2.0193689999676721E-2</v>
      </c>
      <c r="F31" s="945">
        <v>3.4509649203250468E-2</v>
      </c>
      <c r="G31" s="454">
        <v>6.7241926449524685E-3</v>
      </c>
      <c r="H31" s="422">
        <v>3.1641707147951371E-2</v>
      </c>
      <c r="I31" s="1138">
        <v>8.6393868000773227E-2</v>
      </c>
      <c r="J31" s="1137">
        <v>0</v>
      </c>
      <c r="K31" s="454">
        <v>0.31079796347744737</v>
      </c>
      <c r="L31" s="945">
        <v>4.8902799393819842E-2</v>
      </c>
      <c r="M31" s="1138">
        <v>0.35970010311924161</v>
      </c>
      <c r="N31" s="1139">
        <v>0</v>
      </c>
      <c r="O31" s="1140">
        <v>0.2122672972136693</v>
      </c>
      <c r="P31" s="1137">
        <v>1</v>
      </c>
    </row>
    <row r="32" spans="1:16" ht="20" customHeight="1" thickBot="1">
      <c r="A32" s="1141" t="s">
        <v>2156</v>
      </c>
      <c r="B32" s="1137">
        <v>0.85521664063142322</v>
      </c>
      <c r="C32" s="454">
        <v>2.7405519471621585E-3</v>
      </c>
      <c r="D32" s="945">
        <v>1.3702759735810793E-2</v>
      </c>
      <c r="E32" s="454">
        <v>1.5538929540409439E-2</v>
      </c>
      <c r="F32" s="945">
        <v>1.1181451944421607E-2</v>
      </c>
      <c r="G32" s="454">
        <v>2.5103455836005373E-2</v>
      </c>
      <c r="H32" s="422">
        <v>1.9841596097454027E-2</v>
      </c>
      <c r="I32" s="1138">
        <v>6.8267149003809369E-2</v>
      </c>
      <c r="J32" s="1137">
        <v>0</v>
      </c>
      <c r="K32" s="454">
        <v>4.8398147386883722E-2</v>
      </c>
      <c r="L32" s="945">
        <v>8.2216558414864756E-3</v>
      </c>
      <c r="M32" s="1138">
        <v>5.6619803228370194E-2</v>
      </c>
      <c r="N32" s="1139">
        <v>-4.6589383101756698E-4</v>
      </c>
      <c r="O32" s="1140">
        <v>3.790183342925265E-2</v>
      </c>
      <c r="P32" s="1137">
        <v>1</v>
      </c>
    </row>
    <row r="33" spans="1:16" ht="5.25" customHeight="1" thickBot="1">
      <c r="A33" s="1085"/>
      <c r="B33" s="1137">
        <v>0</v>
      </c>
      <c r="C33" s="454">
        <v>0</v>
      </c>
      <c r="D33" s="945">
        <v>0</v>
      </c>
      <c r="E33" s="454">
        <v>0</v>
      </c>
      <c r="F33" s="945">
        <v>0</v>
      </c>
      <c r="G33" s="454">
        <v>0</v>
      </c>
      <c r="H33" s="422">
        <v>0</v>
      </c>
      <c r="I33" s="454">
        <v>0</v>
      </c>
      <c r="J33" s="945">
        <v>0</v>
      </c>
      <c r="K33" s="454">
        <v>0</v>
      </c>
      <c r="L33" s="945">
        <v>0</v>
      </c>
      <c r="M33" s="454">
        <v>0</v>
      </c>
      <c r="N33" s="1139">
        <v>0</v>
      </c>
      <c r="O33" s="1140">
        <v>0</v>
      </c>
      <c r="P33" s="1137">
        <v>0</v>
      </c>
    </row>
    <row r="34" spans="1:16" ht="30" customHeight="1" thickBot="1">
      <c r="A34" s="1142" t="s">
        <v>1222</v>
      </c>
      <c r="B34" s="948">
        <v>0.54360727555070365</v>
      </c>
      <c r="C34" s="1143">
        <v>2.460069377717632E-3</v>
      </c>
      <c r="D34" s="1144">
        <v>2.0597246497510349E-2</v>
      </c>
      <c r="E34" s="1143">
        <v>7.0649604409833908E-3</v>
      </c>
      <c r="F34" s="1144">
        <v>1.7000720702661738E-2</v>
      </c>
      <c r="G34" s="1143">
        <v>1.1117904269282034E-2</v>
      </c>
      <c r="H34" s="1145">
        <v>9.5116851935099396E-3</v>
      </c>
      <c r="I34" s="1146">
        <v>5.8240901288155143E-2</v>
      </c>
      <c r="J34" s="1147">
        <v>3.2462409962599481E-5</v>
      </c>
      <c r="K34" s="461">
        <v>0.34433178186194829</v>
      </c>
      <c r="L34" s="970">
        <v>4.4275940146429618E-2</v>
      </c>
      <c r="M34" s="598">
        <v>0.38860768882929986</v>
      </c>
      <c r="N34" s="1148">
        <v>2.9948285230925322E-2</v>
      </c>
      <c r="O34" s="1149">
        <v>0.18496134265801684</v>
      </c>
      <c r="P34" s="1147">
        <v>1</v>
      </c>
    </row>
    <row r="35" spans="1:16" ht="20" customHeight="1">
      <c r="A35" s="474" t="s">
        <v>1837</v>
      </c>
      <c r="B35" s="1150"/>
      <c r="C35" s="977"/>
      <c r="D35" s="977"/>
      <c r="E35" s="977"/>
      <c r="F35" s="977"/>
      <c r="G35" s="977"/>
      <c r="H35" s="1151"/>
      <c r="I35" s="1151"/>
      <c r="M35" s="99"/>
    </row>
    <row r="36" spans="1:16" ht="13.5" customHeight="1">
      <c r="B36" s="1152"/>
      <c r="C36" s="474"/>
      <c r="D36" s="474"/>
      <c r="E36" s="474"/>
      <c r="F36" s="474"/>
      <c r="G36" s="474"/>
      <c r="H36" s="1153"/>
      <c r="I36" s="1153"/>
      <c r="M36" s="3"/>
    </row>
    <row r="37" spans="1:16" ht="14.25" customHeight="1">
      <c r="A37" s="474" t="s">
        <v>2226</v>
      </c>
      <c r="B37" s="202"/>
      <c r="C37" s="201"/>
      <c r="D37" s="201"/>
      <c r="E37" s="201"/>
      <c r="F37" s="201"/>
      <c r="G37" s="201"/>
      <c r="H37" s="1154"/>
      <c r="I37" s="1154"/>
      <c r="M37" s="3"/>
    </row>
    <row r="38" spans="1:16" ht="12" customHeight="1">
      <c r="M38" s="3"/>
    </row>
    <row r="39" spans="1:16" ht="12" customHeight="1">
      <c r="A39" s="418" t="s">
        <v>1087</v>
      </c>
      <c r="M39" s="3"/>
    </row>
    <row r="40" spans="1:16" ht="12" customHeight="1">
      <c r="A40" s="418" t="s">
        <v>1088</v>
      </c>
      <c r="M40" s="3"/>
    </row>
    <row r="41" spans="1:16" ht="12" customHeight="1">
      <c r="A41" s="474" t="s">
        <v>1089</v>
      </c>
      <c r="M41" s="3"/>
    </row>
    <row r="42" spans="1:16" ht="12" customHeight="1">
      <c r="A42" s="474" t="s">
        <v>2506</v>
      </c>
      <c r="M42" s="3"/>
    </row>
    <row r="43" spans="1:16" ht="12" customHeight="1">
      <c r="M43" s="3"/>
    </row>
    <row r="44" spans="1:16" ht="12" customHeight="1"/>
    <row r="45" spans="1:16" ht="12" customHeight="1">
      <c r="A45" s="2" t="s">
        <v>710</v>
      </c>
    </row>
  </sheetData>
  <phoneticPr fontId="0" type="noConversion"/>
  <pageMargins left="0.59055118110236227" right="0.51181102362204722" top="0.47244094488188981" bottom="0.44" header="0.31496062992125984" footer="0.32"/>
  <pageSetup paperSize="9" scale="56" orientation="landscape" horizontalDpi="4294967292" verticalDpi="4294967292"/>
  <headerFooter alignWithMargins="0"/>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87677-6525-AA48-A18D-F822554FF5A3}">
  <sheetPr>
    <pageSetUpPr fitToPage="1"/>
  </sheetPr>
  <dimension ref="A1:G19"/>
  <sheetViews>
    <sheetView zoomScale="75" workbookViewId="0">
      <selection activeCell="F6" sqref="F6"/>
    </sheetView>
  </sheetViews>
  <sheetFormatPr baseColWidth="10" defaultColWidth="11.3984375" defaultRowHeight="13"/>
  <cols>
    <col min="1" max="1" width="21.3984375" style="2" customWidth="1"/>
    <col min="2" max="2" width="17.3984375" style="2" customWidth="1"/>
    <col min="3" max="3" width="16.3984375" style="2" customWidth="1"/>
    <col min="4" max="4" width="17.796875" style="2" customWidth="1"/>
    <col min="5" max="5" width="18.796875" style="488" customWidth="1"/>
    <col min="6" max="6" width="20.3984375" style="488" customWidth="1"/>
    <col min="7" max="7" width="12" style="2" customWidth="1"/>
    <col min="8" max="16384" width="11.3984375" style="2"/>
  </cols>
  <sheetData>
    <row r="1" spans="1:7" ht="19.5" customHeight="1">
      <c r="A1" s="48" t="s">
        <v>2233</v>
      </c>
      <c r="B1" s="575"/>
      <c r="C1" s="575"/>
      <c r="D1" s="575"/>
      <c r="E1" s="575"/>
      <c r="F1" s="398">
        <v>2009</v>
      </c>
    </row>
    <row r="2" spans="1:7" ht="10.5" customHeight="1">
      <c r="A2" s="642"/>
      <c r="B2" s="198"/>
      <c r="C2" s="198"/>
      <c r="D2" s="198"/>
      <c r="E2" s="198"/>
      <c r="F2" s="643"/>
    </row>
    <row r="3" spans="1:7" ht="24" customHeight="1">
      <c r="A3" s="305" t="s">
        <v>606</v>
      </c>
      <c r="B3" s="356" t="s">
        <v>607</v>
      </c>
      <c r="C3" s="389" t="s">
        <v>608</v>
      </c>
      <c r="D3" s="356" t="s">
        <v>1567</v>
      </c>
      <c r="E3" s="644" t="s">
        <v>609</v>
      </c>
      <c r="F3" s="588" t="s">
        <v>2234</v>
      </c>
    </row>
    <row r="4" spans="1:7" ht="15" customHeight="1">
      <c r="A4" s="325"/>
      <c r="B4" s="123"/>
      <c r="C4" s="124"/>
      <c r="D4" s="149"/>
      <c r="E4" s="645" t="s">
        <v>610</v>
      </c>
      <c r="F4" s="589" t="s">
        <v>2235</v>
      </c>
    </row>
    <row r="5" spans="1:7" ht="15" customHeight="1">
      <c r="A5" s="122"/>
      <c r="B5" s="123"/>
      <c r="C5" s="124"/>
      <c r="D5" s="123"/>
      <c r="E5" s="645"/>
      <c r="F5" s="589" t="s">
        <v>2236</v>
      </c>
    </row>
    <row r="6" spans="1:7" ht="24" customHeight="1">
      <c r="A6" s="292"/>
      <c r="B6" s="599"/>
      <c r="C6" s="600"/>
      <c r="D6" s="599"/>
      <c r="E6" s="646"/>
      <c r="F6" s="590"/>
    </row>
    <row r="7" spans="1:7" ht="45" customHeight="1" thickBot="1">
      <c r="A7" s="647" t="s">
        <v>1798</v>
      </c>
      <c r="B7" s="648">
        <v>132491</v>
      </c>
      <c r="C7" s="649">
        <v>141072</v>
      </c>
      <c r="D7" s="648">
        <v>273563</v>
      </c>
      <c r="E7" s="650">
        <v>0.28440331682406611</v>
      </c>
      <c r="F7" s="923">
        <v>0.18153135774490572</v>
      </c>
    </row>
    <row r="8" spans="1:7" ht="34.5" customHeight="1" thickBot="1">
      <c r="A8" s="647" t="s">
        <v>611</v>
      </c>
      <c r="B8" s="648">
        <v>57661</v>
      </c>
      <c r="C8" s="649">
        <v>55473</v>
      </c>
      <c r="D8" s="648">
        <v>113134</v>
      </c>
      <c r="E8" s="650">
        <v>0.11761709312141588</v>
      </c>
      <c r="F8" s="923">
        <v>0.17346426117823255</v>
      </c>
    </row>
    <row r="9" spans="1:7" ht="32.25" customHeight="1" thickBot="1">
      <c r="A9" s="647" t="s">
        <v>1800</v>
      </c>
      <c r="B9" s="648">
        <v>293715</v>
      </c>
      <c r="C9" s="649">
        <v>281472</v>
      </c>
      <c r="D9" s="648">
        <v>575187</v>
      </c>
      <c r="E9" s="650">
        <v>0.59797959005451806</v>
      </c>
      <c r="F9" s="923">
        <v>0.10364343354879815</v>
      </c>
    </row>
    <row r="10" spans="1:7" s="162" customFormat="1" ht="36" customHeight="1" thickBot="1">
      <c r="A10" s="651" t="s">
        <v>1567</v>
      </c>
      <c r="B10" s="610">
        <v>483867</v>
      </c>
      <c r="C10" s="611">
        <v>478017</v>
      </c>
      <c r="D10" s="610">
        <v>961884</v>
      </c>
      <c r="E10" s="652">
        <v>1</v>
      </c>
      <c r="F10" s="260">
        <v>0.12477660931333782</v>
      </c>
    </row>
    <row r="11" spans="1:7" ht="16.5" customHeight="1">
      <c r="B11" s="140"/>
      <c r="C11" s="140"/>
      <c r="D11" s="140"/>
      <c r="E11" s="653"/>
      <c r="F11" s="654"/>
    </row>
    <row r="12" spans="1:7" s="94" customFormat="1" ht="24" customHeight="1" thickBot="1">
      <c r="A12" s="659" t="s">
        <v>2237</v>
      </c>
      <c r="B12" s="660">
        <v>38686</v>
      </c>
      <c r="C12" s="661">
        <v>36687</v>
      </c>
      <c r="D12" s="660">
        <v>75373</v>
      </c>
      <c r="E12" s="662">
        <v>7.8359760636417697E-2</v>
      </c>
      <c r="F12" s="1165">
        <v>9.7774652388169601E-3</v>
      </c>
    </row>
    <row r="13" spans="1:7" ht="9.75" customHeight="1">
      <c r="D13"/>
      <c r="E13"/>
      <c r="F13"/>
      <c r="G13"/>
    </row>
    <row r="14" spans="1:7">
      <c r="A14" s="141" t="s">
        <v>1837</v>
      </c>
      <c r="D14"/>
      <c r="E14"/>
      <c r="F14"/>
      <c r="G14"/>
    </row>
    <row r="15" spans="1:7">
      <c r="D15"/>
      <c r="E15"/>
      <c r="F15"/>
      <c r="G15"/>
    </row>
    <row r="16" spans="1:7">
      <c r="A16" s="2" t="s">
        <v>2238</v>
      </c>
      <c r="D16"/>
      <c r="E16"/>
      <c r="F16"/>
      <c r="G16"/>
    </row>
    <row r="19" spans="1:1">
      <c r="A19" s="418" t="s">
        <v>710</v>
      </c>
    </row>
  </sheetData>
  <phoneticPr fontId="0" type="noConversion"/>
  <pageMargins left="0.53" right="0.68" top="0.96" bottom="0.49" header="0.56000000000000005" footer="0.4921259845"/>
  <pageSetup paperSize="9" scale="72" orientation="portrait" horizontalDpi="1200" verticalDpi="1200"/>
  <headerFooter alignWithMargins="0"/>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5DF26-B29C-6149-9A28-1D62724EA846}">
  <sheetPr>
    <pageSetUpPr fitToPage="1"/>
  </sheetPr>
  <dimension ref="A1:I37"/>
  <sheetViews>
    <sheetView zoomScale="75" workbookViewId="0">
      <selection activeCell="G11" sqref="G11"/>
    </sheetView>
  </sheetViews>
  <sheetFormatPr baseColWidth="10" defaultColWidth="11.3984375" defaultRowHeight="13"/>
  <cols>
    <col min="1" max="1" width="25.796875" style="2" customWidth="1"/>
    <col min="2" max="5" width="22.59765625" style="2" customWidth="1"/>
    <col min="6" max="16384" width="11.3984375" style="2"/>
  </cols>
  <sheetData>
    <row r="1" spans="1:9" s="1" customFormat="1" ht="14" customHeight="1"/>
    <row r="2" spans="1:9" s="1" customFormat="1" ht="28" customHeight="1">
      <c r="A2" s="118" t="s">
        <v>1156</v>
      </c>
      <c r="C2" s="507"/>
      <c r="E2" s="507"/>
    </row>
    <row r="3" spans="1:9" ht="24" customHeight="1">
      <c r="A3" s="119" t="s">
        <v>1065</v>
      </c>
      <c r="B3" s="120" t="s">
        <v>1139</v>
      </c>
      <c r="C3" s="985" t="s">
        <v>1140</v>
      </c>
      <c r="D3" s="120" t="s">
        <v>1141</v>
      </c>
      <c r="E3" s="985" t="s">
        <v>1140</v>
      </c>
    </row>
    <row r="4" spans="1:9" ht="20.25" customHeight="1">
      <c r="A4" s="325"/>
      <c r="B4" s="123" t="s">
        <v>1157</v>
      </c>
      <c r="C4" s="985" t="s">
        <v>1142</v>
      </c>
      <c r="D4" s="123" t="s">
        <v>1143</v>
      </c>
      <c r="E4" s="985" t="s">
        <v>1144</v>
      </c>
    </row>
    <row r="5" spans="1:9" ht="18.75" customHeight="1">
      <c r="A5" s="325"/>
      <c r="B5" s="123"/>
      <c r="C5" s="985" t="s">
        <v>1158</v>
      </c>
      <c r="D5" s="123" t="s">
        <v>1159</v>
      </c>
      <c r="E5" s="985" t="s">
        <v>1145</v>
      </c>
    </row>
    <row r="6" spans="1:9" ht="18.75" customHeight="1">
      <c r="A6" s="325"/>
      <c r="B6" s="123"/>
      <c r="C6" s="985"/>
      <c r="D6" s="123"/>
      <c r="E6" s="985" t="s">
        <v>1160</v>
      </c>
    </row>
    <row r="7" spans="1:9" ht="15" customHeight="1">
      <c r="A7" s="326"/>
      <c r="B7" s="129"/>
      <c r="C7" s="128"/>
      <c r="D7" s="129"/>
      <c r="E7" s="128"/>
    </row>
    <row r="8" spans="1:9" ht="1.5" customHeight="1" thickBot="1">
      <c r="A8" s="327">
        <v>1996</v>
      </c>
      <c r="B8" s="170" t="s">
        <v>744</v>
      </c>
      <c r="C8" s="171" t="s">
        <v>744</v>
      </c>
      <c r="D8" s="170" t="s">
        <v>744</v>
      </c>
      <c r="E8" s="171" t="s">
        <v>744</v>
      </c>
    </row>
    <row r="9" spans="1:9" ht="0.75" hidden="1" customHeight="1" thickBot="1">
      <c r="A9" s="328">
        <v>1997</v>
      </c>
      <c r="B9" s="188" t="s">
        <v>744</v>
      </c>
      <c r="C9" s="187" t="s">
        <v>744</v>
      </c>
      <c r="D9" s="188" t="s">
        <v>744</v>
      </c>
      <c r="E9" s="187" t="s">
        <v>744</v>
      </c>
      <c r="G9" s="8"/>
      <c r="H9" s="8"/>
      <c r="I9" s="8"/>
    </row>
    <row r="10" spans="1:9" ht="19.5" hidden="1" customHeight="1" thickBot="1">
      <c r="A10" s="328">
        <v>1998</v>
      </c>
      <c r="B10" s="188" t="s">
        <v>744</v>
      </c>
      <c r="C10" s="187" t="s">
        <v>744</v>
      </c>
      <c r="D10" s="188" t="s">
        <v>744</v>
      </c>
      <c r="E10" s="187" t="s">
        <v>744</v>
      </c>
    </row>
    <row r="11" spans="1:9" ht="20" customHeight="1" thickBot="1">
      <c r="A11" s="328">
        <v>1999</v>
      </c>
      <c r="B11" s="188" t="s">
        <v>744</v>
      </c>
      <c r="C11" s="187" t="s">
        <v>744</v>
      </c>
      <c r="D11" s="188" t="s">
        <v>744</v>
      </c>
      <c r="E11" s="187" t="s">
        <v>744</v>
      </c>
    </row>
    <row r="12" spans="1:9" ht="20" customHeight="1" thickBot="1">
      <c r="A12" s="328">
        <v>2000</v>
      </c>
      <c r="B12" s="188" t="s">
        <v>744</v>
      </c>
      <c r="C12" s="187" t="s">
        <v>744</v>
      </c>
      <c r="D12" s="188" t="s">
        <v>744</v>
      </c>
      <c r="E12" s="187" t="s">
        <v>744</v>
      </c>
    </row>
    <row r="13" spans="1:9" ht="20" customHeight="1" thickBot="1">
      <c r="A13" s="328">
        <v>2001</v>
      </c>
      <c r="B13" s="188" t="s">
        <v>744</v>
      </c>
      <c r="C13" s="187" t="s">
        <v>744</v>
      </c>
      <c r="D13" s="188" t="s">
        <v>744</v>
      </c>
      <c r="E13" s="187" t="s">
        <v>744</v>
      </c>
    </row>
    <row r="14" spans="1:9" ht="20" customHeight="1" thickBot="1">
      <c r="A14" s="328">
        <v>2002</v>
      </c>
      <c r="B14" s="188" t="s">
        <v>744</v>
      </c>
      <c r="C14" s="187" t="s">
        <v>744</v>
      </c>
      <c r="D14" s="188" t="s">
        <v>744</v>
      </c>
      <c r="E14" s="187" t="s">
        <v>744</v>
      </c>
    </row>
    <row r="15" spans="1:9" ht="20" customHeight="1" thickBot="1">
      <c r="A15" s="328">
        <v>2003</v>
      </c>
      <c r="B15" s="188" t="s">
        <v>744</v>
      </c>
      <c r="C15" s="187" t="s">
        <v>744</v>
      </c>
      <c r="D15" s="188" t="s">
        <v>744</v>
      </c>
      <c r="E15" s="187" t="s">
        <v>744</v>
      </c>
    </row>
    <row r="16" spans="1:9" ht="20" customHeight="1" thickBot="1">
      <c r="A16" s="328">
        <v>2004</v>
      </c>
      <c r="B16" s="188" t="s">
        <v>744</v>
      </c>
      <c r="C16" s="187" t="s">
        <v>744</v>
      </c>
      <c r="D16" s="188" t="s">
        <v>744</v>
      </c>
      <c r="E16" s="187" t="s">
        <v>744</v>
      </c>
    </row>
    <row r="17" spans="1:5" ht="20" customHeight="1" thickBot="1">
      <c r="A17" s="328">
        <v>2005</v>
      </c>
      <c r="B17" s="188">
        <v>333989</v>
      </c>
      <c r="C17" s="1029">
        <v>1660.1051811123543</v>
      </c>
      <c r="D17" s="188">
        <v>22830</v>
      </c>
      <c r="E17" s="1029">
        <v>2667.0642261250127</v>
      </c>
    </row>
    <row r="18" spans="1:5" ht="20" customHeight="1" thickBot="1">
      <c r="A18" s="328">
        <v>2006</v>
      </c>
      <c r="B18" s="188">
        <v>421280</v>
      </c>
      <c r="C18" s="1029">
        <v>1557.9783633108323</v>
      </c>
      <c r="D18" s="188">
        <v>89081</v>
      </c>
      <c r="E18" s="1029">
        <v>1978.6264621248356</v>
      </c>
    </row>
    <row r="19" spans="1:5" ht="20" customHeight="1" thickBot="1">
      <c r="A19" s="328">
        <v>2007</v>
      </c>
      <c r="B19" s="188">
        <v>379340</v>
      </c>
      <c r="C19" s="1029">
        <v>1590.2978354727945</v>
      </c>
      <c r="D19" s="188">
        <v>89884</v>
      </c>
      <c r="E19" s="1029">
        <v>1754.1422340537217</v>
      </c>
    </row>
    <row r="20" spans="1:5" ht="20" customHeight="1" thickBot="1">
      <c r="A20" s="328">
        <v>2008</v>
      </c>
      <c r="B20" s="188">
        <v>366771.18</v>
      </c>
      <c r="C20" s="1029">
        <v>1578.120089644023</v>
      </c>
      <c r="D20" s="188">
        <v>93001</v>
      </c>
      <c r="E20" s="1029">
        <v>1868.7691993608462</v>
      </c>
    </row>
    <row r="21" spans="1:5" ht="26.25" customHeight="1" thickBot="1">
      <c r="A21" s="329">
        <v>2009</v>
      </c>
      <c r="B21" s="191">
        <v>362663</v>
      </c>
      <c r="C21" s="1208">
        <v>1612.3001722893655</v>
      </c>
      <c r="D21" s="191">
        <v>134413</v>
      </c>
      <c r="E21" s="1208">
        <v>2044.9746449067488</v>
      </c>
    </row>
    <row r="22" spans="1:5" ht="20" customHeight="1">
      <c r="A22" s="140" t="s">
        <v>1837</v>
      </c>
      <c r="B22" s="194"/>
      <c r="C22" s="194"/>
      <c r="D22" s="194"/>
      <c r="E22" s="194"/>
    </row>
    <row r="23" spans="1:5" ht="12.75" customHeight="1">
      <c r="A23" s="141"/>
      <c r="B23" s="196"/>
      <c r="C23" s="196"/>
      <c r="D23" s="196"/>
      <c r="E23" s="196"/>
    </row>
    <row r="24" spans="1:5" ht="12.75" customHeight="1">
      <c r="A24" s="2" t="s">
        <v>1146</v>
      </c>
      <c r="B24" s="196"/>
      <c r="C24" s="196"/>
      <c r="D24" s="196"/>
      <c r="E24" s="196"/>
    </row>
    <row r="25" spans="1:5" ht="12" customHeight="1"/>
    <row r="26" spans="1:5" ht="12" customHeight="1">
      <c r="A26" s="143" t="s">
        <v>1147</v>
      </c>
    </row>
    <row r="27" spans="1:5" ht="12" customHeight="1">
      <c r="A27" s="143" t="s">
        <v>1148</v>
      </c>
    </row>
    <row r="28" spans="1:5" ht="12" customHeight="1">
      <c r="A28" s="143" t="s">
        <v>1149</v>
      </c>
    </row>
    <row r="29" spans="1:5" ht="12" customHeight="1">
      <c r="A29" s="3" t="s">
        <v>1150</v>
      </c>
    </row>
    <row r="30" spans="1:5" ht="12" customHeight="1">
      <c r="A30" s="143" t="s">
        <v>1151</v>
      </c>
    </row>
    <row r="31" spans="1:5" ht="12" customHeight="1">
      <c r="A31" s="143" t="s">
        <v>1152</v>
      </c>
    </row>
    <row r="32" spans="1:5" ht="12" customHeight="1">
      <c r="A32" s="143" t="s">
        <v>1153</v>
      </c>
    </row>
    <row r="33" spans="1:1" ht="12" customHeight="1">
      <c r="A33" s="143" t="s">
        <v>1154</v>
      </c>
    </row>
    <row r="34" spans="1:1" ht="12" customHeight="1">
      <c r="A34" s="3" t="s">
        <v>1155</v>
      </c>
    </row>
    <row r="37" spans="1:1">
      <c r="A37" s="2" t="s">
        <v>710</v>
      </c>
    </row>
  </sheetData>
  <phoneticPr fontId="0" type="noConversion"/>
  <pageMargins left="0.5" right="0.49" top="0.72" bottom="0.49" header="0.56000000000000005" footer="0.4921259845"/>
  <pageSetup paperSize="9" scale="73" orientation="portrait" horizontalDpi="1200" verticalDpi="1200"/>
  <headerFooter alignWithMargins="0"/>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4F478-F40E-474F-BC57-237F74687455}">
  <sheetPr>
    <pageSetUpPr fitToPage="1"/>
  </sheetPr>
  <dimension ref="A1:G19"/>
  <sheetViews>
    <sheetView zoomScale="75" workbookViewId="0">
      <selection activeCell="F10" sqref="F10"/>
    </sheetView>
  </sheetViews>
  <sheetFormatPr baseColWidth="10" defaultColWidth="11.3984375" defaultRowHeight="13"/>
  <cols>
    <col min="1" max="1" width="19.3984375" style="2" customWidth="1"/>
    <col min="2" max="2" width="17.3984375" style="2" customWidth="1"/>
    <col min="3" max="3" width="16.3984375" style="2" customWidth="1"/>
    <col min="4" max="4" width="17.796875" style="2" customWidth="1"/>
    <col min="5" max="5" width="18.796875" style="488" customWidth="1"/>
    <col min="6" max="6" width="25.3984375" style="488" customWidth="1"/>
    <col min="7" max="7" width="18.19921875" style="2" customWidth="1"/>
    <col min="8" max="16384" width="11.3984375" style="2"/>
  </cols>
  <sheetData>
    <row r="1" spans="1:7" ht="19.5" customHeight="1">
      <c r="A1" s="48" t="s">
        <v>617</v>
      </c>
      <c r="B1" s="575"/>
      <c r="C1" s="575"/>
      <c r="D1" s="575"/>
      <c r="E1" s="575"/>
      <c r="F1" s="575"/>
    </row>
    <row r="2" spans="1:7" ht="10.5" customHeight="1">
      <c r="A2" s="574"/>
      <c r="B2" s="575"/>
      <c r="C2" s="575"/>
      <c r="D2" s="575"/>
      <c r="E2" s="575"/>
      <c r="F2" s="575"/>
    </row>
    <row r="3" spans="1:7" ht="39" customHeight="1">
      <c r="A3" s="2040" t="s">
        <v>615</v>
      </c>
      <c r="B3" s="2017"/>
      <c r="C3" s="2017"/>
      <c r="D3" s="2017"/>
      <c r="E3" s="2017"/>
      <c r="F3" s="543"/>
    </row>
    <row r="4" spans="1:7" ht="12.75" customHeight="1">
      <c r="A4" s="642"/>
      <c r="B4" s="198"/>
      <c r="C4" s="198"/>
      <c r="D4" s="198"/>
      <c r="E4" s="198"/>
      <c r="F4" s="643"/>
    </row>
    <row r="5" spans="1:7" ht="24" customHeight="1">
      <c r="A5" s="305" t="s">
        <v>606</v>
      </c>
      <c r="B5" s="356" t="s">
        <v>607</v>
      </c>
      <c r="C5" s="389" t="s">
        <v>608</v>
      </c>
      <c r="D5" s="356" t="s">
        <v>1567</v>
      </c>
      <c r="E5" s="644" t="s">
        <v>609</v>
      </c>
      <c r="F5" s="579"/>
    </row>
    <row r="6" spans="1:7" ht="15" customHeight="1">
      <c r="A6" s="325"/>
      <c r="B6" s="123"/>
      <c r="C6" s="124"/>
      <c r="D6" s="149"/>
      <c r="E6" s="645" t="s">
        <v>610</v>
      </c>
      <c r="F6" s="579"/>
    </row>
    <row r="7" spans="1:7" ht="15" customHeight="1">
      <c r="A7" s="122"/>
      <c r="B7" s="123"/>
      <c r="C7" s="124"/>
      <c r="D7" s="123"/>
      <c r="E7" s="645"/>
      <c r="F7" s="579"/>
    </row>
    <row r="8" spans="1:7" ht="24" customHeight="1">
      <c r="A8" s="292"/>
      <c r="B8" s="599"/>
      <c r="C8" s="600"/>
      <c r="D8" s="599"/>
      <c r="E8" s="646"/>
      <c r="F8" s="579"/>
    </row>
    <row r="9" spans="1:7" ht="45" customHeight="1" thickBot="1">
      <c r="A9" s="647" t="s">
        <v>1798</v>
      </c>
      <c r="B9" s="648">
        <v>751680.25</v>
      </c>
      <c r="C9" s="649">
        <v>718586.25</v>
      </c>
      <c r="D9" s="648">
        <v>1470266.5</v>
      </c>
      <c r="E9" s="650">
        <v>0.18889388180681502</v>
      </c>
      <c r="F9" s="579"/>
    </row>
    <row r="10" spans="1:7" ht="34.5" customHeight="1" thickBot="1">
      <c r="A10" s="647" t="s">
        <v>611</v>
      </c>
      <c r="B10" s="648">
        <v>336829.33</v>
      </c>
      <c r="C10" s="649">
        <v>327142</v>
      </c>
      <c r="D10" s="648">
        <v>663971.32999999996</v>
      </c>
      <c r="E10" s="650">
        <v>8.5304345798624781E-2</v>
      </c>
      <c r="F10" s="579"/>
    </row>
    <row r="11" spans="1:7" ht="32.25" customHeight="1" thickBot="1">
      <c r="A11" s="647" t="s">
        <v>1800</v>
      </c>
      <c r="B11" s="648">
        <v>2745472.58</v>
      </c>
      <c r="C11" s="649">
        <v>2903847.67</v>
      </c>
      <c r="D11" s="648">
        <v>5649320.25</v>
      </c>
      <c r="E11" s="650">
        <v>0.72580177239456023</v>
      </c>
      <c r="F11" s="579"/>
    </row>
    <row r="12" spans="1:7" s="162" customFormat="1" ht="36" customHeight="1" thickBot="1">
      <c r="A12" s="651" t="s">
        <v>1567</v>
      </c>
      <c r="B12" s="610">
        <v>3833982.17</v>
      </c>
      <c r="C12" s="611">
        <v>3949575.92</v>
      </c>
      <c r="D12" s="610">
        <v>7783558.0800000001</v>
      </c>
      <c r="E12" s="652">
        <v>1</v>
      </c>
      <c r="F12" s="579"/>
    </row>
    <row r="13" spans="1:7" ht="19.5" customHeight="1">
      <c r="B13" s="140"/>
      <c r="C13" s="140"/>
      <c r="D13" s="140"/>
      <c r="E13" s="653"/>
      <c r="F13" s="654"/>
    </row>
    <row r="14" spans="1:7">
      <c r="A14" s="141" t="s">
        <v>1837</v>
      </c>
      <c r="D14"/>
      <c r="E14"/>
      <c r="F14"/>
      <c r="G14"/>
    </row>
    <row r="15" spans="1:7">
      <c r="D15"/>
      <c r="E15"/>
      <c r="F15"/>
      <c r="G15"/>
    </row>
    <row r="16" spans="1:7">
      <c r="A16" s="2" t="s">
        <v>616</v>
      </c>
      <c r="D16"/>
      <c r="E16"/>
      <c r="F16"/>
      <c r="G16"/>
    </row>
    <row r="19" spans="1:1">
      <c r="A19" s="418" t="s">
        <v>710</v>
      </c>
    </row>
  </sheetData>
  <mergeCells count="1">
    <mergeCell ref="A3:E3"/>
  </mergeCells>
  <phoneticPr fontId="0" type="noConversion"/>
  <pageMargins left="0.67" right="0.67" top="0.87" bottom="0.49" header="0.56000000000000005" footer="0.4921259845"/>
  <pageSetup paperSize="9" scale="77" orientation="portrait" horizontalDpi="1200" verticalDpi="1200"/>
  <headerFooter alignWithMargins="0"/>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F2C67-718F-8B47-ABE0-BAFD6DBD601B}">
  <sheetPr>
    <pageSetUpPr fitToPage="1"/>
  </sheetPr>
  <dimension ref="A1:G38"/>
  <sheetViews>
    <sheetView zoomScale="75" workbookViewId="0">
      <selection activeCell="G29" sqref="G29"/>
    </sheetView>
  </sheetViews>
  <sheetFormatPr baseColWidth="10" defaultColWidth="11.3984375" defaultRowHeight="13"/>
  <cols>
    <col min="1" max="1" width="19.3984375" style="2" customWidth="1"/>
    <col min="2" max="2" width="17.3984375" style="2" customWidth="1"/>
    <col min="3" max="3" width="16.3984375" style="2" customWidth="1"/>
    <col min="4" max="4" width="17.796875" style="2" customWidth="1"/>
    <col min="5" max="5" width="18.796875" style="488" customWidth="1"/>
    <col min="6" max="6" width="19.59765625" style="488" customWidth="1"/>
    <col min="7" max="7" width="18.19921875" style="2" customWidth="1"/>
    <col min="8" max="16384" width="11.3984375" style="2"/>
  </cols>
  <sheetData>
    <row r="1" spans="1:6" ht="54.75" customHeight="1">
      <c r="A1" s="2016" t="s">
        <v>2242</v>
      </c>
      <c r="B1" s="2027"/>
      <c r="C1" s="2027"/>
      <c r="D1" s="2027"/>
      <c r="E1" s="398">
        <v>2009</v>
      </c>
      <c r="F1" s="575"/>
    </row>
    <row r="2" spans="1:6" ht="19.5" customHeight="1">
      <c r="A2" s="574"/>
      <c r="B2" s="575"/>
      <c r="C2" s="575"/>
      <c r="D2" s="575"/>
      <c r="E2" s="575"/>
      <c r="F2" s="575"/>
    </row>
    <row r="3" spans="1:6" ht="39.75" customHeight="1">
      <c r="A3" s="2042" t="s">
        <v>2241</v>
      </c>
      <c r="B3" s="2017"/>
      <c r="C3" s="2017"/>
      <c r="D3" s="2017"/>
      <c r="E3" s="2017"/>
      <c r="F3" s="543"/>
    </row>
    <row r="4" spans="1:6" ht="12.75" customHeight="1">
      <c r="A4" s="642"/>
      <c r="B4" s="198"/>
      <c r="C4" s="198"/>
      <c r="D4" s="198"/>
      <c r="E4" s="198"/>
      <c r="F4" s="643"/>
    </row>
    <row r="5" spans="1:6" ht="24" customHeight="1">
      <c r="A5" s="305" t="s">
        <v>606</v>
      </c>
      <c r="B5" s="356" t="s">
        <v>607</v>
      </c>
      <c r="C5" s="389" t="s">
        <v>608</v>
      </c>
      <c r="D5" s="356" t="s">
        <v>1567</v>
      </c>
      <c r="E5" s="644" t="s">
        <v>609</v>
      </c>
      <c r="F5" s="579"/>
    </row>
    <row r="6" spans="1:6" ht="15" customHeight="1">
      <c r="A6" s="325"/>
      <c r="B6" s="123"/>
      <c r="C6" s="124"/>
      <c r="D6" s="149"/>
      <c r="E6" s="645" t="s">
        <v>610</v>
      </c>
      <c r="F6" s="579"/>
    </row>
    <row r="7" spans="1:6" ht="15" customHeight="1">
      <c r="A7" s="122"/>
      <c r="B7" s="123"/>
      <c r="C7" s="124"/>
      <c r="D7" s="123"/>
      <c r="E7" s="645"/>
      <c r="F7" s="579"/>
    </row>
    <row r="8" spans="1:6" ht="24" customHeight="1">
      <c r="A8" s="292"/>
      <c r="B8" s="599"/>
      <c r="C8" s="600"/>
      <c r="D8" s="599"/>
      <c r="E8" s="646"/>
      <c r="F8" s="579"/>
    </row>
    <row r="9" spans="1:6" ht="45" customHeight="1" thickBot="1">
      <c r="A9" s="647" t="s">
        <v>1798</v>
      </c>
      <c r="B9" s="648">
        <v>773217.26</v>
      </c>
      <c r="C9" s="649">
        <v>733756.53</v>
      </c>
      <c r="D9" s="648">
        <v>1506973.8</v>
      </c>
      <c r="E9" s="650">
        <v>0.19548623439836416</v>
      </c>
      <c r="F9" s="579"/>
    </row>
    <row r="10" spans="1:6" ht="34.5" customHeight="1" thickBot="1">
      <c r="A10" s="647" t="s">
        <v>611</v>
      </c>
      <c r="B10" s="648">
        <v>330121.08</v>
      </c>
      <c r="C10" s="649">
        <v>322082.37</v>
      </c>
      <c r="D10" s="648">
        <v>652203.51</v>
      </c>
      <c r="E10" s="650">
        <v>8.4604528778997906E-2</v>
      </c>
      <c r="F10" s="579"/>
    </row>
    <row r="11" spans="1:6" ht="32.25" customHeight="1" thickBot="1">
      <c r="A11" s="647" t="s">
        <v>1800</v>
      </c>
      <c r="B11" s="648">
        <v>2688244.55</v>
      </c>
      <c r="C11" s="649">
        <v>2861426.85</v>
      </c>
      <c r="D11" s="648">
        <v>5549671.4100000001</v>
      </c>
      <c r="E11" s="650">
        <v>0.71990924201148032</v>
      </c>
      <c r="F11" s="579"/>
    </row>
    <row r="12" spans="1:6" s="162" customFormat="1" ht="36" customHeight="1" thickBot="1">
      <c r="A12" s="651" t="s">
        <v>1567</v>
      </c>
      <c r="B12" s="610">
        <v>3791582.95</v>
      </c>
      <c r="C12" s="611">
        <v>3917265.77</v>
      </c>
      <c r="D12" s="610">
        <v>7708848.6799999997</v>
      </c>
      <c r="E12" s="652">
        <v>1</v>
      </c>
      <c r="F12" s="579"/>
    </row>
    <row r="13" spans="1:6" ht="17.25" customHeight="1">
      <c r="B13" s="140"/>
      <c r="C13" s="140"/>
      <c r="D13" s="140"/>
      <c r="E13" s="653"/>
      <c r="F13" s="654"/>
    </row>
    <row r="14" spans="1:6" ht="19.5" customHeight="1" thickBot="1">
      <c r="A14" s="655" t="s">
        <v>612</v>
      </c>
      <c r="B14" s="656">
        <v>39.500144280000001</v>
      </c>
      <c r="C14" s="657">
        <v>41.89707799</v>
      </c>
      <c r="D14" s="656">
        <v>40.72</v>
      </c>
      <c r="E14" s="658" t="s">
        <v>744</v>
      </c>
      <c r="F14" s="654"/>
    </row>
    <row r="15" spans="1:6" ht="17.25" customHeight="1">
      <c r="B15" s="140"/>
      <c r="C15" s="140"/>
      <c r="D15" s="140"/>
      <c r="E15" s="653"/>
      <c r="F15" s="654"/>
    </row>
    <row r="16" spans="1:6" ht="19.5" customHeight="1" thickBot="1">
      <c r="A16" s="659" t="s">
        <v>613</v>
      </c>
      <c r="B16" s="1166">
        <v>29428</v>
      </c>
      <c r="C16" s="1167">
        <v>31665</v>
      </c>
      <c r="D16" s="1166">
        <v>61093</v>
      </c>
      <c r="E16" s="1168">
        <v>7.9250485430465093E-3</v>
      </c>
      <c r="F16" s="654"/>
    </row>
    <row r="17" spans="1:7" ht="46.5" customHeight="1">
      <c r="B17" s="141"/>
      <c r="C17" s="141"/>
      <c r="D17" s="141"/>
      <c r="E17" s="654"/>
      <c r="F17" s="654"/>
    </row>
    <row r="18" spans="1:7" ht="38.25" customHeight="1">
      <c r="A18" s="2041" t="s">
        <v>2239</v>
      </c>
      <c r="B18" s="2017"/>
      <c r="C18" s="2017"/>
      <c r="D18" s="2017"/>
      <c r="E18" s="2017"/>
      <c r="F18" s="543"/>
    </row>
    <row r="19" spans="1:7" ht="15" customHeight="1">
      <c r="A19" s="663"/>
      <c r="B19" s="575"/>
      <c r="C19" s="575"/>
      <c r="D19" s="575"/>
      <c r="E19" s="575"/>
      <c r="F19" s="575"/>
    </row>
    <row r="20" spans="1:7" ht="38.25" customHeight="1">
      <c r="A20" s="664"/>
      <c r="B20" s="665" t="s">
        <v>1833</v>
      </c>
      <c r="C20" s="666" t="s">
        <v>1834</v>
      </c>
      <c r="D20" s="665" t="s">
        <v>1798</v>
      </c>
      <c r="E20" s="666" t="s">
        <v>1567</v>
      </c>
    </row>
    <row r="21" spans="1:7" ht="39" customHeight="1" thickBot="1">
      <c r="A21" s="667" t="s">
        <v>1567</v>
      </c>
      <c r="B21" s="668">
        <v>15455.92</v>
      </c>
      <c r="C21" s="669">
        <v>9825.32</v>
      </c>
      <c r="D21" s="668">
        <v>3425.37</v>
      </c>
      <c r="E21" s="670">
        <v>28706.6</v>
      </c>
      <c r="F21" s="671"/>
      <c r="G21" s="671"/>
    </row>
    <row r="22" spans="1:7" ht="39.75" customHeight="1">
      <c r="D22"/>
      <c r="E22"/>
      <c r="F22"/>
      <c r="G22"/>
    </row>
    <row r="23" spans="1:7" ht="42" customHeight="1">
      <c r="A23" s="2041" t="s">
        <v>2240</v>
      </c>
      <c r="B23" s="2017"/>
      <c r="C23" s="2017"/>
      <c r="D23" s="2017"/>
      <c r="E23" s="2017"/>
      <c r="F23" s="543"/>
    </row>
    <row r="24" spans="1:7" ht="15" customHeight="1">
      <c r="A24" s="663"/>
      <c r="B24" s="575"/>
      <c r="C24" s="575"/>
      <c r="D24" s="575"/>
      <c r="E24" s="575"/>
      <c r="F24" s="575"/>
    </row>
    <row r="25" spans="1:7" ht="38.25" customHeight="1">
      <c r="A25" s="664"/>
      <c r="B25" s="665" t="s">
        <v>1833</v>
      </c>
      <c r="C25" s="666" t="s">
        <v>1834</v>
      </c>
      <c r="D25" s="665" t="s">
        <v>1798</v>
      </c>
      <c r="E25" s="666" t="s">
        <v>1567</v>
      </c>
    </row>
    <row r="26" spans="1:7" ht="39" customHeight="1" thickBot="1">
      <c r="A26" s="667" t="s">
        <v>1567</v>
      </c>
      <c r="B26" s="668">
        <v>12541.37</v>
      </c>
      <c r="C26" s="669">
        <v>7056.59</v>
      </c>
      <c r="D26" s="668">
        <v>3139.9</v>
      </c>
      <c r="E26" s="670">
        <v>22737.86</v>
      </c>
      <c r="F26" s="671"/>
      <c r="G26" s="671"/>
    </row>
    <row r="27" spans="1:7">
      <c r="D27"/>
      <c r="E27"/>
      <c r="F27"/>
      <c r="G27"/>
    </row>
    <row r="28" spans="1:7">
      <c r="A28" s="141" t="s">
        <v>1837</v>
      </c>
      <c r="D28"/>
      <c r="E28"/>
      <c r="F28"/>
      <c r="G28"/>
    </row>
    <row r="29" spans="1:7">
      <c r="D29"/>
      <c r="E29"/>
      <c r="F29"/>
      <c r="G29"/>
    </row>
    <row r="30" spans="1:7">
      <c r="A30" s="1104" t="s">
        <v>2243</v>
      </c>
      <c r="D30"/>
      <c r="E30"/>
      <c r="F30"/>
      <c r="G30"/>
    </row>
    <row r="31" spans="1:7">
      <c r="A31" s="1104" t="s">
        <v>2244</v>
      </c>
      <c r="D31"/>
      <c r="E31"/>
      <c r="F31"/>
      <c r="G31"/>
    </row>
    <row r="32" spans="1:7">
      <c r="A32" s="1104" t="s">
        <v>2245</v>
      </c>
      <c r="D32"/>
      <c r="E32"/>
      <c r="F32"/>
      <c r="G32"/>
    </row>
    <row r="33" spans="1:7">
      <c r="A33" s="1104" t="s">
        <v>2246</v>
      </c>
      <c r="D33"/>
      <c r="E33"/>
      <c r="F33"/>
      <c r="G33"/>
    </row>
    <row r="34" spans="1:7">
      <c r="D34"/>
      <c r="E34"/>
      <c r="F34"/>
      <c r="G34"/>
    </row>
    <row r="35" spans="1:7">
      <c r="A35" s="2" t="s">
        <v>614</v>
      </c>
      <c r="D35"/>
      <c r="E35"/>
      <c r="F35"/>
      <c r="G35"/>
    </row>
    <row r="38" spans="1:7">
      <c r="A38" s="418" t="s">
        <v>710</v>
      </c>
    </row>
  </sheetData>
  <mergeCells count="4">
    <mergeCell ref="A1:D1"/>
    <mergeCell ref="A18:E18"/>
    <mergeCell ref="A23:E23"/>
    <mergeCell ref="A3:E3"/>
  </mergeCells>
  <phoneticPr fontId="0" type="noConversion"/>
  <pageMargins left="0.57999999999999996" right="0.63" top="0.96" bottom="0.49" header="0.49" footer="0.4921259845"/>
  <pageSetup paperSize="9" scale="81" orientation="portrait" horizontalDpi="1200" verticalDpi="1200"/>
  <headerFooter alignWithMargins="0"/>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97259-DC32-F749-852F-3E0C4AA66FE1}">
  <sheetPr>
    <pageSetUpPr fitToPage="1"/>
  </sheetPr>
  <dimension ref="A1:H43"/>
  <sheetViews>
    <sheetView zoomScale="75" workbookViewId="0">
      <selection activeCell="A2" sqref="A2:E2"/>
    </sheetView>
  </sheetViews>
  <sheetFormatPr baseColWidth="10" defaultColWidth="11.3984375" defaultRowHeight="13"/>
  <cols>
    <col min="1" max="1" width="14.796875" style="2" customWidth="1"/>
    <col min="2" max="6" width="21" style="2" customWidth="1"/>
    <col min="7" max="7" width="20.19921875" style="2" customWidth="1"/>
    <col min="8" max="8" width="12.19921875" style="2" customWidth="1"/>
    <col min="9" max="16384" width="11.3984375" style="2"/>
  </cols>
  <sheetData>
    <row r="1" spans="1:8" s="1" customFormat="1" ht="14" customHeight="1"/>
    <row r="2" spans="1:8" s="1" customFormat="1" ht="27" customHeight="1">
      <c r="A2" s="2014" t="s">
        <v>2247</v>
      </c>
      <c r="B2" s="2043"/>
      <c r="C2" s="2043"/>
      <c r="D2" s="2043"/>
      <c r="E2" s="2043"/>
      <c r="F2" s="118">
        <v>2009</v>
      </c>
    </row>
    <row r="3" spans="1:8" ht="27" customHeight="1">
      <c r="A3" s="119" t="s">
        <v>1797</v>
      </c>
      <c r="B3" s="120" t="s">
        <v>1798</v>
      </c>
      <c r="C3" s="121" t="s">
        <v>1799</v>
      </c>
      <c r="D3" s="120" t="s">
        <v>1800</v>
      </c>
      <c r="E3" s="121" t="s">
        <v>1567</v>
      </c>
      <c r="F3" s="390" t="s">
        <v>1801</v>
      </c>
    </row>
    <row r="4" spans="1:8" ht="15" customHeight="1">
      <c r="A4" s="122"/>
      <c r="B4" s="123"/>
      <c r="C4" s="124" t="s">
        <v>1800</v>
      </c>
      <c r="D4" s="125"/>
      <c r="E4" s="124"/>
      <c r="F4" s="125" t="s">
        <v>1802</v>
      </c>
    </row>
    <row r="5" spans="1:8" ht="15" customHeight="1">
      <c r="A5" s="122"/>
      <c r="B5" s="123" t="s">
        <v>1803</v>
      </c>
      <c r="C5" s="124" t="s">
        <v>1804</v>
      </c>
      <c r="D5" s="123" t="s">
        <v>1805</v>
      </c>
      <c r="E5" s="124"/>
      <c r="F5" s="125" t="s">
        <v>1806</v>
      </c>
    </row>
    <row r="6" spans="1:8" ht="24" customHeight="1">
      <c r="A6" s="126"/>
      <c r="B6" s="127"/>
      <c r="C6" s="126"/>
      <c r="D6" s="127"/>
      <c r="E6" s="128"/>
      <c r="F6" s="129"/>
      <c r="H6" s="130"/>
    </row>
    <row r="7" spans="1:8" ht="30" customHeight="1" thickBot="1">
      <c r="A7" s="131" t="s">
        <v>1807</v>
      </c>
      <c r="B7" s="496">
        <v>247571.94</v>
      </c>
      <c r="C7" s="497">
        <v>104247.76</v>
      </c>
      <c r="D7" s="496">
        <v>988771.34</v>
      </c>
      <c r="E7" s="497">
        <v>1340591.05</v>
      </c>
      <c r="F7" s="498">
        <v>1.8409937425789544E-2</v>
      </c>
      <c r="H7" s="134"/>
    </row>
    <row r="8" spans="1:8" ht="20" customHeight="1" thickBot="1">
      <c r="A8" s="135" t="s">
        <v>1808</v>
      </c>
      <c r="B8" s="496">
        <v>179688.93</v>
      </c>
      <c r="C8" s="497">
        <v>80673.039999999994</v>
      </c>
      <c r="D8" s="496">
        <v>711296.24</v>
      </c>
      <c r="E8" s="497">
        <v>971658.23</v>
      </c>
      <c r="F8" s="498">
        <v>9.9242602197253758E-3</v>
      </c>
      <c r="H8" s="134"/>
    </row>
    <row r="9" spans="1:8" ht="20" customHeight="1" thickBot="1">
      <c r="A9" s="135" t="s">
        <v>1809</v>
      </c>
      <c r="B9" s="496">
        <v>76278.44</v>
      </c>
      <c r="C9" s="497">
        <v>34904.61</v>
      </c>
      <c r="D9" s="496">
        <v>261849.1</v>
      </c>
      <c r="E9" s="497">
        <v>373032.19</v>
      </c>
      <c r="F9" s="498">
        <v>1.5880103812353458E-2</v>
      </c>
      <c r="H9" s="134"/>
    </row>
    <row r="10" spans="1:8" ht="20" customHeight="1" thickBot="1">
      <c r="A10" s="135" t="s">
        <v>1810</v>
      </c>
      <c r="B10" s="496">
        <v>7191.09</v>
      </c>
      <c r="C10" s="497">
        <v>3311.34</v>
      </c>
      <c r="D10" s="496">
        <v>24965.53</v>
      </c>
      <c r="E10" s="497">
        <v>35467.97</v>
      </c>
      <c r="F10" s="498">
        <v>9.3619624918182404E-3</v>
      </c>
      <c r="H10" s="134"/>
    </row>
    <row r="11" spans="1:8" ht="20" customHeight="1" thickBot="1">
      <c r="A11" s="135" t="s">
        <v>1811</v>
      </c>
      <c r="B11" s="496">
        <v>29476.85</v>
      </c>
      <c r="C11" s="497">
        <v>12784</v>
      </c>
      <c r="D11" s="496">
        <v>102455.11</v>
      </c>
      <c r="E11" s="497">
        <v>144715.96</v>
      </c>
      <c r="F11" s="498">
        <v>1.5857135837480725E-2</v>
      </c>
      <c r="H11" s="134"/>
    </row>
    <row r="12" spans="1:8" ht="20" customHeight="1" thickBot="1">
      <c r="A12" s="135" t="s">
        <v>1812</v>
      </c>
      <c r="B12" s="496">
        <v>7365.53</v>
      </c>
      <c r="C12" s="497">
        <v>3397.27</v>
      </c>
      <c r="D12" s="496">
        <v>24578.02</v>
      </c>
      <c r="E12" s="497">
        <v>35340.879999999997</v>
      </c>
      <c r="F12" s="498">
        <v>1.6681913638848057E-2</v>
      </c>
      <c r="H12" s="134"/>
    </row>
    <row r="13" spans="1:8" ht="20" customHeight="1" thickBot="1">
      <c r="A13" s="135" t="s">
        <v>1813</v>
      </c>
      <c r="B13" s="496">
        <v>7697</v>
      </c>
      <c r="C13" s="497">
        <v>3538.85</v>
      </c>
      <c r="D13" s="496">
        <v>29250.26</v>
      </c>
      <c r="E13" s="497">
        <v>40486.120000000003</v>
      </c>
      <c r="F13" s="498">
        <v>1.1975904216762132E-2</v>
      </c>
      <c r="H13" s="134"/>
    </row>
    <row r="14" spans="1:8" ht="20" customHeight="1" thickBot="1">
      <c r="A14" s="135" t="s">
        <v>1814</v>
      </c>
      <c r="B14" s="496">
        <v>7497.27</v>
      </c>
      <c r="C14" s="497">
        <v>3718.5</v>
      </c>
      <c r="D14" s="496">
        <v>27419.67</v>
      </c>
      <c r="E14" s="497">
        <v>38635.449999999997</v>
      </c>
      <c r="F14" s="498">
        <v>8.3372481469881268E-3</v>
      </c>
      <c r="H14" s="134"/>
    </row>
    <row r="15" spans="1:8" ht="20" customHeight="1" thickBot="1">
      <c r="A15" s="135" t="s">
        <v>1815</v>
      </c>
      <c r="B15" s="496">
        <v>21549.17</v>
      </c>
      <c r="C15" s="497">
        <v>8682.91</v>
      </c>
      <c r="D15" s="496">
        <v>80600.37</v>
      </c>
      <c r="E15" s="497">
        <v>110832.47</v>
      </c>
      <c r="F15" s="498">
        <v>1.2908700420398475E-2</v>
      </c>
      <c r="H15" s="134"/>
    </row>
    <row r="16" spans="1:8" ht="20" customHeight="1" thickBot="1">
      <c r="A16" s="135" t="s">
        <v>1816</v>
      </c>
      <c r="B16" s="496">
        <v>61495.37</v>
      </c>
      <c r="C16" s="497">
        <v>23853.99</v>
      </c>
      <c r="D16" s="496">
        <v>186100.87</v>
      </c>
      <c r="E16" s="497">
        <v>271450.28000000003</v>
      </c>
      <c r="F16" s="498">
        <v>1.4744641241691879E-2</v>
      </c>
      <c r="H16" s="134"/>
    </row>
    <row r="17" spans="1:8" ht="20" customHeight="1" thickBot="1">
      <c r="A17" s="135" t="s">
        <v>1817</v>
      </c>
      <c r="B17" s="496">
        <v>48186.89</v>
      </c>
      <c r="C17" s="497">
        <v>22729.57</v>
      </c>
      <c r="D17" s="496">
        <v>184076.03</v>
      </c>
      <c r="E17" s="497">
        <v>254992.54</v>
      </c>
      <c r="F17" s="498">
        <v>1.0431684894595056E-2</v>
      </c>
      <c r="H17" s="134"/>
    </row>
    <row r="18" spans="1:8" ht="20" customHeight="1" thickBot="1">
      <c r="A18" s="135" t="s">
        <v>1818</v>
      </c>
      <c r="B18" s="496">
        <v>27689.22</v>
      </c>
      <c r="C18" s="497">
        <v>13038.85</v>
      </c>
      <c r="D18" s="496">
        <v>136052.38</v>
      </c>
      <c r="E18" s="497">
        <v>176780.49</v>
      </c>
      <c r="F18" s="498">
        <v>-1.2520863357576215E-2</v>
      </c>
      <c r="H18" s="134"/>
    </row>
    <row r="19" spans="1:8" ht="20" customHeight="1" thickBot="1">
      <c r="A19" s="135" t="s">
        <v>1819</v>
      </c>
      <c r="B19" s="496">
        <v>49647.96</v>
      </c>
      <c r="C19" s="497">
        <v>21760.17</v>
      </c>
      <c r="D19" s="496">
        <v>199956.16</v>
      </c>
      <c r="E19" s="497">
        <v>271364.28000000003</v>
      </c>
      <c r="F19" s="498">
        <v>5.4327190271881527E-3</v>
      </c>
      <c r="H19" s="134"/>
    </row>
    <row r="20" spans="1:8" ht="20" customHeight="1" thickBot="1">
      <c r="A20" s="135" t="s">
        <v>1820</v>
      </c>
      <c r="B20" s="496">
        <v>13743.2</v>
      </c>
      <c r="C20" s="497">
        <v>6795.8</v>
      </c>
      <c r="D20" s="496">
        <v>54837.72</v>
      </c>
      <c r="E20" s="497">
        <v>75376.759999999995</v>
      </c>
      <c r="F20" s="498">
        <v>-8.7483232950212406E-3</v>
      </c>
      <c r="H20" s="134"/>
    </row>
    <row r="21" spans="1:8" ht="20" customHeight="1" thickBot="1">
      <c r="A21" s="135" t="s">
        <v>1821</v>
      </c>
      <c r="B21" s="496">
        <v>10834.44</v>
      </c>
      <c r="C21" s="497">
        <v>4898.1000000000004</v>
      </c>
      <c r="D21" s="496">
        <v>38012.17</v>
      </c>
      <c r="E21" s="497">
        <v>53744.68</v>
      </c>
      <c r="F21" s="498">
        <v>6.6431916089155331E-3</v>
      </c>
      <c r="H21" s="134"/>
    </row>
    <row r="22" spans="1:8" ht="20" customHeight="1" thickBot="1">
      <c r="A22" s="135" t="s">
        <v>1822</v>
      </c>
      <c r="B22" s="496">
        <v>3563.85</v>
      </c>
      <c r="C22" s="497">
        <v>1609.37</v>
      </c>
      <c r="D22" s="496">
        <v>10489.38</v>
      </c>
      <c r="E22" s="497">
        <v>15662.64</v>
      </c>
      <c r="F22" s="498">
        <v>1.3959992231501225E-2</v>
      </c>
      <c r="H22" s="134"/>
    </row>
    <row r="23" spans="1:8" ht="20" customHeight="1" thickBot="1">
      <c r="A23" s="135" t="s">
        <v>1823</v>
      </c>
      <c r="B23" s="496">
        <v>98087.63</v>
      </c>
      <c r="C23" s="497">
        <v>46455.06</v>
      </c>
      <c r="D23" s="496">
        <v>330820.89</v>
      </c>
      <c r="E23" s="497">
        <v>475363.58</v>
      </c>
      <c r="F23" s="498">
        <v>1.2415671708545102E-2</v>
      </c>
      <c r="H23" s="134"/>
    </row>
    <row r="24" spans="1:8" ht="20" customHeight="1" thickBot="1">
      <c r="A24" s="135" t="s">
        <v>1824</v>
      </c>
      <c r="B24" s="496">
        <v>35224.14</v>
      </c>
      <c r="C24" s="497">
        <v>18745.25</v>
      </c>
      <c r="D24" s="496">
        <v>142279.37</v>
      </c>
      <c r="E24" s="497">
        <v>196248.75</v>
      </c>
      <c r="F24" s="498">
        <v>1.0159567623214516E-2</v>
      </c>
      <c r="H24" s="134"/>
    </row>
    <row r="25" spans="1:8" ht="20" customHeight="1" thickBot="1">
      <c r="A25" s="135" t="s">
        <v>1825</v>
      </c>
      <c r="B25" s="496">
        <v>119032.55</v>
      </c>
      <c r="C25" s="497">
        <v>53070.21</v>
      </c>
      <c r="D25" s="496">
        <v>428471.56</v>
      </c>
      <c r="E25" s="497">
        <v>600574.32999999996</v>
      </c>
      <c r="F25" s="498">
        <v>1.4864239630401871E-2</v>
      </c>
      <c r="H25" s="134"/>
    </row>
    <row r="26" spans="1:8" ht="20" customHeight="1" thickBot="1">
      <c r="A26" s="135" t="s">
        <v>1826</v>
      </c>
      <c r="B26" s="496">
        <v>50726.81</v>
      </c>
      <c r="C26" s="497">
        <v>23218.09</v>
      </c>
      <c r="D26" s="496">
        <v>170048.42</v>
      </c>
      <c r="E26" s="497">
        <v>243993.34</v>
      </c>
      <c r="F26" s="498">
        <v>9.1418337931119913E-3</v>
      </c>
      <c r="H26" s="134"/>
    </row>
    <row r="27" spans="1:8" ht="20" customHeight="1" thickBot="1">
      <c r="A27" s="135" t="s">
        <v>1827</v>
      </c>
      <c r="B27" s="496">
        <v>58566.99</v>
      </c>
      <c r="C27" s="497">
        <v>23227.19</v>
      </c>
      <c r="D27" s="496">
        <v>246285.76</v>
      </c>
      <c r="E27" s="497">
        <v>328079.89</v>
      </c>
      <c r="F27" s="498">
        <v>1.318640560822709E-2</v>
      </c>
      <c r="H27" s="134"/>
    </row>
    <row r="28" spans="1:8" ht="20" customHeight="1" thickBot="1">
      <c r="A28" s="135" t="s">
        <v>1828</v>
      </c>
      <c r="B28" s="496">
        <v>146065.17000000001</v>
      </c>
      <c r="C28" s="497">
        <v>55862.75</v>
      </c>
      <c r="D28" s="496">
        <v>481814.47</v>
      </c>
      <c r="E28" s="497">
        <v>683742.42</v>
      </c>
      <c r="F28" s="498">
        <v>2.388224512349623E-2</v>
      </c>
      <c r="H28" s="134"/>
    </row>
    <row r="29" spans="1:8" ht="20" customHeight="1" thickBot="1">
      <c r="A29" s="135" t="s">
        <v>1829</v>
      </c>
      <c r="B29" s="496">
        <v>61033.09</v>
      </c>
      <c r="C29" s="497">
        <v>28254.69</v>
      </c>
      <c r="D29" s="496">
        <v>221470.83</v>
      </c>
      <c r="E29" s="497">
        <v>310758.58</v>
      </c>
      <c r="F29" s="498">
        <v>1.9599324113719559E-2</v>
      </c>
      <c r="H29" s="134"/>
    </row>
    <row r="30" spans="1:8" ht="20" customHeight="1" thickBot="1">
      <c r="A30" s="135" t="s">
        <v>1830</v>
      </c>
      <c r="B30" s="496">
        <v>35765.599999999999</v>
      </c>
      <c r="C30" s="497">
        <v>14590.96</v>
      </c>
      <c r="D30" s="496">
        <v>121750.71</v>
      </c>
      <c r="E30" s="497">
        <v>172107.22</v>
      </c>
      <c r="F30" s="498">
        <v>1.3534147188900477E-2</v>
      </c>
      <c r="H30" s="134"/>
    </row>
    <row r="31" spans="1:8" ht="20" customHeight="1" thickBot="1">
      <c r="A31" s="135" t="s">
        <v>1831</v>
      </c>
      <c r="B31" s="496">
        <v>87466.31</v>
      </c>
      <c r="C31" s="497">
        <v>32370.39</v>
      </c>
      <c r="D31" s="496">
        <v>294128.11</v>
      </c>
      <c r="E31" s="497">
        <v>413964.79</v>
      </c>
      <c r="F31" s="498">
        <v>9.4535563098651493E-3</v>
      </c>
      <c r="H31" s="134"/>
    </row>
    <row r="32" spans="1:8" ht="20" customHeight="1" thickBot="1">
      <c r="A32" s="136" t="s">
        <v>1832</v>
      </c>
      <c r="B32" s="496">
        <v>15164.21</v>
      </c>
      <c r="C32" s="497">
        <v>6128.99</v>
      </c>
      <c r="D32" s="496">
        <v>48997.38</v>
      </c>
      <c r="E32" s="497">
        <v>70290.59</v>
      </c>
      <c r="F32" s="498">
        <v>7.3315754023416287E-3</v>
      </c>
      <c r="H32" s="134"/>
    </row>
    <row r="33" spans="1:8" ht="20" customHeight="1" thickBot="1">
      <c r="A33" s="502" t="s">
        <v>2086</v>
      </c>
      <c r="B33" s="496">
        <v>364.08</v>
      </c>
      <c r="C33" s="497">
        <v>339.83</v>
      </c>
      <c r="D33" s="496">
        <v>2889.09</v>
      </c>
      <c r="E33" s="497">
        <v>3593</v>
      </c>
      <c r="F33" s="498" t="s">
        <v>744</v>
      </c>
      <c r="H33" s="134"/>
    </row>
    <row r="34" spans="1:8" ht="20" customHeight="1" thickBot="1">
      <c r="A34" s="503" t="s">
        <v>657</v>
      </c>
      <c r="B34" s="496">
        <v>0.08</v>
      </c>
      <c r="C34" s="497">
        <v>0</v>
      </c>
      <c r="D34" s="496">
        <v>0</v>
      </c>
      <c r="E34" s="497">
        <v>0.08</v>
      </c>
      <c r="F34" s="498" t="s">
        <v>744</v>
      </c>
      <c r="H34" s="134"/>
    </row>
    <row r="35" spans="1:8" ht="30" customHeight="1" thickBot="1">
      <c r="A35" s="137" t="s">
        <v>1222</v>
      </c>
      <c r="B35" s="499">
        <v>1506973.92</v>
      </c>
      <c r="C35" s="500">
        <v>652207.47</v>
      </c>
      <c r="D35" s="499">
        <v>5549667.1299999999</v>
      </c>
      <c r="E35" s="500">
        <v>7708848.4800000014</v>
      </c>
      <c r="F35" s="501">
        <v>1.2249273703108032E-2</v>
      </c>
      <c r="H35" s="134"/>
    </row>
    <row r="36" spans="1:8" ht="20" customHeight="1">
      <c r="A36" s="140" t="s">
        <v>1837</v>
      </c>
      <c r="B36" s="140"/>
      <c r="C36" s="140"/>
      <c r="D36" s="140"/>
      <c r="E36" s="140"/>
      <c r="F36" s="140"/>
      <c r="H36" s="130"/>
    </row>
    <row r="37" spans="1:8">
      <c r="F37" s="488"/>
    </row>
    <row r="38" spans="1:8">
      <c r="A38" s="141" t="s">
        <v>658</v>
      </c>
      <c r="F38" s="488"/>
    </row>
    <row r="39" spans="1:8" ht="11.25" customHeight="1">
      <c r="A39" s="141"/>
      <c r="B39" s="141"/>
      <c r="C39" s="141"/>
      <c r="D39" s="141"/>
      <c r="E39" s="141"/>
      <c r="F39" s="141"/>
      <c r="H39" s="130"/>
    </row>
    <row r="40" spans="1:8" ht="14.25" customHeight="1">
      <c r="A40" s="495" t="s">
        <v>659</v>
      </c>
      <c r="B40" s="141"/>
      <c r="C40" s="141"/>
      <c r="D40" s="141"/>
      <c r="E40" s="141"/>
      <c r="F40" s="141"/>
      <c r="H40" s="130"/>
    </row>
    <row r="41" spans="1:8" ht="12" customHeight="1">
      <c r="A41" s="88"/>
    </row>
    <row r="42" spans="1:8" ht="12" customHeight="1"/>
    <row r="43" spans="1:8" ht="12" customHeight="1">
      <c r="A43" s="141" t="s">
        <v>710</v>
      </c>
    </row>
  </sheetData>
  <mergeCells count="1">
    <mergeCell ref="A2:E2"/>
  </mergeCells>
  <phoneticPr fontId="0" type="noConversion"/>
  <pageMargins left="0.5" right="0.36" top="0.87" bottom="0.49" header="0.51" footer="0.4921259845"/>
  <pageSetup paperSize="9" scale="67" orientation="portrait"/>
  <headerFooter alignWithMargins="0"/>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9E100-0E76-1143-9A9D-280352419F03}">
  <dimension ref="A1:K48"/>
  <sheetViews>
    <sheetView zoomScale="75" workbookViewId="0">
      <selection activeCell="I16" sqref="I16"/>
    </sheetView>
  </sheetViews>
  <sheetFormatPr baseColWidth="10" defaultColWidth="11.3984375" defaultRowHeight="13"/>
  <cols>
    <col min="1" max="1" width="18.59765625" style="2" customWidth="1"/>
    <col min="2" max="2" width="14.796875" style="176" customWidth="1"/>
    <col min="3" max="3" width="14.796875" style="87" customWidth="1"/>
    <col min="4" max="4" width="16" style="176" customWidth="1"/>
    <col min="5" max="5" width="15.796875" style="87" customWidth="1"/>
    <col min="6" max="6" width="16" style="176" customWidth="1"/>
    <col min="7" max="7" width="14.796875" style="87" customWidth="1"/>
    <col min="8" max="8" width="7.3984375" style="2" customWidth="1"/>
    <col min="9" max="9" width="8" style="2" customWidth="1"/>
    <col min="10" max="10" width="7.796875" style="2" customWidth="1"/>
    <col min="11" max="11" width="9" style="2" customWidth="1"/>
    <col min="12" max="16384" width="11.3984375" style="2"/>
  </cols>
  <sheetData>
    <row r="1" spans="1:11" s="1" customFormat="1" ht="18.75" customHeight="1">
      <c r="A1" s="489"/>
      <c r="B1" s="490"/>
      <c r="C1" s="289"/>
      <c r="D1" s="169"/>
      <c r="E1" s="289"/>
      <c r="F1" s="169"/>
      <c r="G1" s="289"/>
    </row>
    <row r="2" spans="1:11" s="1" customFormat="1" ht="33.75" customHeight="1">
      <c r="A2" s="2044" t="s">
        <v>660</v>
      </c>
      <c r="B2" s="2018"/>
      <c r="C2" s="2018"/>
      <c r="D2" s="2018"/>
      <c r="E2" s="2018"/>
      <c r="F2" s="2018"/>
      <c r="G2" s="491">
        <v>2009</v>
      </c>
    </row>
    <row r="3" spans="1:11" ht="27" customHeight="1">
      <c r="A3" s="119" t="s">
        <v>661</v>
      </c>
      <c r="B3" s="147" t="s">
        <v>2304</v>
      </c>
      <c r="C3" s="306" t="s">
        <v>2030</v>
      </c>
      <c r="D3" s="147" t="s">
        <v>2305</v>
      </c>
      <c r="E3" s="306" t="s">
        <v>2030</v>
      </c>
      <c r="F3" s="147" t="s">
        <v>1567</v>
      </c>
      <c r="G3" s="306" t="s">
        <v>1801</v>
      </c>
    </row>
    <row r="4" spans="1:11" ht="15" customHeight="1">
      <c r="A4" s="122"/>
      <c r="B4" s="149"/>
      <c r="C4" s="122" t="s">
        <v>662</v>
      </c>
      <c r="D4" s="149"/>
      <c r="E4" s="122" t="s">
        <v>662</v>
      </c>
      <c r="F4" s="149"/>
      <c r="G4" s="122" t="s">
        <v>663</v>
      </c>
    </row>
    <row r="5" spans="1:11" ht="15" customHeight="1">
      <c r="A5" s="122"/>
      <c r="B5" s="149"/>
      <c r="C5" s="122" t="s">
        <v>2304</v>
      </c>
      <c r="D5" s="149"/>
      <c r="E5" s="122" t="s">
        <v>2305</v>
      </c>
      <c r="F5" s="149"/>
      <c r="G5" s="122" t="s">
        <v>1806</v>
      </c>
    </row>
    <row r="6" spans="1:11" ht="19.5" customHeight="1">
      <c r="A6" s="126"/>
      <c r="B6" s="154"/>
      <c r="C6" s="126"/>
      <c r="D6" s="154"/>
      <c r="E6" s="126"/>
      <c r="F6" s="154"/>
      <c r="G6" s="126"/>
    </row>
    <row r="7" spans="1:11" ht="30" customHeight="1" thickBot="1">
      <c r="A7" s="131" t="s">
        <v>664</v>
      </c>
      <c r="B7" s="170">
        <v>217994.23</v>
      </c>
      <c r="C7" s="375">
        <v>5.7494253158829084E-2</v>
      </c>
      <c r="D7" s="170">
        <v>206639.07</v>
      </c>
      <c r="E7" s="375">
        <v>5.2750842585796778E-2</v>
      </c>
      <c r="F7" s="170">
        <v>424633.3</v>
      </c>
      <c r="G7" s="375" t="s">
        <v>744</v>
      </c>
      <c r="I7" s="90"/>
      <c r="J7" s="90"/>
      <c r="K7" s="90"/>
    </row>
    <row r="8" spans="1:11" ht="20" customHeight="1" thickBot="1">
      <c r="A8" s="135" t="s">
        <v>665</v>
      </c>
      <c r="B8" s="170">
        <v>199022.38</v>
      </c>
      <c r="C8" s="375">
        <v>5.2490577846912197E-2</v>
      </c>
      <c r="D8" s="170">
        <v>188947.02</v>
      </c>
      <c r="E8" s="375">
        <v>4.8234414281265368E-2</v>
      </c>
      <c r="F8" s="170">
        <v>387969.4</v>
      </c>
      <c r="G8" s="375" t="s">
        <v>744</v>
      </c>
      <c r="I8" s="90"/>
      <c r="J8" s="90"/>
      <c r="K8" s="90"/>
    </row>
    <row r="9" spans="1:11" ht="20" customHeight="1" thickBot="1">
      <c r="A9" s="135" t="s">
        <v>666</v>
      </c>
      <c r="B9" s="170">
        <v>216644.29</v>
      </c>
      <c r="C9" s="375">
        <v>5.7138217165999226E-2</v>
      </c>
      <c r="D9" s="170">
        <v>205884.78</v>
      </c>
      <c r="E9" s="375">
        <v>5.2558287358684883E-2</v>
      </c>
      <c r="F9" s="170">
        <v>422529.07</v>
      </c>
      <c r="G9" s="375" t="s">
        <v>744</v>
      </c>
      <c r="I9" s="90"/>
      <c r="J9" s="90"/>
      <c r="K9" s="90"/>
    </row>
    <row r="10" spans="1:11" ht="20" customHeight="1" thickBot="1">
      <c r="A10" s="135" t="s">
        <v>667</v>
      </c>
      <c r="B10" s="170">
        <v>139556.38</v>
      </c>
      <c r="C10" s="375">
        <v>3.6806890905551733E-2</v>
      </c>
      <c r="D10" s="170">
        <v>132285.67000000001</v>
      </c>
      <c r="E10" s="375">
        <v>3.3769899150855931E-2</v>
      </c>
      <c r="F10" s="170">
        <v>271842.05</v>
      </c>
      <c r="G10" s="375" t="s">
        <v>744</v>
      </c>
      <c r="I10" s="90"/>
      <c r="J10" s="90"/>
      <c r="K10" s="90"/>
    </row>
    <row r="11" spans="1:11" ht="20" customHeight="1" thickBot="1">
      <c r="A11" s="408" t="s">
        <v>668</v>
      </c>
      <c r="B11" s="1068">
        <v>773217.26</v>
      </c>
      <c r="C11" s="1069">
        <v>0.2039299338024505</v>
      </c>
      <c r="D11" s="1068">
        <v>733756.53</v>
      </c>
      <c r="E11" s="1069">
        <v>0.18731344082380197</v>
      </c>
      <c r="F11" s="1068">
        <v>1506973.79</v>
      </c>
      <c r="G11" s="1069">
        <v>4.0320483009776906E-3</v>
      </c>
      <c r="I11" s="90"/>
      <c r="J11" s="90"/>
      <c r="K11" s="90"/>
    </row>
    <row r="12" spans="1:11" ht="20" customHeight="1" thickBot="1">
      <c r="A12" s="135" t="s">
        <v>669</v>
      </c>
      <c r="B12" s="170">
        <v>93074.53</v>
      </c>
      <c r="C12" s="375">
        <v>2.4547670782199292E-2</v>
      </c>
      <c r="D12" s="170">
        <v>89865.72</v>
      </c>
      <c r="E12" s="375">
        <v>2.2940930045703793E-2</v>
      </c>
      <c r="F12" s="170">
        <v>182940.25</v>
      </c>
      <c r="G12" s="375" t="s">
        <v>744</v>
      </c>
      <c r="I12" s="90"/>
      <c r="J12" s="90"/>
      <c r="K12" s="90"/>
    </row>
    <row r="13" spans="1:11" ht="20" customHeight="1" thickBot="1">
      <c r="A13" s="135" t="s">
        <v>670</v>
      </c>
      <c r="B13" s="170">
        <v>237046.62</v>
      </c>
      <c r="C13" s="375">
        <v>6.2519170258427278E-2</v>
      </c>
      <c r="D13" s="170">
        <v>232216.67</v>
      </c>
      <c r="E13" s="375">
        <v>5.9280294887931489E-2</v>
      </c>
      <c r="F13" s="170">
        <v>469263.29</v>
      </c>
      <c r="G13" s="375" t="s">
        <v>744</v>
      </c>
      <c r="I13" s="90"/>
      <c r="J13" s="90"/>
      <c r="K13" s="90"/>
    </row>
    <row r="14" spans="1:11" ht="20" customHeight="1" thickBot="1">
      <c r="A14" s="408" t="s">
        <v>671</v>
      </c>
      <c r="B14" s="1068">
        <v>330121.08</v>
      </c>
      <c r="C14" s="1069">
        <v>8.7066822578680494E-2</v>
      </c>
      <c r="D14" s="1068">
        <v>322082.37</v>
      </c>
      <c r="E14" s="1069">
        <v>8.2221219828033265E-2</v>
      </c>
      <c r="F14" s="1068">
        <v>652203.44999999995</v>
      </c>
      <c r="G14" s="1069">
        <v>3.5066131520310732E-2</v>
      </c>
      <c r="I14" s="90"/>
      <c r="J14" s="90"/>
      <c r="K14" s="90"/>
    </row>
    <row r="15" spans="1:11" ht="20" customHeight="1" thickBot="1">
      <c r="A15" s="135" t="s">
        <v>672</v>
      </c>
      <c r="B15" s="170">
        <v>258373.24</v>
      </c>
      <c r="C15" s="375">
        <v>6.8143897524383573E-2</v>
      </c>
      <c r="D15" s="170">
        <v>253566.98</v>
      </c>
      <c r="E15" s="375">
        <v>6.4730604173430906E-2</v>
      </c>
      <c r="F15" s="170">
        <v>511940.22</v>
      </c>
      <c r="G15" s="375">
        <v>2.9292459753383234E-2</v>
      </c>
      <c r="I15" s="90"/>
      <c r="J15" s="90"/>
      <c r="K15" s="90"/>
    </row>
    <row r="16" spans="1:11" ht="20" customHeight="1" thickBot="1">
      <c r="A16" s="135" t="s">
        <v>673</v>
      </c>
      <c r="B16" s="170">
        <v>260916.87</v>
      </c>
      <c r="C16" s="375">
        <v>6.8814759808960527E-2</v>
      </c>
      <c r="D16" s="170">
        <v>259505.46</v>
      </c>
      <c r="E16" s="375">
        <v>6.6246579945480694E-2</v>
      </c>
      <c r="F16" s="170">
        <v>520422.33</v>
      </c>
      <c r="G16" s="375">
        <v>1.1829439007034204E-2</v>
      </c>
      <c r="I16" s="90"/>
      <c r="J16" s="90"/>
      <c r="K16" s="90"/>
    </row>
    <row r="17" spans="1:11" ht="20" customHeight="1" thickBot="1">
      <c r="A17" s="135" t="s">
        <v>674</v>
      </c>
      <c r="B17" s="170">
        <v>288966.53999999998</v>
      </c>
      <c r="C17" s="375">
        <v>7.6212638312449413E-2</v>
      </c>
      <c r="D17" s="170">
        <v>288254.06</v>
      </c>
      <c r="E17" s="375">
        <v>7.3585525446745473E-2</v>
      </c>
      <c r="F17" s="170">
        <v>577220.6</v>
      </c>
      <c r="G17" s="375">
        <v>-1.7948177008013377E-2</v>
      </c>
      <c r="I17" s="90"/>
      <c r="J17" s="90"/>
      <c r="K17" s="90"/>
    </row>
    <row r="18" spans="1:11" ht="20" customHeight="1" thickBot="1">
      <c r="A18" s="135" t="s">
        <v>675</v>
      </c>
      <c r="B18" s="170">
        <v>327049.78999999998</v>
      </c>
      <c r="C18" s="375">
        <v>8.6256794144514218E-2</v>
      </c>
      <c r="D18" s="170">
        <v>321642.46999999997</v>
      </c>
      <c r="E18" s="375">
        <v>8.2108922111761642E-2</v>
      </c>
      <c r="F18" s="170">
        <v>648692.26</v>
      </c>
      <c r="G18" s="375">
        <v>-2.1270468792062313E-3</v>
      </c>
      <c r="I18" s="90"/>
      <c r="J18" s="90"/>
      <c r="K18" s="90"/>
    </row>
    <row r="19" spans="1:11" ht="20" customHeight="1" thickBot="1">
      <c r="A19" s="135" t="s">
        <v>676</v>
      </c>
      <c r="B19" s="170">
        <v>309502.92</v>
      </c>
      <c r="C19" s="375">
        <v>8.1628946031630401E-2</v>
      </c>
      <c r="D19" s="170">
        <v>303433.33</v>
      </c>
      <c r="E19" s="375">
        <v>7.746049101999021E-2</v>
      </c>
      <c r="F19" s="170">
        <v>612936.25</v>
      </c>
      <c r="G19" s="375">
        <v>3.2136374046058611E-2</v>
      </c>
      <c r="I19" s="90"/>
      <c r="J19" s="90"/>
      <c r="K19" s="90"/>
    </row>
    <row r="20" spans="1:11" ht="20" customHeight="1" thickBot="1">
      <c r="A20" s="135" t="s">
        <v>677</v>
      </c>
      <c r="B20" s="170">
        <v>267952.95</v>
      </c>
      <c r="C20" s="375">
        <v>7.0670470231964724E-2</v>
      </c>
      <c r="D20" s="170">
        <v>261818.05</v>
      </c>
      <c r="E20" s="375">
        <v>6.6836938153420206E-2</v>
      </c>
      <c r="F20" s="170">
        <v>529771</v>
      </c>
      <c r="G20" s="375">
        <v>2.5982124701029331E-2</v>
      </c>
      <c r="I20" s="90"/>
      <c r="J20" s="90"/>
      <c r="K20" s="90"/>
    </row>
    <row r="21" spans="1:11" ht="20" customHeight="1" thickBot="1">
      <c r="A21" s="135" t="s">
        <v>678</v>
      </c>
      <c r="B21" s="170">
        <v>234845.21</v>
      </c>
      <c r="C21" s="375">
        <v>6.1938565790839409E-2</v>
      </c>
      <c r="D21" s="170">
        <v>236341.14</v>
      </c>
      <c r="E21" s="375">
        <v>6.0333190004618967E-2</v>
      </c>
      <c r="F21" s="170">
        <v>471186.35</v>
      </c>
      <c r="G21" s="375">
        <v>-1.224446969247385E-3</v>
      </c>
      <c r="I21" s="90"/>
      <c r="J21" s="90"/>
      <c r="K21" s="90"/>
    </row>
    <row r="22" spans="1:11" ht="20" customHeight="1" thickBot="1">
      <c r="A22" s="135" t="s">
        <v>679</v>
      </c>
      <c r="B22" s="170">
        <v>220209.91</v>
      </c>
      <c r="C22" s="375">
        <v>5.807862122599744E-2</v>
      </c>
      <c r="D22" s="170">
        <v>226520.16</v>
      </c>
      <c r="E22" s="375">
        <v>5.7826089241833599E-2</v>
      </c>
      <c r="F22" s="170">
        <v>446730.07</v>
      </c>
      <c r="G22" s="375">
        <v>1.6781501148268964E-2</v>
      </c>
      <c r="I22" s="90"/>
      <c r="J22" s="90"/>
      <c r="K22" s="90"/>
    </row>
    <row r="23" spans="1:11" ht="20" customHeight="1" thickBot="1">
      <c r="A23" s="135" t="s">
        <v>680</v>
      </c>
      <c r="B23" s="170">
        <v>171290.98</v>
      </c>
      <c r="C23" s="375">
        <v>4.5176640537430417E-2</v>
      </c>
      <c r="D23" s="170">
        <v>188529.1</v>
      </c>
      <c r="E23" s="375">
        <v>4.8127727621605824E-2</v>
      </c>
      <c r="F23" s="170">
        <v>359820.08</v>
      </c>
      <c r="G23" s="375">
        <v>4.4494734275396866E-2</v>
      </c>
      <c r="I23" s="90"/>
      <c r="J23" s="90"/>
      <c r="K23" s="90"/>
    </row>
    <row r="24" spans="1:11" ht="20" customHeight="1" thickBot="1">
      <c r="A24" s="135" t="s">
        <v>681</v>
      </c>
      <c r="B24" s="170">
        <v>132134.54</v>
      </c>
      <c r="C24" s="375">
        <v>3.4849439335093539E-2</v>
      </c>
      <c r="D24" s="170">
        <v>158974.66</v>
      </c>
      <c r="E24" s="375">
        <v>4.0583067204041152E-2</v>
      </c>
      <c r="F24" s="170">
        <v>291109.2</v>
      </c>
      <c r="G24" s="375">
        <v>1.2053872522093476E-2</v>
      </c>
      <c r="I24" s="90"/>
      <c r="J24" s="90"/>
      <c r="K24" s="90"/>
    </row>
    <row r="25" spans="1:11" ht="20" customHeight="1" thickBot="1">
      <c r="A25" s="135" t="s">
        <v>682</v>
      </c>
      <c r="B25" s="170">
        <v>102602.64</v>
      </c>
      <c r="C25" s="375">
        <v>2.7060634398094863E-2</v>
      </c>
      <c r="D25" s="170">
        <v>141850.16</v>
      </c>
      <c r="E25" s="375">
        <v>3.6211523120628093E-2</v>
      </c>
      <c r="F25" s="170">
        <v>244452.8</v>
      </c>
      <c r="G25" s="375">
        <v>1.3175062377214239E-2</v>
      </c>
      <c r="I25" s="90"/>
      <c r="J25" s="90"/>
      <c r="K25" s="90"/>
    </row>
    <row r="26" spans="1:11" ht="20" customHeight="1" thickBot="1">
      <c r="A26" s="135" t="s">
        <v>683</v>
      </c>
      <c r="B26" s="170">
        <v>67421.899999999994</v>
      </c>
      <c r="C26" s="375">
        <v>1.7781992610764321E-2</v>
      </c>
      <c r="D26" s="170">
        <v>113648.26</v>
      </c>
      <c r="E26" s="375">
        <v>2.9012139250383307E-2</v>
      </c>
      <c r="F26" s="170">
        <v>181070.16</v>
      </c>
      <c r="G26" s="375">
        <v>1.4523694797117709E-2</v>
      </c>
      <c r="I26" s="90"/>
      <c r="J26" s="90"/>
      <c r="K26" s="90"/>
    </row>
    <row r="27" spans="1:11" ht="20" customHeight="1" thickBot="1">
      <c r="A27" s="135" t="s">
        <v>684</v>
      </c>
      <c r="B27" s="170">
        <v>34748.32</v>
      </c>
      <c r="C27" s="375">
        <v>9.1645944341004065E-3</v>
      </c>
      <c r="D27" s="170">
        <v>72000.91</v>
      </c>
      <c r="E27" s="375">
        <v>1.838039955098579E-2</v>
      </c>
      <c r="F27" s="170">
        <v>106749.23</v>
      </c>
      <c r="G27" s="375">
        <v>5.0722764675774738E-2</v>
      </c>
      <c r="I27" s="90"/>
      <c r="J27" s="90"/>
      <c r="K27" s="90"/>
    </row>
    <row r="28" spans="1:11" ht="20" customHeight="1" thickBot="1">
      <c r="A28" s="135" t="s">
        <v>685</v>
      </c>
      <c r="B28" s="170">
        <v>10109.799999999999</v>
      </c>
      <c r="C28" s="375">
        <v>2.6663797504416983E-3</v>
      </c>
      <c r="D28" s="170">
        <v>27227.79</v>
      </c>
      <c r="E28" s="375">
        <v>6.9507129714101584E-3</v>
      </c>
      <c r="F28" s="170">
        <v>37337.589999999997</v>
      </c>
      <c r="G28" s="375" t="s">
        <v>744</v>
      </c>
      <c r="I28" s="90"/>
      <c r="J28" s="90"/>
      <c r="K28" s="90"/>
    </row>
    <row r="29" spans="1:11" ht="20" customHeight="1" thickBot="1">
      <c r="A29" s="135" t="s">
        <v>2081</v>
      </c>
      <c r="B29" s="170">
        <v>1983.72</v>
      </c>
      <c r="C29" s="375">
        <v>5.2319045268414872E-4</v>
      </c>
      <c r="D29" s="170">
        <v>7295.84</v>
      </c>
      <c r="E29" s="375">
        <v>1.8624827694547772E-3</v>
      </c>
      <c r="F29" s="170">
        <v>9279.56</v>
      </c>
      <c r="G29" s="375" t="s">
        <v>744</v>
      </c>
      <c r="I29" s="90"/>
      <c r="J29" s="90"/>
      <c r="K29" s="90"/>
    </row>
    <row r="30" spans="1:11" ht="20" customHeight="1" thickBot="1">
      <c r="A30" s="135" t="s">
        <v>2082</v>
      </c>
      <c r="B30" s="170">
        <v>135.19</v>
      </c>
      <c r="C30" s="375">
        <v>3.5655292732023703E-5</v>
      </c>
      <c r="D30" s="170">
        <v>818.46</v>
      </c>
      <c r="E30" s="375">
        <v>2.089365511699759E-4</v>
      </c>
      <c r="F30" s="170">
        <v>953.65</v>
      </c>
      <c r="G30" s="375" t="s">
        <v>744</v>
      </c>
      <c r="I30" s="90"/>
      <c r="J30" s="90"/>
      <c r="K30" s="90"/>
    </row>
    <row r="31" spans="1:11" ht="20" customHeight="1" thickBot="1">
      <c r="A31" s="408" t="s">
        <v>2083</v>
      </c>
      <c r="B31" s="1068">
        <v>2688244.55</v>
      </c>
      <c r="C31" s="1069">
        <v>0.70900322779434366</v>
      </c>
      <c r="D31" s="1068">
        <v>2861426.85</v>
      </c>
      <c r="E31" s="1069">
        <v>0.73046533424256277</v>
      </c>
      <c r="F31" s="1068">
        <v>5549671.4000000004</v>
      </c>
      <c r="G31" s="1069">
        <v>1.4224361174435422E-2</v>
      </c>
      <c r="I31" s="90"/>
      <c r="J31" s="90"/>
      <c r="K31" s="90"/>
    </row>
    <row r="32" spans="1:11" ht="20" customHeight="1" thickBot="1">
      <c r="A32" s="135" t="s">
        <v>2084</v>
      </c>
      <c r="B32" s="170">
        <v>0</v>
      </c>
      <c r="C32" s="375">
        <v>0</v>
      </c>
      <c r="D32" s="170">
        <v>0</v>
      </c>
      <c r="E32" s="375">
        <v>0</v>
      </c>
      <c r="F32" s="170">
        <v>0</v>
      </c>
      <c r="G32" s="375" t="s">
        <v>744</v>
      </c>
      <c r="I32" s="90"/>
      <c r="J32" s="90"/>
      <c r="K32" s="90"/>
    </row>
    <row r="33" spans="1:11" s="277" customFormat="1" ht="21" customHeight="1" thickBot="1">
      <c r="A33" s="137" t="s">
        <v>1567</v>
      </c>
      <c r="B33" s="298">
        <v>3791582.95</v>
      </c>
      <c r="C33" s="377">
        <v>1</v>
      </c>
      <c r="D33" s="298">
        <v>3917265.77</v>
      </c>
      <c r="E33" s="377">
        <v>1</v>
      </c>
      <c r="F33" s="298">
        <v>7708848.7200000007</v>
      </c>
      <c r="G33" s="377">
        <v>1.2249305217519763E-2</v>
      </c>
      <c r="I33" s="492"/>
      <c r="J33" s="492"/>
      <c r="K33" s="492"/>
    </row>
    <row r="34" spans="1:11" ht="20" customHeight="1">
      <c r="A34" s="140" t="s">
        <v>1837</v>
      </c>
      <c r="B34" s="174"/>
      <c r="C34" s="321"/>
      <c r="D34" s="174"/>
      <c r="E34" s="321"/>
      <c r="F34" s="174"/>
      <c r="G34" s="321"/>
    </row>
    <row r="35" spans="1:11" ht="12.75" customHeight="1">
      <c r="A35" s="141"/>
      <c r="B35" s="175"/>
      <c r="C35" s="353"/>
      <c r="D35" s="175"/>
      <c r="E35" s="353"/>
      <c r="F35" s="175"/>
      <c r="G35" s="353"/>
    </row>
    <row r="36" spans="1:11" ht="16.5" customHeight="1">
      <c r="A36" s="141" t="s">
        <v>2085</v>
      </c>
      <c r="B36" s="175"/>
      <c r="C36" s="353"/>
      <c r="D36" s="175"/>
      <c r="E36" s="353"/>
      <c r="F36" s="175"/>
      <c r="G36" s="353"/>
    </row>
    <row r="37" spans="1:11" ht="12" customHeight="1">
      <c r="A37" s="141"/>
      <c r="B37" s="175"/>
      <c r="C37" s="353"/>
      <c r="D37" s="175"/>
      <c r="E37" s="353"/>
      <c r="F37" s="175"/>
      <c r="G37" s="353"/>
    </row>
    <row r="38" spans="1:11" ht="14.25" customHeight="1">
      <c r="A38" s="141"/>
      <c r="B38" s="175"/>
      <c r="C38" s="353"/>
      <c r="D38" s="175"/>
      <c r="E38" s="353"/>
      <c r="F38" s="175"/>
      <c r="G38" s="353"/>
    </row>
    <row r="39" spans="1:11" ht="15.75" customHeight="1">
      <c r="A39" s="141" t="s">
        <v>710</v>
      </c>
      <c r="B39" s="175"/>
      <c r="C39" s="353"/>
      <c r="D39" s="175"/>
      <c r="E39" s="353"/>
      <c r="F39" s="175"/>
      <c r="G39" s="353"/>
    </row>
    <row r="40" spans="1:11" ht="18" customHeight="1">
      <c r="A40"/>
    </row>
    <row r="41" spans="1:11" ht="30" customHeight="1"/>
    <row r="42" spans="1:11" ht="30" customHeight="1">
      <c r="I42" s="493"/>
    </row>
    <row r="43" spans="1:11" ht="30" customHeight="1"/>
    <row r="44" spans="1:11" ht="30" customHeight="1"/>
    <row r="45" spans="1:11" ht="30" customHeight="1"/>
    <row r="46" spans="1:11" ht="30" customHeight="1"/>
    <row r="47" spans="1:11" ht="30" customHeight="1"/>
    <row r="48" spans="1:11" ht="30" customHeight="1"/>
  </sheetData>
  <mergeCells count="1">
    <mergeCell ref="A2:F2"/>
  </mergeCells>
  <phoneticPr fontId="0" type="noConversion"/>
  <pageMargins left="0.65" right="0.54" top="0.85" bottom="0.49" header="0.44" footer="0.4921259845"/>
  <pageSetup paperSize="9" scale="80" orientation="portrait"/>
  <headerFooter alignWithMargins="0"/>
  <rowBreaks count="1" manualBreakCount="1">
    <brk id="39" max="16383" man="1"/>
  </rowBreaks>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1A02-8145-8C42-8894-B0378FB75B74}">
  <sheetPr>
    <pageSetUpPr fitToPage="1"/>
  </sheetPr>
  <dimension ref="A1:I51"/>
  <sheetViews>
    <sheetView zoomScale="75" workbookViewId="0">
      <selection activeCell="A3" sqref="A3"/>
    </sheetView>
  </sheetViews>
  <sheetFormatPr baseColWidth="10" defaultColWidth="11.3984375" defaultRowHeight="13"/>
  <cols>
    <col min="1" max="1" width="25.796875" style="2" customWidth="1"/>
    <col min="2" max="2" width="20.19921875" style="2" customWidth="1"/>
    <col min="3" max="3" width="16.19921875" style="2" customWidth="1"/>
    <col min="4" max="4" width="16" style="2" customWidth="1"/>
    <col min="5" max="6" width="14.796875" style="2" customWidth="1"/>
    <col min="7" max="7" width="16.3984375" style="2" customWidth="1"/>
    <col min="8" max="8" width="15.3984375" style="2" customWidth="1"/>
    <col min="9" max="9" width="14.59765625" style="2" customWidth="1"/>
    <col min="10" max="16384" width="11.3984375" style="2"/>
  </cols>
  <sheetData>
    <row r="1" spans="1:9" s="1" customFormat="1" ht="14" customHeight="1">
      <c r="A1" s="271"/>
      <c r="B1" s="271"/>
      <c r="C1" s="271"/>
      <c r="D1" s="271"/>
      <c r="E1" s="271"/>
      <c r="F1" s="271"/>
      <c r="G1" s="271"/>
    </row>
    <row r="2" spans="1:9" s="1" customFormat="1" ht="22.5" customHeight="1">
      <c r="A2" s="894" t="s">
        <v>2227</v>
      </c>
      <c r="B2" s="894"/>
      <c r="C2" s="271"/>
      <c r="D2" s="271"/>
      <c r="E2" s="271"/>
      <c r="F2" s="271"/>
      <c r="G2" s="491"/>
      <c r="H2" s="491">
        <v>2009</v>
      </c>
      <c r="I2" s="491"/>
    </row>
    <row r="3" spans="1:9" s="1" customFormat="1" ht="10.5" customHeight="1">
      <c r="A3" s="1074"/>
      <c r="B3" s="1074"/>
      <c r="C3" s="1075"/>
      <c r="D3" s="1075"/>
      <c r="E3" s="1075"/>
      <c r="F3" s="1075"/>
      <c r="G3" s="1157"/>
      <c r="H3" s="1157"/>
      <c r="I3" s="275"/>
    </row>
    <row r="4" spans="1:9" s="1" customFormat="1" ht="81.75" customHeight="1">
      <c r="A4" s="1076" t="s">
        <v>2508</v>
      </c>
      <c r="B4" s="1077"/>
      <c r="C4" s="1078" t="s">
        <v>2487</v>
      </c>
      <c r="D4" s="1079" t="s">
        <v>2488</v>
      </c>
      <c r="E4" s="1078" t="s">
        <v>2489</v>
      </c>
      <c r="F4" s="1080" t="s">
        <v>2495</v>
      </c>
      <c r="G4" s="1158" t="s">
        <v>2228</v>
      </c>
      <c r="H4" s="1159" t="s">
        <v>2229</v>
      </c>
    </row>
    <row r="5" spans="1:9" ht="8.25" customHeight="1" thickBot="1">
      <c r="A5" s="1081"/>
      <c r="B5" s="1082"/>
      <c r="C5" s="600"/>
      <c r="D5" s="599"/>
      <c r="E5" s="600"/>
      <c r="F5" s="599"/>
      <c r="G5" s="1160"/>
      <c r="H5" s="1161"/>
    </row>
    <row r="6" spans="1:9" ht="48.75" customHeight="1" thickBot="1">
      <c r="A6" s="1083" t="s">
        <v>2490</v>
      </c>
      <c r="B6" s="1087" t="s">
        <v>2509</v>
      </c>
      <c r="C6" s="320">
        <v>819201.85</v>
      </c>
      <c r="D6" s="319">
        <v>210100.15</v>
      </c>
      <c r="E6" s="320">
        <v>1718625.29</v>
      </c>
      <c r="F6" s="319">
        <v>2747927.24</v>
      </c>
      <c r="G6" s="1162">
        <v>1873285.04</v>
      </c>
      <c r="H6" s="1163">
        <v>1928725.44</v>
      </c>
    </row>
    <row r="7" spans="1:9" ht="19.5" customHeight="1" thickBot="1">
      <c r="A7" s="136"/>
      <c r="B7" s="1085"/>
      <c r="C7" s="367"/>
      <c r="D7" s="593"/>
      <c r="E7" s="367"/>
      <c r="F7" s="593"/>
      <c r="G7" s="1093"/>
      <c r="H7" s="1094"/>
    </row>
    <row r="8" spans="1:9" ht="21" customHeight="1" thickBot="1">
      <c r="A8" s="1086" t="s">
        <v>2491</v>
      </c>
      <c r="B8" s="1087" t="s">
        <v>2510</v>
      </c>
      <c r="C8" s="367">
        <v>3631.61</v>
      </c>
      <c r="D8" s="593">
        <v>40057.129999999997</v>
      </c>
      <c r="E8" s="367">
        <v>829302.96</v>
      </c>
      <c r="F8" s="593">
        <v>872991.71</v>
      </c>
      <c r="G8" s="1093">
        <v>505702.37</v>
      </c>
      <c r="H8" s="1094">
        <v>869360.09</v>
      </c>
    </row>
    <row r="9" spans="1:9" ht="20" customHeight="1" thickBot="1">
      <c r="A9" s="1088" t="s">
        <v>2492</v>
      </c>
      <c r="B9" s="1087" t="s">
        <v>2511</v>
      </c>
      <c r="C9" s="367">
        <v>31056.92</v>
      </c>
      <c r="D9" s="593">
        <v>16362.85</v>
      </c>
      <c r="E9" s="367">
        <v>124916.63</v>
      </c>
      <c r="F9" s="593">
        <v>172336.44</v>
      </c>
      <c r="G9" s="1093">
        <v>93067.73</v>
      </c>
      <c r="H9" s="1094">
        <v>141279.48000000001</v>
      </c>
    </row>
    <row r="10" spans="1:9" ht="20" customHeight="1" thickBot="1">
      <c r="A10" s="1088" t="s">
        <v>2493</v>
      </c>
      <c r="B10" s="1087" t="s">
        <v>2512</v>
      </c>
      <c r="C10" s="367">
        <v>10659.94</v>
      </c>
      <c r="D10" s="593">
        <v>46116.639999999999</v>
      </c>
      <c r="E10" s="367">
        <v>476672.32</v>
      </c>
      <c r="F10" s="593">
        <v>533448.94999999995</v>
      </c>
      <c r="G10" s="1093">
        <v>217297.92000000001</v>
      </c>
      <c r="H10" s="1094">
        <v>522788.96</v>
      </c>
    </row>
    <row r="11" spans="1:9" ht="20" customHeight="1" thickBot="1">
      <c r="A11" s="1088"/>
      <c r="B11" s="1087" t="s">
        <v>2513</v>
      </c>
      <c r="C11" s="367">
        <v>25640.66</v>
      </c>
      <c r="D11" s="593">
        <v>7572.42</v>
      </c>
      <c r="E11" s="367">
        <v>64772.959999999999</v>
      </c>
      <c r="F11" s="593">
        <v>97986.01</v>
      </c>
      <c r="G11" s="1093">
        <v>80674.179999999993</v>
      </c>
      <c r="H11" s="1094">
        <v>72345.38</v>
      </c>
    </row>
    <row r="12" spans="1:9" ht="20" customHeight="1" thickBot="1">
      <c r="A12" s="1088"/>
      <c r="B12" s="1087" t="s">
        <v>2514</v>
      </c>
      <c r="C12" s="367">
        <v>16780.39</v>
      </c>
      <c r="D12" s="593">
        <v>45345.78</v>
      </c>
      <c r="E12" s="367">
        <v>429345.32</v>
      </c>
      <c r="F12" s="593">
        <v>491471.47</v>
      </c>
      <c r="G12" s="1093">
        <v>205816.06</v>
      </c>
      <c r="H12" s="1094">
        <v>474691.1</v>
      </c>
    </row>
    <row r="13" spans="1:9" ht="20" customHeight="1" thickBot="1">
      <c r="A13" s="1088"/>
      <c r="B13" s="1087" t="s">
        <v>2515</v>
      </c>
      <c r="C13" s="367">
        <v>14331.86</v>
      </c>
      <c r="D13" s="296" t="s">
        <v>744</v>
      </c>
      <c r="E13" s="297" t="s">
        <v>744</v>
      </c>
      <c r="F13" s="593">
        <v>14331.86</v>
      </c>
      <c r="G13" s="1093">
        <v>27104.23</v>
      </c>
      <c r="H13" s="1021" t="s">
        <v>744</v>
      </c>
    </row>
    <row r="14" spans="1:9" ht="20" customHeight="1" thickBot="1">
      <c r="A14" s="1089"/>
      <c r="B14" s="1087" t="s">
        <v>1567</v>
      </c>
      <c r="C14" s="367">
        <v>102101.39</v>
      </c>
      <c r="D14" s="593">
        <v>155454.79999999999</v>
      </c>
      <c r="E14" s="367">
        <v>1925010.19</v>
      </c>
      <c r="F14" s="593">
        <v>2182566.36</v>
      </c>
      <c r="G14" s="1093">
        <v>1129662.47</v>
      </c>
      <c r="H14" s="1094">
        <v>2080464.99</v>
      </c>
    </row>
    <row r="15" spans="1:9" ht="18.75" customHeight="1" thickBot="1">
      <c r="A15" s="415"/>
      <c r="B15" s="1090"/>
      <c r="C15" s="367"/>
      <c r="D15" s="593"/>
      <c r="E15" s="367"/>
      <c r="F15" s="593"/>
      <c r="G15" s="1093"/>
      <c r="H15" s="1094"/>
    </row>
    <row r="16" spans="1:9" ht="20" customHeight="1" thickBot="1">
      <c r="A16" s="415" t="s">
        <v>581</v>
      </c>
      <c r="B16" s="1090"/>
      <c r="C16" s="367">
        <v>48.92</v>
      </c>
      <c r="D16" s="593">
        <v>221.51</v>
      </c>
      <c r="E16" s="367">
        <v>5886.34</v>
      </c>
      <c r="F16" s="593">
        <v>6156.77</v>
      </c>
      <c r="G16" s="1093">
        <v>3311.67</v>
      </c>
      <c r="H16" s="1094">
        <v>6107.85</v>
      </c>
    </row>
    <row r="17" spans="1:8" ht="20.25" customHeight="1" thickBot="1">
      <c r="A17" s="415"/>
      <c r="B17" s="1090"/>
      <c r="C17" s="367"/>
      <c r="D17" s="593"/>
      <c r="E17" s="367"/>
      <c r="F17" s="593"/>
      <c r="G17" s="1093"/>
      <c r="H17" s="1094"/>
    </row>
    <row r="18" spans="1:8" ht="58.5" customHeight="1" thickBot="1">
      <c r="A18" s="1086" t="s">
        <v>2494</v>
      </c>
      <c r="B18" s="1087" t="s">
        <v>2509</v>
      </c>
      <c r="C18" s="367">
        <v>525859.54</v>
      </c>
      <c r="D18" s="593">
        <v>114683.07</v>
      </c>
      <c r="E18" s="367">
        <v>682338.25</v>
      </c>
      <c r="F18" s="593">
        <v>1322880.8400000001</v>
      </c>
      <c r="G18" s="1093">
        <v>850967.81</v>
      </c>
      <c r="H18" s="1094">
        <v>797021.32</v>
      </c>
    </row>
    <row r="19" spans="1:8" ht="20" customHeight="1" thickBot="1">
      <c r="A19" s="137"/>
      <c r="B19" s="1087" t="s">
        <v>2510</v>
      </c>
      <c r="C19" s="367">
        <v>2024.59</v>
      </c>
      <c r="D19" s="593">
        <v>36102.15</v>
      </c>
      <c r="E19" s="367">
        <v>334467.52</v>
      </c>
      <c r="F19" s="593">
        <v>372594.27</v>
      </c>
      <c r="G19" s="1093">
        <v>180892.21</v>
      </c>
      <c r="H19" s="1094">
        <v>370569.67</v>
      </c>
    </row>
    <row r="20" spans="1:8" ht="20" customHeight="1" thickBot="1">
      <c r="A20" s="137"/>
      <c r="B20" s="1087" t="s">
        <v>2511</v>
      </c>
      <c r="C20" s="367">
        <v>11595.75</v>
      </c>
      <c r="D20" s="593">
        <v>29389.9</v>
      </c>
      <c r="E20" s="367">
        <v>127492.96</v>
      </c>
      <c r="F20" s="593">
        <v>168478.61</v>
      </c>
      <c r="G20" s="1093">
        <v>64148.04</v>
      </c>
      <c r="H20" s="1094">
        <v>156882.85999999999</v>
      </c>
    </row>
    <row r="21" spans="1:8" ht="20" customHeight="1" thickBot="1">
      <c r="A21" s="137"/>
      <c r="B21" s="1087" t="s">
        <v>2512</v>
      </c>
      <c r="C21" s="367">
        <v>9176.9</v>
      </c>
      <c r="D21" s="593">
        <v>70949.47</v>
      </c>
      <c r="E21" s="367">
        <v>432007.35</v>
      </c>
      <c r="F21" s="593">
        <v>512133.7</v>
      </c>
      <c r="G21" s="1093">
        <v>150613.22</v>
      </c>
      <c r="H21" s="1094">
        <v>502956.82</v>
      </c>
    </row>
    <row r="22" spans="1:8" ht="20" customHeight="1" thickBot="1">
      <c r="A22" s="137"/>
      <c r="B22" s="1087" t="s">
        <v>2513</v>
      </c>
      <c r="C22" s="367">
        <v>20979.200000000001</v>
      </c>
      <c r="D22" s="593">
        <v>12221.93</v>
      </c>
      <c r="E22" s="367">
        <v>102657.29</v>
      </c>
      <c r="F22" s="593">
        <v>135858.41</v>
      </c>
      <c r="G22" s="1093">
        <v>90832.78</v>
      </c>
      <c r="H22" s="1094">
        <v>114879.22</v>
      </c>
    </row>
    <row r="23" spans="1:8" ht="20" customHeight="1" thickBot="1">
      <c r="A23" s="137"/>
      <c r="B23" s="1087" t="s">
        <v>2514</v>
      </c>
      <c r="C23" s="367">
        <v>7344.26</v>
      </c>
      <c r="D23" s="593">
        <v>23084.54</v>
      </c>
      <c r="E23" s="367">
        <v>221182.15</v>
      </c>
      <c r="F23" s="593">
        <v>251610.93</v>
      </c>
      <c r="G23" s="1093">
        <v>89801.07</v>
      </c>
      <c r="H23" s="1094">
        <v>244266.69</v>
      </c>
    </row>
    <row r="24" spans="1:8" ht="20" customHeight="1" thickBot="1">
      <c r="A24" s="137"/>
      <c r="B24" s="1087" t="s">
        <v>2515</v>
      </c>
      <c r="C24" s="367">
        <v>8641.4599999999991</v>
      </c>
      <c r="D24" s="296" t="s">
        <v>744</v>
      </c>
      <c r="E24" s="297" t="s">
        <v>744</v>
      </c>
      <c r="F24" s="593">
        <v>8641.4599999999991</v>
      </c>
      <c r="G24" s="1093">
        <v>20175.8</v>
      </c>
      <c r="H24" s="1021" t="s">
        <v>744</v>
      </c>
    </row>
    <row r="25" spans="1:8" ht="20" customHeight="1" thickBot="1">
      <c r="A25" s="137"/>
      <c r="B25" s="1087" t="s">
        <v>2495</v>
      </c>
      <c r="C25" s="367">
        <v>585621.68999999994</v>
      </c>
      <c r="D25" s="593">
        <v>286431.06</v>
      </c>
      <c r="E25" s="367">
        <v>1900145.5</v>
      </c>
      <c r="F25" s="593">
        <v>2772198.26</v>
      </c>
      <c r="G25" s="1093">
        <v>1447430.92</v>
      </c>
      <c r="H25" s="1094">
        <v>2186576.56</v>
      </c>
    </row>
    <row r="26" spans="1:8" ht="39.75" customHeight="1" thickBot="1">
      <c r="A26" s="1091"/>
      <c r="B26" s="1092" t="s">
        <v>2496</v>
      </c>
      <c r="C26" s="1093">
        <v>46096.19</v>
      </c>
      <c r="D26" s="1094">
        <v>26334.639999999999</v>
      </c>
      <c r="E26" s="1093">
        <v>181182.15</v>
      </c>
      <c r="F26" s="1094">
        <v>253612.96</v>
      </c>
      <c r="G26" s="1093">
        <v>121984.66</v>
      </c>
      <c r="H26" s="1094">
        <v>207516.79</v>
      </c>
    </row>
    <row r="27" spans="1:8" ht="45" customHeight="1" thickBot="1">
      <c r="A27" s="1091"/>
      <c r="B27" s="1095" t="s">
        <v>2497</v>
      </c>
      <c r="C27" s="1093">
        <v>338427.75</v>
      </c>
      <c r="D27" s="1094">
        <v>155737.26999999999</v>
      </c>
      <c r="E27" s="1093">
        <v>1114217.3</v>
      </c>
      <c r="F27" s="1094">
        <v>1608382.32</v>
      </c>
      <c r="G27" s="1093">
        <v>862835.17</v>
      </c>
      <c r="H27" s="1094">
        <v>1269954.57</v>
      </c>
    </row>
    <row r="28" spans="1:8" ht="45" customHeight="1" thickBot="1">
      <c r="A28" s="1096"/>
      <c r="B28" s="1095" t="s">
        <v>2498</v>
      </c>
      <c r="C28" s="1093">
        <v>59762.16</v>
      </c>
      <c r="D28" s="1094">
        <v>171747.99</v>
      </c>
      <c r="E28" s="1093">
        <v>1217807.27</v>
      </c>
      <c r="F28" s="1094">
        <v>1449317.38</v>
      </c>
      <c r="G28" s="1093">
        <v>596463.12</v>
      </c>
      <c r="H28" s="1094">
        <v>1389555.26</v>
      </c>
    </row>
    <row r="29" spans="1:8" ht="15.75" customHeight="1" thickBot="1">
      <c r="A29" s="1097"/>
      <c r="B29" s="1098"/>
      <c r="C29" s="367"/>
      <c r="D29" s="593"/>
      <c r="E29" s="367"/>
      <c r="F29" s="593"/>
      <c r="G29" s="1093"/>
      <c r="H29" s="1094"/>
    </row>
    <row r="30" spans="1:8" ht="27.75" customHeight="1" thickBot="1">
      <c r="A30" s="651" t="s">
        <v>2516</v>
      </c>
      <c r="B30" s="1099"/>
      <c r="C30" s="597">
        <v>1506973.84</v>
      </c>
      <c r="D30" s="770">
        <v>652207.53</v>
      </c>
      <c r="E30" s="597">
        <v>5549667.2999999989</v>
      </c>
      <c r="F30" s="770">
        <v>7708848.6200000001</v>
      </c>
      <c r="G30" s="988">
        <v>4453690.09</v>
      </c>
      <c r="H30" s="1164">
        <v>6201874.8299999991</v>
      </c>
    </row>
    <row r="31" spans="1:8" ht="15.75" customHeight="1">
      <c r="A31" s="474" t="s">
        <v>1837</v>
      </c>
      <c r="B31" s="474"/>
      <c r="C31" s="474"/>
      <c r="D31" s="474"/>
      <c r="E31" s="474"/>
      <c r="F31" s="474"/>
      <c r="G31" s="474"/>
    </row>
    <row r="32" spans="1:8" ht="13.5" customHeight="1">
      <c r="A32" s="418"/>
      <c r="B32" s="418"/>
      <c r="C32" s="474"/>
      <c r="D32" s="474"/>
      <c r="E32" s="474"/>
      <c r="F32" s="474"/>
      <c r="G32" s="474"/>
    </row>
    <row r="33" spans="1:7" ht="13.5" customHeight="1">
      <c r="A33" s="474" t="s">
        <v>2230</v>
      </c>
      <c r="B33" s="474"/>
      <c r="C33" s="474"/>
      <c r="D33" s="474"/>
      <c r="E33" s="474"/>
      <c r="F33" s="474"/>
      <c r="G33" s="474"/>
    </row>
    <row r="34" spans="1:7" ht="16.5" customHeight="1">
      <c r="A34" s="474"/>
      <c r="B34" s="474"/>
      <c r="C34" s="474"/>
      <c r="D34" s="474"/>
      <c r="E34" s="474"/>
      <c r="F34" s="474"/>
      <c r="G34" s="474"/>
    </row>
    <row r="35" spans="1:7" ht="12" customHeight="1">
      <c r="A35" s="474" t="s">
        <v>2231</v>
      </c>
      <c r="B35" s="474"/>
      <c r="C35" s="201"/>
      <c r="D35" s="201"/>
      <c r="E35" s="201"/>
      <c r="F35" s="201"/>
      <c r="G35" s="201"/>
    </row>
    <row r="36" spans="1:7" ht="12" customHeight="1">
      <c r="A36" s="141" t="s">
        <v>2232</v>
      </c>
      <c r="B36" s="141"/>
    </row>
    <row r="37" spans="1:7" ht="12" customHeight="1">
      <c r="A37" s="141" t="s">
        <v>2502</v>
      </c>
      <c r="B37" s="141"/>
    </row>
    <row r="38" spans="1:7" ht="12" customHeight="1">
      <c r="A38" s="141" t="s">
        <v>2503</v>
      </c>
      <c r="B38" s="141"/>
    </row>
    <row r="39" spans="1:7" ht="12" customHeight="1">
      <c r="A39" s="141" t="s">
        <v>2504</v>
      </c>
      <c r="B39" s="141"/>
    </row>
    <row r="40" spans="1:7" ht="12" customHeight="1">
      <c r="A40" s="141" t="s">
        <v>2505</v>
      </c>
      <c r="B40" s="141"/>
    </row>
    <row r="41" spans="1:7" ht="12" customHeight="1">
      <c r="A41" s="2" t="s">
        <v>2506</v>
      </c>
    </row>
    <row r="42" spans="1:7" ht="12" customHeight="1"/>
    <row r="43" spans="1:7" ht="12" customHeight="1"/>
    <row r="44" spans="1:7" ht="12" customHeight="1">
      <c r="A44" s="474" t="s">
        <v>710</v>
      </c>
      <c r="B44" s="474"/>
      <c r="C44" s="141"/>
      <c r="D44" s="141"/>
      <c r="E44" s="141"/>
      <c r="F44" s="141"/>
    </row>
    <row r="49" spans="1:9">
      <c r="A49" s="99"/>
      <c r="B49" s="99"/>
      <c r="C49" s="1100"/>
      <c r="D49" s="385"/>
      <c r="E49" s="1100"/>
      <c r="F49" s="385"/>
      <c r="G49" s="1155"/>
      <c r="H49" s="385"/>
      <c r="I49" s="385"/>
    </row>
    <row r="50" spans="1:9">
      <c r="A50" s="1101"/>
      <c r="B50" s="1101"/>
      <c r="C50" s="1101"/>
      <c r="D50" s="1102"/>
      <c r="E50" s="1101"/>
      <c r="F50" s="86"/>
      <c r="G50" s="3"/>
      <c r="H50" s="86"/>
      <c r="I50" s="3"/>
    </row>
    <row r="51" spans="1:9">
      <c r="A51" s="3"/>
      <c r="B51" s="3"/>
      <c r="C51" s="3"/>
      <c r="D51" s="3"/>
      <c r="E51" s="3"/>
      <c r="F51" s="3"/>
      <c r="G51" s="3"/>
      <c r="H51" s="3"/>
      <c r="I51" s="3"/>
    </row>
  </sheetData>
  <phoneticPr fontId="0" type="noConversion"/>
  <pageMargins left="0.55118110236220474" right="0.45" top="0.59055118110236227" bottom="0.47244094488188981" header="0.43307086614173229" footer="0.31496062992125984"/>
  <pageSetup paperSize="9" scale="67" orientation="portrait"/>
  <headerFooter alignWithMargins="0"/>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556D1-467D-2442-BC02-8E60C741BE7A}">
  <sheetPr>
    <pageSetUpPr fitToPage="1"/>
  </sheetPr>
  <dimension ref="A1:M26"/>
  <sheetViews>
    <sheetView topLeftCell="A6" zoomScale="75" workbookViewId="0">
      <selection activeCell="C24" sqref="C24"/>
    </sheetView>
  </sheetViews>
  <sheetFormatPr baseColWidth="10" defaultColWidth="11.3984375" defaultRowHeight="13"/>
  <cols>
    <col min="1" max="1" width="12.796875" style="2" customWidth="1"/>
    <col min="2" max="8" width="11.796875" style="2" customWidth="1"/>
    <col min="9" max="9" width="18.3984375" style="2" customWidth="1"/>
    <col min="10" max="16384" width="11.3984375" style="2"/>
  </cols>
  <sheetData>
    <row r="1" spans="1:13" s="1" customFormat="1" ht="14" customHeight="1"/>
    <row r="2" spans="1:13" s="1" customFormat="1" ht="28" customHeight="1">
      <c r="A2" s="118" t="s">
        <v>595</v>
      </c>
      <c r="I2" s="398"/>
      <c r="K2" s="275"/>
    </row>
    <row r="3" spans="1:13" ht="24" customHeight="1">
      <c r="A3" s="616" t="s">
        <v>2320</v>
      </c>
      <c r="B3" s="617" t="s">
        <v>596</v>
      </c>
      <c r="C3" s="618" t="s">
        <v>597</v>
      </c>
      <c r="D3" s="120" t="s">
        <v>598</v>
      </c>
      <c r="E3" s="618" t="s">
        <v>599</v>
      </c>
      <c r="F3" s="120" t="s">
        <v>600</v>
      </c>
      <c r="G3" s="618" t="s">
        <v>601</v>
      </c>
      <c r="H3" s="120" t="s">
        <v>1567</v>
      </c>
      <c r="I3" s="618" t="s">
        <v>1567</v>
      </c>
      <c r="K3" s="619"/>
    </row>
    <row r="4" spans="1:13" ht="15" customHeight="1">
      <c r="A4" s="620"/>
      <c r="B4" s="621"/>
      <c r="C4" s="622">
        <v>10000</v>
      </c>
      <c r="D4" s="149">
        <v>50000</v>
      </c>
      <c r="E4" s="622">
        <v>100000</v>
      </c>
      <c r="F4" s="149">
        <v>500000</v>
      </c>
      <c r="G4" s="622">
        <v>500000</v>
      </c>
      <c r="H4" s="623" t="s">
        <v>602</v>
      </c>
      <c r="I4" s="624" t="s">
        <v>603</v>
      </c>
      <c r="K4" s="619"/>
    </row>
    <row r="5" spans="1:13" ht="15" customHeight="1">
      <c r="A5" s="620"/>
      <c r="B5" s="621"/>
      <c r="C5" s="625"/>
      <c r="D5" s="123"/>
      <c r="E5" s="625"/>
      <c r="F5" s="123"/>
      <c r="G5" s="625"/>
      <c r="H5" s="123"/>
      <c r="I5" s="624" t="s">
        <v>604</v>
      </c>
      <c r="K5" s="3"/>
    </row>
    <row r="6" spans="1:13" ht="24" customHeight="1">
      <c r="A6" s="626"/>
      <c r="B6" s="627"/>
      <c r="C6" s="628"/>
      <c r="D6" s="129"/>
      <c r="E6" s="628"/>
      <c r="F6" s="129"/>
      <c r="G6" s="628"/>
      <c r="H6" s="129"/>
      <c r="I6" s="628"/>
      <c r="K6" s="629"/>
    </row>
    <row r="7" spans="1:13" ht="2.25" customHeight="1" thickBot="1">
      <c r="A7" s="630">
        <v>1996</v>
      </c>
      <c r="B7" s="631">
        <v>2.0177619127218216E-2</v>
      </c>
      <c r="C7" s="632">
        <v>1.2597566015413125E-2</v>
      </c>
      <c r="D7" s="576">
        <v>7.1120514742348845E-2</v>
      </c>
      <c r="E7" s="632">
        <v>5.3778502452829641E-2</v>
      </c>
      <c r="F7" s="576">
        <v>0.36511082288179453</v>
      </c>
      <c r="G7" s="632">
        <v>0.47721497478039565</v>
      </c>
      <c r="H7" s="576">
        <v>1</v>
      </c>
      <c r="I7" s="633">
        <v>7232667</v>
      </c>
    </row>
    <row r="8" spans="1:13" ht="19.5" hidden="1" customHeight="1" thickBot="1">
      <c r="A8" s="634">
        <v>1997</v>
      </c>
      <c r="B8" s="635">
        <v>1.7402128744798396E-2</v>
      </c>
      <c r="C8" s="636">
        <v>1.4513151507136559E-2</v>
      </c>
      <c r="D8" s="457">
        <v>8.0494622309686584E-2</v>
      </c>
      <c r="E8" s="636">
        <v>3.5460102030395756E-2</v>
      </c>
      <c r="F8" s="457">
        <v>0.34210501223593653</v>
      </c>
      <c r="G8" s="636">
        <v>0.51002498317204614</v>
      </c>
      <c r="H8" s="457">
        <v>1</v>
      </c>
      <c r="I8" s="637">
        <v>7236471</v>
      </c>
      <c r="K8" s="8"/>
      <c r="L8" s="8"/>
      <c r="M8" s="8"/>
    </row>
    <row r="9" spans="1:13" ht="0.75" customHeight="1" thickBot="1">
      <c r="A9" s="634">
        <v>1998</v>
      </c>
      <c r="B9" s="635">
        <v>1.490840183853178E-2</v>
      </c>
      <c r="C9" s="636">
        <v>1.032214600618327E-2</v>
      </c>
      <c r="D9" s="457">
        <v>7.6140816476353498E-2</v>
      </c>
      <c r="E9" s="636">
        <v>5.6174768706983583E-2</v>
      </c>
      <c r="F9" s="457">
        <v>0.34220161255156173</v>
      </c>
      <c r="G9" s="636">
        <v>0.50025225442038612</v>
      </c>
      <c r="H9" s="457">
        <v>1</v>
      </c>
      <c r="I9" s="637">
        <v>7246652</v>
      </c>
    </row>
    <row r="10" spans="1:13" ht="20" customHeight="1" thickBot="1">
      <c r="A10" s="634">
        <v>1999</v>
      </c>
      <c r="B10" s="635">
        <v>1.1856091803011722E-2</v>
      </c>
      <c r="C10" s="636">
        <v>1.2297050391416079E-2</v>
      </c>
      <c r="D10" s="457">
        <v>6.9524424924530884E-2</v>
      </c>
      <c r="E10" s="636">
        <v>7.5584785910891711E-2</v>
      </c>
      <c r="F10" s="457">
        <v>0.360776059607258</v>
      </c>
      <c r="G10" s="636">
        <v>0.46996158736289156</v>
      </c>
      <c r="H10" s="457">
        <v>1</v>
      </c>
      <c r="I10" s="637">
        <v>7270524</v>
      </c>
    </row>
    <row r="11" spans="1:13" ht="20" customHeight="1" thickBot="1">
      <c r="A11" s="634">
        <v>2000</v>
      </c>
      <c r="B11" s="635">
        <v>1.0957985099474708E-2</v>
      </c>
      <c r="C11" s="636">
        <v>1.2166775657859692E-2</v>
      </c>
      <c r="D11" s="457">
        <v>6.756095879031751E-2</v>
      </c>
      <c r="E11" s="636">
        <v>8.7049575140813365E-2</v>
      </c>
      <c r="F11" s="457">
        <v>0.3644487016237738</v>
      </c>
      <c r="G11" s="636">
        <v>0.45781600368776093</v>
      </c>
      <c r="H11" s="457">
        <v>1</v>
      </c>
      <c r="I11" s="637">
        <v>7265113</v>
      </c>
    </row>
    <row r="12" spans="1:13" ht="20" customHeight="1" thickBot="1">
      <c r="A12" s="634">
        <v>2001</v>
      </c>
      <c r="B12" s="635">
        <v>9.7170954862656738E-3</v>
      </c>
      <c r="C12" s="636">
        <v>8.4238568425089536E-3</v>
      </c>
      <c r="D12" s="457">
        <v>7.0587792166880103E-2</v>
      </c>
      <c r="E12" s="636">
        <v>8.5394018668547678E-2</v>
      </c>
      <c r="F12" s="457">
        <v>0.38803350203052983</v>
      </c>
      <c r="G12" s="636">
        <v>0.43784373480526773</v>
      </c>
      <c r="H12" s="457">
        <v>1</v>
      </c>
      <c r="I12" s="637">
        <v>7301050</v>
      </c>
    </row>
    <row r="13" spans="1:13" ht="20" customHeight="1" thickBot="1">
      <c r="A13" s="634">
        <v>2002</v>
      </c>
      <c r="B13" s="635">
        <v>7.1399045507496896E-3</v>
      </c>
      <c r="C13" s="636">
        <v>8.4501124357966827E-3</v>
      </c>
      <c r="D13" s="457">
        <v>8.2630643642516793E-2</v>
      </c>
      <c r="E13" s="636">
        <v>8.6587817285975782E-2</v>
      </c>
      <c r="F13" s="457">
        <v>0.46525750220977596</v>
      </c>
      <c r="G13" s="636">
        <v>0.34993401987518508</v>
      </c>
      <c r="H13" s="457">
        <v>1</v>
      </c>
      <c r="I13" s="637">
        <v>7344636</v>
      </c>
    </row>
    <row r="14" spans="1:13" ht="20" customHeight="1" thickBot="1">
      <c r="A14" s="634">
        <v>2003</v>
      </c>
      <c r="B14" s="635">
        <v>7.150880180844566E-3</v>
      </c>
      <c r="C14" s="636">
        <v>8.7914320736236836E-3</v>
      </c>
      <c r="D14" s="457">
        <v>9.1365786917605774E-2</v>
      </c>
      <c r="E14" s="636">
        <v>9.1794541322986076E-2</v>
      </c>
      <c r="F14" s="457">
        <v>0.39422862118090168</v>
      </c>
      <c r="G14" s="636">
        <v>0.40666873832403821</v>
      </c>
      <c r="H14" s="457">
        <v>1</v>
      </c>
      <c r="I14" s="637">
        <v>7372519</v>
      </c>
    </row>
    <row r="15" spans="1:13" ht="20" customHeight="1" thickBot="1">
      <c r="A15" s="634">
        <v>2004</v>
      </c>
      <c r="B15" s="635">
        <v>7.7472964436898599E-3</v>
      </c>
      <c r="C15" s="636">
        <v>9.9496072922614521E-3</v>
      </c>
      <c r="D15" s="457">
        <v>8.4360383162269723E-2</v>
      </c>
      <c r="E15" s="636">
        <v>8.7130573562410135E-2</v>
      </c>
      <c r="F15" s="457">
        <v>0.4055192258310571</v>
      </c>
      <c r="G15" s="636">
        <v>0.40529291370831172</v>
      </c>
      <c r="H15" s="457">
        <v>1</v>
      </c>
      <c r="I15" s="637">
        <v>7383608</v>
      </c>
    </row>
    <row r="16" spans="1:13" ht="20" customHeight="1" thickBot="1">
      <c r="A16" s="634">
        <v>2005</v>
      </c>
      <c r="B16" s="635">
        <v>6.7133654607136909E-3</v>
      </c>
      <c r="C16" s="636">
        <v>1.2687692501726945E-2</v>
      </c>
      <c r="D16" s="457">
        <v>6.1558517163579914E-2</v>
      </c>
      <c r="E16" s="636">
        <v>7.6843120678933355E-2</v>
      </c>
      <c r="F16" s="457">
        <v>0.44768226437071562</v>
      </c>
      <c r="G16" s="636">
        <v>0.39451503982433056</v>
      </c>
      <c r="H16" s="457">
        <v>1</v>
      </c>
      <c r="I16" s="637">
        <v>7435865.1099999994</v>
      </c>
    </row>
    <row r="17" spans="1:9" ht="20" customHeight="1" thickBot="1">
      <c r="A17" s="634">
        <v>2006</v>
      </c>
      <c r="B17" s="635">
        <v>7.1853695026195359E-3</v>
      </c>
      <c r="C17" s="636">
        <v>1.372064238505178E-2</v>
      </c>
      <c r="D17" s="457">
        <v>6.1945155197761226E-2</v>
      </c>
      <c r="E17" s="636">
        <v>6.457386448023035E-2</v>
      </c>
      <c r="F17" s="457">
        <v>0.46584421080154392</v>
      </c>
      <c r="G17" s="636">
        <v>0.38673075763279313</v>
      </c>
      <c r="H17" s="457">
        <v>1</v>
      </c>
      <c r="I17" s="637">
        <v>7478426.8200000003</v>
      </c>
    </row>
    <row r="18" spans="1:9" ht="20" customHeight="1" thickBot="1">
      <c r="A18" s="634">
        <v>2007</v>
      </c>
      <c r="B18" s="635">
        <v>7.1980711154289783E-3</v>
      </c>
      <c r="C18" s="636">
        <v>1.2343838327748843E-2</v>
      </c>
      <c r="D18" s="457">
        <v>6.7439082875348361E-2</v>
      </c>
      <c r="E18" s="636">
        <v>7.4639267399113043E-2</v>
      </c>
      <c r="F18" s="457">
        <v>0.46148331085748551</v>
      </c>
      <c r="G18" s="636">
        <v>0.37689642942487517</v>
      </c>
      <c r="H18" s="457">
        <v>1</v>
      </c>
      <c r="I18" s="637">
        <v>7537587.3800000008</v>
      </c>
    </row>
    <row r="19" spans="1:9" ht="20" customHeight="1" thickBot="1">
      <c r="A19" s="634">
        <v>2008</v>
      </c>
      <c r="B19" s="635">
        <v>6.9627679229906266E-3</v>
      </c>
      <c r="C19" s="636">
        <v>1.2572266289028763E-2</v>
      </c>
      <c r="D19" s="457">
        <v>5.983244585510189E-2</v>
      </c>
      <c r="E19" s="636">
        <v>8.6450164267034141E-2</v>
      </c>
      <c r="F19" s="457">
        <v>0.47186244785894577</v>
      </c>
      <c r="G19" s="636">
        <v>0.36231990780689871</v>
      </c>
      <c r="H19" s="457">
        <v>1</v>
      </c>
      <c r="I19" s="637">
        <v>7615563.3200000012</v>
      </c>
    </row>
    <row r="20" spans="1:9" ht="26.25" customHeight="1" thickBot="1">
      <c r="A20" s="638">
        <v>2009</v>
      </c>
      <c r="B20" s="639">
        <v>6.3913502466724755E-3</v>
      </c>
      <c r="C20" s="640">
        <v>9.8410456994261122E-3</v>
      </c>
      <c r="D20" s="614">
        <v>6.2372686693507221E-2</v>
      </c>
      <c r="E20" s="640">
        <v>7.9508990308726282E-2</v>
      </c>
      <c r="F20" s="614">
        <v>0.49598894141884953</v>
      </c>
      <c r="G20" s="640">
        <v>0.34589698563281829</v>
      </c>
      <c r="H20" s="614">
        <v>1</v>
      </c>
      <c r="I20" s="641">
        <v>7708851.5100000007</v>
      </c>
    </row>
    <row r="21" spans="1:9" ht="20" customHeight="1">
      <c r="A21" s="140" t="s">
        <v>1837</v>
      </c>
      <c r="B21" s="194"/>
      <c r="C21" s="194"/>
      <c r="D21" s="194"/>
      <c r="E21" s="194"/>
      <c r="F21" s="194"/>
      <c r="G21" s="194"/>
      <c r="H21" s="194"/>
      <c r="I21" s="195"/>
    </row>
    <row r="22" spans="1:9" ht="13.5" customHeight="1">
      <c r="A22" s="141"/>
      <c r="B22" s="196"/>
      <c r="C22" s="196"/>
      <c r="D22" s="196"/>
      <c r="E22" s="196"/>
      <c r="F22" s="196"/>
      <c r="G22" s="196"/>
      <c r="H22" s="196"/>
      <c r="I22" s="197"/>
    </row>
    <row r="23" spans="1:9">
      <c r="A23" s="2" t="s">
        <v>605</v>
      </c>
    </row>
    <row r="26" spans="1:9">
      <c r="A26" s="2" t="s">
        <v>710</v>
      </c>
    </row>
  </sheetData>
  <phoneticPr fontId="0" type="noConversion"/>
  <pageMargins left="0.53" right="0.61" top="1.03" bottom="0.49" header="0.56000000000000005" footer="0.4921259845"/>
  <pageSetup paperSize="9" scale="79"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150</vt:i4>
      </vt:variant>
      <vt:variant>
        <vt:lpstr>Benannte Bereiche</vt:lpstr>
      </vt:variant>
      <vt:variant>
        <vt:i4>149</vt:i4>
      </vt:variant>
    </vt:vector>
  </HeadingPairs>
  <TitlesOfParts>
    <vt:vector size="299" baseType="lpstr">
      <vt:lpstr>Info</vt:lpstr>
      <vt:lpstr>Ad</vt:lpstr>
      <vt:lpstr>Bd</vt:lpstr>
      <vt:lpstr>B1d</vt:lpstr>
      <vt:lpstr>F1d</vt:lpstr>
      <vt:lpstr>F2d</vt:lpstr>
      <vt:lpstr>F3d</vt:lpstr>
      <vt:lpstr>Jd</vt:lpstr>
      <vt:lpstr>T1d</vt:lpstr>
      <vt:lpstr>101d</vt:lpstr>
      <vt:lpstr>102d</vt:lpstr>
      <vt:lpstr>103d</vt:lpstr>
      <vt:lpstr>104d</vt:lpstr>
      <vt:lpstr>105d</vt:lpstr>
      <vt:lpstr>106d</vt:lpstr>
      <vt:lpstr>107d</vt:lpstr>
      <vt:lpstr>108d</vt:lpstr>
      <vt:lpstr>109d</vt:lpstr>
      <vt:lpstr>110d</vt:lpstr>
      <vt:lpstr>111d</vt:lpstr>
      <vt:lpstr>112d</vt:lpstr>
      <vt:lpstr>113d</vt:lpstr>
      <vt:lpstr>T2d</vt:lpstr>
      <vt:lpstr>201d</vt:lpstr>
      <vt:lpstr>202d</vt:lpstr>
      <vt:lpstr>203d</vt:lpstr>
      <vt:lpstr>204d</vt:lpstr>
      <vt:lpstr>205d</vt:lpstr>
      <vt:lpstr>206d</vt:lpstr>
      <vt:lpstr>207d</vt:lpstr>
      <vt:lpstr>208d</vt:lpstr>
      <vt:lpstr>209d</vt:lpstr>
      <vt:lpstr>210d</vt:lpstr>
      <vt:lpstr>211d</vt:lpstr>
      <vt:lpstr>212d</vt:lpstr>
      <vt:lpstr>213d</vt:lpstr>
      <vt:lpstr>214d</vt:lpstr>
      <vt:lpstr>215d</vt:lpstr>
      <vt:lpstr>216d</vt:lpstr>
      <vt:lpstr>217d</vt:lpstr>
      <vt:lpstr>218d</vt:lpstr>
      <vt:lpstr>219d</vt:lpstr>
      <vt:lpstr>220d</vt:lpstr>
      <vt:lpstr>221d</vt:lpstr>
      <vt:lpstr>222d</vt:lpstr>
      <vt:lpstr>223d</vt:lpstr>
      <vt:lpstr>224d</vt:lpstr>
      <vt:lpstr>T3d</vt:lpstr>
      <vt:lpstr>301d</vt:lpstr>
      <vt:lpstr>302d</vt:lpstr>
      <vt:lpstr>303d</vt:lpstr>
      <vt:lpstr>304d</vt:lpstr>
      <vt:lpstr>305d</vt:lpstr>
      <vt:lpstr>306d</vt:lpstr>
      <vt:lpstr>307d</vt:lpstr>
      <vt:lpstr>308d</vt:lpstr>
      <vt:lpstr>309d</vt:lpstr>
      <vt:lpstr>310d</vt:lpstr>
      <vt:lpstr>311d</vt:lpstr>
      <vt:lpstr>312d</vt:lpstr>
      <vt:lpstr>313d</vt:lpstr>
      <vt:lpstr>314d</vt:lpstr>
      <vt:lpstr>315d</vt:lpstr>
      <vt:lpstr>T4d</vt:lpstr>
      <vt:lpstr>401d</vt:lpstr>
      <vt:lpstr>402d</vt:lpstr>
      <vt:lpstr>403d</vt:lpstr>
      <vt:lpstr>404d</vt:lpstr>
      <vt:lpstr>405d</vt:lpstr>
      <vt:lpstr>406d</vt:lpstr>
      <vt:lpstr>407d</vt:lpstr>
      <vt:lpstr>408d</vt:lpstr>
      <vt:lpstr>409d</vt:lpstr>
      <vt:lpstr>T5d</vt:lpstr>
      <vt:lpstr>501d</vt:lpstr>
      <vt:lpstr>502d</vt:lpstr>
      <vt:lpstr>503d</vt:lpstr>
      <vt:lpstr>504d</vt:lpstr>
      <vt:lpstr>505d</vt:lpstr>
      <vt:lpstr>T6d</vt:lpstr>
      <vt:lpstr>601d</vt:lpstr>
      <vt:lpstr>602d</vt:lpstr>
      <vt:lpstr>603d</vt:lpstr>
      <vt:lpstr>604d</vt:lpstr>
      <vt:lpstr>605d</vt:lpstr>
      <vt:lpstr>606d</vt:lpstr>
      <vt:lpstr>T7d</vt:lpstr>
      <vt:lpstr>701d</vt:lpstr>
      <vt:lpstr>702d</vt:lpstr>
      <vt:lpstr>703d</vt:lpstr>
      <vt:lpstr>704d</vt:lpstr>
      <vt:lpstr>705d</vt:lpstr>
      <vt:lpstr>T8d</vt:lpstr>
      <vt:lpstr>801d</vt:lpstr>
      <vt:lpstr>802d</vt:lpstr>
      <vt:lpstr>803d</vt:lpstr>
      <vt:lpstr>804d</vt:lpstr>
      <vt:lpstr>805d</vt:lpstr>
      <vt:lpstr>806d</vt:lpstr>
      <vt:lpstr>807d</vt:lpstr>
      <vt:lpstr>808d</vt:lpstr>
      <vt:lpstr>809d</vt:lpstr>
      <vt:lpstr>810d</vt:lpstr>
      <vt:lpstr>811d</vt:lpstr>
      <vt:lpstr>812d</vt:lpstr>
      <vt:lpstr>T9d</vt:lpstr>
      <vt:lpstr>901d</vt:lpstr>
      <vt:lpstr>902d</vt:lpstr>
      <vt:lpstr>903d</vt:lpstr>
      <vt:lpstr>904d</vt:lpstr>
      <vt:lpstr>905d</vt:lpstr>
      <vt:lpstr>906d</vt:lpstr>
      <vt:lpstr>907d</vt:lpstr>
      <vt:lpstr>908d</vt:lpstr>
      <vt:lpstr>909d</vt:lpstr>
      <vt:lpstr>910d</vt:lpstr>
      <vt:lpstr>911d</vt:lpstr>
      <vt:lpstr>912d</vt:lpstr>
      <vt:lpstr>913d</vt:lpstr>
      <vt:lpstr>914d</vt:lpstr>
      <vt:lpstr>915d</vt:lpstr>
      <vt:lpstr>916d</vt:lpstr>
      <vt:lpstr>917d</vt:lpstr>
      <vt:lpstr>918d</vt:lpstr>
      <vt:lpstr>919d</vt:lpstr>
      <vt:lpstr>920d</vt:lpstr>
      <vt:lpstr>T10d</vt:lpstr>
      <vt:lpstr>1001d</vt:lpstr>
      <vt:lpstr>1002d</vt:lpstr>
      <vt:lpstr>1003d</vt:lpstr>
      <vt:lpstr>1004d</vt:lpstr>
      <vt:lpstr>1005d</vt:lpstr>
      <vt:lpstr>T11d</vt:lpstr>
      <vt:lpstr>1101d</vt:lpstr>
      <vt:lpstr>1102d</vt:lpstr>
      <vt:lpstr>1103d</vt:lpstr>
      <vt:lpstr>1104d</vt:lpstr>
      <vt:lpstr>1105d</vt:lpstr>
      <vt:lpstr>1106d</vt:lpstr>
      <vt:lpstr>1107d</vt:lpstr>
      <vt:lpstr>1108d</vt:lpstr>
      <vt:lpstr>1109d</vt:lpstr>
      <vt:lpstr>1110d</vt:lpstr>
      <vt:lpstr>1111d</vt:lpstr>
      <vt:lpstr>1112d</vt:lpstr>
      <vt:lpstr>1113d</vt:lpstr>
      <vt:lpstr>1114d</vt:lpstr>
      <vt:lpstr>1115d</vt:lpstr>
      <vt:lpstr>1116d</vt:lpstr>
      <vt:lpstr>1117d</vt:lpstr>
      <vt:lpstr>'1001d'!Druckbereich</vt:lpstr>
      <vt:lpstr>'1002d'!Druckbereich</vt:lpstr>
      <vt:lpstr>'1003d'!Druckbereich</vt:lpstr>
      <vt:lpstr>'1004d'!Druckbereich</vt:lpstr>
      <vt:lpstr>'1005d'!Druckbereich</vt:lpstr>
      <vt:lpstr>'101d'!Druckbereich</vt:lpstr>
      <vt:lpstr>'102d'!Druckbereich</vt:lpstr>
      <vt:lpstr>'103d'!Druckbereich</vt:lpstr>
      <vt:lpstr>'104d'!Druckbereich</vt:lpstr>
      <vt:lpstr>'105d'!Druckbereich</vt:lpstr>
      <vt:lpstr>'106d'!Druckbereich</vt:lpstr>
      <vt:lpstr>'107d'!Druckbereich</vt:lpstr>
      <vt:lpstr>'108d'!Druckbereich</vt:lpstr>
      <vt:lpstr>'109d'!Druckbereich</vt:lpstr>
      <vt:lpstr>'1101d'!Druckbereich</vt:lpstr>
      <vt:lpstr>'1102d'!Druckbereich</vt:lpstr>
      <vt:lpstr>'1103d'!Druckbereich</vt:lpstr>
      <vt:lpstr>'1104d'!Druckbereich</vt:lpstr>
      <vt:lpstr>'1105d'!Druckbereich</vt:lpstr>
      <vt:lpstr>'1106d'!Druckbereich</vt:lpstr>
      <vt:lpstr>'1107d'!Druckbereich</vt:lpstr>
      <vt:lpstr>'1108d'!Druckbereich</vt:lpstr>
      <vt:lpstr>'1109d'!Druckbereich</vt:lpstr>
      <vt:lpstr>'110d'!Druckbereich</vt:lpstr>
      <vt:lpstr>'1110d'!Druckbereich</vt:lpstr>
      <vt:lpstr>'1111d'!Druckbereich</vt:lpstr>
      <vt:lpstr>'1112d'!Druckbereich</vt:lpstr>
      <vt:lpstr>'1113d'!Druckbereich</vt:lpstr>
      <vt:lpstr>'1114d'!Druckbereich</vt:lpstr>
      <vt:lpstr>'1115d'!Druckbereich</vt:lpstr>
      <vt:lpstr>'1116d'!Druckbereich</vt:lpstr>
      <vt:lpstr>'1117d'!Druckbereich</vt:lpstr>
      <vt:lpstr>'111d'!Druckbereich</vt:lpstr>
      <vt:lpstr>'112d'!Druckbereich</vt:lpstr>
      <vt:lpstr>'113d'!Druckbereich</vt:lpstr>
      <vt:lpstr>'201d'!Druckbereich</vt:lpstr>
      <vt:lpstr>'202d'!Druckbereich</vt:lpstr>
      <vt:lpstr>'203d'!Druckbereich</vt:lpstr>
      <vt:lpstr>'204d'!Druckbereich</vt:lpstr>
      <vt:lpstr>'205d'!Druckbereich</vt:lpstr>
      <vt:lpstr>'206d'!Druckbereich</vt:lpstr>
      <vt:lpstr>'207d'!Druckbereich</vt:lpstr>
      <vt:lpstr>'208d'!Druckbereich</vt:lpstr>
      <vt:lpstr>'209d'!Druckbereich</vt:lpstr>
      <vt:lpstr>'210d'!Druckbereich</vt:lpstr>
      <vt:lpstr>'211d'!Druckbereich</vt:lpstr>
      <vt:lpstr>'212d'!Druckbereich</vt:lpstr>
      <vt:lpstr>'213d'!Druckbereich</vt:lpstr>
      <vt:lpstr>'214d'!Druckbereich</vt:lpstr>
      <vt:lpstr>'215d'!Druckbereich</vt:lpstr>
      <vt:lpstr>'216d'!Druckbereich</vt:lpstr>
      <vt:lpstr>'217d'!Druckbereich</vt:lpstr>
      <vt:lpstr>'218d'!Druckbereich</vt:lpstr>
      <vt:lpstr>'219d'!Druckbereich</vt:lpstr>
      <vt:lpstr>'220d'!Druckbereich</vt:lpstr>
      <vt:lpstr>'221d'!Druckbereich</vt:lpstr>
      <vt:lpstr>'222d'!Druckbereich</vt:lpstr>
      <vt:lpstr>'223d'!Druckbereich</vt:lpstr>
      <vt:lpstr>'224d'!Druckbereich</vt:lpstr>
      <vt:lpstr>'301d'!Druckbereich</vt:lpstr>
      <vt:lpstr>'302d'!Druckbereich</vt:lpstr>
      <vt:lpstr>'303d'!Druckbereich</vt:lpstr>
      <vt:lpstr>'304d'!Druckbereich</vt:lpstr>
      <vt:lpstr>'305d'!Druckbereich</vt:lpstr>
      <vt:lpstr>'306d'!Druckbereich</vt:lpstr>
      <vt:lpstr>'307d'!Druckbereich</vt:lpstr>
      <vt:lpstr>'308d'!Druckbereich</vt:lpstr>
      <vt:lpstr>'309d'!Druckbereich</vt:lpstr>
      <vt:lpstr>'310d'!Druckbereich</vt:lpstr>
      <vt:lpstr>'311d'!Druckbereich</vt:lpstr>
      <vt:lpstr>'312d'!Druckbereich</vt:lpstr>
      <vt:lpstr>'313d'!Druckbereich</vt:lpstr>
      <vt:lpstr>'314d'!Druckbereich</vt:lpstr>
      <vt:lpstr>'315d'!Druckbereich</vt:lpstr>
      <vt:lpstr>'402d'!Druckbereich</vt:lpstr>
      <vt:lpstr>'403d'!Druckbereich</vt:lpstr>
      <vt:lpstr>'404d'!Druckbereich</vt:lpstr>
      <vt:lpstr>'405d'!Druckbereich</vt:lpstr>
      <vt:lpstr>'406d'!Druckbereich</vt:lpstr>
      <vt:lpstr>'407d'!Druckbereich</vt:lpstr>
      <vt:lpstr>'408d'!Druckbereich</vt:lpstr>
      <vt:lpstr>'409d'!Druckbereich</vt:lpstr>
      <vt:lpstr>'501d'!Druckbereich</vt:lpstr>
      <vt:lpstr>'502d'!Druckbereich</vt:lpstr>
      <vt:lpstr>'503d'!Druckbereich</vt:lpstr>
      <vt:lpstr>'504d'!Druckbereich</vt:lpstr>
      <vt:lpstr>'505d'!Druckbereich</vt:lpstr>
      <vt:lpstr>'601d'!Druckbereich</vt:lpstr>
      <vt:lpstr>'602d'!Druckbereich</vt:lpstr>
      <vt:lpstr>'603d'!Druckbereich</vt:lpstr>
      <vt:lpstr>'604d'!Druckbereich</vt:lpstr>
      <vt:lpstr>'605d'!Druckbereich</vt:lpstr>
      <vt:lpstr>'606d'!Druckbereich</vt:lpstr>
      <vt:lpstr>'701d'!Druckbereich</vt:lpstr>
      <vt:lpstr>'702d'!Druckbereich</vt:lpstr>
      <vt:lpstr>'703d'!Druckbereich</vt:lpstr>
      <vt:lpstr>'704d'!Druckbereich</vt:lpstr>
      <vt:lpstr>'705d'!Druckbereich</vt:lpstr>
      <vt:lpstr>'801d'!Druckbereich</vt:lpstr>
      <vt:lpstr>'802d'!Druckbereich</vt:lpstr>
      <vt:lpstr>'803d'!Druckbereich</vt:lpstr>
      <vt:lpstr>'804d'!Druckbereich</vt:lpstr>
      <vt:lpstr>'805d'!Druckbereich</vt:lpstr>
      <vt:lpstr>'806d'!Druckbereich</vt:lpstr>
      <vt:lpstr>'807d'!Druckbereich</vt:lpstr>
      <vt:lpstr>'808d'!Druckbereich</vt:lpstr>
      <vt:lpstr>'809d'!Druckbereich</vt:lpstr>
      <vt:lpstr>'810d'!Druckbereich</vt:lpstr>
      <vt:lpstr>'811d'!Druckbereich</vt:lpstr>
      <vt:lpstr>'901d'!Druckbereich</vt:lpstr>
      <vt:lpstr>'902d'!Druckbereich</vt:lpstr>
      <vt:lpstr>'903d'!Druckbereich</vt:lpstr>
      <vt:lpstr>'904d'!Druckbereich</vt:lpstr>
      <vt:lpstr>'905d'!Druckbereich</vt:lpstr>
      <vt:lpstr>'906d'!Druckbereich</vt:lpstr>
      <vt:lpstr>'907d'!Druckbereich</vt:lpstr>
      <vt:lpstr>'908d'!Druckbereich</vt:lpstr>
      <vt:lpstr>'909d'!Druckbereich</vt:lpstr>
      <vt:lpstr>'910d'!Druckbereich</vt:lpstr>
      <vt:lpstr>'911d'!Druckbereich</vt:lpstr>
      <vt:lpstr>'912d'!Druckbereich</vt:lpstr>
      <vt:lpstr>'913d'!Druckbereich</vt:lpstr>
      <vt:lpstr>'914d'!Druckbereich</vt:lpstr>
      <vt:lpstr>'915d'!Druckbereich</vt:lpstr>
      <vt:lpstr>'916d'!Druckbereich</vt:lpstr>
      <vt:lpstr>'917d'!Druckbereich</vt:lpstr>
      <vt:lpstr>'918d'!Druckbereich</vt:lpstr>
      <vt:lpstr>'919d'!Druckbereich</vt:lpstr>
      <vt:lpstr>'920d'!Druckbereich</vt:lpstr>
      <vt:lpstr>Ad!Druckbereich</vt:lpstr>
      <vt:lpstr>F1d!Druckbereich</vt:lpstr>
      <vt:lpstr>F2d!Druckbereich</vt:lpstr>
      <vt:lpstr>F3d!Druckbereich</vt:lpstr>
      <vt:lpstr>Info!Druckbereich</vt:lpstr>
      <vt:lpstr>Jd!Druckbereich</vt:lpstr>
      <vt:lpstr>T10d!Druckbereich</vt:lpstr>
      <vt:lpstr>T11d!Druckbereich</vt:lpstr>
      <vt:lpstr>T1d!Druckbereich</vt:lpstr>
      <vt:lpstr>T2d!Druckbereich</vt:lpstr>
      <vt:lpstr>T3d!Druckbereich</vt:lpstr>
      <vt:lpstr>T4d!Druckbereich</vt:lpstr>
      <vt:lpstr>T5d!Druckbereich</vt:lpstr>
      <vt:lpstr>T8d!Druckbereich</vt:lpstr>
      <vt:lpstr>'501d'!Drucktitel</vt:lpstr>
      <vt:lpstr>'503d'!Drucktitel</vt:lpstr>
      <vt:lpstr>'504d'!Drucktitel</vt:lpstr>
      <vt:lpstr>'505d'!Drucktitel</vt:lpstr>
      <vt:lpstr>'907d'!Drucktitel</vt:lpstr>
      <vt:lpstr>B1d!Drucktitel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Informatikdienst</dc:creator>
  <cp:lastModifiedBy>Smaili Kenan (smailken)</cp:lastModifiedBy>
  <cp:lastPrinted>2012-01-17T14:30:22Z</cp:lastPrinted>
  <dcterms:created xsi:type="dcterms:W3CDTF">1999-10-15T08:29:27Z</dcterms:created>
  <dcterms:modified xsi:type="dcterms:W3CDTF">2026-05-02T10:05:01Z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-2021548164</vt:i4>
  </property>
  <property fmtid="{D5CDD505-2E9C-101B-9397-08002B2CF9AE}" pid="3" name="_EmailSubject">
    <vt:lpwstr>enlever liaisons</vt:lpwstr>
  </property>
  <property fmtid="{D5CDD505-2E9C-101B-9397-08002B2CF9AE}" pid="4" name="_AuthorEmail">
    <vt:lpwstr>Yves-Alain.Gerber@bfs.admin.ch</vt:lpwstr>
  </property>
  <property fmtid="{D5CDD505-2E9C-101B-9397-08002B2CF9AE}" pid="5" name="_AuthorEmailDisplayName">
    <vt:lpwstr>Gerber Yves-Alain BFS</vt:lpwstr>
  </property>
  <property fmtid="{D5CDD505-2E9C-101B-9397-08002B2CF9AE}" pid="6" name="_PreviousAdHocReviewCycleID">
    <vt:i4>1897203600</vt:i4>
  </property>
  <property fmtid="{D5CDD505-2E9C-101B-9397-08002B2CF9AE}" pid="7" name="_ReviewingToolsShownOnce">
    <vt:lpwstr/>
  </property>
</Properties>
</file>