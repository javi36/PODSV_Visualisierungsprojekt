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backupFile="1"/>
  <mc:AlternateContent xmlns:mc="http://schemas.openxmlformats.org/markup-compatibility/2006">
    <mc:Choice Requires="x15">
      <x15ac:absPath xmlns:x15ac="http://schemas.microsoft.com/office/spreadsheetml/2010/11/ac" url="/Users/K.Smaili_ZHAW/Desktop/ZHAW/4. Semester/PoDSV_Project Orientated Digital Storytelling and Visualization/PODSV_Visualisierungsprojekt/data/whopays/raw_whopays/"/>
    </mc:Choice>
  </mc:AlternateContent>
  <xr:revisionPtr revIDLastSave="0" documentId="13_ncr:1_{51F55795-F0B6-554D-990E-55C22607E3ED}" xr6:coauthVersionLast="47" xr6:coauthVersionMax="47" xr10:uidLastSave="{00000000-0000-0000-0000-000000000000}"/>
  <bookViews>
    <workbookView xWindow="13840" yWindow="1620" windowWidth="18940" windowHeight="13880" xr2:uid="{A88A9C2D-6901-A342-AC29-2871F9D50BC7}"/>
  </bookViews>
  <sheets>
    <sheet name="Info" sheetId="1" r:id="rId1"/>
    <sheet name="101" sheetId="2" r:id="rId2"/>
    <sheet name="102" sheetId="3" r:id="rId3"/>
    <sheet name="103" sheetId="4" r:id="rId4"/>
    <sheet name="104" sheetId="5" r:id="rId5"/>
    <sheet name="105" sheetId="6" r:id="rId6"/>
    <sheet name="106" sheetId="7" r:id="rId7"/>
    <sheet name="107" sheetId="8" r:id="rId8"/>
    <sheet name="108" sheetId="9" r:id="rId9"/>
    <sheet name="109" sheetId="10" r:id="rId10"/>
    <sheet name="110" sheetId="11" r:id="rId11"/>
    <sheet name="111" sheetId="12" r:id="rId12"/>
    <sheet name="112" sheetId="13" r:id="rId13"/>
    <sheet name="113" sheetId="14" r:id="rId14"/>
    <sheet name="114" sheetId="15" r:id="rId15"/>
    <sheet name="115" sheetId="16" r:id="rId16"/>
    <sheet name="116" sheetId="17" r:id="rId17"/>
    <sheet name="117" sheetId="18" r:id="rId18"/>
    <sheet name="118" sheetId="19" r:id="rId19"/>
    <sheet name="119" sheetId="20" r:id="rId20"/>
    <sheet name="120" sheetId="21" r:id="rId21"/>
    <sheet name="121" sheetId="22" r:id="rId22"/>
    <sheet name="122" sheetId="23" r:id="rId23"/>
    <sheet name="123" sheetId="24" r:id="rId24"/>
    <sheet name="124" sheetId="25" r:id="rId25"/>
    <sheet name="125" sheetId="26" r:id="rId26"/>
    <sheet name="126" sheetId="27" r:id="rId27"/>
    <sheet name="127" sheetId="28" r:id="rId28"/>
    <sheet name="128" sheetId="29" r:id="rId29"/>
    <sheet name="129" sheetId="30" r:id="rId30"/>
    <sheet name="130" sheetId="31" r:id="rId31"/>
    <sheet name="131" sheetId="32" r:id="rId32"/>
    <sheet name="132" sheetId="33" r:id="rId33"/>
    <sheet name="133" sheetId="34" r:id="rId34"/>
    <sheet name="134" sheetId="35" r:id="rId35"/>
    <sheet name="135" sheetId="36" r:id="rId36"/>
    <sheet name="136" sheetId="37" r:id="rId37"/>
    <sheet name="137" sheetId="38" r:id="rId38"/>
    <sheet name="138" sheetId="39" r:id="rId39"/>
    <sheet name="139" sheetId="40" r:id="rId40"/>
    <sheet name="140" sheetId="41" r:id="rId41"/>
    <sheet name="141" sheetId="42" r:id="rId42"/>
    <sheet name="142" sheetId="43" r:id="rId43"/>
    <sheet name="143" sheetId="44" r:id="rId44"/>
    <sheet name="201" sheetId="45" r:id="rId45"/>
    <sheet name="202" sheetId="46" r:id="rId46"/>
    <sheet name="203" sheetId="47" r:id="rId47"/>
    <sheet name="204" sheetId="48" r:id="rId48"/>
    <sheet name="205" sheetId="49" r:id="rId49"/>
    <sheet name="206" sheetId="50" r:id="rId50"/>
    <sheet name="207" sheetId="51" r:id="rId51"/>
    <sheet name="208" sheetId="52" r:id="rId52"/>
    <sheet name="209" sheetId="53" r:id="rId53"/>
    <sheet name="210" sheetId="54" r:id="rId54"/>
    <sheet name="211" sheetId="55" r:id="rId55"/>
    <sheet name="301" sheetId="56" r:id="rId56"/>
    <sheet name="302" sheetId="57" r:id="rId57"/>
    <sheet name="303" sheetId="58" r:id="rId58"/>
    <sheet name="304" sheetId="59" r:id="rId59"/>
    <sheet name="305" sheetId="60" r:id="rId60"/>
    <sheet name="306" sheetId="61" r:id="rId61"/>
    <sheet name="307" sheetId="62" r:id="rId62"/>
    <sheet name="308" sheetId="63" r:id="rId63"/>
    <sheet name="309" sheetId="64" r:id="rId64"/>
    <sheet name="401" sheetId="65" r:id="rId65"/>
    <sheet name="402" sheetId="66" r:id="rId66"/>
    <sheet name="403" sheetId="67" r:id="rId67"/>
    <sheet name="404" sheetId="68" r:id="rId68"/>
    <sheet name="405" sheetId="69" r:id="rId69"/>
    <sheet name="406" sheetId="70" r:id="rId70"/>
    <sheet name="407" sheetId="71" r:id="rId71"/>
    <sheet name="408" sheetId="72" r:id="rId72"/>
    <sheet name="409" sheetId="73" r:id="rId73"/>
    <sheet name="410" sheetId="74" r:id="rId74"/>
    <sheet name="502" sheetId="75" r:id="rId75"/>
    <sheet name="601" sheetId="76" r:id="rId76"/>
    <sheet name="602" sheetId="77" r:id="rId77"/>
    <sheet name="603" sheetId="78" r:id="rId78"/>
    <sheet name="604" sheetId="79" r:id="rId79"/>
    <sheet name="605" sheetId="80" r:id="rId80"/>
    <sheet name="606" sheetId="81" r:id="rId81"/>
    <sheet name="701" sheetId="82" r:id="rId82"/>
    <sheet name="702" sheetId="83" r:id="rId83"/>
    <sheet name="703" sheetId="84" r:id="rId84"/>
    <sheet name="704" sheetId="85" r:id="rId85"/>
    <sheet name="705" sheetId="86" r:id="rId86"/>
    <sheet name="801" sheetId="87" r:id="rId87"/>
    <sheet name="802" sheetId="88" r:id="rId88"/>
    <sheet name="803" sheetId="89" r:id="rId89"/>
    <sheet name="804" sheetId="90" r:id="rId90"/>
    <sheet name="805" sheetId="91" r:id="rId91"/>
    <sheet name="806" sheetId="92" r:id="rId92"/>
    <sheet name="807" sheetId="93" r:id="rId93"/>
    <sheet name="808" sheetId="94" r:id="rId94"/>
    <sheet name="809" sheetId="95" r:id="rId95"/>
    <sheet name="810" sheetId="96" r:id="rId96"/>
    <sheet name="901" sheetId="97" r:id="rId97"/>
    <sheet name="902" sheetId="98" r:id="rId98"/>
    <sheet name="903" sheetId="99" r:id="rId99"/>
    <sheet name="904" sheetId="100" r:id="rId100"/>
    <sheet name="905" sheetId="101" r:id="rId101"/>
    <sheet name="906" sheetId="102" r:id="rId102"/>
    <sheet name="907" sheetId="103" r:id="rId103"/>
    <sheet name="908" sheetId="104" r:id="rId104"/>
    <sheet name="909" sheetId="105" r:id="rId105"/>
    <sheet name="910" sheetId="106" r:id="rId106"/>
    <sheet name="911" sheetId="107" r:id="rId107"/>
    <sheet name="912" sheetId="108" r:id="rId108"/>
    <sheet name="913" sheetId="109" r:id="rId109"/>
    <sheet name="914" sheetId="110" r:id="rId110"/>
    <sheet name="915" sheetId="111" r:id="rId111"/>
    <sheet name="916" sheetId="112" r:id="rId112"/>
    <sheet name="917" sheetId="113" r:id="rId113"/>
    <sheet name="918" sheetId="114" r:id="rId114"/>
  </sheets>
  <externalReferences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</externalReferences>
  <definedNames>
    <definedName name="_xlnm.Print_Area" localSheetId="1">'101'!$A$1:$I$17</definedName>
    <definedName name="_xlnm.Print_Area" localSheetId="2">'102'!$A$1:$G$17</definedName>
    <definedName name="_xlnm.Print_Area" localSheetId="3">'103'!$A$1:$F$37</definedName>
    <definedName name="_xlnm.Print_Area" localSheetId="4">'104'!$A$1:$G$34</definedName>
    <definedName name="_xlnm.Print_Area" localSheetId="5">'105'!$A$1:$G$15</definedName>
    <definedName name="_xlnm.Print_Area" localSheetId="6">'106'!$A$1:$G$13</definedName>
    <definedName name="_xlnm.Print_Area" localSheetId="7">'107'!$A$1:$G$21</definedName>
    <definedName name="_xlnm.Print_Area" localSheetId="8">'108'!$A$1:$G$19</definedName>
    <definedName name="_xlnm.Print_Area" localSheetId="9">'109'!$A$1:$G$17</definedName>
    <definedName name="_xlnm.Print_Area" localSheetId="10">'110'!$A$1:$G$16</definedName>
    <definedName name="_xlnm.Print_Area" localSheetId="11">'111'!$A$1:$G$12</definedName>
    <definedName name="_xlnm.Print_Area" localSheetId="12">'112'!$A$1:$G$12</definedName>
    <definedName name="_xlnm.Print_Area" localSheetId="13">'113'!$A$1:$G$15</definedName>
    <definedName name="_xlnm.Print_Area" localSheetId="14">'114'!$A$1:$G$15</definedName>
    <definedName name="_xlnm.Print_Area" localSheetId="15">'115'!$A$1:$G$18</definedName>
    <definedName name="_xlnm.Print_Area" localSheetId="16">'116'!$A$1:$F$25</definedName>
    <definedName name="_xlnm.Print_Area" localSheetId="17">'117'!$A$1:$G$16</definedName>
    <definedName name="_xlnm.Print_Area" localSheetId="18">'118'!$A$1:$G$27</definedName>
    <definedName name="_xlnm.Print_Area" localSheetId="19">'119'!$A$1:$G$15</definedName>
    <definedName name="_xlnm.Print_Area" localSheetId="20">'120'!$A$1:$G$15</definedName>
    <definedName name="_xlnm.Print_Area" localSheetId="21">'121'!$A$1:$G$16</definedName>
    <definedName name="_xlnm.Print_Area" localSheetId="22">'122'!$A$1:$G$16</definedName>
    <definedName name="_xlnm.Print_Area" localSheetId="23">'123'!$A$1:$H$15</definedName>
    <definedName name="_xlnm.Print_Area" localSheetId="24">'124'!$A$1:$H$15</definedName>
    <definedName name="_xlnm.Print_Area" localSheetId="25">'125'!$A$1:$F$16</definedName>
    <definedName name="_xlnm.Print_Area" localSheetId="26">'126'!$A$1:$G$16</definedName>
    <definedName name="_xlnm.Print_Area" localSheetId="27">'127'!$A$1:$E$31</definedName>
    <definedName name="_xlnm.Print_Area" localSheetId="28">'128'!$A$1:$E$31</definedName>
    <definedName name="_xlnm.Print_Area" localSheetId="29">'129'!$A$1:$E$31</definedName>
    <definedName name="_xlnm.Print_Area" localSheetId="30">'130'!$A$1:$E$31</definedName>
    <definedName name="_xlnm.Print_Area" localSheetId="31">'131'!$A$1:$E$31</definedName>
    <definedName name="_xlnm.Print_Area" localSheetId="32">'132'!$A$1:$G$17</definedName>
    <definedName name="_xlnm.Print_Area" localSheetId="33">'133'!$A$1:$G$17</definedName>
    <definedName name="_xlnm.Print_Area" localSheetId="34">'134'!$A$1:$G$15</definedName>
    <definedName name="_xlnm.Print_Area" localSheetId="39">'139'!$A$1:$G$12</definedName>
    <definedName name="_xlnm.Print_Area" localSheetId="40">'140'!$A$1:$H$12</definedName>
    <definedName name="_xlnm.Print_Area" localSheetId="41">'141'!$A$1:$G$29</definedName>
    <definedName name="_xlnm.Print_Area" localSheetId="42">'142'!$A$1:$G$16</definedName>
    <definedName name="_xlnm.Print_Area" localSheetId="43">'143'!$A$2:$I$35</definedName>
    <definedName name="_xlnm.Print_Area" localSheetId="44">'201'!$A$1:$G$19</definedName>
    <definedName name="_xlnm.Print_Area" localSheetId="45">'202'!$A$1:$G$19</definedName>
    <definedName name="_xlnm.Print_Area" localSheetId="46">'203'!$A$1:$G$35</definedName>
    <definedName name="_xlnm.Print_Area" localSheetId="47">'204'!$A$1:$G$36</definedName>
    <definedName name="_xlnm.Print_Area" localSheetId="48">'205'!$A$1:$G$35</definedName>
    <definedName name="_xlnm.Print_Area" localSheetId="49">'206'!$A$1:$H$26</definedName>
    <definedName name="_xlnm.Print_Area" localSheetId="50">'207'!$A$1:$G$36</definedName>
    <definedName name="_xlnm.Print_Area" localSheetId="51">'208'!$A$1:$G$35</definedName>
    <definedName name="_xlnm.Print_Area" localSheetId="52">'209'!$A$1:$H$26</definedName>
    <definedName name="_xlnm.Print_Area" localSheetId="53">'210'!$A$1:$G$36</definedName>
    <definedName name="_xlnm.Print_Area" localSheetId="54">'211'!$A$1:$G$26</definedName>
    <definedName name="_xlnm.Print_Area" localSheetId="55">'301'!$A$1:$K$40</definedName>
    <definedName name="_xlnm.Print_Area" localSheetId="56">'302'!$A$1:$J$39</definedName>
    <definedName name="_xlnm.Print_Area" localSheetId="61">'307'!$A$1:$H$41</definedName>
    <definedName name="_xlnm.Print_Area" localSheetId="62">'308'!$A$1:$I$41</definedName>
    <definedName name="_xlnm.Print_Area" localSheetId="63">'309'!$A$1:$H$41</definedName>
    <definedName name="_xlnm.Print_Area" localSheetId="64">'401'!$A$1:$I$15</definedName>
    <definedName name="_xlnm.Print_Area" localSheetId="65">'402'!$A$1:$H$39</definedName>
    <definedName name="_xlnm.Print_Area" localSheetId="66">'403'!$A$1:$E$30</definedName>
    <definedName name="_xlnm.Print_Area" localSheetId="67">'404'!$A$1:$I$37</definedName>
    <definedName name="_xlnm.Print_Area" localSheetId="68">'405'!$A$1:$I$37</definedName>
    <definedName name="_xlnm.Print_Area" localSheetId="70">'407'!$A$1:$I$21</definedName>
    <definedName name="_xlnm.Print_Area" localSheetId="71">'408'!$A$1:$I$39</definedName>
    <definedName name="_xlnm.Print_Area" localSheetId="72">'409'!$A$1:$H$40</definedName>
    <definedName name="_xlnm.Print_Area" localSheetId="73">'410'!$A$1:$H$38</definedName>
    <definedName name="_xlnm.Print_Area" localSheetId="74">'502'!$A$1:$Q$114</definedName>
    <definedName name="_xlnm.Print_Area" localSheetId="75">'601'!$A$1:$G$16</definedName>
    <definedName name="_xlnm.Print_Area" localSheetId="76">'602'!$A$1:$G$16</definedName>
    <definedName name="_xlnm.Print_Area" localSheetId="77">'603'!$A$1:$F$32</definedName>
    <definedName name="_xlnm.Print_Area" localSheetId="78">'604'!$A$1:$E$31</definedName>
    <definedName name="_xlnm.Print_Area" localSheetId="79">'605'!$A$1:$E$33</definedName>
    <definedName name="_xlnm.Print_Area" localSheetId="80">'606'!$A$1:$E$33</definedName>
    <definedName name="_xlnm.Print_Area" localSheetId="81">'701'!$A$1:$G$20</definedName>
    <definedName name="_xlnm.Print_Area" localSheetId="82">'702'!$A$1:$F$19</definedName>
    <definedName name="_xlnm.Print_Area" localSheetId="83">'703'!$A$1:$E$32</definedName>
    <definedName name="_xlnm.Print_Area" localSheetId="84">'704'!$A$1:$E$31</definedName>
    <definedName name="_xlnm.Print_Area" localSheetId="85">'705'!$A$1:$E$31</definedName>
    <definedName name="_xlnm.Print_Area" localSheetId="86">'801'!$A$1:$G$49</definedName>
    <definedName name="_xlnm.Print_Area" localSheetId="87">'802'!$A$1:$H$50</definedName>
    <definedName name="_xlnm.Print_Area" localSheetId="88">'803'!$A$1:$H$16</definedName>
    <definedName name="_xlnm.Print_Area" localSheetId="89">'804'!$A$1:$G$19</definedName>
    <definedName name="_xlnm.Print_Area" localSheetId="90">'805'!$A$1:$D$39</definedName>
    <definedName name="_xlnm.Print_Area" localSheetId="91">'806'!$A$1:$D$33</definedName>
    <definedName name="_xlnm.Print_Area" localSheetId="92">'807'!$A$1:$G$18</definedName>
    <definedName name="_xlnm.Print_Area" localSheetId="93">'808'!$A$1:$H$18</definedName>
    <definedName name="_xlnm.Print_Area" localSheetId="94">'809'!$A$1:$D$28</definedName>
    <definedName name="_xlnm.Print_Area" localSheetId="95">'810'!$A$1:$D$35</definedName>
    <definedName name="_xlnm.Print_Area" localSheetId="96">'901'!$A$1:$AP$22</definedName>
    <definedName name="_xlnm.Print_Area" localSheetId="97">'902'!$A$1:$I$19</definedName>
    <definedName name="_xlnm.Print_Area" localSheetId="98">'903'!$A$1:$J$19</definedName>
    <definedName name="_xlnm.Print_Area" localSheetId="99">'904'!$A$1:$I$16</definedName>
    <definedName name="_xlnm.Print_Area" localSheetId="100">'905'!$A$1:$F$17</definedName>
    <definedName name="_xlnm.Print_Area" localSheetId="101">'906'!$A$1:$H$71</definedName>
    <definedName name="_xlnm.Print_Area" localSheetId="102">'907'!$A$1:$H$71</definedName>
    <definedName name="_xlnm.Print_Area" localSheetId="103">'908'!$A$1:$I$80</definedName>
    <definedName name="_xlnm.Print_Area" localSheetId="104">'909'!$A$1:$J$45</definedName>
    <definedName name="_xlnm.Print_Area" localSheetId="105">'910'!$A$1:$J$31</definedName>
    <definedName name="_xlnm.Print_Area" localSheetId="106">'911'!$A$1:$I$21</definedName>
    <definedName name="_xlnm.Print_Area" localSheetId="107">'912'!$A$1:$I$37</definedName>
    <definedName name="_xlnm.Print_Area" localSheetId="108">'913'!$A$1:$I$25</definedName>
    <definedName name="_xlnm.Print_Area" localSheetId="109">'914'!$A$1:$G$33</definedName>
    <definedName name="_xlnm.Print_Area" localSheetId="110">'915'!$A$1:$K$34</definedName>
    <definedName name="_xlnm.Print_Area" localSheetId="111">'916'!$A$1:$I$31</definedName>
    <definedName name="_xlnm.Print_Area" localSheetId="112">'917'!$A$1:$K$29</definedName>
    <definedName name="_xlnm.Print_Area" localSheetId="113">'918'!$A$1:$I$26</definedName>
    <definedName name="_xlnm.Print_Area" localSheetId="0">Info!$A$1:$J$47</definedName>
    <definedName name="_xlnm.Print_Titles" localSheetId="74">'502'!$A:$A,'502'!$1:$10</definedName>
    <definedName name="Z_E58FEA52_E3A2_4787_9824_12DA55A527FE_.wvu.Cols" localSheetId="73" hidden="1">'410'!$I:$I</definedName>
    <definedName name="Z_E58FEA52_E3A2_4787_9824_12DA55A527FE_.wvu.PrintArea" localSheetId="73" hidden="1">'410'!$A$1:$E$38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2" l="1"/>
  <c r="H12" i="2"/>
  <c r="G12" i="2"/>
  <c r="F12" i="2"/>
  <c r="E12" i="2"/>
  <c r="D12" i="2"/>
  <c r="C12" i="2"/>
  <c r="B12" i="2"/>
  <c r="A12" i="2"/>
  <c r="A15" i="2"/>
  <c r="A8" i="2"/>
  <c r="B8" i="2"/>
  <c r="C8" i="2"/>
  <c r="D8" i="2"/>
  <c r="E8" i="2"/>
  <c r="F8" i="2"/>
  <c r="G8" i="2"/>
  <c r="H8" i="2"/>
  <c r="A9" i="2"/>
  <c r="B9" i="2"/>
  <c r="C9" i="2"/>
  <c r="D9" i="2"/>
  <c r="E9" i="2"/>
  <c r="F9" i="2"/>
  <c r="G9" i="2"/>
  <c r="H9" i="2"/>
  <c r="A10" i="2"/>
  <c r="B10" i="2"/>
  <c r="C10" i="2"/>
  <c r="D10" i="2"/>
  <c r="E10" i="2"/>
  <c r="F10" i="2"/>
  <c r="G10" i="2"/>
  <c r="H10" i="2"/>
  <c r="A11" i="2"/>
  <c r="B11" i="2"/>
  <c r="C11" i="2"/>
  <c r="D11" i="2"/>
  <c r="E11" i="2"/>
  <c r="F11" i="2"/>
  <c r="G11" i="2"/>
  <c r="H11" i="2"/>
  <c r="A13" i="2"/>
  <c r="B13" i="2"/>
  <c r="C13" i="2"/>
  <c r="D13" i="2"/>
  <c r="E13" i="2"/>
  <c r="F13" i="2"/>
  <c r="G13" i="2"/>
  <c r="H13" i="2"/>
  <c r="A14" i="2"/>
  <c r="B14" i="2"/>
  <c r="C14" i="2"/>
  <c r="D14" i="2"/>
  <c r="E14" i="2"/>
  <c r="F14" i="2"/>
  <c r="G14" i="2"/>
  <c r="H14" i="2"/>
  <c r="B7" i="2"/>
  <c r="C7" i="2"/>
  <c r="D7" i="2"/>
  <c r="E7" i="2"/>
  <c r="F7" i="2"/>
  <c r="G7" i="2"/>
  <c r="H7" i="2"/>
  <c r="I7" i="2"/>
  <c r="A7" i="2"/>
  <c r="I8" i="2"/>
  <c r="I9" i="2"/>
  <c r="I10" i="2"/>
  <c r="I11" i="2"/>
  <c r="I13" i="2"/>
  <c r="I14" i="2"/>
  <c r="F12" i="3"/>
  <c r="E12" i="3"/>
  <c r="D12" i="3"/>
  <c r="C12" i="3"/>
  <c r="B12" i="3"/>
  <c r="A12" i="3"/>
  <c r="A8" i="3"/>
  <c r="B8" i="3"/>
  <c r="C8" i="3"/>
  <c r="E8" i="3"/>
  <c r="A9" i="3"/>
  <c r="B9" i="3"/>
  <c r="C9" i="3"/>
  <c r="D9" i="3"/>
  <c r="E9" i="3"/>
  <c r="F9" i="3"/>
  <c r="A10" i="3"/>
  <c r="B10" i="3"/>
  <c r="C10" i="3"/>
  <c r="D10" i="3"/>
  <c r="E10" i="3"/>
  <c r="F10" i="3"/>
  <c r="A11" i="3"/>
  <c r="B11" i="3"/>
  <c r="C11" i="3"/>
  <c r="D11" i="3"/>
  <c r="E11" i="3"/>
  <c r="F11" i="3"/>
  <c r="A13" i="3"/>
  <c r="B13" i="3"/>
  <c r="C13" i="3"/>
  <c r="E13" i="3"/>
  <c r="A14" i="3"/>
  <c r="B14" i="3"/>
  <c r="C14" i="3"/>
  <c r="E14" i="3"/>
  <c r="B7" i="3"/>
  <c r="C7" i="3"/>
  <c r="E7" i="3"/>
  <c r="G7" i="3"/>
  <c r="A7" i="3"/>
  <c r="G10" i="3"/>
  <c r="G11" i="3"/>
  <c r="G12" i="3"/>
  <c r="D13" i="3"/>
  <c r="F13" i="3"/>
  <c r="G13" i="3"/>
  <c r="F14" i="3"/>
  <c r="G14" i="3"/>
  <c r="D14" i="3"/>
  <c r="D7" i="3"/>
  <c r="F7" i="3"/>
  <c r="D8" i="3"/>
  <c r="F8" i="3"/>
  <c r="G9" i="3"/>
  <c r="G8" i="3"/>
  <c r="B7" i="4"/>
  <c r="C7" i="4"/>
  <c r="D7" i="4"/>
  <c r="E7" i="4"/>
  <c r="B8" i="4"/>
  <c r="C8" i="4"/>
  <c r="D8" i="4"/>
  <c r="E8" i="4"/>
  <c r="B9" i="4"/>
  <c r="C9" i="4"/>
  <c r="D9" i="4"/>
  <c r="E9" i="4"/>
  <c r="B10" i="4"/>
  <c r="C10" i="4"/>
  <c r="D10" i="4"/>
  <c r="E10" i="4"/>
  <c r="B11" i="4"/>
  <c r="C11" i="4"/>
  <c r="D11" i="4"/>
  <c r="E11" i="4"/>
  <c r="B12" i="4"/>
  <c r="C12" i="4"/>
  <c r="D12" i="4"/>
  <c r="E12" i="4"/>
  <c r="B13" i="4"/>
  <c r="C13" i="4"/>
  <c r="D13" i="4"/>
  <c r="E13" i="4"/>
  <c r="B14" i="4"/>
  <c r="C14" i="4"/>
  <c r="D14" i="4"/>
  <c r="E14" i="4"/>
  <c r="B15" i="4"/>
  <c r="C15" i="4"/>
  <c r="D15" i="4"/>
  <c r="E15" i="4"/>
  <c r="B16" i="4"/>
  <c r="C16" i="4"/>
  <c r="D16" i="4"/>
  <c r="E16" i="4"/>
  <c r="B17" i="4"/>
  <c r="C17" i="4"/>
  <c r="D17" i="4"/>
  <c r="E17" i="4"/>
  <c r="B18" i="4"/>
  <c r="C18" i="4"/>
  <c r="D18" i="4"/>
  <c r="E18" i="4"/>
  <c r="B19" i="4"/>
  <c r="C19" i="4"/>
  <c r="D19" i="4"/>
  <c r="E19" i="4"/>
  <c r="B20" i="4"/>
  <c r="C20" i="4"/>
  <c r="D20" i="4"/>
  <c r="E20" i="4"/>
  <c r="B21" i="4"/>
  <c r="C21" i="4"/>
  <c r="D21" i="4"/>
  <c r="E21" i="4"/>
  <c r="B22" i="4"/>
  <c r="C22" i="4"/>
  <c r="D22" i="4"/>
  <c r="E22" i="4"/>
  <c r="B23" i="4"/>
  <c r="C23" i="4"/>
  <c r="D23" i="4"/>
  <c r="E23" i="4"/>
  <c r="B24" i="4"/>
  <c r="C24" i="4"/>
  <c r="D24" i="4"/>
  <c r="E24" i="4"/>
  <c r="B25" i="4"/>
  <c r="C25" i="4"/>
  <c r="D25" i="4"/>
  <c r="E25" i="4"/>
  <c r="B26" i="4"/>
  <c r="C26" i="4"/>
  <c r="D26" i="4"/>
  <c r="E26" i="4"/>
  <c r="B27" i="4"/>
  <c r="C27" i="4"/>
  <c r="D27" i="4"/>
  <c r="E27" i="4"/>
  <c r="B28" i="4"/>
  <c r="C28" i="4"/>
  <c r="D28" i="4"/>
  <c r="E28" i="4"/>
  <c r="B29" i="4"/>
  <c r="C29" i="4"/>
  <c r="D29" i="4"/>
  <c r="E29" i="4"/>
  <c r="B30" i="4"/>
  <c r="C30" i="4"/>
  <c r="D30" i="4"/>
  <c r="E30" i="4"/>
  <c r="B31" i="4"/>
  <c r="C31" i="4"/>
  <c r="D31" i="4"/>
  <c r="E31" i="4"/>
  <c r="B33" i="4"/>
  <c r="C33" i="4"/>
  <c r="D33" i="4"/>
  <c r="E33" i="4"/>
  <c r="B34" i="4"/>
  <c r="C34" i="4"/>
  <c r="D34" i="4"/>
  <c r="E34" i="4"/>
  <c r="C6" i="4"/>
  <c r="D6" i="4"/>
  <c r="E6" i="4"/>
  <c r="B6" i="4"/>
  <c r="A36" i="4"/>
  <c r="A2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B32" i="4"/>
  <c r="F33" i="4"/>
  <c r="F34" i="4"/>
  <c r="F32" i="4"/>
  <c r="E32" i="4"/>
  <c r="D32" i="4"/>
  <c r="C32" i="4"/>
  <c r="B35" i="4"/>
  <c r="F35" i="4"/>
  <c r="E35" i="4"/>
  <c r="D35" i="4"/>
  <c r="C35" i="4"/>
  <c r="A2" i="5"/>
  <c r="A34" i="5"/>
  <c r="B8" i="5"/>
  <c r="D8" i="5"/>
  <c r="B9" i="5"/>
  <c r="D9" i="5"/>
  <c r="B10" i="5"/>
  <c r="D10" i="5"/>
  <c r="B12" i="5"/>
  <c r="D12" i="5"/>
  <c r="B13" i="5"/>
  <c r="D13" i="5"/>
  <c r="B14" i="5"/>
  <c r="D14" i="5"/>
  <c r="B15" i="5"/>
  <c r="D15" i="5"/>
  <c r="B16" i="5"/>
  <c r="D16" i="5"/>
  <c r="B17" i="5"/>
  <c r="D17" i="5"/>
  <c r="B18" i="5"/>
  <c r="D18" i="5"/>
  <c r="B19" i="5"/>
  <c r="D19" i="5"/>
  <c r="B20" i="5"/>
  <c r="D20" i="5"/>
  <c r="B21" i="5"/>
  <c r="D21" i="5"/>
  <c r="B23" i="5"/>
  <c r="D23" i="5"/>
  <c r="B24" i="5"/>
  <c r="D24" i="5"/>
  <c r="B25" i="5"/>
  <c r="D25" i="5"/>
  <c r="B26" i="5"/>
  <c r="D26" i="5"/>
  <c r="B27" i="5"/>
  <c r="D27" i="5"/>
  <c r="B28" i="5"/>
  <c r="D28" i="5"/>
  <c r="B29" i="5"/>
  <c r="D29" i="5"/>
  <c r="B30" i="5"/>
  <c r="D30" i="5"/>
  <c r="B32" i="5"/>
  <c r="D32" i="5"/>
  <c r="D7" i="5"/>
  <c r="B7" i="5"/>
  <c r="B11" i="5"/>
  <c r="D11" i="5"/>
  <c r="F7" i="5"/>
  <c r="F11" i="5"/>
  <c r="F10" i="5"/>
  <c r="F9" i="5"/>
  <c r="F8" i="5"/>
  <c r="B22" i="5"/>
  <c r="F21" i="5"/>
  <c r="F20" i="5"/>
  <c r="F19" i="5"/>
  <c r="F18" i="5"/>
  <c r="F17" i="5"/>
  <c r="F16" i="5"/>
  <c r="F15" i="5"/>
  <c r="F14" i="5"/>
  <c r="F13" i="5"/>
  <c r="F12" i="5"/>
  <c r="F22" i="5"/>
  <c r="D22" i="5"/>
  <c r="F30" i="5"/>
  <c r="F29" i="5"/>
  <c r="F28" i="5"/>
  <c r="F27" i="5"/>
  <c r="F26" i="5"/>
  <c r="F25" i="5"/>
  <c r="F24" i="5"/>
  <c r="F23" i="5"/>
  <c r="B31" i="5"/>
  <c r="F31" i="5"/>
  <c r="D31" i="5"/>
  <c r="B33" i="5"/>
  <c r="F32" i="5"/>
  <c r="G7" i="5"/>
  <c r="E11" i="5"/>
  <c r="E7" i="5"/>
  <c r="E10" i="5"/>
  <c r="E9" i="5"/>
  <c r="E8" i="5"/>
  <c r="C11" i="5"/>
  <c r="C7" i="5"/>
  <c r="C10" i="5"/>
  <c r="C9" i="5"/>
  <c r="C8" i="5"/>
  <c r="G33" i="5"/>
  <c r="F33" i="5"/>
  <c r="E33" i="5"/>
  <c r="C33" i="5"/>
  <c r="G11" i="5"/>
  <c r="G10" i="5"/>
  <c r="G9" i="5"/>
  <c r="G8" i="5"/>
  <c r="C21" i="5"/>
  <c r="C20" i="5"/>
  <c r="C19" i="5"/>
  <c r="C18" i="5"/>
  <c r="C17" i="5"/>
  <c r="C16" i="5"/>
  <c r="C15" i="5"/>
  <c r="C14" i="5"/>
  <c r="C13" i="5"/>
  <c r="C12" i="5"/>
  <c r="C22" i="5"/>
  <c r="E21" i="5"/>
  <c r="E20" i="5"/>
  <c r="E19" i="5"/>
  <c r="E18" i="5"/>
  <c r="E17" i="5"/>
  <c r="E16" i="5"/>
  <c r="E15" i="5"/>
  <c r="E14" i="5"/>
  <c r="E13" i="5"/>
  <c r="E12" i="5"/>
  <c r="G21" i="5"/>
  <c r="G20" i="5"/>
  <c r="G19" i="5"/>
  <c r="G18" i="5"/>
  <c r="G17" i="5"/>
  <c r="G16" i="5"/>
  <c r="G15" i="5"/>
  <c r="G14" i="5"/>
  <c r="G13" i="5"/>
  <c r="G12" i="5"/>
  <c r="G22" i="5"/>
  <c r="E22" i="5"/>
  <c r="C30" i="5"/>
  <c r="C29" i="5"/>
  <c r="C28" i="5"/>
  <c r="C27" i="5"/>
  <c r="C26" i="5"/>
  <c r="C25" i="5"/>
  <c r="C24" i="5"/>
  <c r="C23" i="5"/>
  <c r="E30" i="5"/>
  <c r="E29" i="5"/>
  <c r="E28" i="5"/>
  <c r="E27" i="5"/>
  <c r="E26" i="5"/>
  <c r="E25" i="5"/>
  <c r="E24" i="5"/>
  <c r="E23" i="5"/>
  <c r="G30" i="5"/>
  <c r="G29" i="5"/>
  <c r="G28" i="5"/>
  <c r="G27" i="5"/>
  <c r="G26" i="5"/>
  <c r="G25" i="5"/>
  <c r="G24" i="5"/>
  <c r="G23" i="5"/>
  <c r="C31" i="5"/>
  <c r="G31" i="5"/>
  <c r="E31" i="5"/>
  <c r="C32" i="5"/>
  <c r="E32" i="5"/>
  <c r="G32" i="5"/>
  <c r="D33" i="5"/>
  <c r="F12" i="6"/>
  <c r="E12" i="6"/>
  <c r="D12" i="6"/>
  <c r="C12" i="6"/>
  <c r="B12" i="6"/>
  <c r="A12" i="6"/>
  <c r="A8" i="6"/>
  <c r="B8" i="6"/>
  <c r="C8" i="6"/>
  <c r="D8" i="6"/>
  <c r="E8" i="6"/>
  <c r="F8" i="6"/>
  <c r="A9" i="6"/>
  <c r="B9" i="6"/>
  <c r="C9" i="6"/>
  <c r="D9" i="6"/>
  <c r="E9" i="6"/>
  <c r="F9" i="6"/>
  <c r="A10" i="6"/>
  <c r="B10" i="6"/>
  <c r="C10" i="6"/>
  <c r="D10" i="6"/>
  <c r="E10" i="6"/>
  <c r="F10" i="6"/>
  <c r="A11" i="6"/>
  <c r="B11" i="6"/>
  <c r="C11" i="6"/>
  <c r="D11" i="6"/>
  <c r="E11" i="6"/>
  <c r="F11" i="6"/>
  <c r="A13" i="6"/>
  <c r="B13" i="6"/>
  <c r="C13" i="6"/>
  <c r="D13" i="6"/>
  <c r="E13" i="6"/>
  <c r="F13" i="6"/>
  <c r="A14" i="6"/>
  <c r="B14" i="6"/>
  <c r="C14" i="6"/>
  <c r="D14" i="6"/>
  <c r="E14" i="6"/>
  <c r="B7" i="6"/>
  <c r="C7" i="6"/>
  <c r="D7" i="6"/>
  <c r="E7" i="6"/>
  <c r="F7" i="6"/>
  <c r="G7" i="6"/>
  <c r="A7" i="6"/>
  <c r="A15" i="6"/>
  <c r="G8" i="6"/>
  <c r="G11" i="6"/>
  <c r="G10" i="6"/>
  <c r="G9" i="6"/>
  <c r="G12" i="6"/>
  <c r="G13" i="6"/>
  <c r="G14" i="6"/>
  <c r="F14" i="6"/>
  <c r="B8" i="7"/>
  <c r="C8" i="7"/>
  <c r="D8" i="7"/>
  <c r="B9" i="7"/>
  <c r="C9" i="7"/>
  <c r="D9" i="7"/>
  <c r="B10" i="7"/>
  <c r="C10" i="7"/>
  <c r="D10" i="7"/>
  <c r="C7" i="7"/>
  <c r="D7" i="7"/>
  <c r="B7" i="7"/>
  <c r="A13" i="7"/>
  <c r="A2" i="7"/>
  <c r="E7" i="7"/>
  <c r="E8" i="7"/>
  <c r="E9" i="7"/>
  <c r="E10" i="7"/>
  <c r="B12" i="7"/>
  <c r="C12" i="7"/>
  <c r="D12" i="7"/>
  <c r="F10" i="7"/>
  <c r="F9" i="7"/>
  <c r="F8" i="7"/>
  <c r="F7" i="7"/>
  <c r="F12" i="7"/>
  <c r="E12" i="7"/>
  <c r="G11" i="7"/>
  <c r="G7" i="7"/>
  <c r="G8" i="7"/>
  <c r="G9" i="7"/>
  <c r="G10" i="7"/>
  <c r="G12" i="7"/>
  <c r="F12" i="8"/>
  <c r="D12" i="8"/>
  <c r="B12" i="8"/>
  <c r="A12" i="8"/>
  <c r="A8" i="8"/>
  <c r="B8" i="8"/>
  <c r="C8" i="8"/>
  <c r="D8" i="8"/>
  <c r="E8" i="8"/>
  <c r="F8" i="8"/>
  <c r="A9" i="8"/>
  <c r="B9" i="8"/>
  <c r="D9" i="8"/>
  <c r="F9" i="8"/>
  <c r="A10" i="8"/>
  <c r="B10" i="8"/>
  <c r="D10" i="8"/>
  <c r="F10" i="8"/>
  <c r="A11" i="8"/>
  <c r="B11" i="8"/>
  <c r="D11" i="8"/>
  <c r="F11" i="8"/>
  <c r="A13" i="8"/>
  <c r="B13" i="8"/>
  <c r="D13" i="8"/>
  <c r="F13" i="8"/>
  <c r="A14" i="8"/>
  <c r="B7" i="8"/>
  <c r="C7" i="8"/>
  <c r="D7" i="8"/>
  <c r="E7" i="8"/>
  <c r="F7" i="8"/>
  <c r="G7" i="8"/>
  <c r="A7" i="8"/>
  <c r="A15" i="8"/>
  <c r="G8" i="8"/>
  <c r="C9" i="8"/>
  <c r="E9" i="8"/>
  <c r="G9" i="8"/>
  <c r="C10" i="8"/>
  <c r="E10" i="8"/>
  <c r="G10" i="8"/>
  <c r="C11" i="8"/>
  <c r="E11" i="8"/>
  <c r="G11" i="8"/>
  <c r="C12" i="8"/>
  <c r="E12" i="8"/>
  <c r="G12" i="8"/>
  <c r="C13" i="8"/>
  <c r="E13" i="8"/>
  <c r="G13" i="8"/>
  <c r="C14" i="8"/>
  <c r="B14" i="8"/>
  <c r="G14" i="8"/>
  <c r="F14" i="8"/>
  <c r="E14" i="8"/>
  <c r="D14" i="8"/>
  <c r="B8" i="9"/>
  <c r="C8" i="9"/>
  <c r="E8" i="9"/>
  <c r="F8" i="9"/>
  <c r="B9" i="9"/>
  <c r="C9" i="9"/>
  <c r="E9" i="9"/>
  <c r="F9" i="9"/>
  <c r="B10" i="9"/>
  <c r="C10" i="9"/>
  <c r="E10" i="9"/>
  <c r="F10" i="9"/>
  <c r="B11" i="9"/>
  <c r="C11" i="9"/>
  <c r="E11" i="9"/>
  <c r="F11" i="9"/>
  <c r="B12" i="9"/>
  <c r="C12" i="9"/>
  <c r="E12" i="9"/>
  <c r="F12" i="9"/>
  <c r="B13" i="9"/>
  <c r="C13" i="9"/>
  <c r="E13" i="9"/>
  <c r="F13" i="9"/>
  <c r="B14" i="9"/>
  <c r="C14" i="9"/>
  <c r="E14" i="9"/>
  <c r="F14" i="9"/>
  <c r="B15" i="9"/>
  <c r="C15" i="9"/>
  <c r="E15" i="9"/>
  <c r="F15" i="9"/>
  <c r="C7" i="9"/>
  <c r="E7" i="9"/>
  <c r="F7" i="9"/>
  <c r="B7" i="9"/>
  <c r="A17" i="9"/>
  <c r="A2" i="9"/>
  <c r="D8" i="9"/>
  <c r="D9" i="9"/>
  <c r="D10" i="9"/>
  <c r="D11" i="9"/>
  <c r="D12" i="9"/>
  <c r="D13" i="9"/>
  <c r="D14" i="9"/>
  <c r="D15" i="9"/>
  <c r="D7" i="9"/>
  <c r="B16" i="9"/>
  <c r="D16" i="9"/>
  <c r="E16" i="9"/>
  <c r="C16" i="9"/>
  <c r="F16" i="9"/>
  <c r="G7" i="9"/>
  <c r="G15" i="9"/>
  <c r="G14" i="9"/>
  <c r="G13" i="9"/>
  <c r="G12" i="9"/>
  <c r="G11" i="9"/>
  <c r="G9" i="9"/>
  <c r="G8" i="9"/>
  <c r="G10" i="9"/>
  <c r="G16" i="9"/>
  <c r="F12" i="10"/>
  <c r="E12" i="10"/>
  <c r="D12" i="10"/>
  <c r="C12" i="10"/>
  <c r="B12" i="10"/>
  <c r="A12" i="10"/>
  <c r="A8" i="10"/>
  <c r="B8" i="10"/>
  <c r="C8" i="10"/>
  <c r="D8" i="10"/>
  <c r="E8" i="10"/>
  <c r="F8" i="10"/>
  <c r="A9" i="10"/>
  <c r="B9" i="10"/>
  <c r="C9" i="10"/>
  <c r="D9" i="10"/>
  <c r="E9" i="10"/>
  <c r="F9" i="10"/>
  <c r="A10" i="10"/>
  <c r="B10" i="10"/>
  <c r="C10" i="10"/>
  <c r="D10" i="10"/>
  <c r="E10" i="10"/>
  <c r="F10" i="10"/>
  <c r="A11" i="10"/>
  <c r="B11" i="10"/>
  <c r="C11" i="10"/>
  <c r="D11" i="10"/>
  <c r="E11" i="10"/>
  <c r="F11" i="10"/>
  <c r="A13" i="10"/>
  <c r="B13" i="10"/>
  <c r="C13" i="10"/>
  <c r="D13" i="10"/>
  <c r="E13" i="10"/>
  <c r="F13" i="10"/>
  <c r="A14" i="10"/>
  <c r="B7" i="10"/>
  <c r="C7" i="10"/>
  <c r="D7" i="10"/>
  <c r="E7" i="10"/>
  <c r="F7" i="10"/>
  <c r="G7" i="10"/>
  <c r="A7" i="10"/>
  <c r="A15" i="10"/>
  <c r="G8" i="10"/>
  <c r="G9" i="10"/>
  <c r="G10" i="10"/>
  <c r="G11" i="10"/>
  <c r="G12" i="10"/>
  <c r="G13" i="10"/>
  <c r="B14" i="10"/>
  <c r="C14" i="10"/>
  <c r="D14" i="10"/>
  <c r="E14" i="10"/>
  <c r="F14" i="10"/>
  <c r="G14" i="10"/>
  <c r="F12" i="11"/>
  <c r="E12" i="11"/>
  <c r="D12" i="11"/>
  <c r="C12" i="11"/>
  <c r="B12" i="11"/>
  <c r="A12" i="11"/>
  <c r="A8" i="11"/>
  <c r="B8" i="11"/>
  <c r="C8" i="11"/>
  <c r="D8" i="11"/>
  <c r="E8" i="11"/>
  <c r="F8" i="11"/>
  <c r="A9" i="11"/>
  <c r="B9" i="11"/>
  <c r="C9" i="11"/>
  <c r="D9" i="11"/>
  <c r="E9" i="11"/>
  <c r="F9" i="11"/>
  <c r="A10" i="11"/>
  <c r="B10" i="11"/>
  <c r="C10" i="11"/>
  <c r="D10" i="11"/>
  <c r="E10" i="11"/>
  <c r="F10" i="11"/>
  <c r="A11" i="11"/>
  <c r="B11" i="11"/>
  <c r="C11" i="11"/>
  <c r="D11" i="11"/>
  <c r="E11" i="11"/>
  <c r="F11" i="11"/>
  <c r="A13" i="11"/>
  <c r="B13" i="11"/>
  <c r="C13" i="11"/>
  <c r="D13" i="11"/>
  <c r="E13" i="11"/>
  <c r="F13" i="11"/>
  <c r="A14" i="11"/>
  <c r="B7" i="11"/>
  <c r="C7" i="11"/>
  <c r="D7" i="11"/>
  <c r="E7" i="11"/>
  <c r="F7" i="11"/>
  <c r="G7" i="11"/>
  <c r="A7" i="11"/>
  <c r="A15" i="11"/>
  <c r="G8" i="11"/>
  <c r="G9" i="11"/>
  <c r="G10" i="11"/>
  <c r="G11" i="11"/>
  <c r="G13" i="11"/>
  <c r="G12" i="11"/>
  <c r="F14" i="11"/>
  <c r="E14" i="11"/>
  <c r="D14" i="11"/>
  <c r="C14" i="11"/>
  <c r="B14" i="11"/>
  <c r="G14" i="11"/>
  <c r="B8" i="12"/>
  <c r="C8" i="12"/>
  <c r="D8" i="12"/>
  <c r="B9" i="12"/>
  <c r="C9" i="12"/>
  <c r="D9" i="12"/>
  <c r="B10" i="12"/>
  <c r="C10" i="12"/>
  <c r="D10" i="12"/>
  <c r="C7" i="12"/>
  <c r="D7" i="12"/>
  <c r="B7" i="12"/>
  <c r="A12" i="12"/>
  <c r="A2" i="12"/>
  <c r="B11" i="12"/>
  <c r="C11" i="12"/>
  <c r="D11" i="12"/>
  <c r="G7" i="12"/>
  <c r="E7" i="12"/>
  <c r="G11" i="12"/>
  <c r="F7" i="12"/>
  <c r="F11" i="12"/>
  <c r="F10" i="12"/>
  <c r="F9" i="12"/>
  <c r="F8" i="12"/>
  <c r="E11" i="12"/>
  <c r="G8" i="12"/>
  <c r="G9" i="12"/>
  <c r="G10" i="12"/>
  <c r="E10" i="12"/>
  <c r="E9" i="12"/>
  <c r="E8" i="12"/>
  <c r="B8" i="13"/>
  <c r="C8" i="13"/>
  <c r="D8" i="13"/>
  <c r="E8" i="13"/>
  <c r="F8" i="13"/>
  <c r="B9" i="13"/>
  <c r="C9" i="13"/>
  <c r="D9" i="13"/>
  <c r="E9" i="13"/>
  <c r="F9" i="13"/>
  <c r="B10" i="13"/>
  <c r="C10" i="13"/>
  <c r="D10" i="13"/>
  <c r="E10" i="13"/>
  <c r="F10" i="13"/>
  <c r="B11" i="13"/>
  <c r="C11" i="13"/>
  <c r="D11" i="13"/>
  <c r="E11" i="13"/>
  <c r="F11" i="13"/>
  <c r="C7" i="13"/>
  <c r="D7" i="13"/>
  <c r="E7" i="13"/>
  <c r="F7" i="13"/>
  <c r="B7" i="13"/>
  <c r="A12" i="13"/>
  <c r="A2" i="13"/>
  <c r="G7" i="13"/>
  <c r="G8" i="13"/>
  <c r="G9" i="13"/>
  <c r="G10" i="13"/>
  <c r="G11" i="13"/>
  <c r="F12" i="14"/>
  <c r="E12" i="14"/>
  <c r="D12" i="14"/>
  <c r="C12" i="14"/>
  <c r="B12" i="14"/>
  <c r="A12" i="14"/>
  <c r="A8" i="14"/>
  <c r="B8" i="14"/>
  <c r="C8" i="14"/>
  <c r="D8" i="14"/>
  <c r="E8" i="14"/>
  <c r="F8" i="14"/>
  <c r="A9" i="14"/>
  <c r="B9" i="14"/>
  <c r="C9" i="14"/>
  <c r="D9" i="14"/>
  <c r="E9" i="14"/>
  <c r="F9" i="14"/>
  <c r="A10" i="14"/>
  <c r="B10" i="14"/>
  <c r="C10" i="14"/>
  <c r="D10" i="14"/>
  <c r="E10" i="14"/>
  <c r="F10" i="14"/>
  <c r="A11" i="14"/>
  <c r="B11" i="14"/>
  <c r="C11" i="14"/>
  <c r="D11" i="14"/>
  <c r="E11" i="14"/>
  <c r="F11" i="14"/>
  <c r="A13" i="14"/>
  <c r="B13" i="14"/>
  <c r="C13" i="14"/>
  <c r="D13" i="14"/>
  <c r="E13" i="14"/>
  <c r="F13" i="14"/>
  <c r="A14" i="14"/>
  <c r="B14" i="14"/>
  <c r="C14" i="14"/>
  <c r="D14" i="14"/>
  <c r="E14" i="14"/>
  <c r="F14" i="14"/>
  <c r="B7" i="14"/>
  <c r="C7" i="14"/>
  <c r="D7" i="14"/>
  <c r="E7" i="14"/>
  <c r="F7" i="14"/>
  <c r="G7" i="14"/>
  <c r="A7" i="14"/>
  <c r="A15" i="14"/>
  <c r="G8" i="14"/>
  <c r="G9" i="14"/>
  <c r="G10" i="14"/>
  <c r="G11" i="14"/>
  <c r="G13" i="14"/>
  <c r="G12" i="14"/>
  <c r="G14" i="14"/>
  <c r="F9" i="15"/>
  <c r="F7" i="15"/>
  <c r="F10" i="15"/>
  <c r="F11" i="15"/>
  <c r="F12" i="15"/>
  <c r="F13" i="15"/>
  <c r="F14" i="15"/>
  <c r="F8" i="15"/>
  <c r="A8" i="15"/>
  <c r="A9" i="15"/>
  <c r="A10" i="15"/>
  <c r="A11" i="15"/>
  <c r="A12" i="15"/>
  <c r="A13" i="15"/>
  <c r="A14" i="15"/>
  <c r="A7" i="15"/>
  <c r="E12" i="15"/>
  <c r="D12" i="15"/>
  <c r="C12" i="15"/>
  <c r="B12" i="15"/>
  <c r="B8" i="15"/>
  <c r="C8" i="15"/>
  <c r="D8" i="15"/>
  <c r="E8" i="15"/>
  <c r="B9" i="15"/>
  <c r="C9" i="15"/>
  <c r="D9" i="15"/>
  <c r="E9" i="15"/>
  <c r="B10" i="15"/>
  <c r="C10" i="15"/>
  <c r="D10" i="15"/>
  <c r="E10" i="15"/>
  <c r="B11" i="15"/>
  <c r="C11" i="15"/>
  <c r="D11" i="15"/>
  <c r="E11" i="15"/>
  <c r="B13" i="15"/>
  <c r="C13" i="15"/>
  <c r="D13" i="15"/>
  <c r="E13" i="15"/>
  <c r="B7" i="15"/>
  <c r="C7" i="15"/>
  <c r="D7" i="15"/>
  <c r="E7" i="15"/>
  <c r="G7" i="15"/>
  <c r="A15" i="15"/>
  <c r="G8" i="15"/>
  <c r="G9" i="15"/>
  <c r="G10" i="15"/>
  <c r="G13" i="15"/>
  <c r="G11" i="15"/>
  <c r="G12" i="15"/>
  <c r="B14" i="15"/>
  <c r="G14" i="15"/>
  <c r="E14" i="15"/>
  <c r="D14" i="15"/>
  <c r="C14" i="15"/>
  <c r="F12" i="16"/>
  <c r="A12" i="16"/>
  <c r="A15" i="16"/>
  <c r="A8" i="16"/>
  <c r="B8" i="16"/>
  <c r="D8" i="16"/>
  <c r="F8" i="16"/>
  <c r="A9" i="16"/>
  <c r="B9" i="16"/>
  <c r="D9" i="16"/>
  <c r="F9" i="16"/>
  <c r="A10" i="16"/>
  <c r="B10" i="16"/>
  <c r="D10" i="16"/>
  <c r="F10" i="16"/>
  <c r="A11" i="16"/>
  <c r="B11" i="16"/>
  <c r="D11" i="16"/>
  <c r="F11" i="16"/>
  <c r="A13" i="16"/>
  <c r="F13" i="16"/>
  <c r="A14" i="16"/>
  <c r="B7" i="16"/>
  <c r="C7" i="16"/>
  <c r="D7" i="16"/>
  <c r="E7" i="16"/>
  <c r="F7" i="16"/>
  <c r="G7" i="16"/>
  <c r="A7" i="16"/>
  <c r="B13" i="16"/>
  <c r="B12" i="16"/>
  <c r="D12" i="16"/>
  <c r="D13" i="16"/>
  <c r="C8" i="16"/>
  <c r="C9" i="16"/>
  <c r="C10" i="16"/>
  <c r="C11" i="16"/>
  <c r="E8" i="16"/>
  <c r="E9" i="16"/>
  <c r="E10" i="16"/>
  <c r="E11" i="16"/>
  <c r="G8" i="16"/>
  <c r="G9" i="16"/>
  <c r="G10" i="16"/>
  <c r="G11" i="16"/>
  <c r="C13" i="16"/>
  <c r="C12" i="16"/>
  <c r="E12" i="16"/>
  <c r="E13" i="16"/>
  <c r="G13" i="16"/>
  <c r="G12" i="16"/>
  <c r="F14" i="16"/>
  <c r="G14" i="16"/>
  <c r="D14" i="16"/>
  <c r="E14" i="16"/>
  <c r="B14" i="16"/>
  <c r="C14" i="16"/>
  <c r="E19" i="17"/>
  <c r="D19" i="17"/>
  <c r="C19" i="17"/>
  <c r="B19" i="17"/>
  <c r="B8" i="17"/>
  <c r="C8" i="17"/>
  <c r="D8" i="17"/>
  <c r="E8" i="17"/>
  <c r="B9" i="17"/>
  <c r="C9" i="17"/>
  <c r="D9" i="17"/>
  <c r="E9" i="17"/>
  <c r="B10" i="17"/>
  <c r="C10" i="17"/>
  <c r="D10" i="17"/>
  <c r="E10" i="17"/>
  <c r="B11" i="17"/>
  <c r="C11" i="17"/>
  <c r="D11" i="17"/>
  <c r="E11" i="17"/>
  <c r="B12" i="17"/>
  <c r="C12" i="17"/>
  <c r="D12" i="17"/>
  <c r="E12" i="17"/>
  <c r="B13" i="17"/>
  <c r="C13" i="17"/>
  <c r="D13" i="17"/>
  <c r="E13" i="17"/>
  <c r="B14" i="17"/>
  <c r="C14" i="17"/>
  <c r="D14" i="17"/>
  <c r="E14" i="17"/>
  <c r="B15" i="17"/>
  <c r="C15" i="17"/>
  <c r="D15" i="17"/>
  <c r="E15" i="17"/>
  <c r="B16" i="17"/>
  <c r="C16" i="17"/>
  <c r="D16" i="17"/>
  <c r="E16" i="17"/>
  <c r="B17" i="17"/>
  <c r="C17" i="17"/>
  <c r="D17" i="17"/>
  <c r="E17" i="17"/>
  <c r="B18" i="17"/>
  <c r="C18" i="17"/>
  <c r="D18" i="17"/>
  <c r="E18" i="17"/>
  <c r="B20" i="17"/>
  <c r="C20" i="17"/>
  <c r="D20" i="17"/>
  <c r="E20" i="17"/>
  <c r="B21" i="17"/>
  <c r="C21" i="17"/>
  <c r="D21" i="17"/>
  <c r="E21" i="17"/>
  <c r="B22" i="17"/>
  <c r="C22" i="17"/>
  <c r="D22" i="17"/>
  <c r="E22" i="17"/>
  <c r="B23" i="17"/>
  <c r="C23" i="17"/>
  <c r="D23" i="17"/>
  <c r="E23" i="17"/>
  <c r="C7" i="17"/>
  <c r="D7" i="17"/>
  <c r="E7" i="17"/>
  <c r="B7" i="17"/>
  <c r="A24" i="17"/>
  <c r="A2" i="17"/>
  <c r="F19" i="17"/>
  <c r="F8" i="17"/>
  <c r="F9" i="17"/>
  <c r="F10" i="17"/>
  <c r="F11" i="17"/>
  <c r="F12" i="17"/>
  <c r="F13" i="17"/>
  <c r="F14" i="17"/>
  <c r="F15" i="17"/>
  <c r="F16" i="17"/>
  <c r="F17" i="17"/>
  <c r="F18" i="17"/>
  <c r="F20" i="17"/>
  <c r="F21" i="17"/>
  <c r="F22" i="17"/>
  <c r="F7" i="17"/>
  <c r="F23" i="17"/>
  <c r="F12" i="18"/>
  <c r="D12" i="18"/>
  <c r="B12" i="18"/>
  <c r="A12" i="18"/>
  <c r="A8" i="18"/>
  <c r="B8" i="18"/>
  <c r="C8" i="18"/>
  <c r="D8" i="18"/>
  <c r="E8" i="18"/>
  <c r="F8" i="18"/>
  <c r="A9" i="18"/>
  <c r="B9" i="18"/>
  <c r="D9" i="18"/>
  <c r="F9" i="18"/>
  <c r="A10" i="18"/>
  <c r="B10" i="18"/>
  <c r="D10" i="18"/>
  <c r="F10" i="18"/>
  <c r="A11" i="18"/>
  <c r="B11" i="18"/>
  <c r="D11" i="18"/>
  <c r="F11" i="18"/>
  <c r="A13" i="18"/>
  <c r="B13" i="18"/>
  <c r="D13" i="18"/>
  <c r="F13" i="18"/>
  <c r="A14" i="18"/>
  <c r="B7" i="18"/>
  <c r="C7" i="18"/>
  <c r="D7" i="18"/>
  <c r="E7" i="18"/>
  <c r="F7" i="18"/>
  <c r="G7" i="18"/>
  <c r="A7" i="18"/>
  <c r="A15" i="18"/>
  <c r="G8" i="18"/>
  <c r="C9" i="18"/>
  <c r="E9" i="18"/>
  <c r="G9" i="18"/>
  <c r="C10" i="18"/>
  <c r="E10" i="18"/>
  <c r="G10" i="18"/>
  <c r="C11" i="18"/>
  <c r="E11" i="18"/>
  <c r="G11" i="18"/>
  <c r="C12" i="18"/>
  <c r="E12" i="18"/>
  <c r="G12" i="18"/>
  <c r="C13" i="18"/>
  <c r="E13" i="18"/>
  <c r="G13" i="18"/>
  <c r="C14" i="18"/>
  <c r="B14" i="18"/>
  <c r="E14" i="18"/>
  <c r="D14" i="18"/>
  <c r="G14" i="18"/>
  <c r="F14" i="18"/>
  <c r="E19" i="19"/>
  <c r="D19" i="19"/>
  <c r="C19" i="19"/>
  <c r="B19" i="19"/>
  <c r="B8" i="19"/>
  <c r="C8" i="19"/>
  <c r="D8" i="19"/>
  <c r="E8" i="19"/>
  <c r="B9" i="19"/>
  <c r="C9" i="19"/>
  <c r="D9" i="19"/>
  <c r="E9" i="19"/>
  <c r="B10" i="19"/>
  <c r="C10" i="19"/>
  <c r="D10" i="19"/>
  <c r="E10" i="19"/>
  <c r="B11" i="19"/>
  <c r="C11" i="19"/>
  <c r="D11" i="19"/>
  <c r="E11" i="19"/>
  <c r="B12" i="19"/>
  <c r="C12" i="19"/>
  <c r="D12" i="19"/>
  <c r="E12" i="19"/>
  <c r="B13" i="19"/>
  <c r="C13" i="19"/>
  <c r="D13" i="19"/>
  <c r="E13" i="19"/>
  <c r="B14" i="19"/>
  <c r="C14" i="19"/>
  <c r="D14" i="19"/>
  <c r="E14" i="19"/>
  <c r="B15" i="19"/>
  <c r="C15" i="19"/>
  <c r="D15" i="19"/>
  <c r="E15" i="19"/>
  <c r="B16" i="19"/>
  <c r="C16" i="19"/>
  <c r="D16" i="19"/>
  <c r="E16" i="19"/>
  <c r="B17" i="19"/>
  <c r="C17" i="19"/>
  <c r="D17" i="19"/>
  <c r="E17" i="19"/>
  <c r="B18" i="19"/>
  <c r="C18" i="19"/>
  <c r="D18" i="19"/>
  <c r="E18" i="19"/>
  <c r="B20" i="19"/>
  <c r="C20" i="19"/>
  <c r="D20" i="19"/>
  <c r="E20" i="19"/>
  <c r="B21" i="19"/>
  <c r="C21" i="19"/>
  <c r="D21" i="19"/>
  <c r="E21" i="19"/>
  <c r="B22" i="19"/>
  <c r="C22" i="19"/>
  <c r="D22" i="19"/>
  <c r="E22" i="19"/>
  <c r="B23" i="19"/>
  <c r="C23" i="19"/>
  <c r="D23" i="19"/>
  <c r="E23" i="19"/>
  <c r="F23" i="19"/>
  <c r="C7" i="19"/>
  <c r="D7" i="19"/>
  <c r="E7" i="19"/>
  <c r="B7" i="19"/>
  <c r="A24" i="19"/>
  <c r="A2" i="19"/>
  <c r="F7" i="19"/>
  <c r="F18" i="19"/>
  <c r="F17" i="19"/>
  <c r="F16" i="19"/>
  <c r="F15" i="19"/>
  <c r="F14" i="19"/>
  <c r="F13" i="19"/>
  <c r="F12" i="19"/>
  <c r="F11" i="19"/>
  <c r="F10" i="19"/>
  <c r="F9" i="19"/>
  <c r="F8" i="19"/>
  <c r="F20" i="19"/>
  <c r="F21" i="19"/>
  <c r="F22" i="19"/>
  <c r="F19" i="19"/>
  <c r="F12" i="20"/>
  <c r="E12" i="20"/>
  <c r="D12" i="20"/>
  <c r="C12" i="20"/>
  <c r="B12" i="20"/>
  <c r="A12" i="20"/>
  <c r="A8" i="20"/>
  <c r="B8" i="20"/>
  <c r="C8" i="20"/>
  <c r="D8" i="20"/>
  <c r="E8" i="20"/>
  <c r="F8" i="20"/>
  <c r="A9" i="20"/>
  <c r="B9" i="20"/>
  <c r="C9" i="20"/>
  <c r="D9" i="20"/>
  <c r="E9" i="20"/>
  <c r="F9" i="20"/>
  <c r="A10" i="20"/>
  <c r="B10" i="20"/>
  <c r="C10" i="20"/>
  <c r="D10" i="20"/>
  <c r="E10" i="20"/>
  <c r="F10" i="20"/>
  <c r="A11" i="20"/>
  <c r="B11" i="20"/>
  <c r="C11" i="20"/>
  <c r="D11" i="20"/>
  <c r="E11" i="20"/>
  <c r="F11" i="20"/>
  <c r="A13" i="20"/>
  <c r="B13" i="20"/>
  <c r="C13" i="20"/>
  <c r="D13" i="20"/>
  <c r="E13" i="20"/>
  <c r="F13" i="20"/>
  <c r="A14" i="20"/>
  <c r="B7" i="20"/>
  <c r="C7" i="20"/>
  <c r="D7" i="20"/>
  <c r="E7" i="20"/>
  <c r="F7" i="20"/>
  <c r="G7" i="20"/>
  <c r="A7" i="20"/>
  <c r="A15" i="20"/>
  <c r="G8" i="20"/>
  <c r="G9" i="20"/>
  <c r="G10" i="20"/>
  <c r="G11" i="20"/>
  <c r="G13" i="20"/>
  <c r="G12" i="20"/>
  <c r="C14" i="20"/>
  <c r="D14" i="20"/>
  <c r="E14" i="20"/>
  <c r="F14" i="20"/>
  <c r="B14" i="20"/>
  <c r="G14" i="20"/>
  <c r="F12" i="21"/>
  <c r="E12" i="21"/>
  <c r="D12" i="21"/>
  <c r="C12" i="21"/>
  <c r="B12" i="21"/>
  <c r="A12" i="21"/>
  <c r="A8" i="21"/>
  <c r="B8" i="21"/>
  <c r="C8" i="21"/>
  <c r="D8" i="21"/>
  <c r="E8" i="21"/>
  <c r="F8" i="21"/>
  <c r="A9" i="21"/>
  <c r="B9" i="21"/>
  <c r="C9" i="21"/>
  <c r="D9" i="21"/>
  <c r="E9" i="21"/>
  <c r="F9" i="21"/>
  <c r="A10" i="21"/>
  <c r="B10" i="21"/>
  <c r="C10" i="21"/>
  <c r="D10" i="21"/>
  <c r="E10" i="21"/>
  <c r="F10" i="21"/>
  <c r="A11" i="21"/>
  <c r="B11" i="21"/>
  <c r="C11" i="21"/>
  <c r="D11" i="21"/>
  <c r="E11" i="21"/>
  <c r="F11" i="21"/>
  <c r="A13" i="21"/>
  <c r="B13" i="21"/>
  <c r="C13" i="21"/>
  <c r="D13" i="21"/>
  <c r="E13" i="21"/>
  <c r="F13" i="21"/>
  <c r="A14" i="21"/>
  <c r="B7" i="21"/>
  <c r="C7" i="21"/>
  <c r="D7" i="21"/>
  <c r="E7" i="21"/>
  <c r="F7" i="21"/>
  <c r="G7" i="21"/>
  <c r="A7" i="21"/>
  <c r="A15" i="21"/>
  <c r="G8" i="21"/>
  <c r="G9" i="21"/>
  <c r="G10" i="21"/>
  <c r="G11" i="21"/>
  <c r="G13" i="21"/>
  <c r="G12" i="21"/>
  <c r="B14" i="21"/>
  <c r="G14" i="21"/>
  <c r="F14" i="21"/>
  <c r="E14" i="21"/>
  <c r="D14" i="21"/>
  <c r="C14" i="21"/>
  <c r="F12" i="22"/>
  <c r="E12" i="22"/>
  <c r="D12" i="22"/>
  <c r="C12" i="22"/>
  <c r="B12" i="22"/>
  <c r="A12" i="22"/>
  <c r="A8" i="22"/>
  <c r="B8" i="22"/>
  <c r="C8" i="22"/>
  <c r="D8" i="22"/>
  <c r="E8" i="22"/>
  <c r="F8" i="22"/>
  <c r="A9" i="22"/>
  <c r="B9" i="22"/>
  <c r="C9" i="22"/>
  <c r="D9" i="22"/>
  <c r="E9" i="22"/>
  <c r="F9" i="22"/>
  <c r="A10" i="22"/>
  <c r="B10" i="22"/>
  <c r="C10" i="22"/>
  <c r="D10" i="22"/>
  <c r="E10" i="22"/>
  <c r="F10" i="22"/>
  <c r="A11" i="22"/>
  <c r="B11" i="22"/>
  <c r="C11" i="22"/>
  <c r="D11" i="22"/>
  <c r="E11" i="22"/>
  <c r="F11" i="22"/>
  <c r="A13" i="22"/>
  <c r="B13" i="22"/>
  <c r="C13" i="22"/>
  <c r="D13" i="22"/>
  <c r="E13" i="22"/>
  <c r="F13" i="22"/>
  <c r="A14" i="22"/>
  <c r="B7" i="22"/>
  <c r="C7" i="22"/>
  <c r="D7" i="22"/>
  <c r="E7" i="22"/>
  <c r="F7" i="22"/>
  <c r="G7" i="22"/>
  <c r="A7" i="22"/>
  <c r="A15" i="22"/>
  <c r="G8" i="22"/>
  <c r="G9" i="22"/>
  <c r="G10" i="22"/>
  <c r="G11" i="22"/>
  <c r="G13" i="22"/>
  <c r="G12" i="22"/>
  <c r="B14" i="22"/>
  <c r="C14" i="22"/>
  <c r="D14" i="22"/>
  <c r="F14" i="22"/>
  <c r="G14" i="22"/>
  <c r="E14" i="22"/>
  <c r="F12" i="23"/>
  <c r="E12" i="23"/>
  <c r="D12" i="23"/>
  <c r="C12" i="23"/>
  <c r="B12" i="23"/>
  <c r="A12" i="23"/>
  <c r="A8" i="23"/>
  <c r="B8" i="23"/>
  <c r="C8" i="23"/>
  <c r="D8" i="23"/>
  <c r="E8" i="23"/>
  <c r="F8" i="23"/>
  <c r="A9" i="23"/>
  <c r="B9" i="23"/>
  <c r="C9" i="23"/>
  <c r="D9" i="23"/>
  <c r="E9" i="23"/>
  <c r="F9" i="23"/>
  <c r="A10" i="23"/>
  <c r="B10" i="23"/>
  <c r="C10" i="23"/>
  <c r="D10" i="23"/>
  <c r="E10" i="23"/>
  <c r="F10" i="23"/>
  <c r="A11" i="23"/>
  <c r="B11" i="23"/>
  <c r="C11" i="23"/>
  <c r="D11" i="23"/>
  <c r="E11" i="23"/>
  <c r="F11" i="23"/>
  <c r="A13" i="23"/>
  <c r="B13" i="23"/>
  <c r="C13" i="23"/>
  <c r="D13" i="23"/>
  <c r="E13" i="23"/>
  <c r="F13" i="23"/>
  <c r="A14" i="23"/>
  <c r="B7" i="23"/>
  <c r="C7" i="23"/>
  <c r="D7" i="23"/>
  <c r="E7" i="23"/>
  <c r="F7" i="23"/>
  <c r="G7" i="23"/>
  <c r="A7" i="23"/>
  <c r="A15" i="23"/>
  <c r="G8" i="23"/>
  <c r="G9" i="23"/>
  <c r="G10" i="23"/>
  <c r="G11" i="23"/>
  <c r="G13" i="23"/>
  <c r="G12" i="23"/>
  <c r="B14" i="23"/>
  <c r="C14" i="23"/>
  <c r="D14" i="23"/>
  <c r="E14" i="23"/>
  <c r="F14" i="23"/>
  <c r="G14" i="23"/>
  <c r="H12" i="24"/>
  <c r="G12" i="24"/>
  <c r="F12" i="24"/>
  <c r="E12" i="24"/>
  <c r="D12" i="24"/>
  <c r="C12" i="24"/>
  <c r="B12" i="24"/>
  <c r="A12" i="24"/>
  <c r="H13" i="24"/>
  <c r="H11" i="24"/>
  <c r="H10" i="24"/>
  <c r="H9" i="24"/>
  <c r="H8" i="24"/>
  <c r="H7" i="24"/>
  <c r="A8" i="24"/>
  <c r="B8" i="24"/>
  <c r="C8" i="24"/>
  <c r="D8" i="24"/>
  <c r="E8" i="24"/>
  <c r="F8" i="24"/>
  <c r="A9" i="24"/>
  <c r="B9" i="24"/>
  <c r="C9" i="24"/>
  <c r="D9" i="24"/>
  <c r="E9" i="24"/>
  <c r="F9" i="24"/>
  <c r="A10" i="24"/>
  <c r="B10" i="24"/>
  <c r="C10" i="24"/>
  <c r="D10" i="24"/>
  <c r="E10" i="24"/>
  <c r="F10" i="24"/>
  <c r="A11" i="24"/>
  <c r="B11" i="24"/>
  <c r="C11" i="24"/>
  <c r="D11" i="24"/>
  <c r="E11" i="24"/>
  <c r="F11" i="24"/>
  <c r="A13" i="24"/>
  <c r="B13" i="24"/>
  <c r="C13" i="24"/>
  <c r="D13" i="24"/>
  <c r="E13" i="24"/>
  <c r="F13" i="24"/>
  <c r="A14" i="24"/>
  <c r="B7" i="24"/>
  <c r="C7" i="24"/>
  <c r="D7" i="24"/>
  <c r="E7" i="24"/>
  <c r="F7" i="24"/>
  <c r="A7" i="24"/>
  <c r="A15" i="24"/>
  <c r="G7" i="24"/>
  <c r="G11" i="24"/>
  <c r="G10" i="24"/>
  <c r="G9" i="24"/>
  <c r="G8" i="24"/>
  <c r="G13" i="24"/>
  <c r="B14" i="24"/>
  <c r="C14" i="24"/>
  <c r="D14" i="24"/>
  <c r="F14" i="24"/>
  <c r="E14" i="24"/>
  <c r="G14" i="24"/>
  <c r="H14" i="24"/>
  <c r="F12" i="25"/>
  <c r="E12" i="25"/>
  <c r="D12" i="25"/>
  <c r="C12" i="25"/>
  <c r="B12" i="25"/>
  <c r="A12" i="25"/>
  <c r="A8" i="25"/>
  <c r="B8" i="25"/>
  <c r="C8" i="25"/>
  <c r="D8" i="25"/>
  <c r="E8" i="25"/>
  <c r="F8" i="25"/>
  <c r="A9" i="25"/>
  <c r="B9" i="25"/>
  <c r="C9" i="25"/>
  <c r="D9" i="25"/>
  <c r="E9" i="25"/>
  <c r="F9" i="25"/>
  <c r="A10" i="25"/>
  <c r="B10" i="25"/>
  <c r="C10" i="25"/>
  <c r="D10" i="25"/>
  <c r="E10" i="25"/>
  <c r="F10" i="25"/>
  <c r="A11" i="25"/>
  <c r="B11" i="25"/>
  <c r="C11" i="25"/>
  <c r="D11" i="25"/>
  <c r="E11" i="25"/>
  <c r="F11" i="25"/>
  <c r="A13" i="25"/>
  <c r="B13" i="25"/>
  <c r="C13" i="25"/>
  <c r="D13" i="25"/>
  <c r="E13" i="25"/>
  <c r="F13" i="25"/>
  <c r="A14" i="25"/>
  <c r="B7" i="25"/>
  <c r="C7" i="25"/>
  <c r="D7" i="25"/>
  <c r="E7" i="25"/>
  <c r="F7" i="25"/>
  <c r="G7" i="25"/>
  <c r="A7" i="25"/>
  <c r="A15" i="25"/>
  <c r="G8" i="25"/>
  <c r="G9" i="25"/>
  <c r="G10" i="25"/>
  <c r="G11" i="25"/>
  <c r="B14" i="25"/>
  <c r="G14" i="25"/>
  <c r="F14" i="25"/>
  <c r="E14" i="25"/>
  <c r="D14" i="25"/>
  <c r="C14" i="25"/>
  <c r="G13" i="25"/>
  <c r="G12" i="25"/>
  <c r="F12" i="26"/>
  <c r="E12" i="26"/>
  <c r="D12" i="26"/>
  <c r="C12" i="26"/>
  <c r="B12" i="26"/>
  <c r="A12" i="26"/>
  <c r="A8" i="26"/>
  <c r="B8" i="26"/>
  <c r="C8" i="26"/>
  <c r="D8" i="26"/>
  <c r="E8" i="26"/>
  <c r="F8" i="26"/>
  <c r="A9" i="26"/>
  <c r="B9" i="26"/>
  <c r="C9" i="26"/>
  <c r="D9" i="26"/>
  <c r="E9" i="26"/>
  <c r="F9" i="26"/>
  <c r="A10" i="26"/>
  <c r="B10" i="26"/>
  <c r="C10" i="26"/>
  <c r="D10" i="26"/>
  <c r="E10" i="26"/>
  <c r="F10" i="26"/>
  <c r="A11" i="26"/>
  <c r="B11" i="26"/>
  <c r="C11" i="26"/>
  <c r="D11" i="26"/>
  <c r="E11" i="26"/>
  <c r="F11" i="26"/>
  <c r="A13" i="26"/>
  <c r="B13" i="26"/>
  <c r="C13" i="26"/>
  <c r="D13" i="26"/>
  <c r="E13" i="26"/>
  <c r="F13" i="26"/>
  <c r="A14" i="26"/>
  <c r="B7" i="26"/>
  <c r="C7" i="26"/>
  <c r="D7" i="26"/>
  <c r="E7" i="26"/>
  <c r="F7" i="26"/>
  <c r="A7" i="26"/>
  <c r="A15" i="26"/>
  <c r="B14" i="26"/>
  <c r="C14" i="26"/>
  <c r="D14" i="26"/>
  <c r="E14" i="26"/>
  <c r="F14" i="26"/>
  <c r="F12" i="27"/>
  <c r="E12" i="27"/>
  <c r="D12" i="27"/>
  <c r="C12" i="27"/>
  <c r="B12" i="27"/>
  <c r="A12" i="27"/>
  <c r="A8" i="27"/>
  <c r="B8" i="27"/>
  <c r="C8" i="27"/>
  <c r="D8" i="27"/>
  <c r="E8" i="27"/>
  <c r="F8" i="27"/>
  <c r="A9" i="27"/>
  <c r="B9" i="27"/>
  <c r="C9" i="27"/>
  <c r="D9" i="27"/>
  <c r="E9" i="27"/>
  <c r="F9" i="27"/>
  <c r="A10" i="27"/>
  <c r="B10" i="27"/>
  <c r="C10" i="27"/>
  <c r="D10" i="27"/>
  <c r="E10" i="27"/>
  <c r="F10" i="27"/>
  <c r="A11" i="27"/>
  <c r="B11" i="27"/>
  <c r="C11" i="27"/>
  <c r="D11" i="27"/>
  <c r="E11" i="27"/>
  <c r="F11" i="27"/>
  <c r="A13" i="27"/>
  <c r="B13" i="27"/>
  <c r="C13" i="27"/>
  <c r="D13" i="27"/>
  <c r="E13" i="27"/>
  <c r="F13" i="27"/>
  <c r="A14" i="27"/>
  <c r="B7" i="27"/>
  <c r="C7" i="27"/>
  <c r="D7" i="27"/>
  <c r="E7" i="27"/>
  <c r="F7" i="27"/>
  <c r="A7" i="27"/>
  <c r="A15" i="27"/>
  <c r="B14" i="27"/>
  <c r="E14" i="27"/>
  <c r="D14" i="27"/>
  <c r="C14" i="27"/>
  <c r="F14" i="27"/>
  <c r="A2" i="28"/>
  <c r="C6" i="28"/>
  <c r="D6" i="28"/>
  <c r="E6" i="28"/>
  <c r="C7" i="28"/>
  <c r="D7" i="28"/>
  <c r="E7" i="28"/>
  <c r="C8" i="28"/>
  <c r="D8" i="28"/>
  <c r="E8" i="28"/>
  <c r="C9" i="28"/>
  <c r="D9" i="28"/>
  <c r="E9" i="28"/>
  <c r="C10" i="28"/>
  <c r="D10" i="28"/>
  <c r="E10" i="28"/>
  <c r="C11" i="28"/>
  <c r="D11" i="28"/>
  <c r="E11" i="28"/>
  <c r="C12" i="28"/>
  <c r="D12" i="28"/>
  <c r="E12" i="28"/>
  <c r="C13" i="28"/>
  <c r="D13" i="28"/>
  <c r="E13" i="28"/>
  <c r="C14" i="28"/>
  <c r="D14" i="28"/>
  <c r="E14" i="28"/>
  <c r="C15" i="28"/>
  <c r="D15" i="28"/>
  <c r="E15" i="28"/>
  <c r="C16" i="28"/>
  <c r="D16" i="28"/>
  <c r="E16" i="28"/>
  <c r="C17" i="28"/>
  <c r="D17" i="28"/>
  <c r="E17" i="28"/>
  <c r="C18" i="28"/>
  <c r="D18" i="28"/>
  <c r="E18" i="28"/>
  <c r="C19" i="28"/>
  <c r="D19" i="28"/>
  <c r="E19" i="28"/>
  <c r="C20" i="28"/>
  <c r="D20" i="28"/>
  <c r="E20" i="28"/>
  <c r="C21" i="28"/>
  <c r="D21" i="28"/>
  <c r="E21" i="28"/>
  <c r="C22" i="28"/>
  <c r="D22" i="28"/>
  <c r="E22" i="28"/>
  <c r="C23" i="28"/>
  <c r="D23" i="28"/>
  <c r="E23" i="28"/>
  <c r="C24" i="28"/>
  <c r="D24" i="28"/>
  <c r="E24" i="28"/>
  <c r="C25" i="28"/>
  <c r="D25" i="28"/>
  <c r="E25" i="28"/>
  <c r="C26" i="28"/>
  <c r="D26" i="28"/>
  <c r="E26" i="28"/>
  <c r="C27" i="28"/>
  <c r="D27" i="28"/>
  <c r="E27" i="28"/>
  <c r="C28" i="28"/>
  <c r="D28" i="28"/>
  <c r="E28" i="28"/>
  <c r="C29" i="28"/>
  <c r="D29" i="28"/>
  <c r="E29" i="28"/>
  <c r="C30" i="28"/>
  <c r="D30" i="28"/>
  <c r="E30" i="28"/>
  <c r="D5" i="28"/>
  <c r="E5" i="28"/>
  <c r="C5" i="28"/>
  <c r="A31" i="28"/>
  <c r="C6" i="29"/>
  <c r="D6" i="29"/>
  <c r="E6" i="29"/>
  <c r="C7" i="29"/>
  <c r="D7" i="29"/>
  <c r="E7" i="29"/>
  <c r="C8" i="29"/>
  <c r="D8" i="29"/>
  <c r="E8" i="29"/>
  <c r="C9" i="29"/>
  <c r="D9" i="29"/>
  <c r="E9" i="29"/>
  <c r="C10" i="29"/>
  <c r="D10" i="29"/>
  <c r="E10" i="29"/>
  <c r="C11" i="29"/>
  <c r="D11" i="29"/>
  <c r="E11" i="29"/>
  <c r="C12" i="29"/>
  <c r="D12" i="29"/>
  <c r="E12" i="29"/>
  <c r="C13" i="29"/>
  <c r="D13" i="29"/>
  <c r="E13" i="29"/>
  <c r="C14" i="29"/>
  <c r="D14" i="29"/>
  <c r="E14" i="29"/>
  <c r="C15" i="29"/>
  <c r="D15" i="29"/>
  <c r="E15" i="29"/>
  <c r="C16" i="29"/>
  <c r="D16" i="29"/>
  <c r="E16" i="29"/>
  <c r="C17" i="29"/>
  <c r="D17" i="29"/>
  <c r="E17" i="29"/>
  <c r="C18" i="29"/>
  <c r="D18" i="29"/>
  <c r="E18" i="29"/>
  <c r="C19" i="29"/>
  <c r="D19" i="29"/>
  <c r="E19" i="29"/>
  <c r="C20" i="29"/>
  <c r="D20" i="29"/>
  <c r="E20" i="29"/>
  <c r="C21" i="29"/>
  <c r="D21" i="29"/>
  <c r="E21" i="29"/>
  <c r="C22" i="29"/>
  <c r="D22" i="29"/>
  <c r="E22" i="29"/>
  <c r="C23" i="29"/>
  <c r="D23" i="29"/>
  <c r="E23" i="29"/>
  <c r="C24" i="29"/>
  <c r="D24" i="29"/>
  <c r="E24" i="29"/>
  <c r="C25" i="29"/>
  <c r="D25" i="29"/>
  <c r="E25" i="29"/>
  <c r="C26" i="29"/>
  <c r="D26" i="29"/>
  <c r="E26" i="29"/>
  <c r="C27" i="29"/>
  <c r="D27" i="29"/>
  <c r="E27" i="29"/>
  <c r="C28" i="29"/>
  <c r="D28" i="29"/>
  <c r="E28" i="29"/>
  <c r="C29" i="29"/>
  <c r="D29" i="29"/>
  <c r="E29" i="29"/>
  <c r="C30" i="29"/>
  <c r="D30" i="29"/>
  <c r="E30" i="29"/>
  <c r="D5" i="29"/>
  <c r="E5" i="29"/>
  <c r="C5" i="29"/>
  <c r="A31" i="29"/>
  <c r="A2" i="29"/>
  <c r="C6" i="30"/>
  <c r="D6" i="30"/>
  <c r="E6" i="30"/>
  <c r="C7" i="30"/>
  <c r="D7" i="30"/>
  <c r="E7" i="30"/>
  <c r="C8" i="30"/>
  <c r="D8" i="30"/>
  <c r="E8" i="30"/>
  <c r="C9" i="30"/>
  <c r="D9" i="30"/>
  <c r="E9" i="30"/>
  <c r="C10" i="30"/>
  <c r="D10" i="30"/>
  <c r="E10" i="30"/>
  <c r="C11" i="30"/>
  <c r="D11" i="30"/>
  <c r="E11" i="30"/>
  <c r="C12" i="30"/>
  <c r="D12" i="30"/>
  <c r="E12" i="30"/>
  <c r="C13" i="30"/>
  <c r="D13" i="30"/>
  <c r="E13" i="30"/>
  <c r="C14" i="30"/>
  <c r="D14" i="30"/>
  <c r="E14" i="30"/>
  <c r="C15" i="30"/>
  <c r="D15" i="30"/>
  <c r="E15" i="30"/>
  <c r="C16" i="30"/>
  <c r="D16" i="30"/>
  <c r="E16" i="30"/>
  <c r="C17" i="30"/>
  <c r="D17" i="30"/>
  <c r="E17" i="30"/>
  <c r="C18" i="30"/>
  <c r="D18" i="30"/>
  <c r="E18" i="30"/>
  <c r="C19" i="30"/>
  <c r="D19" i="30"/>
  <c r="E19" i="30"/>
  <c r="C20" i="30"/>
  <c r="D20" i="30"/>
  <c r="E20" i="30"/>
  <c r="C21" i="30"/>
  <c r="D21" i="30"/>
  <c r="E21" i="30"/>
  <c r="C22" i="30"/>
  <c r="D22" i="30"/>
  <c r="E22" i="30"/>
  <c r="C23" i="30"/>
  <c r="D23" i="30"/>
  <c r="E23" i="30"/>
  <c r="C24" i="30"/>
  <c r="D24" i="30"/>
  <c r="E24" i="30"/>
  <c r="C25" i="30"/>
  <c r="D25" i="30"/>
  <c r="E25" i="30"/>
  <c r="C26" i="30"/>
  <c r="D26" i="30"/>
  <c r="E26" i="30"/>
  <c r="C27" i="30"/>
  <c r="D27" i="30"/>
  <c r="E27" i="30"/>
  <c r="C28" i="30"/>
  <c r="D28" i="30"/>
  <c r="E28" i="30"/>
  <c r="C29" i="30"/>
  <c r="D29" i="30"/>
  <c r="E29" i="30"/>
  <c r="C30" i="30"/>
  <c r="D30" i="30"/>
  <c r="E30" i="30"/>
  <c r="D5" i="30"/>
  <c r="E5" i="30"/>
  <c r="C5" i="30"/>
  <c r="A31" i="30"/>
  <c r="A2" i="30"/>
  <c r="C6" i="31"/>
  <c r="D6" i="31"/>
  <c r="E6" i="31"/>
  <c r="C7" i="31"/>
  <c r="D7" i="31"/>
  <c r="E7" i="31"/>
  <c r="C8" i="31"/>
  <c r="D8" i="31"/>
  <c r="E8" i="31"/>
  <c r="C9" i="31"/>
  <c r="D9" i="31"/>
  <c r="E9" i="31"/>
  <c r="C10" i="31"/>
  <c r="D10" i="31"/>
  <c r="E10" i="31"/>
  <c r="C11" i="31"/>
  <c r="D11" i="31"/>
  <c r="E11" i="31"/>
  <c r="C12" i="31"/>
  <c r="D12" i="31"/>
  <c r="E12" i="31"/>
  <c r="C13" i="31"/>
  <c r="D13" i="31"/>
  <c r="E13" i="31"/>
  <c r="C14" i="31"/>
  <c r="D14" i="31"/>
  <c r="E14" i="31"/>
  <c r="C15" i="31"/>
  <c r="D15" i="31"/>
  <c r="E15" i="31"/>
  <c r="C16" i="31"/>
  <c r="D16" i="31"/>
  <c r="E16" i="31"/>
  <c r="C17" i="31"/>
  <c r="D17" i="31"/>
  <c r="E17" i="31"/>
  <c r="C18" i="31"/>
  <c r="D18" i="31"/>
  <c r="E18" i="31"/>
  <c r="C19" i="31"/>
  <c r="D19" i="31"/>
  <c r="E19" i="31"/>
  <c r="C20" i="31"/>
  <c r="D20" i="31"/>
  <c r="E20" i="31"/>
  <c r="C21" i="31"/>
  <c r="D21" i="31"/>
  <c r="E21" i="31"/>
  <c r="C22" i="31"/>
  <c r="D22" i="31"/>
  <c r="E22" i="31"/>
  <c r="C23" i="31"/>
  <c r="D23" i="31"/>
  <c r="E23" i="31"/>
  <c r="C24" i="31"/>
  <c r="D24" i="31"/>
  <c r="E24" i="31"/>
  <c r="C25" i="31"/>
  <c r="D25" i="31"/>
  <c r="E25" i="31"/>
  <c r="C26" i="31"/>
  <c r="D26" i="31"/>
  <c r="E26" i="31"/>
  <c r="C27" i="31"/>
  <c r="D27" i="31"/>
  <c r="E27" i="31"/>
  <c r="C28" i="31"/>
  <c r="D28" i="31"/>
  <c r="E28" i="31"/>
  <c r="C29" i="31"/>
  <c r="D29" i="31"/>
  <c r="E29" i="31"/>
  <c r="C30" i="31"/>
  <c r="D30" i="31"/>
  <c r="E30" i="31"/>
  <c r="D5" i="31"/>
  <c r="E5" i="31"/>
  <c r="C5" i="31"/>
  <c r="A31" i="31"/>
  <c r="A2" i="31"/>
  <c r="C6" i="32"/>
  <c r="D6" i="32"/>
  <c r="E6" i="32"/>
  <c r="C7" i="32"/>
  <c r="D7" i="32"/>
  <c r="E7" i="32"/>
  <c r="C8" i="32"/>
  <c r="D8" i="32"/>
  <c r="E8" i="32"/>
  <c r="C9" i="32"/>
  <c r="D9" i="32"/>
  <c r="E9" i="32"/>
  <c r="C10" i="32"/>
  <c r="D10" i="32"/>
  <c r="E10" i="32"/>
  <c r="C11" i="32"/>
  <c r="D11" i="32"/>
  <c r="E11" i="32"/>
  <c r="C12" i="32"/>
  <c r="D12" i="32"/>
  <c r="E12" i="32"/>
  <c r="C13" i="32"/>
  <c r="D13" i="32"/>
  <c r="E13" i="32"/>
  <c r="C14" i="32"/>
  <c r="D14" i="32"/>
  <c r="E14" i="32"/>
  <c r="C15" i="32"/>
  <c r="D15" i="32"/>
  <c r="E15" i="32"/>
  <c r="C16" i="32"/>
  <c r="D16" i="32"/>
  <c r="E16" i="32"/>
  <c r="C17" i="32"/>
  <c r="D17" i="32"/>
  <c r="E17" i="32"/>
  <c r="C18" i="32"/>
  <c r="D18" i="32"/>
  <c r="E18" i="32"/>
  <c r="C19" i="32"/>
  <c r="D19" i="32"/>
  <c r="E19" i="32"/>
  <c r="C20" i="32"/>
  <c r="D20" i="32"/>
  <c r="E20" i="32"/>
  <c r="C21" i="32"/>
  <c r="D21" i="32"/>
  <c r="E21" i="32"/>
  <c r="C22" i="32"/>
  <c r="D22" i="32"/>
  <c r="E22" i="32"/>
  <c r="C23" i="32"/>
  <c r="D23" i="32"/>
  <c r="E23" i="32"/>
  <c r="C24" i="32"/>
  <c r="D24" i="32"/>
  <c r="E24" i="32"/>
  <c r="C25" i="32"/>
  <c r="D25" i="32"/>
  <c r="E25" i="32"/>
  <c r="C26" i="32"/>
  <c r="D26" i="32"/>
  <c r="E26" i="32"/>
  <c r="C27" i="32"/>
  <c r="D27" i="32"/>
  <c r="E27" i="32"/>
  <c r="C28" i="32"/>
  <c r="D28" i="32"/>
  <c r="E28" i="32"/>
  <c r="C29" i="32"/>
  <c r="D29" i="32"/>
  <c r="E29" i="32"/>
  <c r="C30" i="32"/>
  <c r="D30" i="32"/>
  <c r="E30" i="32"/>
  <c r="D5" i="32"/>
  <c r="E5" i="32"/>
  <c r="C5" i="32"/>
  <c r="A31" i="32"/>
  <c r="A2" i="32"/>
  <c r="F12" i="33"/>
  <c r="D12" i="33"/>
  <c r="B12" i="33"/>
  <c r="A12" i="33"/>
  <c r="A8" i="33"/>
  <c r="B8" i="33"/>
  <c r="C8" i="33"/>
  <c r="D8" i="33"/>
  <c r="E8" i="33"/>
  <c r="F8" i="33"/>
  <c r="G8" i="33"/>
  <c r="A9" i="33"/>
  <c r="B9" i="33"/>
  <c r="C9" i="33"/>
  <c r="D9" i="33"/>
  <c r="E9" i="33"/>
  <c r="G9" i="33"/>
  <c r="A10" i="33"/>
  <c r="B10" i="33"/>
  <c r="D10" i="33"/>
  <c r="A11" i="33"/>
  <c r="B11" i="33"/>
  <c r="D11" i="33"/>
  <c r="A13" i="33"/>
  <c r="B13" i="33"/>
  <c r="D13" i="33"/>
  <c r="A14" i="33"/>
  <c r="B14" i="33"/>
  <c r="B7" i="33"/>
  <c r="C7" i="33"/>
  <c r="D7" i="33"/>
  <c r="E7" i="33"/>
  <c r="F7" i="33"/>
  <c r="G7" i="33"/>
  <c r="A7" i="33"/>
  <c r="A15" i="33"/>
  <c r="F9" i="33"/>
  <c r="F13" i="33"/>
  <c r="F11" i="33"/>
  <c r="F10" i="33"/>
  <c r="C10" i="33"/>
  <c r="E10" i="33"/>
  <c r="G10" i="33"/>
  <c r="G11" i="33"/>
  <c r="C11" i="33"/>
  <c r="E11" i="33"/>
  <c r="C13" i="33"/>
  <c r="C12" i="33"/>
  <c r="E13" i="33"/>
  <c r="E12" i="33"/>
  <c r="G12" i="33"/>
  <c r="G13" i="33"/>
  <c r="C14" i="33"/>
  <c r="G14" i="33"/>
  <c r="F14" i="33"/>
  <c r="D14" i="33"/>
  <c r="E14" i="33"/>
  <c r="F12" i="34"/>
  <c r="D12" i="34"/>
  <c r="B12" i="34"/>
  <c r="A12" i="34"/>
  <c r="A8" i="34"/>
  <c r="B8" i="34"/>
  <c r="C8" i="34"/>
  <c r="D8" i="34"/>
  <c r="E8" i="34"/>
  <c r="F8" i="34"/>
  <c r="G8" i="34"/>
  <c r="A9" i="34"/>
  <c r="B9" i="34"/>
  <c r="C9" i="34"/>
  <c r="D9" i="34"/>
  <c r="E9" i="34"/>
  <c r="G9" i="34"/>
  <c r="A10" i="34"/>
  <c r="B10" i="34"/>
  <c r="D10" i="34"/>
  <c r="A11" i="34"/>
  <c r="B11" i="34"/>
  <c r="D11" i="34"/>
  <c r="A13" i="34"/>
  <c r="B13" i="34"/>
  <c r="D13" i="34"/>
  <c r="A14" i="34"/>
  <c r="B14" i="34"/>
  <c r="B7" i="34"/>
  <c r="C7" i="34"/>
  <c r="D7" i="34"/>
  <c r="E7" i="34"/>
  <c r="F7" i="34"/>
  <c r="G7" i="34"/>
  <c r="A7" i="34"/>
  <c r="A15" i="34"/>
  <c r="F9" i="34"/>
  <c r="F13" i="34"/>
  <c r="F11" i="34"/>
  <c r="F10" i="34"/>
  <c r="C10" i="34"/>
  <c r="E10" i="34"/>
  <c r="G10" i="34"/>
  <c r="G11" i="34"/>
  <c r="C11" i="34"/>
  <c r="E11" i="34"/>
  <c r="C13" i="34"/>
  <c r="C12" i="34"/>
  <c r="E13" i="34"/>
  <c r="E12" i="34"/>
  <c r="G12" i="34"/>
  <c r="G13" i="34"/>
  <c r="C14" i="34"/>
  <c r="F14" i="34"/>
  <c r="G14" i="34"/>
  <c r="E14" i="34"/>
  <c r="D14" i="34"/>
  <c r="A12" i="35"/>
  <c r="A8" i="35"/>
  <c r="A9" i="35"/>
  <c r="A10" i="35"/>
  <c r="A11" i="35"/>
  <c r="A13" i="35"/>
  <c r="A14" i="35"/>
  <c r="A7" i="35"/>
  <c r="A15" i="35"/>
  <c r="F12" i="35"/>
  <c r="E12" i="35"/>
  <c r="D12" i="35"/>
  <c r="C12" i="35"/>
  <c r="B12" i="35"/>
  <c r="F14" i="35"/>
  <c r="E14" i="35"/>
  <c r="D14" i="35"/>
  <c r="C14" i="35"/>
  <c r="B14" i="35"/>
  <c r="F13" i="35"/>
  <c r="E13" i="35"/>
  <c r="D13" i="35"/>
  <c r="C13" i="35"/>
  <c r="B13" i="35"/>
  <c r="B8" i="35"/>
  <c r="C8" i="35"/>
  <c r="D8" i="35"/>
  <c r="E8" i="35"/>
  <c r="F8" i="35"/>
  <c r="B9" i="35"/>
  <c r="C9" i="35"/>
  <c r="D9" i="35"/>
  <c r="E9" i="35"/>
  <c r="F9" i="35"/>
  <c r="B10" i="35"/>
  <c r="C10" i="35"/>
  <c r="D10" i="35"/>
  <c r="E10" i="35"/>
  <c r="F10" i="35"/>
  <c r="B11" i="35"/>
  <c r="C11" i="35"/>
  <c r="D11" i="35"/>
  <c r="E11" i="35"/>
  <c r="F11" i="35"/>
  <c r="C7" i="35"/>
  <c r="D7" i="35"/>
  <c r="E7" i="35"/>
  <c r="F7" i="35"/>
  <c r="B7" i="35"/>
  <c r="B7" i="36"/>
  <c r="C7" i="36"/>
  <c r="D7" i="36"/>
  <c r="E7" i="36"/>
  <c r="F7" i="36"/>
  <c r="G7" i="36"/>
  <c r="H7" i="36"/>
  <c r="I7" i="36"/>
  <c r="B8" i="36"/>
  <c r="C8" i="36"/>
  <c r="D8" i="36"/>
  <c r="E8" i="36"/>
  <c r="F8" i="36"/>
  <c r="G8" i="36"/>
  <c r="H8" i="36"/>
  <c r="I8" i="36"/>
  <c r="B9" i="36"/>
  <c r="C9" i="36"/>
  <c r="D9" i="36"/>
  <c r="E9" i="36"/>
  <c r="F9" i="36"/>
  <c r="G9" i="36"/>
  <c r="H9" i="36"/>
  <c r="I9" i="36"/>
  <c r="B10" i="36"/>
  <c r="C10" i="36"/>
  <c r="D10" i="36"/>
  <c r="E10" i="36"/>
  <c r="F10" i="36"/>
  <c r="G10" i="36"/>
  <c r="H10" i="36"/>
  <c r="I10" i="36"/>
  <c r="B11" i="36"/>
  <c r="C11" i="36"/>
  <c r="D11" i="36"/>
  <c r="E11" i="36"/>
  <c r="F11" i="36"/>
  <c r="G11" i="36"/>
  <c r="H11" i="36"/>
  <c r="I11" i="36"/>
  <c r="A2" i="37"/>
  <c r="B8" i="37"/>
  <c r="C8" i="37"/>
  <c r="D8" i="37"/>
  <c r="E8" i="37"/>
  <c r="F8" i="37"/>
  <c r="G8" i="37"/>
  <c r="H8" i="37"/>
  <c r="I8" i="37"/>
  <c r="B9" i="37"/>
  <c r="C9" i="37"/>
  <c r="D9" i="37"/>
  <c r="E9" i="37"/>
  <c r="F9" i="37"/>
  <c r="G9" i="37"/>
  <c r="H9" i="37"/>
  <c r="I9" i="37"/>
  <c r="B10" i="37"/>
  <c r="C10" i="37"/>
  <c r="D10" i="37"/>
  <c r="E10" i="37"/>
  <c r="F10" i="37"/>
  <c r="G10" i="37"/>
  <c r="H10" i="37"/>
  <c r="I10" i="37"/>
  <c r="B11" i="37"/>
  <c r="C11" i="37"/>
  <c r="D11" i="37"/>
  <c r="E11" i="37"/>
  <c r="F11" i="37"/>
  <c r="G11" i="37"/>
  <c r="H11" i="37"/>
  <c r="I11" i="37"/>
  <c r="B12" i="37"/>
  <c r="C12" i="37"/>
  <c r="D12" i="37"/>
  <c r="E12" i="37"/>
  <c r="F12" i="37"/>
  <c r="G12" i="37"/>
  <c r="H12" i="37"/>
  <c r="I12" i="37"/>
  <c r="B13" i="37"/>
  <c r="C13" i="37"/>
  <c r="D13" i="37"/>
  <c r="E13" i="37"/>
  <c r="F13" i="37"/>
  <c r="G13" i="37"/>
  <c r="H13" i="37"/>
  <c r="I13" i="37"/>
  <c r="B14" i="37"/>
  <c r="C14" i="37"/>
  <c r="D14" i="37"/>
  <c r="E14" i="37"/>
  <c r="F14" i="37"/>
  <c r="G14" i="37"/>
  <c r="H14" i="37"/>
  <c r="I14" i="37"/>
  <c r="B15" i="37"/>
  <c r="C15" i="37"/>
  <c r="D15" i="37"/>
  <c r="E15" i="37"/>
  <c r="F15" i="37"/>
  <c r="G15" i="37"/>
  <c r="H15" i="37"/>
  <c r="I15" i="37"/>
  <c r="B16" i="37"/>
  <c r="C16" i="37"/>
  <c r="D16" i="37"/>
  <c r="E16" i="37"/>
  <c r="F16" i="37"/>
  <c r="G16" i="37"/>
  <c r="H16" i="37"/>
  <c r="I16" i="37"/>
  <c r="B17" i="37"/>
  <c r="C17" i="37"/>
  <c r="D17" i="37"/>
  <c r="E17" i="37"/>
  <c r="F17" i="37"/>
  <c r="G17" i="37"/>
  <c r="H17" i="37"/>
  <c r="I17" i="37"/>
  <c r="B18" i="37"/>
  <c r="C18" i="37"/>
  <c r="D18" i="37"/>
  <c r="E18" i="37"/>
  <c r="F18" i="37"/>
  <c r="G18" i="37"/>
  <c r="H18" i="37"/>
  <c r="I18" i="37"/>
  <c r="B19" i="37"/>
  <c r="C19" i="37"/>
  <c r="D19" i="37"/>
  <c r="E19" i="37"/>
  <c r="F19" i="37"/>
  <c r="G19" i="37"/>
  <c r="H19" i="37"/>
  <c r="I19" i="37"/>
  <c r="B20" i="37"/>
  <c r="C20" i="37"/>
  <c r="D20" i="37"/>
  <c r="E20" i="37"/>
  <c r="F20" i="37"/>
  <c r="G20" i="37"/>
  <c r="H20" i="37"/>
  <c r="I20" i="37"/>
  <c r="B21" i="37"/>
  <c r="C21" i="37"/>
  <c r="D21" i="37"/>
  <c r="E21" i="37"/>
  <c r="F21" i="37"/>
  <c r="G21" i="37"/>
  <c r="H21" i="37"/>
  <c r="I21" i="37"/>
  <c r="B22" i="37"/>
  <c r="C22" i="37"/>
  <c r="D22" i="37"/>
  <c r="E22" i="37"/>
  <c r="F22" i="37"/>
  <c r="G22" i="37"/>
  <c r="H22" i="37"/>
  <c r="I22" i="37"/>
  <c r="B23" i="37"/>
  <c r="C23" i="37"/>
  <c r="D23" i="37"/>
  <c r="E23" i="37"/>
  <c r="F23" i="37"/>
  <c r="G23" i="37"/>
  <c r="H23" i="37"/>
  <c r="I23" i="37"/>
  <c r="B24" i="37"/>
  <c r="C24" i="37"/>
  <c r="D24" i="37"/>
  <c r="E24" i="37"/>
  <c r="F24" i="37"/>
  <c r="G24" i="37"/>
  <c r="H24" i="37"/>
  <c r="I24" i="37"/>
  <c r="B25" i="37"/>
  <c r="C25" i="37"/>
  <c r="D25" i="37"/>
  <c r="E25" i="37"/>
  <c r="F25" i="37"/>
  <c r="G25" i="37"/>
  <c r="H25" i="37"/>
  <c r="I25" i="37"/>
  <c r="B26" i="37"/>
  <c r="C26" i="37"/>
  <c r="D26" i="37"/>
  <c r="E26" i="37"/>
  <c r="F26" i="37"/>
  <c r="G26" i="37"/>
  <c r="H26" i="37"/>
  <c r="I26" i="37"/>
  <c r="B27" i="37"/>
  <c r="C27" i="37"/>
  <c r="D27" i="37"/>
  <c r="E27" i="37"/>
  <c r="F27" i="37"/>
  <c r="G27" i="37"/>
  <c r="H27" i="37"/>
  <c r="I27" i="37"/>
  <c r="B28" i="37"/>
  <c r="C28" i="37"/>
  <c r="D28" i="37"/>
  <c r="E28" i="37"/>
  <c r="F28" i="37"/>
  <c r="G28" i="37"/>
  <c r="H28" i="37"/>
  <c r="I28" i="37"/>
  <c r="B29" i="37"/>
  <c r="C29" i="37"/>
  <c r="D29" i="37"/>
  <c r="E29" i="37"/>
  <c r="F29" i="37"/>
  <c r="G29" i="37"/>
  <c r="H29" i="37"/>
  <c r="I29" i="37"/>
  <c r="B30" i="37"/>
  <c r="C30" i="37"/>
  <c r="D30" i="37"/>
  <c r="E30" i="37"/>
  <c r="F30" i="37"/>
  <c r="G30" i="37"/>
  <c r="H30" i="37"/>
  <c r="I30" i="37"/>
  <c r="B31" i="37"/>
  <c r="C31" i="37"/>
  <c r="D31" i="37"/>
  <c r="E31" i="37"/>
  <c r="F31" i="37"/>
  <c r="G31" i="37"/>
  <c r="H31" i="37"/>
  <c r="I31" i="37"/>
  <c r="B32" i="37"/>
  <c r="C32" i="37"/>
  <c r="D32" i="37"/>
  <c r="E32" i="37"/>
  <c r="F32" i="37"/>
  <c r="G32" i="37"/>
  <c r="H32" i="37"/>
  <c r="I32" i="37"/>
  <c r="B33" i="37"/>
  <c r="C33" i="37"/>
  <c r="D33" i="37"/>
  <c r="E33" i="37"/>
  <c r="F33" i="37"/>
  <c r="G33" i="37"/>
  <c r="H33" i="37"/>
  <c r="I33" i="37"/>
  <c r="C7" i="37"/>
  <c r="D7" i="37"/>
  <c r="E7" i="37"/>
  <c r="F7" i="37"/>
  <c r="G7" i="37"/>
  <c r="H7" i="37"/>
  <c r="I7" i="37"/>
  <c r="B7" i="37"/>
  <c r="B7" i="38"/>
  <c r="C7" i="38"/>
  <c r="D7" i="38"/>
  <c r="E7" i="38"/>
  <c r="F7" i="38"/>
  <c r="G7" i="38"/>
  <c r="H7" i="38"/>
  <c r="B8" i="38"/>
  <c r="C8" i="38"/>
  <c r="D8" i="38"/>
  <c r="E8" i="38"/>
  <c r="F8" i="38"/>
  <c r="G8" i="38"/>
  <c r="H8" i="38"/>
  <c r="B9" i="38"/>
  <c r="C9" i="38"/>
  <c r="D9" i="38"/>
  <c r="E9" i="38"/>
  <c r="F9" i="38"/>
  <c r="G9" i="38"/>
  <c r="H9" i="38"/>
  <c r="B10" i="38"/>
  <c r="C10" i="38"/>
  <c r="D10" i="38"/>
  <c r="E10" i="38"/>
  <c r="F10" i="38"/>
  <c r="G10" i="38"/>
  <c r="H10" i="38"/>
  <c r="B11" i="38"/>
  <c r="C11" i="38"/>
  <c r="D11" i="38"/>
  <c r="E11" i="38"/>
  <c r="F11" i="38"/>
  <c r="G11" i="38"/>
  <c r="H11" i="38"/>
  <c r="A2" i="39"/>
  <c r="B8" i="39"/>
  <c r="C8" i="39"/>
  <c r="D8" i="39"/>
  <c r="E8" i="39"/>
  <c r="F8" i="39"/>
  <c r="G8" i="39"/>
  <c r="H8" i="39"/>
  <c r="B9" i="39"/>
  <c r="C9" i="39"/>
  <c r="D9" i="39"/>
  <c r="E9" i="39"/>
  <c r="F9" i="39"/>
  <c r="G9" i="39"/>
  <c r="H9" i="39"/>
  <c r="B10" i="39"/>
  <c r="C10" i="39"/>
  <c r="D10" i="39"/>
  <c r="E10" i="39"/>
  <c r="F10" i="39"/>
  <c r="G10" i="39"/>
  <c r="H10" i="39"/>
  <c r="B11" i="39"/>
  <c r="C11" i="39"/>
  <c r="D11" i="39"/>
  <c r="E11" i="39"/>
  <c r="F11" i="39"/>
  <c r="G11" i="39"/>
  <c r="H11" i="39"/>
  <c r="B12" i="39"/>
  <c r="C12" i="39"/>
  <c r="D12" i="39"/>
  <c r="E12" i="39"/>
  <c r="F12" i="39"/>
  <c r="G12" i="39"/>
  <c r="H12" i="39"/>
  <c r="B13" i="39"/>
  <c r="C13" i="39"/>
  <c r="D13" i="39"/>
  <c r="E13" i="39"/>
  <c r="F13" i="39"/>
  <c r="G13" i="39"/>
  <c r="H13" i="39"/>
  <c r="B14" i="39"/>
  <c r="C14" i="39"/>
  <c r="D14" i="39"/>
  <c r="E14" i="39"/>
  <c r="F14" i="39"/>
  <c r="G14" i="39"/>
  <c r="H14" i="39"/>
  <c r="B15" i="39"/>
  <c r="C15" i="39"/>
  <c r="D15" i="39"/>
  <c r="E15" i="39"/>
  <c r="F15" i="39"/>
  <c r="G15" i="39"/>
  <c r="H15" i="39"/>
  <c r="B16" i="39"/>
  <c r="C16" i="39"/>
  <c r="D16" i="39"/>
  <c r="E16" i="39"/>
  <c r="F16" i="39"/>
  <c r="G16" i="39"/>
  <c r="H16" i="39"/>
  <c r="B17" i="39"/>
  <c r="C17" i="39"/>
  <c r="D17" i="39"/>
  <c r="E17" i="39"/>
  <c r="F17" i="39"/>
  <c r="G17" i="39"/>
  <c r="H17" i="39"/>
  <c r="B18" i="39"/>
  <c r="C18" i="39"/>
  <c r="D18" i="39"/>
  <c r="E18" i="39"/>
  <c r="F18" i="39"/>
  <c r="G18" i="39"/>
  <c r="H18" i="39"/>
  <c r="B19" i="39"/>
  <c r="C19" i="39"/>
  <c r="D19" i="39"/>
  <c r="E19" i="39"/>
  <c r="F19" i="39"/>
  <c r="G19" i="39"/>
  <c r="H19" i="39"/>
  <c r="B20" i="39"/>
  <c r="C20" i="39"/>
  <c r="D20" i="39"/>
  <c r="E20" i="39"/>
  <c r="F20" i="39"/>
  <c r="G20" i="39"/>
  <c r="H20" i="39"/>
  <c r="B21" i="39"/>
  <c r="C21" i="39"/>
  <c r="D21" i="39"/>
  <c r="E21" i="39"/>
  <c r="F21" i="39"/>
  <c r="G21" i="39"/>
  <c r="H21" i="39"/>
  <c r="B22" i="39"/>
  <c r="C22" i="39"/>
  <c r="D22" i="39"/>
  <c r="E22" i="39"/>
  <c r="F22" i="39"/>
  <c r="G22" i="39"/>
  <c r="H22" i="39"/>
  <c r="B23" i="39"/>
  <c r="C23" i="39"/>
  <c r="D23" i="39"/>
  <c r="E23" i="39"/>
  <c r="F23" i="39"/>
  <c r="G23" i="39"/>
  <c r="H23" i="39"/>
  <c r="B24" i="39"/>
  <c r="C24" i="39"/>
  <c r="D24" i="39"/>
  <c r="E24" i="39"/>
  <c r="F24" i="39"/>
  <c r="G24" i="39"/>
  <c r="H24" i="39"/>
  <c r="B25" i="39"/>
  <c r="C25" i="39"/>
  <c r="D25" i="39"/>
  <c r="E25" i="39"/>
  <c r="F25" i="39"/>
  <c r="G25" i="39"/>
  <c r="H25" i="39"/>
  <c r="B26" i="39"/>
  <c r="C26" i="39"/>
  <c r="D26" i="39"/>
  <c r="E26" i="39"/>
  <c r="F26" i="39"/>
  <c r="G26" i="39"/>
  <c r="H26" i="39"/>
  <c r="B27" i="39"/>
  <c r="C27" i="39"/>
  <c r="D27" i="39"/>
  <c r="E27" i="39"/>
  <c r="F27" i="39"/>
  <c r="G27" i="39"/>
  <c r="H27" i="39"/>
  <c r="B28" i="39"/>
  <c r="C28" i="39"/>
  <c r="D28" i="39"/>
  <c r="E28" i="39"/>
  <c r="F28" i="39"/>
  <c r="G28" i="39"/>
  <c r="H28" i="39"/>
  <c r="B29" i="39"/>
  <c r="C29" i="39"/>
  <c r="D29" i="39"/>
  <c r="E29" i="39"/>
  <c r="F29" i="39"/>
  <c r="G29" i="39"/>
  <c r="H29" i="39"/>
  <c r="B30" i="39"/>
  <c r="C30" i="39"/>
  <c r="D30" i="39"/>
  <c r="E30" i="39"/>
  <c r="F30" i="39"/>
  <c r="G30" i="39"/>
  <c r="H30" i="39"/>
  <c r="B31" i="39"/>
  <c r="C31" i="39"/>
  <c r="D31" i="39"/>
  <c r="E31" i="39"/>
  <c r="F31" i="39"/>
  <c r="G31" i="39"/>
  <c r="H31" i="39"/>
  <c r="B32" i="39"/>
  <c r="C32" i="39"/>
  <c r="D32" i="39"/>
  <c r="E32" i="39"/>
  <c r="F32" i="39"/>
  <c r="G32" i="39"/>
  <c r="H32" i="39"/>
  <c r="B33" i="39"/>
  <c r="C33" i="39"/>
  <c r="D33" i="39"/>
  <c r="E33" i="39"/>
  <c r="F33" i="39"/>
  <c r="G33" i="39"/>
  <c r="H33" i="39"/>
  <c r="C7" i="39"/>
  <c r="D7" i="39"/>
  <c r="E7" i="39"/>
  <c r="F7" i="39"/>
  <c r="G7" i="39"/>
  <c r="H7" i="39"/>
  <c r="B7" i="39"/>
  <c r="A2" i="40"/>
  <c r="B8" i="40"/>
  <c r="C8" i="40"/>
  <c r="D8" i="40"/>
  <c r="B9" i="40"/>
  <c r="C9" i="40"/>
  <c r="D9" i="40"/>
  <c r="B10" i="40"/>
  <c r="C10" i="40"/>
  <c r="D10" i="40"/>
  <c r="C7" i="40"/>
  <c r="D7" i="40"/>
  <c r="B7" i="40"/>
  <c r="A12" i="40"/>
  <c r="B11" i="40"/>
  <c r="C11" i="40"/>
  <c r="D11" i="40"/>
  <c r="E7" i="40"/>
  <c r="E11" i="40"/>
  <c r="E10" i="40"/>
  <c r="E9" i="40"/>
  <c r="E8" i="40"/>
  <c r="F7" i="40"/>
  <c r="F11" i="40"/>
  <c r="F10" i="40"/>
  <c r="F9" i="40"/>
  <c r="F8" i="40"/>
  <c r="G7" i="40"/>
  <c r="G8" i="40"/>
  <c r="G10" i="40"/>
  <c r="G9" i="40"/>
  <c r="G11" i="40"/>
  <c r="A2" i="41"/>
  <c r="B8" i="41"/>
  <c r="C8" i="41"/>
  <c r="D8" i="41"/>
  <c r="E8" i="41"/>
  <c r="F8" i="41"/>
  <c r="B9" i="41"/>
  <c r="C9" i="41"/>
  <c r="D9" i="41"/>
  <c r="E9" i="41"/>
  <c r="F9" i="41"/>
  <c r="B10" i="41"/>
  <c r="C10" i="41"/>
  <c r="D10" i="41"/>
  <c r="E10" i="41"/>
  <c r="F10" i="41"/>
  <c r="B11" i="41"/>
  <c r="C11" i="41"/>
  <c r="D11" i="41"/>
  <c r="E11" i="41"/>
  <c r="F11" i="41"/>
  <c r="C7" i="41"/>
  <c r="D7" i="41"/>
  <c r="E7" i="41"/>
  <c r="F7" i="41"/>
  <c r="B7" i="41"/>
  <c r="A12" i="41"/>
  <c r="G7" i="41"/>
  <c r="G11" i="41"/>
  <c r="G10" i="41"/>
  <c r="G9" i="41"/>
  <c r="G8" i="41"/>
  <c r="F21" i="42"/>
  <c r="B21" i="42"/>
  <c r="A21" i="42"/>
  <c r="A24" i="42"/>
  <c r="A8" i="42"/>
  <c r="B8" i="42"/>
  <c r="C8" i="42"/>
  <c r="F8" i="42"/>
  <c r="A9" i="42"/>
  <c r="B9" i="42"/>
  <c r="F9" i="42"/>
  <c r="A10" i="42"/>
  <c r="B10" i="42"/>
  <c r="F10" i="42"/>
  <c r="A11" i="42"/>
  <c r="B11" i="42"/>
  <c r="F11" i="42"/>
  <c r="A12" i="42"/>
  <c r="B12" i="42"/>
  <c r="F12" i="42"/>
  <c r="A13" i="42"/>
  <c r="B13" i="42"/>
  <c r="F13" i="42"/>
  <c r="A14" i="42"/>
  <c r="B14" i="42"/>
  <c r="F14" i="42"/>
  <c r="A15" i="42"/>
  <c r="B15" i="42"/>
  <c r="F15" i="42"/>
  <c r="A16" i="42"/>
  <c r="B16" i="42"/>
  <c r="F16" i="42"/>
  <c r="A17" i="42"/>
  <c r="B17" i="42"/>
  <c r="F17" i="42"/>
  <c r="A18" i="42"/>
  <c r="B18" i="42"/>
  <c r="F18" i="42"/>
  <c r="A19" i="42"/>
  <c r="B19" i="42"/>
  <c r="F19" i="42"/>
  <c r="A20" i="42"/>
  <c r="B20" i="42"/>
  <c r="F20" i="42"/>
  <c r="A22" i="42"/>
  <c r="B22" i="42"/>
  <c r="F22" i="42"/>
  <c r="A23" i="42"/>
  <c r="B7" i="42"/>
  <c r="C7" i="42"/>
  <c r="E7" i="42"/>
  <c r="F7" i="42"/>
  <c r="G7" i="42"/>
  <c r="A7" i="42"/>
  <c r="G8" i="42"/>
  <c r="C9" i="42"/>
  <c r="G9" i="42"/>
  <c r="C10" i="42"/>
  <c r="G10" i="42"/>
  <c r="C11" i="42"/>
  <c r="G11" i="42"/>
  <c r="C12" i="42"/>
  <c r="G12" i="42"/>
  <c r="C13" i="42"/>
  <c r="G13" i="42"/>
  <c r="C14" i="42"/>
  <c r="G14" i="42"/>
  <c r="C15" i="42"/>
  <c r="G15" i="42"/>
  <c r="C16" i="42"/>
  <c r="G16" i="42"/>
  <c r="C17" i="42"/>
  <c r="G17" i="42"/>
  <c r="C18" i="42"/>
  <c r="G18" i="42"/>
  <c r="C19" i="42"/>
  <c r="G19" i="42"/>
  <c r="C20" i="42"/>
  <c r="G20" i="42"/>
  <c r="C21" i="42"/>
  <c r="G21" i="42"/>
  <c r="C22" i="42"/>
  <c r="G22" i="42"/>
  <c r="D7" i="42"/>
  <c r="E8" i="42"/>
  <c r="E22" i="42"/>
  <c r="E21" i="42"/>
  <c r="E20" i="42"/>
  <c r="E19" i="42"/>
  <c r="E18" i="42"/>
  <c r="E17" i="42"/>
  <c r="E16" i="42"/>
  <c r="E15" i="42"/>
  <c r="E14" i="42"/>
  <c r="E13" i="42"/>
  <c r="E12" i="42"/>
  <c r="E11" i="42"/>
  <c r="E10" i="42"/>
  <c r="E9" i="42"/>
  <c r="D22" i="42"/>
  <c r="D20" i="42"/>
  <c r="D19" i="42"/>
  <c r="D18" i="42"/>
  <c r="D17" i="42"/>
  <c r="D16" i="42"/>
  <c r="D15" i="42"/>
  <c r="D14" i="42"/>
  <c r="D13" i="42"/>
  <c r="D12" i="42"/>
  <c r="D11" i="42"/>
  <c r="D10" i="42"/>
  <c r="D9" i="42"/>
  <c r="D8" i="42"/>
  <c r="D21" i="42"/>
  <c r="C23" i="42"/>
  <c r="B23" i="42"/>
  <c r="G23" i="42"/>
  <c r="F23" i="42"/>
  <c r="E23" i="42"/>
  <c r="D23" i="42"/>
  <c r="E11" i="43"/>
  <c r="C11" i="43"/>
  <c r="B11" i="43"/>
  <c r="A11" i="43"/>
  <c r="A7" i="43"/>
  <c r="B7" i="43"/>
  <c r="C7" i="43"/>
  <c r="E7" i="43"/>
  <c r="A8" i="43"/>
  <c r="B8" i="43"/>
  <c r="C8" i="43"/>
  <c r="E8" i="43"/>
  <c r="A9" i="43"/>
  <c r="B9" i="43"/>
  <c r="C9" i="43"/>
  <c r="E9" i="43"/>
  <c r="A10" i="43"/>
  <c r="B10" i="43"/>
  <c r="C10" i="43"/>
  <c r="E10" i="43"/>
  <c r="A12" i="43"/>
  <c r="B12" i="43"/>
  <c r="C12" i="43"/>
  <c r="E12" i="43"/>
  <c r="A13" i="43"/>
  <c r="B13" i="43"/>
  <c r="C13" i="43"/>
  <c r="E13" i="43"/>
  <c r="A14" i="43"/>
  <c r="D12" i="43"/>
  <c r="F12" i="43"/>
  <c r="D13" i="43"/>
  <c r="F13" i="43"/>
  <c r="G13" i="43"/>
  <c r="D11" i="43"/>
  <c r="F11" i="43"/>
  <c r="G12" i="43"/>
  <c r="D10" i="43"/>
  <c r="F10" i="43"/>
  <c r="G11" i="43"/>
  <c r="D9" i="43"/>
  <c r="F9" i="43"/>
  <c r="G10" i="43"/>
  <c r="D8" i="43"/>
  <c r="F8" i="43"/>
  <c r="G9" i="43"/>
  <c r="D7" i="43"/>
  <c r="F7" i="43"/>
  <c r="G7" i="43"/>
  <c r="G8" i="43"/>
  <c r="A32" i="44"/>
  <c r="D7" i="44"/>
  <c r="E7" i="44"/>
  <c r="F7" i="44"/>
  <c r="G7" i="44"/>
  <c r="H7" i="44"/>
  <c r="I7" i="44"/>
  <c r="D8" i="44"/>
  <c r="E8" i="44"/>
  <c r="F8" i="44"/>
  <c r="G8" i="44"/>
  <c r="H8" i="44"/>
  <c r="D9" i="44"/>
  <c r="E9" i="44"/>
  <c r="F9" i="44"/>
  <c r="G9" i="44"/>
  <c r="H9" i="44"/>
  <c r="D10" i="44"/>
  <c r="E10" i="44"/>
  <c r="F10" i="44"/>
  <c r="G10" i="44"/>
  <c r="H10" i="44"/>
  <c r="D11" i="44"/>
  <c r="E11" i="44"/>
  <c r="F11" i="44"/>
  <c r="G11" i="44"/>
  <c r="H11" i="44"/>
  <c r="D12" i="44"/>
  <c r="E12" i="44"/>
  <c r="F12" i="44"/>
  <c r="G12" i="44"/>
  <c r="H12" i="44"/>
  <c r="I12" i="44"/>
  <c r="I13" i="44"/>
  <c r="D14" i="44"/>
  <c r="E14" i="44"/>
  <c r="F14" i="44"/>
  <c r="G14" i="44"/>
  <c r="H14" i="44"/>
  <c r="I14" i="44"/>
  <c r="D15" i="44"/>
  <c r="E15" i="44"/>
  <c r="F15" i="44"/>
  <c r="G15" i="44"/>
  <c r="H15" i="44"/>
  <c r="I15" i="44"/>
  <c r="D16" i="44"/>
  <c r="E16" i="44"/>
  <c r="F16" i="44"/>
  <c r="G16" i="44"/>
  <c r="H16" i="44"/>
  <c r="I16" i="44"/>
  <c r="D17" i="44"/>
  <c r="E17" i="44"/>
  <c r="F17" i="44"/>
  <c r="G17" i="44"/>
  <c r="H17" i="44"/>
  <c r="I17" i="44"/>
  <c r="I18" i="44"/>
  <c r="D19" i="44"/>
  <c r="E19" i="44"/>
  <c r="F19" i="44"/>
  <c r="G19" i="44"/>
  <c r="H19" i="44"/>
  <c r="I19" i="44"/>
  <c r="I20" i="44"/>
  <c r="D21" i="44"/>
  <c r="E21" i="44"/>
  <c r="F21" i="44"/>
  <c r="G21" i="44"/>
  <c r="H21" i="44"/>
  <c r="I21" i="44"/>
  <c r="D22" i="44"/>
  <c r="E22" i="44"/>
  <c r="F22" i="44"/>
  <c r="G22" i="44"/>
  <c r="H22" i="44"/>
  <c r="I22" i="44"/>
  <c r="D23" i="44"/>
  <c r="E23" i="44"/>
  <c r="F23" i="44"/>
  <c r="G23" i="44"/>
  <c r="H23" i="44"/>
  <c r="I23" i="44"/>
  <c r="I24" i="44"/>
  <c r="D25" i="44"/>
  <c r="E25" i="44"/>
  <c r="F25" i="44"/>
  <c r="G25" i="44"/>
  <c r="H25" i="44"/>
  <c r="I25" i="44"/>
  <c r="I26" i="44"/>
  <c r="D27" i="44"/>
  <c r="E27" i="44"/>
  <c r="F27" i="44"/>
  <c r="G27" i="44"/>
  <c r="H27" i="44"/>
  <c r="I27" i="44"/>
  <c r="D28" i="44"/>
  <c r="E28" i="44"/>
  <c r="F28" i="44"/>
  <c r="G28" i="44"/>
  <c r="H28" i="44"/>
  <c r="I28" i="44"/>
  <c r="D29" i="44"/>
  <c r="E29" i="44"/>
  <c r="F29" i="44"/>
  <c r="G29" i="44"/>
  <c r="H29" i="44"/>
  <c r="I29" i="44"/>
  <c r="D30" i="44"/>
  <c r="E30" i="44"/>
  <c r="F30" i="44"/>
  <c r="G30" i="44"/>
  <c r="H30" i="44"/>
  <c r="I30" i="44"/>
  <c r="I31" i="44"/>
  <c r="I6" i="44"/>
  <c r="H6" i="44"/>
  <c r="G6" i="44"/>
  <c r="F6" i="44"/>
  <c r="E6" i="44"/>
  <c r="D6" i="44"/>
  <c r="E3" i="44"/>
  <c r="F3" i="44"/>
  <c r="G3" i="44"/>
  <c r="H3" i="44"/>
  <c r="I3" i="44"/>
  <c r="D3" i="44"/>
  <c r="C26" i="44"/>
  <c r="C24" i="44"/>
  <c r="B24" i="44"/>
  <c r="B26" i="44"/>
  <c r="C20" i="44"/>
  <c r="B20" i="44"/>
  <c r="C18" i="44"/>
  <c r="B18" i="44"/>
  <c r="C13" i="44"/>
  <c r="B13" i="44"/>
  <c r="I8" i="44"/>
  <c r="I9" i="44"/>
  <c r="I10" i="44"/>
  <c r="I11" i="44"/>
  <c r="D13" i="44"/>
  <c r="E13" i="44"/>
  <c r="F13" i="44"/>
  <c r="G13" i="44"/>
  <c r="H13" i="44"/>
  <c r="D18" i="44"/>
  <c r="E18" i="44"/>
  <c r="F18" i="44"/>
  <c r="G18" i="44"/>
  <c r="H18" i="44"/>
  <c r="D20" i="44"/>
  <c r="E20" i="44"/>
  <c r="F20" i="44"/>
  <c r="G20" i="44"/>
  <c r="H20" i="44"/>
  <c r="D24" i="44"/>
  <c r="E24" i="44"/>
  <c r="F24" i="44"/>
  <c r="G24" i="44"/>
  <c r="H24" i="44"/>
  <c r="D26" i="44"/>
  <c r="E26" i="44"/>
  <c r="F26" i="44"/>
  <c r="G26" i="44"/>
  <c r="H26" i="44"/>
  <c r="D31" i="44"/>
  <c r="E31" i="44"/>
  <c r="F31" i="44"/>
  <c r="G31" i="44"/>
  <c r="H31" i="44"/>
  <c r="A2" i="45"/>
  <c r="A16" i="45"/>
  <c r="D15" i="45"/>
  <c r="B15" i="45"/>
  <c r="B8" i="45"/>
  <c r="D8" i="45"/>
  <c r="F8" i="45"/>
  <c r="B9" i="45"/>
  <c r="D9" i="45"/>
  <c r="F9" i="45"/>
  <c r="B10" i="45"/>
  <c r="D10" i="45"/>
  <c r="F10" i="45"/>
  <c r="B11" i="45"/>
  <c r="D11" i="45"/>
  <c r="F11" i="45"/>
  <c r="B12" i="45"/>
  <c r="D12" i="45"/>
  <c r="F12" i="45"/>
  <c r="B13" i="45"/>
  <c r="D13" i="45"/>
  <c r="F13" i="45"/>
  <c r="B14" i="45"/>
  <c r="D14" i="45"/>
  <c r="D7" i="45"/>
  <c r="F7" i="45"/>
  <c r="G7" i="45"/>
  <c r="B7" i="45"/>
  <c r="C8" i="45"/>
  <c r="E8" i="45"/>
  <c r="G8" i="45"/>
  <c r="C9" i="45"/>
  <c r="E9" i="45"/>
  <c r="G9" i="45"/>
  <c r="C10" i="45"/>
  <c r="E10" i="45"/>
  <c r="G10" i="45"/>
  <c r="C11" i="45"/>
  <c r="E11" i="45"/>
  <c r="G11" i="45"/>
  <c r="C12" i="45"/>
  <c r="E12" i="45"/>
  <c r="G12" i="45"/>
  <c r="C13" i="45"/>
  <c r="E13" i="45"/>
  <c r="G13" i="45"/>
  <c r="C7" i="45"/>
  <c r="E7" i="45"/>
  <c r="C14" i="45"/>
  <c r="E14" i="45"/>
  <c r="F14" i="45"/>
  <c r="G14" i="45"/>
  <c r="C15" i="45"/>
  <c r="E15" i="45"/>
  <c r="G15" i="45"/>
  <c r="F15" i="45"/>
  <c r="A2" i="46"/>
  <c r="A16" i="46"/>
  <c r="G15" i="46"/>
  <c r="F15" i="46"/>
  <c r="E15" i="46"/>
  <c r="D15" i="46"/>
  <c r="C15" i="46"/>
  <c r="B15" i="46"/>
  <c r="B8" i="46"/>
  <c r="C8" i="46"/>
  <c r="D8" i="46"/>
  <c r="E8" i="46"/>
  <c r="F8" i="46"/>
  <c r="B9" i="46"/>
  <c r="D9" i="46"/>
  <c r="E9" i="46"/>
  <c r="F9" i="46"/>
  <c r="B10" i="46"/>
  <c r="D10" i="46"/>
  <c r="E10" i="46"/>
  <c r="F10" i="46"/>
  <c r="B11" i="46"/>
  <c r="D11" i="46"/>
  <c r="F11" i="46"/>
  <c r="B12" i="46"/>
  <c r="D12" i="46"/>
  <c r="F12" i="46"/>
  <c r="B13" i="46"/>
  <c r="D13" i="46"/>
  <c r="F13" i="46"/>
  <c r="B14" i="46"/>
  <c r="D14" i="46"/>
  <c r="F14" i="46"/>
  <c r="C7" i="46"/>
  <c r="D7" i="46"/>
  <c r="E7" i="46"/>
  <c r="F7" i="46"/>
  <c r="G7" i="46"/>
  <c r="B7" i="46"/>
  <c r="G8" i="46"/>
  <c r="E11" i="46"/>
  <c r="E12" i="46"/>
  <c r="E13" i="46"/>
  <c r="C9" i="46"/>
  <c r="G9" i="46"/>
  <c r="C10" i="46"/>
  <c r="G10" i="46"/>
  <c r="C11" i="46"/>
  <c r="G11" i="46"/>
  <c r="C12" i="46"/>
  <c r="G12" i="46"/>
  <c r="C13" i="46"/>
  <c r="G13" i="46"/>
  <c r="E14" i="46"/>
  <c r="C14" i="46"/>
  <c r="G14" i="46"/>
  <c r="A34" i="47"/>
  <c r="A2" i="47"/>
  <c r="B7" i="47"/>
  <c r="C7" i="47"/>
  <c r="D7" i="47"/>
  <c r="E7" i="47"/>
  <c r="F7" i="47"/>
  <c r="F33" i="47"/>
  <c r="E33" i="47"/>
  <c r="D33" i="47"/>
  <c r="C33" i="47"/>
  <c r="B33" i="47"/>
  <c r="F32" i="47"/>
  <c r="E32" i="47"/>
  <c r="D32" i="47"/>
  <c r="C32" i="47"/>
  <c r="B32" i="47"/>
  <c r="F31" i="47"/>
  <c r="E31" i="47"/>
  <c r="D31" i="47"/>
  <c r="C31" i="47"/>
  <c r="B31" i="47"/>
  <c r="F30" i="47"/>
  <c r="E30" i="47"/>
  <c r="D30" i="47"/>
  <c r="C30" i="47"/>
  <c r="B30" i="47"/>
  <c r="F29" i="47"/>
  <c r="E29" i="47"/>
  <c r="D29" i="47"/>
  <c r="C29" i="47"/>
  <c r="B29" i="47"/>
  <c r="F28" i="47"/>
  <c r="E28" i="47"/>
  <c r="D28" i="47"/>
  <c r="C28" i="47"/>
  <c r="B28" i="47"/>
  <c r="F27" i="47"/>
  <c r="E27" i="47"/>
  <c r="D27" i="47"/>
  <c r="C27" i="47"/>
  <c r="B27" i="47"/>
  <c r="F26" i="47"/>
  <c r="E26" i="47"/>
  <c r="D26" i="47"/>
  <c r="C26" i="47"/>
  <c r="B26" i="47"/>
  <c r="F25" i="47"/>
  <c r="E25" i="47"/>
  <c r="D25" i="47"/>
  <c r="C25" i="47"/>
  <c r="B25" i="47"/>
  <c r="F24" i="47"/>
  <c r="E24" i="47"/>
  <c r="D24" i="47"/>
  <c r="C24" i="47"/>
  <c r="B24" i="47"/>
  <c r="F23" i="47"/>
  <c r="E23" i="47"/>
  <c r="D23" i="47"/>
  <c r="C23" i="47"/>
  <c r="B23" i="47"/>
  <c r="F22" i="47"/>
  <c r="E22" i="47"/>
  <c r="D22" i="47"/>
  <c r="C22" i="47"/>
  <c r="B22" i="47"/>
  <c r="F21" i="47"/>
  <c r="E21" i="47"/>
  <c r="D21" i="47"/>
  <c r="C21" i="47"/>
  <c r="B21" i="47"/>
  <c r="F20" i="47"/>
  <c r="E20" i="47"/>
  <c r="D20" i="47"/>
  <c r="C20" i="47"/>
  <c r="B20" i="47"/>
  <c r="F19" i="47"/>
  <c r="E19" i="47"/>
  <c r="D19" i="47"/>
  <c r="C19" i="47"/>
  <c r="B19" i="47"/>
  <c r="F18" i="47"/>
  <c r="E18" i="47"/>
  <c r="D18" i="47"/>
  <c r="C18" i="47"/>
  <c r="B18" i="47"/>
  <c r="F17" i="47"/>
  <c r="E17" i="47"/>
  <c r="D17" i="47"/>
  <c r="C17" i="47"/>
  <c r="B17" i="47"/>
  <c r="F16" i="47"/>
  <c r="E16" i="47"/>
  <c r="D16" i="47"/>
  <c r="C16" i="47"/>
  <c r="B16" i="47"/>
  <c r="F15" i="47"/>
  <c r="E15" i="47"/>
  <c r="D15" i="47"/>
  <c r="C15" i="47"/>
  <c r="B15" i="47"/>
  <c r="F14" i="47"/>
  <c r="E14" i="47"/>
  <c r="D14" i="47"/>
  <c r="C14" i="47"/>
  <c r="B14" i="47"/>
  <c r="F13" i="47"/>
  <c r="E13" i="47"/>
  <c r="D13" i="47"/>
  <c r="C13" i="47"/>
  <c r="B13" i="47"/>
  <c r="F12" i="47"/>
  <c r="E12" i="47"/>
  <c r="D12" i="47"/>
  <c r="C12" i="47"/>
  <c r="B12" i="47"/>
  <c r="F11" i="47"/>
  <c r="E11" i="47"/>
  <c r="D11" i="47"/>
  <c r="C11" i="47"/>
  <c r="B11" i="47"/>
  <c r="F10" i="47"/>
  <c r="E10" i="47"/>
  <c r="D10" i="47"/>
  <c r="C10" i="47"/>
  <c r="B10" i="47"/>
  <c r="F9" i="47"/>
  <c r="E9" i="47"/>
  <c r="D9" i="47"/>
  <c r="C9" i="47"/>
  <c r="B9" i="47"/>
  <c r="F8" i="47"/>
  <c r="E8" i="47"/>
  <c r="D8" i="47"/>
  <c r="C8" i="47"/>
  <c r="B8" i="47"/>
  <c r="G33" i="47"/>
  <c r="G8" i="47"/>
  <c r="G9" i="47"/>
  <c r="G10" i="47"/>
  <c r="G11" i="47"/>
  <c r="G12" i="47"/>
  <c r="G13" i="47"/>
  <c r="G14" i="47"/>
  <c r="G15" i="47"/>
  <c r="G16" i="47"/>
  <c r="G17" i="47"/>
  <c r="G18" i="47"/>
  <c r="G19" i="47"/>
  <c r="G20" i="47"/>
  <c r="G21" i="47"/>
  <c r="G22" i="47"/>
  <c r="G23" i="47"/>
  <c r="G24" i="47"/>
  <c r="G25" i="47"/>
  <c r="G26" i="47"/>
  <c r="G27" i="47"/>
  <c r="G28" i="47"/>
  <c r="G29" i="47"/>
  <c r="G30" i="47"/>
  <c r="G31" i="47"/>
  <c r="G32" i="47"/>
  <c r="G7" i="47"/>
  <c r="A34" i="48"/>
  <c r="A2" i="48"/>
  <c r="B7" i="48"/>
  <c r="C7" i="48"/>
  <c r="D7" i="48"/>
  <c r="E7" i="48"/>
  <c r="F7" i="48"/>
  <c r="F33" i="48"/>
  <c r="E33" i="48"/>
  <c r="D33" i="48"/>
  <c r="C33" i="48"/>
  <c r="B33" i="48"/>
  <c r="F32" i="48"/>
  <c r="E32" i="48"/>
  <c r="D32" i="48"/>
  <c r="C32" i="48"/>
  <c r="B32" i="48"/>
  <c r="F31" i="48"/>
  <c r="E31" i="48"/>
  <c r="D31" i="48"/>
  <c r="C31" i="48"/>
  <c r="B31" i="48"/>
  <c r="F30" i="48"/>
  <c r="E30" i="48"/>
  <c r="D30" i="48"/>
  <c r="C30" i="48"/>
  <c r="B30" i="48"/>
  <c r="F29" i="48"/>
  <c r="E29" i="48"/>
  <c r="D29" i="48"/>
  <c r="C29" i="48"/>
  <c r="B29" i="48"/>
  <c r="F28" i="48"/>
  <c r="E28" i="48"/>
  <c r="D28" i="48"/>
  <c r="C28" i="48"/>
  <c r="B28" i="48"/>
  <c r="F27" i="48"/>
  <c r="E27" i="48"/>
  <c r="D27" i="48"/>
  <c r="C27" i="48"/>
  <c r="B27" i="48"/>
  <c r="F26" i="48"/>
  <c r="E26" i="48"/>
  <c r="D26" i="48"/>
  <c r="C26" i="48"/>
  <c r="B26" i="48"/>
  <c r="F25" i="48"/>
  <c r="E25" i="48"/>
  <c r="D25" i="48"/>
  <c r="C25" i="48"/>
  <c r="B25" i="48"/>
  <c r="F24" i="48"/>
  <c r="E24" i="48"/>
  <c r="D24" i="48"/>
  <c r="C24" i="48"/>
  <c r="B24" i="48"/>
  <c r="F23" i="48"/>
  <c r="E23" i="48"/>
  <c r="D23" i="48"/>
  <c r="C23" i="48"/>
  <c r="B23" i="48"/>
  <c r="F22" i="48"/>
  <c r="E22" i="48"/>
  <c r="D22" i="48"/>
  <c r="C22" i="48"/>
  <c r="B22" i="48"/>
  <c r="F21" i="48"/>
  <c r="E21" i="48"/>
  <c r="D21" i="48"/>
  <c r="C21" i="48"/>
  <c r="B21" i="48"/>
  <c r="F20" i="48"/>
  <c r="E20" i="48"/>
  <c r="D20" i="48"/>
  <c r="C20" i="48"/>
  <c r="B20" i="48"/>
  <c r="F19" i="48"/>
  <c r="E19" i="48"/>
  <c r="D19" i="48"/>
  <c r="C19" i="48"/>
  <c r="B19" i="48"/>
  <c r="F18" i="48"/>
  <c r="E18" i="48"/>
  <c r="D18" i="48"/>
  <c r="C18" i="48"/>
  <c r="B18" i="48"/>
  <c r="F17" i="48"/>
  <c r="E17" i="48"/>
  <c r="D17" i="48"/>
  <c r="C17" i="48"/>
  <c r="B17" i="48"/>
  <c r="F16" i="48"/>
  <c r="E16" i="48"/>
  <c r="D16" i="48"/>
  <c r="C16" i="48"/>
  <c r="B16" i="48"/>
  <c r="F15" i="48"/>
  <c r="E15" i="48"/>
  <c r="D15" i="48"/>
  <c r="C15" i="48"/>
  <c r="B15" i="48"/>
  <c r="F14" i="48"/>
  <c r="E14" i="48"/>
  <c r="D14" i="48"/>
  <c r="C14" i="48"/>
  <c r="B14" i="48"/>
  <c r="F13" i="48"/>
  <c r="E13" i="48"/>
  <c r="D13" i="48"/>
  <c r="C13" i="48"/>
  <c r="B13" i="48"/>
  <c r="F12" i="48"/>
  <c r="E12" i="48"/>
  <c r="D12" i="48"/>
  <c r="C12" i="48"/>
  <c r="B12" i="48"/>
  <c r="F11" i="48"/>
  <c r="E11" i="48"/>
  <c r="D11" i="48"/>
  <c r="C11" i="48"/>
  <c r="B11" i="48"/>
  <c r="F10" i="48"/>
  <c r="E10" i="48"/>
  <c r="D10" i="48"/>
  <c r="C10" i="48"/>
  <c r="B10" i="48"/>
  <c r="F9" i="48"/>
  <c r="E9" i="48"/>
  <c r="D9" i="48"/>
  <c r="C9" i="48"/>
  <c r="B9" i="48"/>
  <c r="F8" i="48"/>
  <c r="E8" i="48"/>
  <c r="D8" i="48"/>
  <c r="C8" i="48"/>
  <c r="B8" i="48"/>
  <c r="G7" i="48"/>
  <c r="G8" i="48"/>
  <c r="G9" i="48"/>
  <c r="G10" i="48"/>
  <c r="G11" i="48"/>
  <c r="G12" i="48"/>
  <c r="G13" i="48"/>
  <c r="G14" i="48"/>
  <c r="G15" i="48"/>
  <c r="G16" i="48"/>
  <c r="G17" i="48"/>
  <c r="G18" i="48"/>
  <c r="G19" i="48"/>
  <c r="G20" i="48"/>
  <c r="G21" i="48"/>
  <c r="G22" i="48"/>
  <c r="G23" i="48"/>
  <c r="G24" i="48"/>
  <c r="G25" i="48"/>
  <c r="G26" i="48"/>
  <c r="G27" i="48"/>
  <c r="G28" i="48"/>
  <c r="G29" i="48"/>
  <c r="G30" i="48"/>
  <c r="G31" i="48"/>
  <c r="G32" i="48"/>
  <c r="G33" i="48"/>
  <c r="A2" i="49"/>
  <c r="A34" i="49"/>
  <c r="B8" i="49"/>
  <c r="C8" i="49"/>
  <c r="D8" i="49"/>
  <c r="E8" i="49"/>
  <c r="F8" i="49"/>
  <c r="B9" i="49"/>
  <c r="C9" i="49"/>
  <c r="D9" i="49"/>
  <c r="E9" i="49"/>
  <c r="F9" i="49"/>
  <c r="B10" i="49"/>
  <c r="C10" i="49"/>
  <c r="D10" i="49"/>
  <c r="E10" i="49"/>
  <c r="F10" i="49"/>
  <c r="B11" i="49"/>
  <c r="C11" i="49"/>
  <c r="D11" i="49"/>
  <c r="E11" i="49"/>
  <c r="F11" i="49"/>
  <c r="B12" i="49"/>
  <c r="C12" i="49"/>
  <c r="D12" i="49"/>
  <c r="E12" i="49"/>
  <c r="F12" i="49"/>
  <c r="B13" i="49"/>
  <c r="C13" i="49"/>
  <c r="D13" i="49"/>
  <c r="E13" i="49"/>
  <c r="F13" i="49"/>
  <c r="B14" i="49"/>
  <c r="C14" i="49"/>
  <c r="D14" i="49"/>
  <c r="E14" i="49"/>
  <c r="F14" i="49"/>
  <c r="B15" i="49"/>
  <c r="C15" i="49"/>
  <c r="D15" i="49"/>
  <c r="E15" i="49"/>
  <c r="F15" i="49"/>
  <c r="B16" i="49"/>
  <c r="C16" i="49"/>
  <c r="D16" i="49"/>
  <c r="E16" i="49"/>
  <c r="F16" i="49"/>
  <c r="B17" i="49"/>
  <c r="C17" i="49"/>
  <c r="D17" i="49"/>
  <c r="E17" i="49"/>
  <c r="F17" i="49"/>
  <c r="B18" i="49"/>
  <c r="C18" i="49"/>
  <c r="D18" i="49"/>
  <c r="E18" i="49"/>
  <c r="F18" i="49"/>
  <c r="B19" i="49"/>
  <c r="C19" i="49"/>
  <c r="D19" i="49"/>
  <c r="E19" i="49"/>
  <c r="F19" i="49"/>
  <c r="B20" i="49"/>
  <c r="C20" i="49"/>
  <c r="D20" i="49"/>
  <c r="E20" i="49"/>
  <c r="F20" i="49"/>
  <c r="B21" i="49"/>
  <c r="C21" i="49"/>
  <c r="D21" i="49"/>
  <c r="E21" i="49"/>
  <c r="F21" i="49"/>
  <c r="B22" i="49"/>
  <c r="C22" i="49"/>
  <c r="D22" i="49"/>
  <c r="E22" i="49"/>
  <c r="F22" i="49"/>
  <c r="B23" i="49"/>
  <c r="C23" i="49"/>
  <c r="D23" i="49"/>
  <c r="E23" i="49"/>
  <c r="F23" i="49"/>
  <c r="B24" i="49"/>
  <c r="C24" i="49"/>
  <c r="D24" i="49"/>
  <c r="E24" i="49"/>
  <c r="F24" i="49"/>
  <c r="B25" i="49"/>
  <c r="C25" i="49"/>
  <c r="D25" i="49"/>
  <c r="E25" i="49"/>
  <c r="F25" i="49"/>
  <c r="B26" i="49"/>
  <c r="C26" i="49"/>
  <c r="D26" i="49"/>
  <c r="E26" i="49"/>
  <c r="F26" i="49"/>
  <c r="B27" i="49"/>
  <c r="C27" i="49"/>
  <c r="D27" i="49"/>
  <c r="E27" i="49"/>
  <c r="F27" i="49"/>
  <c r="B28" i="49"/>
  <c r="C28" i="49"/>
  <c r="D28" i="49"/>
  <c r="E28" i="49"/>
  <c r="F28" i="49"/>
  <c r="B29" i="49"/>
  <c r="C29" i="49"/>
  <c r="D29" i="49"/>
  <c r="E29" i="49"/>
  <c r="F29" i="49"/>
  <c r="B30" i="49"/>
  <c r="C30" i="49"/>
  <c r="D30" i="49"/>
  <c r="E30" i="49"/>
  <c r="F30" i="49"/>
  <c r="B31" i="49"/>
  <c r="C31" i="49"/>
  <c r="D31" i="49"/>
  <c r="E31" i="49"/>
  <c r="F31" i="49"/>
  <c r="B32" i="49"/>
  <c r="C32" i="49"/>
  <c r="D32" i="49"/>
  <c r="E32" i="49"/>
  <c r="F32" i="49"/>
  <c r="B33" i="49"/>
  <c r="C33" i="49"/>
  <c r="D33" i="49"/>
  <c r="E33" i="49"/>
  <c r="F33" i="49"/>
  <c r="F7" i="49"/>
  <c r="E7" i="49"/>
  <c r="D7" i="49"/>
  <c r="C7" i="49"/>
  <c r="B7" i="49"/>
  <c r="G7" i="49"/>
  <c r="G33" i="49"/>
  <c r="G32" i="49"/>
  <c r="G31" i="49"/>
  <c r="G30" i="49"/>
  <c r="G29" i="49"/>
  <c r="G28" i="49"/>
  <c r="G27" i="49"/>
  <c r="G26" i="49"/>
  <c r="G25" i="49"/>
  <c r="G24" i="49"/>
  <c r="G23" i="49"/>
  <c r="G22" i="49"/>
  <c r="G21" i="49"/>
  <c r="G20" i="49"/>
  <c r="G19" i="49"/>
  <c r="G18" i="49"/>
  <c r="G17" i="49"/>
  <c r="G16" i="49"/>
  <c r="G15" i="49"/>
  <c r="G14" i="49"/>
  <c r="G13" i="49"/>
  <c r="G12" i="49"/>
  <c r="G11" i="49"/>
  <c r="G10" i="49"/>
  <c r="G9" i="49"/>
  <c r="G8" i="49"/>
  <c r="A24" i="50"/>
  <c r="B2" i="50"/>
  <c r="F8" i="50"/>
  <c r="F9" i="50"/>
  <c r="F10" i="50"/>
  <c r="F11" i="50"/>
  <c r="F12" i="50"/>
  <c r="F13" i="50"/>
  <c r="F14" i="50"/>
  <c r="F15" i="50"/>
  <c r="F16" i="50"/>
  <c r="F17" i="50"/>
  <c r="F18" i="50"/>
  <c r="F19" i="50"/>
  <c r="F20" i="50"/>
  <c r="F21" i="50"/>
  <c r="F22" i="50"/>
  <c r="F23" i="50"/>
  <c r="F7" i="50"/>
  <c r="D23" i="50"/>
  <c r="D9" i="50"/>
  <c r="D10" i="50"/>
  <c r="D11" i="50"/>
  <c r="D12" i="50"/>
  <c r="D13" i="50"/>
  <c r="D14" i="50"/>
  <c r="D15" i="50"/>
  <c r="D16" i="50"/>
  <c r="D17" i="50"/>
  <c r="D18" i="50"/>
  <c r="D19" i="50"/>
  <c r="D20" i="50"/>
  <c r="D21" i="50"/>
  <c r="D22" i="50"/>
  <c r="D8" i="50"/>
  <c r="D7" i="50"/>
  <c r="B23" i="50"/>
  <c r="B22" i="50"/>
  <c r="B21" i="50"/>
  <c r="B20" i="50"/>
  <c r="B19" i="50"/>
  <c r="B18" i="50"/>
  <c r="B17" i="50"/>
  <c r="B16" i="50"/>
  <c r="B15" i="50"/>
  <c r="B14" i="50"/>
  <c r="B9" i="50"/>
  <c r="B10" i="50"/>
  <c r="B11" i="50"/>
  <c r="B12" i="50"/>
  <c r="B13" i="50"/>
  <c r="B8" i="50"/>
  <c r="B7" i="50"/>
  <c r="C7" i="50"/>
  <c r="E7" i="50"/>
  <c r="G7" i="50"/>
  <c r="C8" i="50"/>
  <c r="C13" i="50"/>
  <c r="C12" i="50"/>
  <c r="C11" i="50"/>
  <c r="C10" i="50"/>
  <c r="C9" i="50"/>
  <c r="C14" i="50"/>
  <c r="C15" i="50"/>
  <c r="C16" i="50"/>
  <c r="C17" i="50"/>
  <c r="C18" i="50"/>
  <c r="C19" i="50"/>
  <c r="C20" i="50"/>
  <c r="C21" i="50"/>
  <c r="C22" i="50"/>
  <c r="C23" i="50"/>
  <c r="E8" i="50"/>
  <c r="E22" i="50"/>
  <c r="E21" i="50"/>
  <c r="E20" i="50"/>
  <c r="E19" i="50"/>
  <c r="E18" i="50"/>
  <c r="E17" i="50"/>
  <c r="E16" i="50"/>
  <c r="E15" i="50"/>
  <c r="E14" i="50"/>
  <c r="E13" i="50"/>
  <c r="E12" i="50"/>
  <c r="E11" i="50"/>
  <c r="E10" i="50"/>
  <c r="E9" i="50"/>
  <c r="E23" i="50"/>
  <c r="G23" i="50"/>
  <c r="G22" i="50"/>
  <c r="G21" i="50"/>
  <c r="G20" i="50"/>
  <c r="G19" i="50"/>
  <c r="G18" i="50"/>
  <c r="G17" i="50"/>
  <c r="G16" i="50"/>
  <c r="G15" i="50"/>
  <c r="G14" i="50"/>
  <c r="G13" i="50"/>
  <c r="G12" i="50"/>
  <c r="G11" i="50"/>
  <c r="G10" i="50"/>
  <c r="G9" i="50"/>
  <c r="G8" i="50"/>
  <c r="A34" i="51"/>
  <c r="A2" i="51"/>
  <c r="B8" i="51"/>
  <c r="C8" i="51"/>
  <c r="D8" i="51"/>
  <c r="E8" i="51"/>
  <c r="F8" i="51"/>
  <c r="B9" i="51"/>
  <c r="C9" i="51"/>
  <c r="D9" i="51"/>
  <c r="E9" i="51"/>
  <c r="F9" i="51"/>
  <c r="B10" i="51"/>
  <c r="C10" i="51"/>
  <c r="D10" i="51"/>
  <c r="E10" i="51"/>
  <c r="F10" i="51"/>
  <c r="B11" i="51"/>
  <c r="C11" i="51"/>
  <c r="D11" i="51"/>
  <c r="E11" i="51"/>
  <c r="F11" i="51"/>
  <c r="B12" i="51"/>
  <c r="C12" i="51"/>
  <c r="D12" i="51"/>
  <c r="E12" i="51"/>
  <c r="F12" i="51"/>
  <c r="B13" i="51"/>
  <c r="C13" i="51"/>
  <c r="D13" i="51"/>
  <c r="E13" i="51"/>
  <c r="F13" i="51"/>
  <c r="B14" i="51"/>
  <c r="C14" i="51"/>
  <c r="D14" i="51"/>
  <c r="E14" i="51"/>
  <c r="F14" i="51"/>
  <c r="B15" i="51"/>
  <c r="C15" i="51"/>
  <c r="D15" i="51"/>
  <c r="E15" i="51"/>
  <c r="F15" i="51"/>
  <c r="B16" i="51"/>
  <c r="C16" i="51"/>
  <c r="D16" i="51"/>
  <c r="E16" i="51"/>
  <c r="F16" i="51"/>
  <c r="B17" i="51"/>
  <c r="C17" i="51"/>
  <c r="D17" i="51"/>
  <c r="E17" i="51"/>
  <c r="F17" i="51"/>
  <c r="B18" i="51"/>
  <c r="C18" i="51"/>
  <c r="D18" i="51"/>
  <c r="E18" i="51"/>
  <c r="F18" i="51"/>
  <c r="B19" i="51"/>
  <c r="C19" i="51"/>
  <c r="D19" i="51"/>
  <c r="E19" i="51"/>
  <c r="F19" i="51"/>
  <c r="B20" i="51"/>
  <c r="C20" i="51"/>
  <c r="D20" i="51"/>
  <c r="E20" i="51"/>
  <c r="F20" i="51"/>
  <c r="B21" i="51"/>
  <c r="C21" i="51"/>
  <c r="D21" i="51"/>
  <c r="E21" i="51"/>
  <c r="F21" i="51"/>
  <c r="B22" i="51"/>
  <c r="C22" i="51"/>
  <c r="D22" i="51"/>
  <c r="E22" i="51"/>
  <c r="F22" i="51"/>
  <c r="B23" i="51"/>
  <c r="C23" i="51"/>
  <c r="D23" i="51"/>
  <c r="E23" i="51"/>
  <c r="F23" i="51"/>
  <c r="B24" i="51"/>
  <c r="C24" i="51"/>
  <c r="D24" i="51"/>
  <c r="E24" i="51"/>
  <c r="F24" i="51"/>
  <c r="B25" i="51"/>
  <c r="C25" i="51"/>
  <c r="D25" i="51"/>
  <c r="E25" i="51"/>
  <c r="F25" i="51"/>
  <c r="B26" i="51"/>
  <c r="C26" i="51"/>
  <c r="D26" i="51"/>
  <c r="E26" i="51"/>
  <c r="F26" i="51"/>
  <c r="B27" i="51"/>
  <c r="C27" i="51"/>
  <c r="D27" i="51"/>
  <c r="E27" i="51"/>
  <c r="F27" i="51"/>
  <c r="B28" i="51"/>
  <c r="C28" i="51"/>
  <c r="D28" i="51"/>
  <c r="E28" i="51"/>
  <c r="F28" i="51"/>
  <c r="B29" i="51"/>
  <c r="C29" i="51"/>
  <c r="D29" i="51"/>
  <c r="E29" i="51"/>
  <c r="F29" i="51"/>
  <c r="B30" i="51"/>
  <c r="C30" i="51"/>
  <c r="D30" i="51"/>
  <c r="E30" i="51"/>
  <c r="F30" i="51"/>
  <c r="B31" i="51"/>
  <c r="C31" i="51"/>
  <c r="D31" i="51"/>
  <c r="E31" i="51"/>
  <c r="F31" i="51"/>
  <c r="B32" i="51"/>
  <c r="C32" i="51"/>
  <c r="D32" i="51"/>
  <c r="E32" i="51"/>
  <c r="F32" i="51"/>
  <c r="B33" i="51"/>
  <c r="C33" i="51"/>
  <c r="D33" i="51"/>
  <c r="E33" i="51"/>
  <c r="F33" i="51"/>
  <c r="C7" i="51"/>
  <c r="D7" i="51"/>
  <c r="E7" i="51"/>
  <c r="F7" i="51"/>
  <c r="B7" i="51"/>
  <c r="G7" i="51"/>
  <c r="G33" i="51"/>
  <c r="G32" i="51"/>
  <c r="G31" i="51"/>
  <c r="G30" i="51"/>
  <c r="G29" i="51"/>
  <c r="G28" i="51"/>
  <c r="G27" i="51"/>
  <c r="G26" i="51"/>
  <c r="G25" i="51"/>
  <c r="G24" i="51"/>
  <c r="G23" i="51"/>
  <c r="G22" i="51"/>
  <c r="G21" i="51"/>
  <c r="G20" i="51"/>
  <c r="G19" i="51"/>
  <c r="G18" i="51"/>
  <c r="G17" i="51"/>
  <c r="G16" i="51"/>
  <c r="G15" i="51"/>
  <c r="G14" i="51"/>
  <c r="G13" i="51"/>
  <c r="G12" i="51"/>
  <c r="G11" i="51"/>
  <c r="G10" i="51"/>
  <c r="G9" i="51"/>
  <c r="G8" i="51"/>
  <c r="A2" i="52"/>
  <c r="A34" i="52"/>
  <c r="B8" i="52"/>
  <c r="C8" i="52"/>
  <c r="D8" i="52"/>
  <c r="E8" i="52"/>
  <c r="F8" i="52"/>
  <c r="B9" i="52"/>
  <c r="C9" i="52"/>
  <c r="D9" i="52"/>
  <c r="E9" i="52"/>
  <c r="F9" i="52"/>
  <c r="B10" i="52"/>
  <c r="C10" i="52"/>
  <c r="D10" i="52"/>
  <c r="E10" i="52"/>
  <c r="F10" i="52"/>
  <c r="B11" i="52"/>
  <c r="C11" i="52"/>
  <c r="D11" i="52"/>
  <c r="E11" i="52"/>
  <c r="F11" i="52"/>
  <c r="B12" i="52"/>
  <c r="C12" i="52"/>
  <c r="D12" i="52"/>
  <c r="E12" i="52"/>
  <c r="F12" i="52"/>
  <c r="B13" i="52"/>
  <c r="C13" i="52"/>
  <c r="D13" i="52"/>
  <c r="E13" i="52"/>
  <c r="F13" i="52"/>
  <c r="B14" i="52"/>
  <c r="C14" i="52"/>
  <c r="D14" i="52"/>
  <c r="E14" i="52"/>
  <c r="F14" i="52"/>
  <c r="B15" i="52"/>
  <c r="C15" i="52"/>
  <c r="D15" i="52"/>
  <c r="E15" i="52"/>
  <c r="F15" i="52"/>
  <c r="B16" i="52"/>
  <c r="C16" i="52"/>
  <c r="D16" i="52"/>
  <c r="E16" i="52"/>
  <c r="F16" i="52"/>
  <c r="B17" i="52"/>
  <c r="C17" i="52"/>
  <c r="D17" i="52"/>
  <c r="E17" i="52"/>
  <c r="F17" i="52"/>
  <c r="B18" i="52"/>
  <c r="C18" i="52"/>
  <c r="D18" i="52"/>
  <c r="E18" i="52"/>
  <c r="F18" i="52"/>
  <c r="B19" i="52"/>
  <c r="C19" i="52"/>
  <c r="D19" i="52"/>
  <c r="E19" i="52"/>
  <c r="F19" i="52"/>
  <c r="B20" i="52"/>
  <c r="C20" i="52"/>
  <c r="D20" i="52"/>
  <c r="E20" i="52"/>
  <c r="F20" i="52"/>
  <c r="B21" i="52"/>
  <c r="C21" i="52"/>
  <c r="D21" i="52"/>
  <c r="E21" i="52"/>
  <c r="F21" i="52"/>
  <c r="B22" i="52"/>
  <c r="C22" i="52"/>
  <c r="D22" i="52"/>
  <c r="E22" i="52"/>
  <c r="F22" i="52"/>
  <c r="B23" i="52"/>
  <c r="C23" i="52"/>
  <c r="D23" i="52"/>
  <c r="E23" i="52"/>
  <c r="F23" i="52"/>
  <c r="B24" i="52"/>
  <c r="C24" i="52"/>
  <c r="D24" i="52"/>
  <c r="E24" i="52"/>
  <c r="F24" i="52"/>
  <c r="B25" i="52"/>
  <c r="C25" i="52"/>
  <c r="D25" i="52"/>
  <c r="E25" i="52"/>
  <c r="F25" i="52"/>
  <c r="B26" i="52"/>
  <c r="C26" i="52"/>
  <c r="D26" i="52"/>
  <c r="E26" i="52"/>
  <c r="F26" i="52"/>
  <c r="B27" i="52"/>
  <c r="C27" i="52"/>
  <c r="D27" i="52"/>
  <c r="E27" i="52"/>
  <c r="F27" i="52"/>
  <c r="B28" i="52"/>
  <c r="C28" i="52"/>
  <c r="D28" i="52"/>
  <c r="E28" i="52"/>
  <c r="F28" i="52"/>
  <c r="B29" i="52"/>
  <c r="C29" i="52"/>
  <c r="D29" i="52"/>
  <c r="E29" i="52"/>
  <c r="F29" i="52"/>
  <c r="B30" i="52"/>
  <c r="C30" i="52"/>
  <c r="D30" i="52"/>
  <c r="E30" i="52"/>
  <c r="F30" i="52"/>
  <c r="B31" i="52"/>
  <c r="C31" i="52"/>
  <c r="D31" i="52"/>
  <c r="E31" i="52"/>
  <c r="F31" i="52"/>
  <c r="B32" i="52"/>
  <c r="C32" i="52"/>
  <c r="D32" i="52"/>
  <c r="E32" i="52"/>
  <c r="F32" i="52"/>
  <c r="B33" i="52"/>
  <c r="C33" i="52"/>
  <c r="D33" i="52"/>
  <c r="E33" i="52"/>
  <c r="F33" i="52"/>
  <c r="C7" i="52"/>
  <c r="D7" i="52"/>
  <c r="E7" i="52"/>
  <c r="F7" i="52"/>
  <c r="B7" i="52"/>
  <c r="G8" i="52"/>
  <c r="G9" i="52"/>
  <c r="G10" i="52"/>
  <c r="G11" i="52"/>
  <c r="G12" i="52"/>
  <c r="G13" i="52"/>
  <c r="G14" i="52"/>
  <c r="G15" i="52"/>
  <c r="G16" i="52"/>
  <c r="G17" i="52"/>
  <c r="G18" i="52"/>
  <c r="G19" i="52"/>
  <c r="G20" i="52"/>
  <c r="G21" i="52"/>
  <c r="G22" i="52"/>
  <c r="G23" i="52"/>
  <c r="G24" i="52"/>
  <c r="G25" i="52"/>
  <c r="G26" i="52"/>
  <c r="G27" i="52"/>
  <c r="G28" i="52"/>
  <c r="G29" i="52"/>
  <c r="G30" i="52"/>
  <c r="G31" i="52"/>
  <c r="G32" i="52"/>
  <c r="G33" i="52"/>
  <c r="G7" i="52"/>
  <c r="A24" i="53"/>
  <c r="B2" i="53"/>
  <c r="C8" i="53"/>
  <c r="E8" i="53"/>
  <c r="G8" i="53"/>
  <c r="C9" i="53"/>
  <c r="E9" i="53"/>
  <c r="G9" i="53"/>
  <c r="C10" i="53"/>
  <c r="E10" i="53"/>
  <c r="G10" i="53"/>
  <c r="C11" i="53"/>
  <c r="E11" i="53"/>
  <c r="G11" i="53"/>
  <c r="C12" i="53"/>
  <c r="E12" i="53"/>
  <c r="G12" i="53"/>
  <c r="C13" i="53"/>
  <c r="E13" i="53"/>
  <c r="G13" i="53"/>
  <c r="C14" i="53"/>
  <c r="E14" i="53"/>
  <c r="G14" i="53"/>
  <c r="C15" i="53"/>
  <c r="E15" i="53"/>
  <c r="G15" i="53"/>
  <c r="C16" i="53"/>
  <c r="E16" i="53"/>
  <c r="G16" i="53"/>
  <c r="C17" i="53"/>
  <c r="E17" i="53"/>
  <c r="G17" i="53"/>
  <c r="C18" i="53"/>
  <c r="E18" i="53"/>
  <c r="G18" i="53"/>
  <c r="C19" i="53"/>
  <c r="E19" i="53"/>
  <c r="G19" i="53"/>
  <c r="C20" i="53"/>
  <c r="E20" i="53"/>
  <c r="G20" i="53"/>
  <c r="C21" i="53"/>
  <c r="E21" i="53"/>
  <c r="G21" i="53"/>
  <c r="C22" i="53"/>
  <c r="E22" i="53"/>
  <c r="G22" i="53"/>
  <c r="C23" i="53"/>
  <c r="E23" i="53"/>
  <c r="G23" i="53"/>
  <c r="E7" i="53"/>
  <c r="G7" i="53"/>
  <c r="C7" i="53"/>
  <c r="B7" i="53"/>
  <c r="F7" i="53"/>
  <c r="D7" i="53"/>
  <c r="F23" i="53"/>
  <c r="D23" i="53"/>
  <c r="B23" i="53"/>
  <c r="F22" i="53"/>
  <c r="D22" i="53"/>
  <c r="B22" i="53"/>
  <c r="F21" i="53"/>
  <c r="D21" i="53"/>
  <c r="B21" i="53"/>
  <c r="F20" i="53"/>
  <c r="D20" i="53"/>
  <c r="B20" i="53"/>
  <c r="F19" i="53"/>
  <c r="D19" i="53"/>
  <c r="B19" i="53"/>
  <c r="F18" i="53"/>
  <c r="D18" i="53"/>
  <c r="B18" i="53"/>
  <c r="F17" i="53"/>
  <c r="D17" i="53"/>
  <c r="B17" i="53"/>
  <c r="F16" i="53"/>
  <c r="D16" i="53"/>
  <c r="B16" i="53"/>
  <c r="F15" i="53"/>
  <c r="D15" i="53"/>
  <c r="B15" i="53"/>
  <c r="F14" i="53"/>
  <c r="D14" i="53"/>
  <c r="B14" i="53"/>
  <c r="F13" i="53"/>
  <c r="D13" i="53"/>
  <c r="B13" i="53"/>
  <c r="F12" i="53"/>
  <c r="D12" i="53"/>
  <c r="B12" i="53"/>
  <c r="F11" i="53"/>
  <c r="D11" i="53"/>
  <c r="B11" i="53"/>
  <c r="F10" i="53"/>
  <c r="D10" i="53"/>
  <c r="B10" i="53"/>
  <c r="F9" i="53"/>
  <c r="D9" i="53"/>
  <c r="B9" i="53"/>
  <c r="F8" i="53"/>
  <c r="D8" i="53"/>
  <c r="B8" i="53"/>
  <c r="A2" i="54"/>
  <c r="A34" i="54"/>
  <c r="B7" i="54"/>
  <c r="F7" i="54"/>
  <c r="E7" i="54"/>
  <c r="D7" i="54"/>
  <c r="C7" i="54"/>
  <c r="E33" i="54"/>
  <c r="F33" i="54"/>
  <c r="D33" i="54"/>
  <c r="C33" i="54"/>
  <c r="B33" i="54"/>
  <c r="F32" i="54"/>
  <c r="E32" i="54"/>
  <c r="D32" i="54"/>
  <c r="C32" i="54"/>
  <c r="B32" i="54"/>
  <c r="F31" i="54"/>
  <c r="E31" i="54"/>
  <c r="D31" i="54"/>
  <c r="C31" i="54"/>
  <c r="B31" i="54"/>
  <c r="F30" i="54"/>
  <c r="E30" i="54"/>
  <c r="D30" i="54"/>
  <c r="C30" i="54"/>
  <c r="B30" i="54"/>
  <c r="F29" i="54"/>
  <c r="E29" i="54"/>
  <c r="D29" i="54"/>
  <c r="C29" i="54"/>
  <c r="B29" i="54"/>
  <c r="F28" i="54"/>
  <c r="E28" i="54"/>
  <c r="D28" i="54"/>
  <c r="C28" i="54"/>
  <c r="B28" i="54"/>
  <c r="F27" i="54"/>
  <c r="E27" i="54"/>
  <c r="D27" i="54"/>
  <c r="C27" i="54"/>
  <c r="B27" i="54"/>
  <c r="F26" i="54"/>
  <c r="E26" i="54"/>
  <c r="D26" i="54"/>
  <c r="C26" i="54"/>
  <c r="B26" i="54"/>
  <c r="F25" i="54"/>
  <c r="E25" i="54"/>
  <c r="D25" i="54"/>
  <c r="C25" i="54"/>
  <c r="B25" i="54"/>
  <c r="F24" i="54"/>
  <c r="E24" i="54"/>
  <c r="D24" i="54"/>
  <c r="C24" i="54"/>
  <c r="B24" i="54"/>
  <c r="F23" i="54"/>
  <c r="E23" i="54"/>
  <c r="D23" i="54"/>
  <c r="C23" i="54"/>
  <c r="B23" i="54"/>
  <c r="F22" i="54"/>
  <c r="E22" i="54"/>
  <c r="D22" i="54"/>
  <c r="C22" i="54"/>
  <c r="B22" i="54"/>
  <c r="F21" i="54"/>
  <c r="E21" i="54"/>
  <c r="D21" i="54"/>
  <c r="C21" i="54"/>
  <c r="B21" i="54"/>
  <c r="F20" i="54"/>
  <c r="E20" i="54"/>
  <c r="D20" i="54"/>
  <c r="C20" i="54"/>
  <c r="B20" i="54"/>
  <c r="F19" i="54"/>
  <c r="E19" i="54"/>
  <c r="D19" i="54"/>
  <c r="C19" i="54"/>
  <c r="B19" i="54"/>
  <c r="F18" i="54"/>
  <c r="E18" i="54"/>
  <c r="D18" i="54"/>
  <c r="C18" i="54"/>
  <c r="B18" i="54"/>
  <c r="F17" i="54"/>
  <c r="E17" i="54"/>
  <c r="D17" i="54"/>
  <c r="C17" i="54"/>
  <c r="B17" i="54"/>
  <c r="F16" i="54"/>
  <c r="E16" i="54"/>
  <c r="D16" i="54"/>
  <c r="C16" i="54"/>
  <c r="B16" i="54"/>
  <c r="F15" i="54"/>
  <c r="E15" i="54"/>
  <c r="D15" i="54"/>
  <c r="C15" i="54"/>
  <c r="B15" i="54"/>
  <c r="F14" i="54"/>
  <c r="E14" i="54"/>
  <c r="D14" i="54"/>
  <c r="C14" i="54"/>
  <c r="B14" i="54"/>
  <c r="F13" i="54"/>
  <c r="E13" i="54"/>
  <c r="D13" i="54"/>
  <c r="C13" i="54"/>
  <c r="B13" i="54"/>
  <c r="F12" i="54"/>
  <c r="E12" i="54"/>
  <c r="D12" i="54"/>
  <c r="C12" i="54"/>
  <c r="B12" i="54"/>
  <c r="F11" i="54"/>
  <c r="E11" i="54"/>
  <c r="D11" i="54"/>
  <c r="C11" i="54"/>
  <c r="B11" i="54"/>
  <c r="F10" i="54"/>
  <c r="E10" i="54"/>
  <c r="D10" i="54"/>
  <c r="C10" i="54"/>
  <c r="B10" i="54"/>
  <c r="F9" i="54"/>
  <c r="E9" i="54"/>
  <c r="D9" i="54"/>
  <c r="C9" i="54"/>
  <c r="B9" i="54"/>
  <c r="F8" i="54"/>
  <c r="E8" i="54"/>
  <c r="D8" i="54"/>
  <c r="C8" i="54"/>
  <c r="B8" i="54"/>
  <c r="G33" i="54"/>
  <c r="G8" i="54"/>
  <c r="G9" i="54"/>
  <c r="G10" i="54"/>
  <c r="G11" i="54"/>
  <c r="G12" i="54"/>
  <c r="G13" i="54"/>
  <c r="G14" i="54"/>
  <c r="G15" i="54"/>
  <c r="G16" i="54"/>
  <c r="G17" i="54"/>
  <c r="G18" i="54"/>
  <c r="G19" i="54"/>
  <c r="G20" i="54"/>
  <c r="G21" i="54"/>
  <c r="G22" i="54"/>
  <c r="G23" i="54"/>
  <c r="G24" i="54"/>
  <c r="G25" i="54"/>
  <c r="G26" i="54"/>
  <c r="G27" i="54"/>
  <c r="G28" i="54"/>
  <c r="G29" i="54"/>
  <c r="G30" i="54"/>
  <c r="G31" i="54"/>
  <c r="G32" i="54"/>
  <c r="G7" i="54"/>
  <c r="B2" i="55"/>
  <c r="A24" i="55"/>
  <c r="C7" i="55"/>
  <c r="E7" i="55"/>
  <c r="G7" i="55"/>
  <c r="G23" i="55"/>
  <c r="E23" i="55"/>
  <c r="C23" i="55"/>
  <c r="G22" i="55"/>
  <c r="E22" i="55"/>
  <c r="C22" i="55"/>
  <c r="G21" i="55"/>
  <c r="E21" i="55"/>
  <c r="C21" i="55"/>
  <c r="G20" i="55"/>
  <c r="E20" i="55"/>
  <c r="C20" i="55"/>
  <c r="G19" i="55"/>
  <c r="E19" i="55"/>
  <c r="C19" i="55"/>
  <c r="G18" i="55"/>
  <c r="E18" i="55"/>
  <c r="C18" i="55"/>
  <c r="G17" i="55"/>
  <c r="E17" i="55"/>
  <c r="C17" i="55"/>
  <c r="G16" i="55"/>
  <c r="E16" i="55"/>
  <c r="C16" i="55"/>
  <c r="G15" i="55"/>
  <c r="E15" i="55"/>
  <c r="C15" i="55"/>
  <c r="G14" i="55"/>
  <c r="E14" i="55"/>
  <c r="C14" i="55"/>
  <c r="G13" i="55"/>
  <c r="E13" i="55"/>
  <c r="C13" i="55"/>
  <c r="G12" i="55"/>
  <c r="E12" i="55"/>
  <c r="C12" i="55"/>
  <c r="G11" i="55"/>
  <c r="E11" i="55"/>
  <c r="C11" i="55"/>
  <c r="G10" i="55"/>
  <c r="E10" i="55"/>
  <c r="C10" i="55"/>
  <c r="G9" i="55"/>
  <c r="E9" i="55"/>
  <c r="C9" i="55"/>
  <c r="G8" i="55"/>
  <c r="E8" i="55"/>
  <c r="C8" i="55"/>
  <c r="B7" i="55"/>
  <c r="D7" i="55"/>
  <c r="F7" i="55"/>
  <c r="F23" i="55"/>
  <c r="D23" i="55"/>
  <c r="B23" i="55"/>
  <c r="F22" i="55"/>
  <c r="D22" i="55"/>
  <c r="B22" i="55"/>
  <c r="F21" i="55"/>
  <c r="D21" i="55"/>
  <c r="B21" i="55"/>
  <c r="F20" i="55"/>
  <c r="D20" i="55"/>
  <c r="B20" i="55"/>
  <c r="F19" i="55"/>
  <c r="D19" i="55"/>
  <c r="B19" i="55"/>
  <c r="F18" i="55"/>
  <c r="D18" i="55"/>
  <c r="B18" i="55"/>
  <c r="F17" i="55"/>
  <c r="D17" i="55"/>
  <c r="B17" i="55"/>
  <c r="F16" i="55"/>
  <c r="D16" i="55"/>
  <c r="B16" i="55"/>
  <c r="F15" i="55"/>
  <c r="D15" i="55"/>
  <c r="B15" i="55"/>
  <c r="F14" i="55"/>
  <c r="D14" i="55"/>
  <c r="B14" i="55"/>
  <c r="F13" i="55"/>
  <c r="D13" i="55"/>
  <c r="B13" i="55"/>
  <c r="F12" i="55"/>
  <c r="D12" i="55"/>
  <c r="B12" i="55"/>
  <c r="F11" i="55"/>
  <c r="D11" i="55"/>
  <c r="B11" i="55"/>
  <c r="F10" i="55"/>
  <c r="D10" i="55"/>
  <c r="B10" i="55"/>
  <c r="F9" i="55"/>
  <c r="D9" i="55"/>
  <c r="B9" i="55"/>
  <c r="F8" i="55"/>
  <c r="D8" i="55"/>
  <c r="B8" i="55"/>
  <c r="J32" i="56"/>
  <c r="J31" i="56"/>
  <c r="J30" i="56"/>
  <c r="J29" i="56"/>
  <c r="J28" i="56"/>
  <c r="J27" i="56"/>
  <c r="J26" i="56"/>
  <c r="J25" i="56"/>
  <c r="J24" i="56"/>
  <c r="J23" i="56"/>
  <c r="J22" i="56"/>
  <c r="J21" i="56"/>
  <c r="J20" i="56"/>
  <c r="J19" i="56"/>
  <c r="J18" i="56"/>
  <c r="J17" i="56"/>
  <c r="J16" i="56"/>
  <c r="J15" i="56"/>
  <c r="J14" i="56"/>
  <c r="J13" i="56"/>
  <c r="J12" i="56"/>
  <c r="J11" i="56"/>
  <c r="J10" i="56"/>
  <c r="J9" i="56"/>
  <c r="J8" i="56"/>
  <c r="J7" i="56"/>
  <c r="J6" i="56"/>
  <c r="C7" i="56"/>
  <c r="D7" i="56"/>
  <c r="E7" i="56"/>
  <c r="F7" i="56"/>
  <c r="G7" i="56"/>
  <c r="H7" i="56"/>
  <c r="I7" i="56"/>
  <c r="C8" i="56"/>
  <c r="D8" i="56"/>
  <c r="E8" i="56"/>
  <c r="F8" i="56"/>
  <c r="G8" i="56"/>
  <c r="H8" i="56"/>
  <c r="I8" i="56"/>
  <c r="C9" i="56"/>
  <c r="D9" i="56"/>
  <c r="E9" i="56"/>
  <c r="F9" i="56"/>
  <c r="G9" i="56"/>
  <c r="H9" i="56"/>
  <c r="I9" i="56"/>
  <c r="C10" i="56"/>
  <c r="D10" i="56"/>
  <c r="E10" i="56"/>
  <c r="F10" i="56"/>
  <c r="G10" i="56"/>
  <c r="H10" i="56"/>
  <c r="I10" i="56"/>
  <c r="C11" i="56"/>
  <c r="D11" i="56"/>
  <c r="E11" i="56"/>
  <c r="F11" i="56"/>
  <c r="G11" i="56"/>
  <c r="H11" i="56"/>
  <c r="I11" i="56"/>
  <c r="C12" i="56"/>
  <c r="D12" i="56"/>
  <c r="E12" i="56"/>
  <c r="F12" i="56"/>
  <c r="G12" i="56"/>
  <c r="H12" i="56"/>
  <c r="I12" i="56"/>
  <c r="C13" i="56"/>
  <c r="D13" i="56"/>
  <c r="E13" i="56"/>
  <c r="F13" i="56"/>
  <c r="G13" i="56"/>
  <c r="H13" i="56"/>
  <c r="I13" i="56"/>
  <c r="C14" i="56"/>
  <c r="D14" i="56"/>
  <c r="E14" i="56"/>
  <c r="F14" i="56"/>
  <c r="G14" i="56"/>
  <c r="H14" i="56"/>
  <c r="I14" i="56"/>
  <c r="C15" i="56"/>
  <c r="D15" i="56"/>
  <c r="E15" i="56"/>
  <c r="F15" i="56"/>
  <c r="G15" i="56"/>
  <c r="H15" i="56"/>
  <c r="I15" i="56"/>
  <c r="C16" i="56"/>
  <c r="D16" i="56"/>
  <c r="E16" i="56"/>
  <c r="F16" i="56"/>
  <c r="G16" i="56"/>
  <c r="H16" i="56"/>
  <c r="I16" i="56"/>
  <c r="C17" i="56"/>
  <c r="D17" i="56"/>
  <c r="E17" i="56"/>
  <c r="F17" i="56"/>
  <c r="G17" i="56"/>
  <c r="H17" i="56"/>
  <c r="I17" i="56"/>
  <c r="C18" i="56"/>
  <c r="D18" i="56"/>
  <c r="E18" i="56"/>
  <c r="F18" i="56"/>
  <c r="G18" i="56"/>
  <c r="H18" i="56"/>
  <c r="I18" i="56"/>
  <c r="C19" i="56"/>
  <c r="D19" i="56"/>
  <c r="E19" i="56"/>
  <c r="F19" i="56"/>
  <c r="G19" i="56"/>
  <c r="H19" i="56"/>
  <c r="I19" i="56"/>
  <c r="C20" i="56"/>
  <c r="D20" i="56"/>
  <c r="E20" i="56"/>
  <c r="F20" i="56"/>
  <c r="G20" i="56"/>
  <c r="H20" i="56"/>
  <c r="I20" i="56"/>
  <c r="C21" i="56"/>
  <c r="D21" i="56"/>
  <c r="E21" i="56"/>
  <c r="F21" i="56"/>
  <c r="G21" i="56"/>
  <c r="H21" i="56"/>
  <c r="I21" i="56"/>
  <c r="C22" i="56"/>
  <c r="D22" i="56"/>
  <c r="E22" i="56"/>
  <c r="F22" i="56"/>
  <c r="G22" i="56"/>
  <c r="H22" i="56"/>
  <c r="I22" i="56"/>
  <c r="C23" i="56"/>
  <c r="D23" i="56"/>
  <c r="E23" i="56"/>
  <c r="F23" i="56"/>
  <c r="G23" i="56"/>
  <c r="H23" i="56"/>
  <c r="I23" i="56"/>
  <c r="C24" i="56"/>
  <c r="D24" i="56"/>
  <c r="E24" i="56"/>
  <c r="F24" i="56"/>
  <c r="G24" i="56"/>
  <c r="H24" i="56"/>
  <c r="I24" i="56"/>
  <c r="C25" i="56"/>
  <c r="D25" i="56"/>
  <c r="E25" i="56"/>
  <c r="F25" i="56"/>
  <c r="G25" i="56"/>
  <c r="H25" i="56"/>
  <c r="I25" i="56"/>
  <c r="C26" i="56"/>
  <c r="D26" i="56"/>
  <c r="E26" i="56"/>
  <c r="F26" i="56"/>
  <c r="G26" i="56"/>
  <c r="H26" i="56"/>
  <c r="I26" i="56"/>
  <c r="C27" i="56"/>
  <c r="D27" i="56"/>
  <c r="E27" i="56"/>
  <c r="F27" i="56"/>
  <c r="G27" i="56"/>
  <c r="H27" i="56"/>
  <c r="I27" i="56"/>
  <c r="C28" i="56"/>
  <c r="D28" i="56"/>
  <c r="E28" i="56"/>
  <c r="F28" i="56"/>
  <c r="G28" i="56"/>
  <c r="H28" i="56"/>
  <c r="I28" i="56"/>
  <c r="C29" i="56"/>
  <c r="D29" i="56"/>
  <c r="E29" i="56"/>
  <c r="F29" i="56"/>
  <c r="G29" i="56"/>
  <c r="H29" i="56"/>
  <c r="I29" i="56"/>
  <c r="C30" i="56"/>
  <c r="D30" i="56"/>
  <c r="E30" i="56"/>
  <c r="F30" i="56"/>
  <c r="G30" i="56"/>
  <c r="H30" i="56"/>
  <c r="I30" i="56"/>
  <c r="C31" i="56"/>
  <c r="D31" i="56"/>
  <c r="E31" i="56"/>
  <c r="F31" i="56"/>
  <c r="G31" i="56"/>
  <c r="H31" i="56"/>
  <c r="I31" i="56"/>
  <c r="C32" i="56"/>
  <c r="D32" i="56"/>
  <c r="E32" i="56"/>
  <c r="F32" i="56"/>
  <c r="G32" i="56"/>
  <c r="H32" i="56"/>
  <c r="I32" i="56"/>
  <c r="D6" i="56"/>
  <c r="E6" i="56"/>
  <c r="F6" i="56"/>
  <c r="G6" i="56"/>
  <c r="H6" i="56"/>
  <c r="I6" i="56"/>
  <c r="C6" i="56"/>
  <c r="B8" i="57"/>
  <c r="G8" i="57"/>
  <c r="F8" i="57"/>
  <c r="E8" i="57"/>
  <c r="D8" i="57"/>
  <c r="C8" i="57"/>
  <c r="G34" i="57"/>
  <c r="F34" i="57"/>
  <c r="E34" i="57"/>
  <c r="D34" i="57"/>
  <c r="C34" i="57"/>
  <c r="B34" i="57"/>
  <c r="G33" i="57"/>
  <c r="F33" i="57"/>
  <c r="E33" i="57"/>
  <c r="D33" i="57"/>
  <c r="C33" i="57"/>
  <c r="B33" i="57"/>
  <c r="G32" i="57"/>
  <c r="F32" i="57"/>
  <c r="E32" i="57"/>
  <c r="D32" i="57"/>
  <c r="C32" i="57"/>
  <c r="B32" i="57"/>
  <c r="G31" i="57"/>
  <c r="F31" i="57"/>
  <c r="E31" i="57"/>
  <c r="D31" i="57"/>
  <c r="C31" i="57"/>
  <c r="B31" i="57"/>
  <c r="G30" i="57"/>
  <c r="F30" i="57"/>
  <c r="E30" i="57"/>
  <c r="D30" i="57"/>
  <c r="C30" i="57"/>
  <c r="B30" i="57"/>
  <c r="G29" i="57"/>
  <c r="F29" i="57"/>
  <c r="E29" i="57"/>
  <c r="D29" i="57"/>
  <c r="C29" i="57"/>
  <c r="B29" i="57"/>
  <c r="G28" i="57"/>
  <c r="F28" i="57"/>
  <c r="E28" i="57"/>
  <c r="D28" i="57"/>
  <c r="C28" i="57"/>
  <c r="B28" i="57"/>
  <c r="G27" i="57"/>
  <c r="F27" i="57"/>
  <c r="E27" i="57"/>
  <c r="D27" i="57"/>
  <c r="C27" i="57"/>
  <c r="B27" i="57"/>
  <c r="G26" i="57"/>
  <c r="F26" i="57"/>
  <c r="E26" i="57"/>
  <c r="D26" i="57"/>
  <c r="C26" i="57"/>
  <c r="B26" i="57"/>
  <c r="G25" i="57"/>
  <c r="F25" i="57"/>
  <c r="E25" i="57"/>
  <c r="D25" i="57"/>
  <c r="C25" i="57"/>
  <c r="B25" i="57"/>
  <c r="G24" i="57"/>
  <c r="F24" i="57"/>
  <c r="E24" i="57"/>
  <c r="D24" i="57"/>
  <c r="C24" i="57"/>
  <c r="B24" i="57"/>
  <c r="G23" i="57"/>
  <c r="F23" i="57"/>
  <c r="E23" i="57"/>
  <c r="D23" i="57"/>
  <c r="C23" i="57"/>
  <c r="B23" i="57"/>
  <c r="G22" i="57"/>
  <c r="F22" i="57"/>
  <c r="E22" i="57"/>
  <c r="D22" i="57"/>
  <c r="C22" i="57"/>
  <c r="B22" i="57"/>
  <c r="G21" i="57"/>
  <c r="F21" i="57"/>
  <c r="E21" i="57"/>
  <c r="D21" i="57"/>
  <c r="C21" i="57"/>
  <c r="B21" i="57"/>
  <c r="G20" i="57"/>
  <c r="F20" i="57"/>
  <c r="E20" i="57"/>
  <c r="D20" i="57"/>
  <c r="C20" i="57"/>
  <c r="B20" i="57"/>
  <c r="G19" i="57"/>
  <c r="F19" i="57"/>
  <c r="E19" i="57"/>
  <c r="D19" i="57"/>
  <c r="C19" i="57"/>
  <c r="B19" i="57"/>
  <c r="G18" i="57"/>
  <c r="F18" i="57"/>
  <c r="E18" i="57"/>
  <c r="D18" i="57"/>
  <c r="C18" i="57"/>
  <c r="B18" i="57"/>
  <c r="G17" i="57"/>
  <c r="F17" i="57"/>
  <c r="E17" i="57"/>
  <c r="D17" i="57"/>
  <c r="C17" i="57"/>
  <c r="B17" i="57"/>
  <c r="G16" i="57"/>
  <c r="F16" i="57"/>
  <c r="E16" i="57"/>
  <c r="D16" i="57"/>
  <c r="C16" i="57"/>
  <c r="B16" i="57"/>
  <c r="G15" i="57"/>
  <c r="F15" i="57"/>
  <c r="E15" i="57"/>
  <c r="D15" i="57"/>
  <c r="C15" i="57"/>
  <c r="B15" i="57"/>
  <c r="G14" i="57"/>
  <c r="F14" i="57"/>
  <c r="E14" i="57"/>
  <c r="D14" i="57"/>
  <c r="C14" i="57"/>
  <c r="B14" i="57"/>
  <c r="G13" i="57"/>
  <c r="F13" i="57"/>
  <c r="E13" i="57"/>
  <c r="D13" i="57"/>
  <c r="C13" i="57"/>
  <c r="B13" i="57"/>
  <c r="G12" i="57"/>
  <c r="F12" i="57"/>
  <c r="E12" i="57"/>
  <c r="D12" i="57"/>
  <c r="C12" i="57"/>
  <c r="B12" i="57"/>
  <c r="G11" i="57"/>
  <c r="F11" i="57"/>
  <c r="E11" i="57"/>
  <c r="D11" i="57"/>
  <c r="C11" i="57"/>
  <c r="B11" i="57"/>
  <c r="G10" i="57"/>
  <c r="F10" i="57"/>
  <c r="E10" i="57"/>
  <c r="D10" i="57"/>
  <c r="C10" i="57"/>
  <c r="B10" i="57"/>
  <c r="G9" i="57"/>
  <c r="F9" i="57"/>
  <c r="E9" i="57"/>
  <c r="D9" i="57"/>
  <c r="C9" i="57"/>
  <c r="B9" i="57"/>
  <c r="H8" i="57"/>
  <c r="H9" i="57"/>
  <c r="H10" i="57"/>
  <c r="H11" i="57"/>
  <c r="H12" i="57"/>
  <c r="H13" i="57"/>
  <c r="H14" i="57"/>
  <c r="H15" i="57"/>
  <c r="H16" i="57"/>
  <c r="H17" i="57"/>
  <c r="H18" i="57"/>
  <c r="H19" i="57"/>
  <c r="H20" i="57"/>
  <c r="H21" i="57"/>
  <c r="H22" i="57"/>
  <c r="H23" i="57"/>
  <c r="H24" i="57"/>
  <c r="H25" i="57"/>
  <c r="H26" i="57"/>
  <c r="H27" i="57"/>
  <c r="H28" i="57"/>
  <c r="H29" i="57"/>
  <c r="H30" i="57"/>
  <c r="H31" i="57"/>
  <c r="H32" i="57"/>
  <c r="H33" i="57"/>
  <c r="H34" i="57"/>
  <c r="I8" i="57"/>
  <c r="I34" i="57"/>
  <c r="I33" i="57"/>
  <c r="I32" i="57"/>
  <c r="I31" i="57"/>
  <c r="I30" i="57"/>
  <c r="I29" i="57"/>
  <c r="I28" i="57"/>
  <c r="I27" i="57"/>
  <c r="I26" i="57"/>
  <c r="I25" i="57"/>
  <c r="I24" i="57"/>
  <c r="I23" i="57"/>
  <c r="I22" i="57"/>
  <c r="I21" i="57"/>
  <c r="I20" i="57"/>
  <c r="I19" i="57"/>
  <c r="I18" i="57"/>
  <c r="I17" i="57"/>
  <c r="I16" i="57"/>
  <c r="I15" i="57"/>
  <c r="I14" i="57"/>
  <c r="I13" i="57"/>
  <c r="I12" i="57"/>
  <c r="I11" i="57"/>
  <c r="I10" i="57"/>
  <c r="I9" i="57"/>
  <c r="J33" i="58"/>
  <c r="J32" i="58"/>
  <c r="J31" i="58"/>
  <c r="J30" i="58"/>
  <c r="J29" i="58"/>
  <c r="J28" i="58"/>
  <c r="J27" i="58"/>
  <c r="J26" i="58"/>
  <c r="J25" i="58"/>
  <c r="J24" i="58"/>
  <c r="J23" i="58"/>
  <c r="J22" i="58"/>
  <c r="J21" i="58"/>
  <c r="J20" i="58"/>
  <c r="J19" i="58"/>
  <c r="J18" i="58"/>
  <c r="J17" i="58"/>
  <c r="J16" i="58"/>
  <c r="J15" i="58"/>
  <c r="J14" i="58"/>
  <c r="J13" i="58"/>
  <c r="J12" i="58"/>
  <c r="J11" i="58"/>
  <c r="J10" i="58"/>
  <c r="J9" i="58"/>
  <c r="J8" i="58"/>
  <c r="J7" i="58"/>
  <c r="D8" i="58"/>
  <c r="E8" i="58"/>
  <c r="F8" i="58"/>
  <c r="G8" i="58"/>
  <c r="H8" i="58"/>
  <c r="I8" i="58"/>
  <c r="D9" i="58"/>
  <c r="E9" i="58"/>
  <c r="F9" i="58"/>
  <c r="G9" i="58"/>
  <c r="H9" i="58"/>
  <c r="I9" i="58"/>
  <c r="D10" i="58"/>
  <c r="E10" i="58"/>
  <c r="F10" i="58"/>
  <c r="G10" i="58"/>
  <c r="H10" i="58"/>
  <c r="I10" i="58"/>
  <c r="D11" i="58"/>
  <c r="E11" i="58"/>
  <c r="F11" i="58"/>
  <c r="G11" i="58"/>
  <c r="H11" i="58"/>
  <c r="I11" i="58"/>
  <c r="D12" i="58"/>
  <c r="E12" i="58"/>
  <c r="F12" i="58"/>
  <c r="G12" i="58"/>
  <c r="H12" i="58"/>
  <c r="I12" i="58"/>
  <c r="D13" i="58"/>
  <c r="E13" i="58"/>
  <c r="F13" i="58"/>
  <c r="G13" i="58"/>
  <c r="H13" i="58"/>
  <c r="I13" i="58"/>
  <c r="D14" i="58"/>
  <c r="E14" i="58"/>
  <c r="F14" i="58"/>
  <c r="G14" i="58"/>
  <c r="H14" i="58"/>
  <c r="I14" i="58"/>
  <c r="D15" i="58"/>
  <c r="E15" i="58"/>
  <c r="F15" i="58"/>
  <c r="G15" i="58"/>
  <c r="H15" i="58"/>
  <c r="I15" i="58"/>
  <c r="D16" i="58"/>
  <c r="E16" i="58"/>
  <c r="F16" i="58"/>
  <c r="G16" i="58"/>
  <c r="H16" i="58"/>
  <c r="I16" i="58"/>
  <c r="D17" i="58"/>
  <c r="E17" i="58"/>
  <c r="F17" i="58"/>
  <c r="G17" i="58"/>
  <c r="H17" i="58"/>
  <c r="I17" i="58"/>
  <c r="D18" i="58"/>
  <c r="E18" i="58"/>
  <c r="F18" i="58"/>
  <c r="G18" i="58"/>
  <c r="H18" i="58"/>
  <c r="I18" i="58"/>
  <c r="D19" i="58"/>
  <c r="E19" i="58"/>
  <c r="F19" i="58"/>
  <c r="G19" i="58"/>
  <c r="H19" i="58"/>
  <c r="I19" i="58"/>
  <c r="D20" i="58"/>
  <c r="E20" i="58"/>
  <c r="F20" i="58"/>
  <c r="G20" i="58"/>
  <c r="H20" i="58"/>
  <c r="I20" i="58"/>
  <c r="D21" i="58"/>
  <c r="E21" i="58"/>
  <c r="F21" i="58"/>
  <c r="G21" i="58"/>
  <c r="H21" i="58"/>
  <c r="I21" i="58"/>
  <c r="D22" i="58"/>
  <c r="E22" i="58"/>
  <c r="F22" i="58"/>
  <c r="G22" i="58"/>
  <c r="H22" i="58"/>
  <c r="I22" i="58"/>
  <c r="D23" i="58"/>
  <c r="E23" i="58"/>
  <c r="F23" i="58"/>
  <c r="G23" i="58"/>
  <c r="H23" i="58"/>
  <c r="I23" i="58"/>
  <c r="D24" i="58"/>
  <c r="E24" i="58"/>
  <c r="F24" i="58"/>
  <c r="G24" i="58"/>
  <c r="H24" i="58"/>
  <c r="I24" i="58"/>
  <c r="D25" i="58"/>
  <c r="E25" i="58"/>
  <c r="F25" i="58"/>
  <c r="G25" i="58"/>
  <c r="H25" i="58"/>
  <c r="I25" i="58"/>
  <c r="D26" i="58"/>
  <c r="E26" i="58"/>
  <c r="F26" i="58"/>
  <c r="G26" i="58"/>
  <c r="H26" i="58"/>
  <c r="I26" i="58"/>
  <c r="D27" i="58"/>
  <c r="E27" i="58"/>
  <c r="F27" i="58"/>
  <c r="G27" i="58"/>
  <c r="H27" i="58"/>
  <c r="I27" i="58"/>
  <c r="D28" i="58"/>
  <c r="E28" i="58"/>
  <c r="F28" i="58"/>
  <c r="G28" i="58"/>
  <c r="H28" i="58"/>
  <c r="I28" i="58"/>
  <c r="D29" i="58"/>
  <c r="E29" i="58"/>
  <c r="F29" i="58"/>
  <c r="G29" i="58"/>
  <c r="H29" i="58"/>
  <c r="I29" i="58"/>
  <c r="D30" i="58"/>
  <c r="E30" i="58"/>
  <c r="F30" i="58"/>
  <c r="G30" i="58"/>
  <c r="H30" i="58"/>
  <c r="I30" i="58"/>
  <c r="D31" i="58"/>
  <c r="E31" i="58"/>
  <c r="F31" i="58"/>
  <c r="G31" i="58"/>
  <c r="H31" i="58"/>
  <c r="I31" i="58"/>
  <c r="D32" i="58"/>
  <c r="E32" i="58"/>
  <c r="F32" i="58"/>
  <c r="G32" i="58"/>
  <c r="H32" i="58"/>
  <c r="I32" i="58"/>
  <c r="D33" i="58"/>
  <c r="E33" i="58"/>
  <c r="F33" i="58"/>
  <c r="G33" i="58"/>
  <c r="H33" i="58"/>
  <c r="I33" i="58"/>
  <c r="D7" i="58"/>
  <c r="E7" i="58"/>
  <c r="F7" i="58"/>
  <c r="G7" i="58"/>
  <c r="H7" i="58"/>
  <c r="I7" i="58"/>
  <c r="C7" i="58"/>
  <c r="C9" i="58"/>
  <c r="C10" i="58"/>
  <c r="C8" i="58"/>
  <c r="C32" i="58"/>
  <c r="C31" i="58"/>
  <c r="C30" i="58"/>
  <c r="C29" i="58"/>
  <c r="C28" i="58"/>
  <c r="C27" i="58"/>
  <c r="C26" i="58"/>
  <c r="C25" i="58"/>
  <c r="C24" i="58"/>
  <c r="C23" i="58"/>
  <c r="C22" i="58"/>
  <c r="C21" i="58"/>
  <c r="C20" i="58"/>
  <c r="C19" i="58"/>
  <c r="C18" i="58"/>
  <c r="C17" i="58"/>
  <c r="C16" i="58"/>
  <c r="C15" i="58"/>
  <c r="C14" i="58"/>
  <c r="C13" i="58"/>
  <c r="C12" i="58"/>
  <c r="C11" i="58"/>
  <c r="C33" i="58"/>
  <c r="C8" i="59"/>
  <c r="C9" i="59"/>
  <c r="C10" i="59"/>
  <c r="C11" i="59"/>
  <c r="C12" i="59"/>
  <c r="C13" i="59"/>
  <c r="C14" i="59"/>
  <c r="C15" i="59"/>
  <c r="C16" i="59"/>
  <c r="C17" i="59"/>
  <c r="C18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I34" i="59"/>
  <c r="I33" i="59"/>
  <c r="I32" i="59"/>
  <c r="I31" i="59"/>
  <c r="I30" i="59"/>
  <c r="I29" i="59"/>
  <c r="I28" i="59"/>
  <c r="I27" i="59"/>
  <c r="I26" i="59"/>
  <c r="I25" i="59"/>
  <c r="I24" i="59"/>
  <c r="I23" i="59"/>
  <c r="I22" i="59"/>
  <c r="I21" i="59"/>
  <c r="I20" i="59"/>
  <c r="I19" i="59"/>
  <c r="I18" i="59"/>
  <c r="I17" i="59"/>
  <c r="I16" i="59"/>
  <c r="I15" i="59"/>
  <c r="I14" i="59"/>
  <c r="I13" i="59"/>
  <c r="I12" i="59"/>
  <c r="I11" i="59"/>
  <c r="I10" i="59"/>
  <c r="I9" i="59"/>
  <c r="I8" i="59"/>
  <c r="H8" i="59"/>
  <c r="G8" i="59"/>
  <c r="F8" i="59"/>
  <c r="E8" i="59"/>
  <c r="D8" i="59"/>
  <c r="H34" i="59"/>
  <c r="G34" i="59"/>
  <c r="F34" i="59"/>
  <c r="E34" i="59"/>
  <c r="D34" i="59"/>
  <c r="H33" i="59"/>
  <c r="G33" i="59"/>
  <c r="F33" i="59"/>
  <c r="E33" i="59"/>
  <c r="D33" i="59"/>
  <c r="H32" i="59"/>
  <c r="G32" i="59"/>
  <c r="F32" i="59"/>
  <c r="E32" i="59"/>
  <c r="D32" i="59"/>
  <c r="H31" i="59"/>
  <c r="G31" i="59"/>
  <c r="F31" i="59"/>
  <c r="E31" i="59"/>
  <c r="D31" i="59"/>
  <c r="H30" i="59"/>
  <c r="G30" i="59"/>
  <c r="F30" i="59"/>
  <c r="E30" i="59"/>
  <c r="D30" i="59"/>
  <c r="H29" i="59"/>
  <c r="G29" i="59"/>
  <c r="F29" i="59"/>
  <c r="E29" i="59"/>
  <c r="D29" i="59"/>
  <c r="H28" i="59"/>
  <c r="G28" i="59"/>
  <c r="F28" i="59"/>
  <c r="E28" i="59"/>
  <c r="D28" i="59"/>
  <c r="H27" i="59"/>
  <c r="G27" i="59"/>
  <c r="F27" i="59"/>
  <c r="E27" i="59"/>
  <c r="D27" i="59"/>
  <c r="H26" i="59"/>
  <c r="G26" i="59"/>
  <c r="F26" i="59"/>
  <c r="E26" i="59"/>
  <c r="D26" i="59"/>
  <c r="H25" i="59"/>
  <c r="G25" i="59"/>
  <c r="F25" i="59"/>
  <c r="E25" i="59"/>
  <c r="D25" i="59"/>
  <c r="H24" i="59"/>
  <c r="G24" i="59"/>
  <c r="F24" i="59"/>
  <c r="E24" i="59"/>
  <c r="D24" i="59"/>
  <c r="H23" i="59"/>
  <c r="G23" i="59"/>
  <c r="F23" i="59"/>
  <c r="E23" i="59"/>
  <c r="D23" i="59"/>
  <c r="H22" i="59"/>
  <c r="G22" i="59"/>
  <c r="F22" i="59"/>
  <c r="E22" i="59"/>
  <c r="D22" i="59"/>
  <c r="H21" i="59"/>
  <c r="G21" i="59"/>
  <c r="F21" i="59"/>
  <c r="E21" i="59"/>
  <c r="D21" i="59"/>
  <c r="H20" i="59"/>
  <c r="G20" i="59"/>
  <c r="F20" i="59"/>
  <c r="E20" i="59"/>
  <c r="D20" i="59"/>
  <c r="H19" i="59"/>
  <c r="G19" i="59"/>
  <c r="F19" i="59"/>
  <c r="E19" i="59"/>
  <c r="D19" i="59"/>
  <c r="H18" i="59"/>
  <c r="G18" i="59"/>
  <c r="F18" i="59"/>
  <c r="E18" i="59"/>
  <c r="D18" i="59"/>
  <c r="H17" i="59"/>
  <c r="G17" i="59"/>
  <c r="F17" i="59"/>
  <c r="E17" i="59"/>
  <c r="D17" i="59"/>
  <c r="H16" i="59"/>
  <c r="G16" i="59"/>
  <c r="F16" i="59"/>
  <c r="E16" i="59"/>
  <c r="D16" i="59"/>
  <c r="H15" i="59"/>
  <c r="G15" i="59"/>
  <c r="F15" i="59"/>
  <c r="E15" i="59"/>
  <c r="D15" i="59"/>
  <c r="H14" i="59"/>
  <c r="G14" i="59"/>
  <c r="F14" i="59"/>
  <c r="E14" i="59"/>
  <c r="D14" i="59"/>
  <c r="H13" i="59"/>
  <c r="G13" i="59"/>
  <c r="F13" i="59"/>
  <c r="E13" i="59"/>
  <c r="D13" i="59"/>
  <c r="H12" i="59"/>
  <c r="G12" i="59"/>
  <c r="F12" i="59"/>
  <c r="E12" i="59"/>
  <c r="D12" i="59"/>
  <c r="H11" i="59"/>
  <c r="G11" i="59"/>
  <c r="F11" i="59"/>
  <c r="E11" i="59"/>
  <c r="D11" i="59"/>
  <c r="H10" i="59"/>
  <c r="G10" i="59"/>
  <c r="F10" i="59"/>
  <c r="E10" i="59"/>
  <c r="D10" i="59"/>
  <c r="H9" i="59"/>
  <c r="G9" i="59"/>
  <c r="F9" i="59"/>
  <c r="E9" i="59"/>
  <c r="D9" i="59"/>
  <c r="J8" i="59"/>
  <c r="J10" i="59"/>
  <c r="J11" i="59"/>
  <c r="J9" i="59"/>
  <c r="J33" i="59"/>
  <c r="J32" i="59"/>
  <c r="J31" i="59"/>
  <c r="J30" i="59"/>
  <c r="J29" i="59"/>
  <c r="J28" i="59"/>
  <c r="J27" i="59"/>
  <c r="J26" i="59"/>
  <c r="J25" i="59"/>
  <c r="J24" i="59"/>
  <c r="J23" i="59"/>
  <c r="J22" i="59"/>
  <c r="J21" i="59"/>
  <c r="J20" i="59"/>
  <c r="J19" i="59"/>
  <c r="J18" i="59"/>
  <c r="J17" i="59"/>
  <c r="J16" i="59"/>
  <c r="J15" i="59"/>
  <c r="J14" i="59"/>
  <c r="J13" i="59"/>
  <c r="J12" i="59"/>
  <c r="J34" i="59"/>
  <c r="J32" i="60"/>
  <c r="J31" i="60"/>
  <c r="J30" i="60"/>
  <c r="J29" i="60"/>
  <c r="J28" i="60"/>
  <c r="J27" i="60"/>
  <c r="J26" i="60"/>
  <c r="J25" i="60"/>
  <c r="J24" i="60"/>
  <c r="J23" i="60"/>
  <c r="J22" i="60"/>
  <c r="J21" i="60"/>
  <c r="J20" i="60"/>
  <c r="J19" i="60"/>
  <c r="J18" i="60"/>
  <c r="J17" i="60"/>
  <c r="J16" i="60"/>
  <c r="J15" i="60"/>
  <c r="J14" i="60"/>
  <c r="J13" i="60"/>
  <c r="J12" i="60"/>
  <c r="J11" i="60"/>
  <c r="J10" i="60"/>
  <c r="J9" i="60"/>
  <c r="J8" i="60"/>
  <c r="J7" i="60"/>
  <c r="J6" i="60"/>
  <c r="D7" i="60"/>
  <c r="E7" i="60"/>
  <c r="F7" i="60"/>
  <c r="G7" i="60"/>
  <c r="H7" i="60"/>
  <c r="I7" i="60"/>
  <c r="D8" i="60"/>
  <c r="E8" i="60"/>
  <c r="F8" i="60"/>
  <c r="G8" i="60"/>
  <c r="H8" i="60"/>
  <c r="I8" i="60"/>
  <c r="D9" i="60"/>
  <c r="E9" i="60"/>
  <c r="F9" i="60"/>
  <c r="G9" i="60"/>
  <c r="H9" i="60"/>
  <c r="I9" i="60"/>
  <c r="D10" i="60"/>
  <c r="E10" i="60"/>
  <c r="F10" i="60"/>
  <c r="G10" i="60"/>
  <c r="H10" i="60"/>
  <c r="I10" i="60"/>
  <c r="D11" i="60"/>
  <c r="E11" i="60"/>
  <c r="F11" i="60"/>
  <c r="G11" i="60"/>
  <c r="H11" i="60"/>
  <c r="I11" i="60"/>
  <c r="D12" i="60"/>
  <c r="E12" i="60"/>
  <c r="F12" i="60"/>
  <c r="G12" i="60"/>
  <c r="H12" i="60"/>
  <c r="I12" i="60"/>
  <c r="D13" i="60"/>
  <c r="E13" i="60"/>
  <c r="F13" i="60"/>
  <c r="G13" i="60"/>
  <c r="H13" i="60"/>
  <c r="I13" i="60"/>
  <c r="D14" i="60"/>
  <c r="E14" i="60"/>
  <c r="F14" i="60"/>
  <c r="G14" i="60"/>
  <c r="H14" i="60"/>
  <c r="I14" i="60"/>
  <c r="D15" i="60"/>
  <c r="E15" i="60"/>
  <c r="F15" i="60"/>
  <c r="G15" i="60"/>
  <c r="H15" i="60"/>
  <c r="I15" i="60"/>
  <c r="D16" i="60"/>
  <c r="E16" i="60"/>
  <c r="F16" i="60"/>
  <c r="G16" i="60"/>
  <c r="H16" i="60"/>
  <c r="I16" i="60"/>
  <c r="D17" i="60"/>
  <c r="E17" i="60"/>
  <c r="F17" i="60"/>
  <c r="G17" i="60"/>
  <c r="H17" i="60"/>
  <c r="I17" i="60"/>
  <c r="D18" i="60"/>
  <c r="E18" i="60"/>
  <c r="F18" i="60"/>
  <c r="G18" i="60"/>
  <c r="H18" i="60"/>
  <c r="I18" i="60"/>
  <c r="D19" i="60"/>
  <c r="E19" i="60"/>
  <c r="F19" i="60"/>
  <c r="G19" i="60"/>
  <c r="H19" i="60"/>
  <c r="I19" i="60"/>
  <c r="D20" i="60"/>
  <c r="E20" i="60"/>
  <c r="F20" i="60"/>
  <c r="G20" i="60"/>
  <c r="H20" i="60"/>
  <c r="I20" i="60"/>
  <c r="D21" i="60"/>
  <c r="E21" i="60"/>
  <c r="F21" i="60"/>
  <c r="G21" i="60"/>
  <c r="H21" i="60"/>
  <c r="I21" i="60"/>
  <c r="D22" i="60"/>
  <c r="E22" i="60"/>
  <c r="F22" i="60"/>
  <c r="G22" i="60"/>
  <c r="H22" i="60"/>
  <c r="I22" i="60"/>
  <c r="D23" i="60"/>
  <c r="E23" i="60"/>
  <c r="F23" i="60"/>
  <c r="G23" i="60"/>
  <c r="H23" i="60"/>
  <c r="I23" i="60"/>
  <c r="D24" i="60"/>
  <c r="E24" i="60"/>
  <c r="F24" i="60"/>
  <c r="G24" i="60"/>
  <c r="H24" i="60"/>
  <c r="I24" i="60"/>
  <c r="D25" i="60"/>
  <c r="E25" i="60"/>
  <c r="F25" i="60"/>
  <c r="G25" i="60"/>
  <c r="H25" i="60"/>
  <c r="I25" i="60"/>
  <c r="D26" i="60"/>
  <c r="E26" i="60"/>
  <c r="F26" i="60"/>
  <c r="G26" i="60"/>
  <c r="H26" i="60"/>
  <c r="I26" i="60"/>
  <c r="D27" i="60"/>
  <c r="E27" i="60"/>
  <c r="F27" i="60"/>
  <c r="G27" i="60"/>
  <c r="H27" i="60"/>
  <c r="I27" i="60"/>
  <c r="D28" i="60"/>
  <c r="E28" i="60"/>
  <c r="F28" i="60"/>
  <c r="G28" i="60"/>
  <c r="H28" i="60"/>
  <c r="I28" i="60"/>
  <c r="D29" i="60"/>
  <c r="E29" i="60"/>
  <c r="F29" i="60"/>
  <c r="G29" i="60"/>
  <c r="H29" i="60"/>
  <c r="I29" i="60"/>
  <c r="D30" i="60"/>
  <c r="E30" i="60"/>
  <c r="F30" i="60"/>
  <c r="G30" i="60"/>
  <c r="H30" i="60"/>
  <c r="I30" i="60"/>
  <c r="D31" i="60"/>
  <c r="E31" i="60"/>
  <c r="F31" i="60"/>
  <c r="G31" i="60"/>
  <c r="H31" i="60"/>
  <c r="I31" i="60"/>
  <c r="D32" i="60"/>
  <c r="E32" i="60"/>
  <c r="F32" i="60"/>
  <c r="G32" i="60"/>
  <c r="H32" i="60"/>
  <c r="I32" i="60"/>
  <c r="D6" i="60"/>
  <c r="E6" i="60"/>
  <c r="F6" i="60"/>
  <c r="G6" i="60"/>
  <c r="H6" i="60"/>
  <c r="I6" i="60"/>
  <c r="C6" i="60"/>
  <c r="C7" i="60"/>
  <c r="C31" i="60"/>
  <c r="C30" i="60"/>
  <c r="C29" i="60"/>
  <c r="C28" i="60"/>
  <c r="C27" i="60"/>
  <c r="C26" i="60"/>
  <c r="C25" i="60"/>
  <c r="C24" i="60"/>
  <c r="C23" i="60"/>
  <c r="C22" i="60"/>
  <c r="C21" i="60"/>
  <c r="C20" i="60"/>
  <c r="C19" i="60"/>
  <c r="C18" i="60"/>
  <c r="C17" i="60"/>
  <c r="C16" i="60"/>
  <c r="C15" i="60"/>
  <c r="C14" i="60"/>
  <c r="C13" i="60"/>
  <c r="C12" i="60"/>
  <c r="C11" i="60"/>
  <c r="C10" i="60"/>
  <c r="C9" i="60"/>
  <c r="C8" i="60"/>
  <c r="C32" i="60"/>
  <c r="C34" i="61"/>
  <c r="C33" i="61"/>
  <c r="C32" i="61"/>
  <c r="C31" i="61"/>
  <c r="C30" i="61"/>
  <c r="C29" i="61"/>
  <c r="C28" i="61"/>
  <c r="C27" i="61"/>
  <c r="C26" i="61"/>
  <c r="C25" i="61"/>
  <c r="C24" i="61"/>
  <c r="C23" i="61"/>
  <c r="C22" i="61"/>
  <c r="C21" i="61"/>
  <c r="C20" i="61"/>
  <c r="C19" i="61"/>
  <c r="C18" i="61"/>
  <c r="C17" i="61"/>
  <c r="C16" i="61"/>
  <c r="C15" i="61"/>
  <c r="C14" i="61"/>
  <c r="C13" i="61"/>
  <c r="C12" i="61"/>
  <c r="C11" i="61"/>
  <c r="C10" i="61"/>
  <c r="C9" i="61"/>
  <c r="C8" i="61"/>
  <c r="H8" i="61"/>
  <c r="G8" i="61"/>
  <c r="F8" i="61"/>
  <c r="E8" i="61"/>
  <c r="D8" i="61"/>
  <c r="H34" i="61"/>
  <c r="G34" i="61"/>
  <c r="F34" i="61"/>
  <c r="E34" i="61"/>
  <c r="D34" i="61"/>
  <c r="H33" i="61"/>
  <c r="G33" i="61"/>
  <c r="F33" i="61"/>
  <c r="E33" i="61"/>
  <c r="D33" i="61"/>
  <c r="H32" i="61"/>
  <c r="G32" i="61"/>
  <c r="F32" i="61"/>
  <c r="E32" i="61"/>
  <c r="D32" i="61"/>
  <c r="H31" i="61"/>
  <c r="G31" i="61"/>
  <c r="F31" i="61"/>
  <c r="E31" i="61"/>
  <c r="D31" i="61"/>
  <c r="H30" i="61"/>
  <c r="G30" i="61"/>
  <c r="F30" i="61"/>
  <c r="E30" i="61"/>
  <c r="D30" i="61"/>
  <c r="H29" i="61"/>
  <c r="G29" i="61"/>
  <c r="F29" i="61"/>
  <c r="E29" i="61"/>
  <c r="D29" i="61"/>
  <c r="H28" i="61"/>
  <c r="G28" i="61"/>
  <c r="F28" i="61"/>
  <c r="E28" i="61"/>
  <c r="D28" i="61"/>
  <c r="H27" i="61"/>
  <c r="G27" i="61"/>
  <c r="F27" i="61"/>
  <c r="E27" i="61"/>
  <c r="D27" i="61"/>
  <c r="H26" i="61"/>
  <c r="G26" i="61"/>
  <c r="F26" i="61"/>
  <c r="E26" i="61"/>
  <c r="D26" i="61"/>
  <c r="H25" i="61"/>
  <c r="G25" i="61"/>
  <c r="F25" i="61"/>
  <c r="E25" i="61"/>
  <c r="D25" i="61"/>
  <c r="H24" i="61"/>
  <c r="G24" i="61"/>
  <c r="F24" i="61"/>
  <c r="E24" i="61"/>
  <c r="D24" i="61"/>
  <c r="H23" i="61"/>
  <c r="G23" i="61"/>
  <c r="F23" i="61"/>
  <c r="E23" i="61"/>
  <c r="D23" i="61"/>
  <c r="H22" i="61"/>
  <c r="G22" i="61"/>
  <c r="F22" i="61"/>
  <c r="E22" i="61"/>
  <c r="D22" i="61"/>
  <c r="H21" i="61"/>
  <c r="G21" i="61"/>
  <c r="F21" i="61"/>
  <c r="E21" i="61"/>
  <c r="D21" i="61"/>
  <c r="H20" i="61"/>
  <c r="G20" i="61"/>
  <c r="F20" i="61"/>
  <c r="E20" i="61"/>
  <c r="D20" i="61"/>
  <c r="H19" i="61"/>
  <c r="G19" i="61"/>
  <c r="F19" i="61"/>
  <c r="E19" i="61"/>
  <c r="D19" i="61"/>
  <c r="H18" i="61"/>
  <c r="G18" i="61"/>
  <c r="F18" i="61"/>
  <c r="E18" i="61"/>
  <c r="D18" i="61"/>
  <c r="H17" i="61"/>
  <c r="G17" i="61"/>
  <c r="F17" i="61"/>
  <c r="E17" i="61"/>
  <c r="D17" i="61"/>
  <c r="H16" i="61"/>
  <c r="G16" i="61"/>
  <c r="F16" i="61"/>
  <c r="E16" i="61"/>
  <c r="D16" i="61"/>
  <c r="H15" i="61"/>
  <c r="G15" i="61"/>
  <c r="F15" i="61"/>
  <c r="E15" i="61"/>
  <c r="D15" i="61"/>
  <c r="H14" i="61"/>
  <c r="G14" i="61"/>
  <c r="F14" i="61"/>
  <c r="E14" i="61"/>
  <c r="D14" i="61"/>
  <c r="H13" i="61"/>
  <c r="G13" i="61"/>
  <c r="F13" i="61"/>
  <c r="E13" i="61"/>
  <c r="D13" i="61"/>
  <c r="H12" i="61"/>
  <c r="G12" i="61"/>
  <c r="F12" i="61"/>
  <c r="E12" i="61"/>
  <c r="D12" i="61"/>
  <c r="H11" i="61"/>
  <c r="G11" i="61"/>
  <c r="F11" i="61"/>
  <c r="E11" i="61"/>
  <c r="D11" i="61"/>
  <c r="H10" i="61"/>
  <c r="G10" i="61"/>
  <c r="F10" i="61"/>
  <c r="E10" i="61"/>
  <c r="D10" i="61"/>
  <c r="H9" i="61"/>
  <c r="G9" i="61"/>
  <c r="F9" i="61"/>
  <c r="E9" i="61"/>
  <c r="D9" i="61"/>
  <c r="I8" i="61"/>
  <c r="I9" i="61"/>
  <c r="I10" i="61"/>
  <c r="I11" i="61"/>
  <c r="I12" i="61"/>
  <c r="I13" i="61"/>
  <c r="I14" i="61"/>
  <c r="I15" i="61"/>
  <c r="I16" i="61"/>
  <c r="I17" i="61"/>
  <c r="I18" i="61"/>
  <c r="I19" i="61"/>
  <c r="I20" i="61"/>
  <c r="I21" i="61"/>
  <c r="I22" i="61"/>
  <c r="I23" i="61"/>
  <c r="I24" i="61"/>
  <c r="I25" i="61"/>
  <c r="I26" i="61"/>
  <c r="I27" i="61"/>
  <c r="I28" i="61"/>
  <c r="I29" i="61"/>
  <c r="I30" i="61"/>
  <c r="I31" i="61"/>
  <c r="I32" i="61"/>
  <c r="I33" i="61"/>
  <c r="I34" i="61"/>
  <c r="J8" i="61"/>
  <c r="J33" i="61"/>
  <c r="J32" i="61"/>
  <c r="J31" i="61"/>
  <c r="J30" i="61"/>
  <c r="J29" i="61"/>
  <c r="J28" i="61"/>
  <c r="J27" i="61"/>
  <c r="J26" i="61"/>
  <c r="J25" i="61"/>
  <c r="J24" i="61"/>
  <c r="J23" i="61"/>
  <c r="J22" i="61"/>
  <c r="J21" i="61"/>
  <c r="J20" i="61"/>
  <c r="J19" i="61"/>
  <c r="J18" i="61"/>
  <c r="J17" i="61"/>
  <c r="J16" i="61"/>
  <c r="J15" i="61"/>
  <c r="J14" i="61"/>
  <c r="J13" i="61"/>
  <c r="J12" i="61"/>
  <c r="J11" i="61"/>
  <c r="J10" i="61"/>
  <c r="J9" i="61"/>
  <c r="J34" i="61"/>
  <c r="A3" i="62"/>
  <c r="A8" i="62"/>
  <c r="B8" i="62"/>
  <c r="C8" i="62"/>
  <c r="D8" i="62"/>
  <c r="E8" i="62"/>
  <c r="F8" i="62"/>
  <c r="A9" i="62"/>
  <c r="B9" i="62"/>
  <c r="C9" i="62"/>
  <c r="D9" i="62"/>
  <c r="E9" i="62"/>
  <c r="F9" i="62"/>
  <c r="A10" i="62"/>
  <c r="B10" i="62"/>
  <c r="C10" i="62"/>
  <c r="D10" i="62"/>
  <c r="E10" i="62"/>
  <c r="F10" i="62"/>
  <c r="A11" i="62"/>
  <c r="B11" i="62"/>
  <c r="C11" i="62"/>
  <c r="D11" i="62"/>
  <c r="E11" i="62"/>
  <c r="F11" i="62"/>
  <c r="A12" i="62"/>
  <c r="B12" i="62"/>
  <c r="C12" i="62"/>
  <c r="D12" i="62"/>
  <c r="E12" i="62"/>
  <c r="F12" i="62"/>
  <c r="A13" i="62"/>
  <c r="B13" i="62"/>
  <c r="C13" i="62"/>
  <c r="D13" i="62"/>
  <c r="E13" i="62"/>
  <c r="F13" i="62"/>
  <c r="A14" i="62"/>
  <c r="B14" i="62"/>
  <c r="C14" i="62"/>
  <c r="D14" i="62"/>
  <c r="E14" i="62"/>
  <c r="F14" i="62"/>
  <c r="A15" i="62"/>
  <c r="B15" i="62"/>
  <c r="C15" i="62"/>
  <c r="D15" i="62"/>
  <c r="E15" i="62"/>
  <c r="F15" i="62"/>
  <c r="A16" i="62"/>
  <c r="B16" i="62"/>
  <c r="C16" i="62"/>
  <c r="D16" i="62"/>
  <c r="E16" i="62"/>
  <c r="F16" i="62"/>
  <c r="A17" i="62"/>
  <c r="B17" i="62"/>
  <c r="C17" i="62"/>
  <c r="D17" i="62"/>
  <c r="E17" i="62"/>
  <c r="F17" i="62"/>
  <c r="A18" i="62"/>
  <c r="B18" i="62"/>
  <c r="C18" i="62"/>
  <c r="D18" i="62"/>
  <c r="E18" i="62"/>
  <c r="F18" i="62"/>
  <c r="A19" i="62"/>
  <c r="B19" i="62"/>
  <c r="C19" i="62"/>
  <c r="D19" i="62"/>
  <c r="E19" i="62"/>
  <c r="F19" i="62"/>
  <c r="A20" i="62"/>
  <c r="B20" i="62"/>
  <c r="C20" i="62"/>
  <c r="D20" i="62"/>
  <c r="E20" i="62"/>
  <c r="F20" i="62"/>
  <c r="A21" i="62"/>
  <c r="B21" i="62"/>
  <c r="C21" i="62"/>
  <c r="D21" i="62"/>
  <c r="E21" i="62"/>
  <c r="F21" i="62"/>
  <c r="A22" i="62"/>
  <c r="B22" i="62"/>
  <c r="C22" i="62"/>
  <c r="D22" i="62"/>
  <c r="E22" i="62"/>
  <c r="F22" i="62"/>
  <c r="A23" i="62"/>
  <c r="B23" i="62"/>
  <c r="C23" i="62"/>
  <c r="D23" i="62"/>
  <c r="E23" i="62"/>
  <c r="F23" i="62"/>
  <c r="A24" i="62"/>
  <c r="B24" i="62"/>
  <c r="C24" i="62"/>
  <c r="D24" i="62"/>
  <c r="E24" i="62"/>
  <c r="F24" i="62"/>
  <c r="A25" i="62"/>
  <c r="B25" i="62"/>
  <c r="C25" i="62"/>
  <c r="D25" i="62"/>
  <c r="E25" i="62"/>
  <c r="F25" i="62"/>
  <c r="A26" i="62"/>
  <c r="B26" i="62"/>
  <c r="C26" i="62"/>
  <c r="D26" i="62"/>
  <c r="E26" i="62"/>
  <c r="F26" i="62"/>
  <c r="A27" i="62"/>
  <c r="B27" i="62"/>
  <c r="C27" i="62"/>
  <c r="D27" i="62"/>
  <c r="E27" i="62"/>
  <c r="F27" i="62"/>
  <c r="A28" i="62"/>
  <c r="B28" i="62"/>
  <c r="C28" i="62"/>
  <c r="D28" i="62"/>
  <c r="E28" i="62"/>
  <c r="F28" i="62"/>
  <c r="A29" i="62"/>
  <c r="B29" i="62"/>
  <c r="C29" i="62"/>
  <c r="D29" i="62"/>
  <c r="E29" i="62"/>
  <c r="F29" i="62"/>
  <c r="A30" i="62"/>
  <c r="B30" i="62"/>
  <c r="C30" i="62"/>
  <c r="D30" i="62"/>
  <c r="E30" i="62"/>
  <c r="F30" i="62"/>
  <c r="A31" i="62"/>
  <c r="B31" i="62"/>
  <c r="C31" i="62"/>
  <c r="D31" i="62"/>
  <c r="E31" i="62"/>
  <c r="F31" i="62"/>
  <c r="A32" i="62"/>
  <c r="B32" i="62"/>
  <c r="C32" i="62"/>
  <c r="D32" i="62"/>
  <c r="E32" i="62"/>
  <c r="F32" i="62"/>
  <c r="A33" i="62"/>
  <c r="B33" i="62"/>
  <c r="C33" i="62"/>
  <c r="D33" i="62"/>
  <c r="E33" i="62"/>
  <c r="F33" i="62"/>
  <c r="B7" i="62"/>
  <c r="C7" i="62"/>
  <c r="D7" i="62"/>
  <c r="E7" i="62"/>
  <c r="F7" i="62"/>
  <c r="A7" i="62"/>
  <c r="A34" i="62"/>
  <c r="A3" i="63"/>
  <c r="A8" i="63"/>
  <c r="B8" i="63"/>
  <c r="C8" i="63"/>
  <c r="D8" i="63"/>
  <c r="E8" i="63"/>
  <c r="F8" i="63"/>
  <c r="A9" i="63"/>
  <c r="B9" i="63"/>
  <c r="C9" i="63"/>
  <c r="D9" i="63"/>
  <c r="E9" i="63"/>
  <c r="F9" i="63"/>
  <c r="A10" i="63"/>
  <c r="B10" i="63"/>
  <c r="C10" i="63"/>
  <c r="D10" i="63"/>
  <c r="E10" i="63"/>
  <c r="F10" i="63"/>
  <c r="A11" i="63"/>
  <c r="B11" i="63"/>
  <c r="C11" i="63"/>
  <c r="D11" i="63"/>
  <c r="E11" i="63"/>
  <c r="F11" i="63"/>
  <c r="A12" i="63"/>
  <c r="B12" i="63"/>
  <c r="C12" i="63"/>
  <c r="D12" i="63"/>
  <c r="E12" i="63"/>
  <c r="F12" i="63"/>
  <c r="A13" i="63"/>
  <c r="B13" i="63"/>
  <c r="C13" i="63"/>
  <c r="D13" i="63"/>
  <c r="E13" i="63"/>
  <c r="F13" i="63"/>
  <c r="A14" i="63"/>
  <c r="B14" i="63"/>
  <c r="C14" i="63"/>
  <c r="D14" i="63"/>
  <c r="E14" i="63"/>
  <c r="F14" i="63"/>
  <c r="A15" i="63"/>
  <c r="B15" i="63"/>
  <c r="C15" i="63"/>
  <c r="D15" i="63"/>
  <c r="E15" i="63"/>
  <c r="F15" i="63"/>
  <c r="A16" i="63"/>
  <c r="B16" i="63"/>
  <c r="C16" i="63"/>
  <c r="D16" i="63"/>
  <c r="E16" i="63"/>
  <c r="F16" i="63"/>
  <c r="A17" i="63"/>
  <c r="B17" i="63"/>
  <c r="C17" i="63"/>
  <c r="D17" i="63"/>
  <c r="E17" i="63"/>
  <c r="F17" i="63"/>
  <c r="A18" i="63"/>
  <c r="B18" i="63"/>
  <c r="C18" i="63"/>
  <c r="D18" i="63"/>
  <c r="E18" i="63"/>
  <c r="F18" i="63"/>
  <c r="A19" i="63"/>
  <c r="B19" i="63"/>
  <c r="C19" i="63"/>
  <c r="D19" i="63"/>
  <c r="E19" i="63"/>
  <c r="F19" i="63"/>
  <c r="A20" i="63"/>
  <c r="B20" i="63"/>
  <c r="C20" i="63"/>
  <c r="D20" i="63"/>
  <c r="E20" i="63"/>
  <c r="F20" i="63"/>
  <c r="A21" i="63"/>
  <c r="B21" i="63"/>
  <c r="C21" i="63"/>
  <c r="D21" i="63"/>
  <c r="E21" i="63"/>
  <c r="F21" i="63"/>
  <c r="A22" i="63"/>
  <c r="B22" i="63"/>
  <c r="C22" i="63"/>
  <c r="D22" i="63"/>
  <c r="E22" i="63"/>
  <c r="F22" i="63"/>
  <c r="A23" i="63"/>
  <c r="B23" i="63"/>
  <c r="C23" i="63"/>
  <c r="D23" i="63"/>
  <c r="E23" i="63"/>
  <c r="F23" i="63"/>
  <c r="A24" i="63"/>
  <c r="B24" i="63"/>
  <c r="C24" i="63"/>
  <c r="D24" i="63"/>
  <c r="E24" i="63"/>
  <c r="F24" i="63"/>
  <c r="A25" i="63"/>
  <c r="B25" i="63"/>
  <c r="C25" i="63"/>
  <c r="D25" i="63"/>
  <c r="E25" i="63"/>
  <c r="F25" i="63"/>
  <c r="A26" i="63"/>
  <c r="B26" i="63"/>
  <c r="C26" i="63"/>
  <c r="D26" i="63"/>
  <c r="E26" i="63"/>
  <c r="F26" i="63"/>
  <c r="A27" i="63"/>
  <c r="B27" i="63"/>
  <c r="C27" i="63"/>
  <c r="D27" i="63"/>
  <c r="E27" i="63"/>
  <c r="F27" i="63"/>
  <c r="A28" i="63"/>
  <c r="B28" i="63"/>
  <c r="C28" i="63"/>
  <c r="D28" i="63"/>
  <c r="E28" i="63"/>
  <c r="F28" i="63"/>
  <c r="A29" i="63"/>
  <c r="B29" i="63"/>
  <c r="C29" i="63"/>
  <c r="D29" i="63"/>
  <c r="E29" i="63"/>
  <c r="F29" i="63"/>
  <c r="A30" i="63"/>
  <c r="B30" i="63"/>
  <c r="C30" i="63"/>
  <c r="D30" i="63"/>
  <c r="E30" i="63"/>
  <c r="F30" i="63"/>
  <c r="A31" i="63"/>
  <c r="B31" i="63"/>
  <c r="C31" i="63"/>
  <c r="D31" i="63"/>
  <c r="E31" i="63"/>
  <c r="F31" i="63"/>
  <c r="A32" i="63"/>
  <c r="B32" i="63"/>
  <c r="C32" i="63"/>
  <c r="D32" i="63"/>
  <c r="E32" i="63"/>
  <c r="F32" i="63"/>
  <c r="A33" i="63"/>
  <c r="B33" i="63"/>
  <c r="C33" i="63"/>
  <c r="D33" i="63"/>
  <c r="E33" i="63"/>
  <c r="F33" i="63"/>
  <c r="B7" i="63"/>
  <c r="C7" i="63"/>
  <c r="D7" i="63"/>
  <c r="E7" i="63"/>
  <c r="F7" i="63"/>
  <c r="A7" i="63"/>
  <c r="A34" i="63"/>
  <c r="A3" i="64"/>
  <c r="A8" i="64"/>
  <c r="B8" i="64"/>
  <c r="C8" i="64"/>
  <c r="D8" i="64"/>
  <c r="E8" i="64"/>
  <c r="F8" i="64"/>
  <c r="A9" i="64"/>
  <c r="B9" i="64"/>
  <c r="C9" i="64"/>
  <c r="D9" i="64"/>
  <c r="E9" i="64"/>
  <c r="F9" i="64"/>
  <c r="A10" i="64"/>
  <c r="B10" i="64"/>
  <c r="C10" i="64"/>
  <c r="D10" i="64"/>
  <c r="E10" i="64"/>
  <c r="F10" i="64"/>
  <c r="A11" i="64"/>
  <c r="B11" i="64"/>
  <c r="C11" i="64"/>
  <c r="D11" i="64"/>
  <c r="E11" i="64"/>
  <c r="F11" i="64"/>
  <c r="A12" i="64"/>
  <c r="B12" i="64"/>
  <c r="C12" i="64"/>
  <c r="D12" i="64"/>
  <c r="E12" i="64"/>
  <c r="F12" i="64"/>
  <c r="A13" i="64"/>
  <c r="B13" i="64"/>
  <c r="C13" i="64"/>
  <c r="D13" i="64"/>
  <c r="E13" i="64"/>
  <c r="F13" i="64"/>
  <c r="A14" i="64"/>
  <c r="B14" i="64"/>
  <c r="C14" i="64"/>
  <c r="D14" i="64"/>
  <c r="E14" i="64"/>
  <c r="F14" i="64"/>
  <c r="A15" i="64"/>
  <c r="B15" i="64"/>
  <c r="C15" i="64"/>
  <c r="D15" i="64"/>
  <c r="E15" i="64"/>
  <c r="F15" i="64"/>
  <c r="A16" i="64"/>
  <c r="B16" i="64"/>
  <c r="C16" i="64"/>
  <c r="D16" i="64"/>
  <c r="E16" i="64"/>
  <c r="F16" i="64"/>
  <c r="A17" i="64"/>
  <c r="B17" i="64"/>
  <c r="C17" i="64"/>
  <c r="D17" i="64"/>
  <c r="E17" i="64"/>
  <c r="F17" i="64"/>
  <c r="A18" i="64"/>
  <c r="B18" i="64"/>
  <c r="C18" i="64"/>
  <c r="D18" i="64"/>
  <c r="E18" i="64"/>
  <c r="F18" i="64"/>
  <c r="A19" i="64"/>
  <c r="B19" i="64"/>
  <c r="C19" i="64"/>
  <c r="D19" i="64"/>
  <c r="E19" i="64"/>
  <c r="F19" i="64"/>
  <c r="A20" i="64"/>
  <c r="B20" i="64"/>
  <c r="C20" i="64"/>
  <c r="D20" i="64"/>
  <c r="E20" i="64"/>
  <c r="F20" i="64"/>
  <c r="A21" i="64"/>
  <c r="B21" i="64"/>
  <c r="C21" i="64"/>
  <c r="D21" i="64"/>
  <c r="E21" i="64"/>
  <c r="F21" i="64"/>
  <c r="A22" i="64"/>
  <c r="B22" i="64"/>
  <c r="C22" i="64"/>
  <c r="D22" i="64"/>
  <c r="E22" i="64"/>
  <c r="F22" i="64"/>
  <c r="A23" i="64"/>
  <c r="B23" i="64"/>
  <c r="C23" i="64"/>
  <c r="D23" i="64"/>
  <c r="E23" i="64"/>
  <c r="F23" i="64"/>
  <c r="A24" i="64"/>
  <c r="B24" i="64"/>
  <c r="C24" i="64"/>
  <c r="D24" i="64"/>
  <c r="E24" i="64"/>
  <c r="F24" i="64"/>
  <c r="A25" i="64"/>
  <c r="B25" i="64"/>
  <c r="C25" i="64"/>
  <c r="D25" i="64"/>
  <c r="E25" i="64"/>
  <c r="F25" i="64"/>
  <c r="A26" i="64"/>
  <c r="B26" i="64"/>
  <c r="C26" i="64"/>
  <c r="D26" i="64"/>
  <c r="E26" i="64"/>
  <c r="F26" i="64"/>
  <c r="A27" i="64"/>
  <c r="B27" i="64"/>
  <c r="C27" i="64"/>
  <c r="D27" i="64"/>
  <c r="E27" i="64"/>
  <c r="F27" i="64"/>
  <c r="A28" i="64"/>
  <c r="B28" i="64"/>
  <c r="C28" i="64"/>
  <c r="D28" i="64"/>
  <c r="E28" i="64"/>
  <c r="F28" i="64"/>
  <c r="A29" i="64"/>
  <c r="B29" i="64"/>
  <c r="C29" i="64"/>
  <c r="D29" i="64"/>
  <c r="E29" i="64"/>
  <c r="F29" i="64"/>
  <c r="A30" i="64"/>
  <c r="B30" i="64"/>
  <c r="C30" i="64"/>
  <c r="D30" i="64"/>
  <c r="E30" i="64"/>
  <c r="F30" i="64"/>
  <c r="A31" i="64"/>
  <c r="B31" i="64"/>
  <c r="C31" i="64"/>
  <c r="D31" i="64"/>
  <c r="E31" i="64"/>
  <c r="F31" i="64"/>
  <c r="A32" i="64"/>
  <c r="B32" i="64"/>
  <c r="C32" i="64"/>
  <c r="D32" i="64"/>
  <c r="E32" i="64"/>
  <c r="F32" i="64"/>
  <c r="A33" i="64"/>
  <c r="B33" i="64"/>
  <c r="C33" i="64"/>
  <c r="D33" i="64"/>
  <c r="E33" i="64"/>
  <c r="F33" i="64"/>
  <c r="B7" i="64"/>
  <c r="C7" i="64"/>
  <c r="D7" i="64"/>
  <c r="E7" i="64"/>
  <c r="F7" i="64"/>
  <c r="A7" i="64"/>
  <c r="A34" i="64"/>
  <c r="G10" i="65"/>
  <c r="E10" i="65"/>
  <c r="D10" i="65"/>
  <c r="B10" i="65"/>
  <c r="A13" i="65"/>
  <c r="B8" i="65"/>
  <c r="D8" i="65"/>
  <c r="E8" i="65"/>
  <c r="G8" i="65"/>
  <c r="B9" i="65"/>
  <c r="D9" i="65"/>
  <c r="E9" i="65"/>
  <c r="G9" i="65"/>
  <c r="B11" i="65"/>
  <c r="D11" i="65"/>
  <c r="E11" i="65"/>
  <c r="G11" i="65"/>
  <c r="C7" i="65"/>
  <c r="D7" i="65"/>
  <c r="E7" i="65"/>
  <c r="F7" i="65"/>
  <c r="G7" i="65"/>
  <c r="B7" i="65"/>
  <c r="C8" i="65"/>
  <c r="F8" i="65"/>
  <c r="C9" i="65"/>
  <c r="F9" i="65"/>
  <c r="C11" i="65"/>
  <c r="C10" i="65"/>
  <c r="F11" i="65"/>
  <c r="F10" i="65"/>
  <c r="H7" i="65"/>
  <c r="H10" i="65"/>
  <c r="H11" i="65"/>
  <c r="H9" i="65"/>
  <c r="H8" i="65"/>
  <c r="B12" i="65"/>
  <c r="C12" i="65"/>
  <c r="D12" i="65"/>
  <c r="H12" i="65"/>
  <c r="G12" i="65"/>
  <c r="F12" i="65"/>
  <c r="E12" i="65"/>
  <c r="A35" i="66"/>
  <c r="A2" i="66"/>
  <c r="B9" i="66"/>
  <c r="C9" i="66"/>
  <c r="D9" i="66"/>
  <c r="B10" i="66"/>
  <c r="C10" i="66"/>
  <c r="D10" i="66"/>
  <c r="B11" i="66"/>
  <c r="C11" i="66"/>
  <c r="D11" i="66"/>
  <c r="B12" i="66"/>
  <c r="C12" i="66"/>
  <c r="D12" i="66"/>
  <c r="B13" i="66"/>
  <c r="C13" i="66"/>
  <c r="D13" i="66"/>
  <c r="B14" i="66"/>
  <c r="C14" i="66"/>
  <c r="D14" i="66"/>
  <c r="B15" i="66"/>
  <c r="C15" i="66"/>
  <c r="D15" i="66"/>
  <c r="B16" i="66"/>
  <c r="C16" i="66"/>
  <c r="D16" i="66"/>
  <c r="B17" i="66"/>
  <c r="C17" i="66"/>
  <c r="D17" i="66"/>
  <c r="B18" i="66"/>
  <c r="C18" i="66"/>
  <c r="D18" i="66"/>
  <c r="B19" i="66"/>
  <c r="C19" i="66"/>
  <c r="D19" i="66"/>
  <c r="B20" i="66"/>
  <c r="C20" i="66"/>
  <c r="D20" i="66"/>
  <c r="B21" i="66"/>
  <c r="C21" i="66"/>
  <c r="D21" i="66"/>
  <c r="B22" i="66"/>
  <c r="C22" i="66"/>
  <c r="D22" i="66"/>
  <c r="B23" i="66"/>
  <c r="C23" i="66"/>
  <c r="D23" i="66"/>
  <c r="B24" i="66"/>
  <c r="C24" i="66"/>
  <c r="D24" i="66"/>
  <c r="B25" i="66"/>
  <c r="C25" i="66"/>
  <c r="D25" i="66"/>
  <c r="B26" i="66"/>
  <c r="C26" i="66"/>
  <c r="D26" i="66"/>
  <c r="B27" i="66"/>
  <c r="C27" i="66"/>
  <c r="D27" i="66"/>
  <c r="B28" i="66"/>
  <c r="C28" i="66"/>
  <c r="D28" i="66"/>
  <c r="B29" i="66"/>
  <c r="C29" i="66"/>
  <c r="D29" i="66"/>
  <c r="B30" i="66"/>
  <c r="C30" i="66"/>
  <c r="D30" i="66"/>
  <c r="B31" i="66"/>
  <c r="C31" i="66"/>
  <c r="D31" i="66"/>
  <c r="B32" i="66"/>
  <c r="C32" i="66"/>
  <c r="D32" i="66"/>
  <c r="B33" i="66"/>
  <c r="C33" i="66"/>
  <c r="D33" i="66"/>
  <c r="B34" i="66"/>
  <c r="C34" i="66"/>
  <c r="D34" i="66"/>
  <c r="C8" i="66"/>
  <c r="D8" i="66"/>
  <c r="B8" i="66"/>
  <c r="E9" i="66"/>
  <c r="E10" i="66"/>
  <c r="E11" i="66"/>
  <c r="E12" i="66"/>
  <c r="E13" i="66"/>
  <c r="E14" i="66"/>
  <c r="E15" i="66"/>
  <c r="E16" i="66"/>
  <c r="E17" i="66"/>
  <c r="E18" i="66"/>
  <c r="E19" i="66"/>
  <c r="E20" i="66"/>
  <c r="E21" i="66"/>
  <c r="E22" i="66"/>
  <c r="E23" i="66"/>
  <c r="E24" i="66"/>
  <c r="E25" i="66"/>
  <c r="E26" i="66"/>
  <c r="E27" i="66"/>
  <c r="E28" i="66"/>
  <c r="E29" i="66"/>
  <c r="E30" i="66"/>
  <c r="E31" i="66"/>
  <c r="E32" i="66"/>
  <c r="E33" i="66"/>
  <c r="E34" i="66"/>
  <c r="E8" i="66"/>
  <c r="F8" i="66"/>
  <c r="H8" i="66"/>
  <c r="G8" i="66"/>
  <c r="H34" i="66"/>
  <c r="G34" i="66"/>
  <c r="F34" i="66"/>
  <c r="H33" i="66"/>
  <c r="G33" i="66"/>
  <c r="F33" i="66"/>
  <c r="H32" i="66"/>
  <c r="G32" i="66"/>
  <c r="F32" i="66"/>
  <c r="H31" i="66"/>
  <c r="G31" i="66"/>
  <c r="F31" i="66"/>
  <c r="H30" i="66"/>
  <c r="G30" i="66"/>
  <c r="F30" i="66"/>
  <c r="H29" i="66"/>
  <c r="G29" i="66"/>
  <c r="F29" i="66"/>
  <c r="H28" i="66"/>
  <c r="G28" i="66"/>
  <c r="F28" i="66"/>
  <c r="H27" i="66"/>
  <c r="G27" i="66"/>
  <c r="F27" i="66"/>
  <c r="H26" i="66"/>
  <c r="G26" i="66"/>
  <c r="F26" i="66"/>
  <c r="H25" i="66"/>
  <c r="G25" i="66"/>
  <c r="F25" i="66"/>
  <c r="H24" i="66"/>
  <c r="G24" i="66"/>
  <c r="F24" i="66"/>
  <c r="H23" i="66"/>
  <c r="G23" i="66"/>
  <c r="F23" i="66"/>
  <c r="H22" i="66"/>
  <c r="G22" i="66"/>
  <c r="F22" i="66"/>
  <c r="H21" i="66"/>
  <c r="G21" i="66"/>
  <c r="F21" i="66"/>
  <c r="H20" i="66"/>
  <c r="G20" i="66"/>
  <c r="F20" i="66"/>
  <c r="H19" i="66"/>
  <c r="G19" i="66"/>
  <c r="F19" i="66"/>
  <c r="H18" i="66"/>
  <c r="G18" i="66"/>
  <c r="F18" i="66"/>
  <c r="H17" i="66"/>
  <c r="G17" i="66"/>
  <c r="F17" i="66"/>
  <c r="H16" i="66"/>
  <c r="G16" i="66"/>
  <c r="F16" i="66"/>
  <c r="H15" i="66"/>
  <c r="G15" i="66"/>
  <c r="F15" i="66"/>
  <c r="H14" i="66"/>
  <c r="G14" i="66"/>
  <c r="F14" i="66"/>
  <c r="H13" i="66"/>
  <c r="G13" i="66"/>
  <c r="F13" i="66"/>
  <c r="H12" i="66"/>
  <c r="G12" i="66"/>
  <c r="F12" i="66"/>
  <c r="H11" i="66"/>
  <c r="G11" i="66"/>
  <c r="F11" i="66"/>
  <c r="H10" i="66"/>
  <c r="G10" i="66"/>
  <c r="F10" i="66"/>
  <c r="H9" i="66"/>
  <c r="G9" i="66"/>
  <c r="F9" i="66"/>
  <c r="A30" i="67"/>
  <c r="A2" i="67"/>
  <c r="B7" i="67"/>
  <c r="E7" i="67"/>
  <c r="D7" i="67"/>
  <c r="C7" i="67"/>
  <c r="E29" i="67"/>
  <c r="D29" i="67"/>
  <c r="C29" i="67"/>
  <c r="B29" i="67"/>
  <c r="E28" i="67"/>
  <c r="D28" i="67"/>
  <c r="C28" i="67"/>
  <c r="B28" i="67"/>
  <c r="E27" i="67"/>
  <c r="D27" i="67"/>
  <c r="C27" i="67"/>
  <c r="B27" i="67"/>
  <c r="E26" i="67"/>
  <c r="D26" i="67"/>
  <c r="C26" i="67"/>
  <c r="B26" i="67"/>
  <c r="E25" i="67"/>
  <c r="D25" i="67"/>
  <c r="C25" i="67"/>
  <c r="B25" i="67"/>
  <c r="E24" i="67"/>
  <c r="D24" i="67"/>
  <c r="C24" i="67"/>
  <c r="B24" i="67"/>
  <c r="E23" i="67"/>
  <c r="D23" i="67"/>
  <c r="C23" i="67"/>
  <c r="B23" i="67"/>
  <c r="E22" i="67"/>
  <c r="D22" i="67"/>
  <c r="C22" i="67"/>
  <c r="B22" i="67"/>
  <c r="E21" i="67"/>
  <c r="D21" i="67"/>
  <c r="C21" i="67"/>
  <c r="B21" i="67"/>
  <c r="E20" i="67"/>
  <c r="D20" i="67"/>
  <c r="C20" i="67"/>
  <c r="B20" i="67"/>
  <c r="E19" i="67"/>
  <c r="D19" i="67"/>
  <c r="C19" i="67"/>
  <c r="B19" i="67"/>
  <c r="E18" i="67"/>
  <c r="D18" i="67"/>
  <c r="C18" i="67"/>
  <c r="B18" i="67"/>
  <c r="E17" i="67"/>
  <c r="D17" i="67"/>
  <c r="C17" i="67"/>
  <c r="B17" i="67"/>
  <c r="E16" i="67"/>
  <c r="D16" i="67"/>
  <c r="C16" i="67"/>
  <c r="B16" i="67"/>
  <c r="E15" i="67"/>
  <c r="D15" i="67"/>
  <c r="C15" i="67"/>
  <c r="B15" i="67"/>
  <c r="E14" i="67"/>
  <c r="D14" i="67"/>
  <c r="C14" i="67"/>
  <c r="B14" i="67"/>
  <c r="E13" i="67"/>
  <c r="D13" i="67"/>
  <c r="C13" i="67"/>
  <c r="B13" i="67"/>
  <c r="E12" i="67"/>
  <c r="D12" i="67"/>
  <c r="C12" i="67"/>
  <c r="B12" i="67"/>
  <c r="E11" i="67"/>
  <c r="D11" i="67"/>
  <c r="C11" i="67"/>
  <c r="B11" i="67"/>
  <c r="E10" i="67"/>
  <c r="D10" i="67"/>
  <c r="C10" i="67"/>
  <c r="B10" i="67"/>
  <c r="E9" i="67"/>
  <c r="D9" i="67"/>
  <c r="C9" i="67"/>
  <c r="B9" i="67"/>
  <c r="E8" i="67"/>
  <c r="D8" i="67"/>
  <c r="C8" i="67"/>
  <c r="B8" i="67"/>
  <c r="A2" i="68"/>
  <c r="F9" i="68"/>
  <c r="F32" i="68"/>
  <c r="F8" i="68"/>
  <c r="G8" i="68"/>
  <c r="B9" i="68"/>
  <c r="C9" i="68"/>
  <c r="D9" i="68"/>
  <c r="E9" i="68"/>
  <c r="B10" i="68"/>
  <c r="C10" i="68"/>
  <c r="D10" i="68"/>
  <c r="E10" i="68"/>
  <c r="F10" i="68"/>
  <c r="B11" i="68"/>
  <c r="C11" i="68"/>
  <c r="D11" i="68"/>
  <c r="E11" i="68"/>
  <c r="F11" i="68"/>
  <c r="B12" i="68"/>
  <c r="C12" i="68"/>
  <c r="D12" i="68"/>
  <c r="E12" i="68"/>
  <c r="F12" i="68"/>
  <c r="B13" i="68"/>
  <c r="C13" i="68"/>
  <c r="D13" i="68"/>
  <c r="E13" i="68"/>
  <c r="F13" i="68"/>
  <c r="B14" i="68"/>
  <c r="C14" i="68"/>
  <c r="D14" i="68"/>
  <c r="E14" i="68"/>
  <c r="F14" i="68"/>
  <c r="B15" i="68"/>
  <c r="C15" i="68"/>
  <c r="D15" i="68"/>
  <c r="E15" i="68"/>
  <c r="F15" i="68"/>
  <c r="B16" i="68"/>
  <c r="C16" i="68"/>
  <c r="D16" i="68"/>
  <c r="E16" i="68"/>
  <c r="F16" i="68"/>
  <c r="B17" i="68"/>
  <c r="C17" i="68"/>
  <c r="D17" i="68"/>
  <c r="E17" i="68"/>
  <c r="F17" i="68"/>
  <c r="B18" i="68"/>
  <c r="C18" i="68"/>
  <c r="D18" i="68"/>
  <c r="E18" i="68"/>
  <c r="F18" i="68"/>
  <c r="B19" i="68"/>
  <c r="C19" i="68"/>
  <c r="D19" i="68"/>
  <c r="E19" i="68"/>
  <c r="F19" i="68"/>
  <c r="B20" i="68"/>
  <c r="C20" i="68"/>
  <c r="D20" i="68"/>
  <c r="E20" i="68"/>
  <c r="F20" i="68"/>
  <c r="B21" i="68"/>
  <c r="C21" i="68"/>
  <c r="D21" i="68"/>
  <c r="E21" i="68"/>
  <c r="F21" i="68"/>
  <c r="B22" i="68"/>
  <c r="C22" i="68"/>
  <c r="D22" i="68"/>
  <c r="E22" i="68"/>
  <c r="F22" i="68"/>
  <c r="B23" i="68"/>
  <c r="C23" i="68"/>
  <c r="D23" i="68"/>
  <c r="E23" i="68"/>
  <c r="F23" i="68"/>
  <c r="B24" i="68"/>
  <c r="C24" i="68"/>
  <c r="D24" i="68"/>
  <c r="E24" i="68"/>
  <c r="F24" i="68"/>
  <c r="B25" i="68"/>
  <c r="C25" i="68"/>
  <c r="D25" i="68"/>
  <c r="E25" i="68"/>
  <c r="F25" i="68"/>
  <c r="B26" i="68"/>
  <c r="C26" i="68"/>
  <c r="D26" i="68"/>
  <c r="E26" i="68"/>
  <c r="F26" i="68"/>
  <c r="B27" i="68"/>
  <c r="C27" i="68"/>
  <c r="D27" i="68"/>
  <c r="E27" i="68"/>
  <c r="F27" i="68"/>
  <c r="B28" i="68"/>
  <c r="C28" i="68"/>
  <c r="D28" i="68"/>
  <c r="E28" i="68"/>
  <c r="F28" i="68"/>
  <c r="B29" i="68"/>
  <c r="C29" i="68"/>
  <c r="D29" i="68"/>
  <c r="E29" i="68"/>
  <c r="F29" i="68"/>
  <c r="B30" i="68"/>
  <c r="C30" i="68"/>
  <c r="D30" i="68"/>
  <c r="E30" i="68"/>
  <c r="F30" i="68"/>
  <c r="B31" i="68"/>
  <c r="C31" i="68"/>
  <c r="D31" i="68"/>
  <c r="E31" i="68"/>
  <c r="F31" i="68"/>
  <c r="B32" i="68"/>
  <c r="C32" i="68"/>
  <c r="D32" i="68"/>
  <c r="E32" i="68"/>
  <c r="B33" i="68"/>
  <c r="C33" i="68"/>
  <c r="D33" i="68"/>
  <c r="E33" i="68"/>
  <c r="F33" i="68"/>
  <c r="B34" i="68"/>
  <c r="C34" i="68"/>
  <c r="D34" i="68"/>
  <c r="E34" i="68"/>
  <c r="C8" i="68"/>
  <c r="D8" i="68"/>
  <c r="E8" i="68"/>
  <c r="B8" i="68"/>
  <c r="G32" i="68"/>
  <c r="G34" i="68"/>
  <c r="H33" i="68"/>
  <c r="G33" i="68"/>
  <c r="H31" i="68"/>
  <c r="G31" i="68"/>
  <c r="H30" i="68"/>
  <c r="G30" i="68"/>
  <c r="H29" i="68"/>
  <c r="G29" i="68"/>
  <c r="H28" i="68"/>
  <c r="G28" i="68"/>
  <c r="H27" i="68"/>
  <c r="G27" i="68"/>
  <c r="H26" i="68"/>
  <c r="G26" i="68"/>
  <c r="H25" i="68"/>
  <c r="G25" i="68"/>
  <c r="H24" i="68"/>
  <c r="G24" i="68"/>
  <c r="H23" i="68"/>
  <c r="G23" i="68"/>
  <c r="H22" i="68"/>
  <c r="G22" i="68"/>
  <c r="H21" i="68"/>
  <c r="G21" i="68"/>
  <c r="H20" i="68"/>
  <c r="G20" i="68"/>
  <c r="H19" i="68"/>
  <c r="G19" i="68"/>
  <c r="H18" i="68"/>
  <c r="G18" i="68"/>
  <c r="H17" i="68"/>
  <c r="G17" i="68"/>
  <c r="H16" i="68"/>
  <c r="G16" i="68"/>
  <c r="H15" i="68"/>
  <c r="G15" i="68"/>
  <c r="H14" i="68"/>
  <c r="G14" i="68"/>
  <c r="H13" i="68"/>
  <c r="G13" i="68"/>
  <c r="H12" i="68"/>
  <c r="G12" i="68"/>
  <c r="H11" i="68"/>
  <c r="G11" i="68"/>
  <c r="H10" i="68"/>
  <c r="G10" i="68"/>
  <c r="G9" i="68"/>
  <c r="H9" i="68"/>
  <c r="H32" i="68"/>
  <c r="H8" i="68"/>
  <c r="F34" i="68"/>
  <c r="H34" i="68"/>
  <c r="I34" i="68"/>
  <c r="I8" i="68"/>
  <c r="I32" i="68"/>
  <c r="I9" i="68"/>
  <c r="I10" i="68"/>
  <c r="I11" i="68"/>
  <c r="I12" i="68"/>
  <c r="I13" i="68"/>
  <c r="I14" i="68"/>
  <c r="I15" i="68"/>
  <c r="I16" i="68"/>
  <c r="I17" i="68"/>
  <c r="I18" i="68"/>
  <c r="I19" i="68"/>
  <c r="I20" i="68"/>
  <c r="I21" i="68"/>
  <c r="I22" i="68"/>
  <c r="I23" i="68"/>
  <c r="I24" i="68"/>
  <c r="I25" i="68"/>
  <c r="I26" i="68"/>
  <c r="I27" i="68"/>
  <c r="I28" i="68"/>
  <c r="I29" i="68"/>
  <c r="I30" i="68"/>
  <c r="I31" i="68"/>
  <c r="I33" i="68"/>
  <c r="A35" i="69"/>
  <c r="A2" i="69"/>
  <c r="B9" i="69"/>
  <c r="C9" i="69"/>
  <c r="D9" i="69"/>
  <c r="E9" i="69"/>
  <c r="F9" i="69"/>
  <c r="G9" i="69"/>
  <c r="H9" i="69"/>
  <c r="I9" i="69"/>
  <c r="B10" i="69"/>
  <c r="C10" i="69"/>
  <c r="D10" i="69"/>
  <c r="E10" i="69"/>
  <c r="F10" i="69"/>
  <c r="G10" i="69"/>
  <c r="H10" i="69"/>
  <c r="I10" i="69"/>
  <c r="B11" i="69"/>
  <c r="C11" i="69"/>
  <c r="D11" i="69"/>
  <c r="E11" i="69"/>
  <c r="F11" i="69"/>
  <c r="G11" i="69"/>
  <c r="H11" i="69"/>
  <c r="I11" i="69"/>
  <c r="B12" i="69"/>
  <c r="C12" i="69"/>
  <c r="D12" i="69"/>
  <c r="E12" i="69"/>
  <c r="F12" i="69"/>
  <c r="G12" i="69"/>
  <c r="H12" i="69"/>
  <c r="I12" i="69"/>
  <c r="B13" i="69"/>
  <c r="C13" i="69"/>
  <c r="D13" i="69"/>
  <c r="E13" i="69"/>
  <c r="F13" i="69"/>
  <c r="G13" i="69"/>
  <c r="H13" i="69"/>
  <c r="I13" i="69"/>
  <c r="B14" i="69"/>
  <c r="C14" i="69"/>
  <c r="D14" i="69"/>
  <c r="E14" i="69"/>
  <c r="F14" i="69"/>
  <c r="G14" i="69"/>
  <c r="H14" i="69"/>
  <c r="I14" i="69"/>
  <c r="B15" i="69"/>
  <c r="C15" i="69"/>
  <c r="D15" i="69"/>
  <c r="E15" i="69"/>
  <c r="F15" i="69"/>
  <c r="G15" i="69"/>
  <c r="H15" i="69"/>
  <c r="I15" i="69"/>
  <c r="B16" i="69"/>
  <c r="C16" i="69"/>
  <c r="D16" i="69"/>
  <c r="E16" i="69"/>
  <c r="F16" i="69"/>
  <c r="G16" i="69"/>
  <c r="H16" i="69"/>
  <c r="I16" i="69"/>
  <c r="B17" i="69"/>
  <c r="C17" i="69"/>
  <c r="D17" i="69"/>
  <c r="E17" i="69"/>
  <c r="F17" i="69"/>
  <c r="G17" i="69"/>
  <c r="H17" i="69"/>
  <c r="I17" i="69"/>
  <c r="B18" i="69"/>
  <c r="C18" i="69"/>
  <c r="D18" i="69"/>
  <c r="E18" i="69"/>
  <c r="F18" i="69"/>
  <c r="G18" i="69"/>
  <c r="H18" i="69"/>
  <c r="I18" i="69"/>
  <c r="B19" i="69"/>
  <c r="C19" i="69"/>
  <c r="D19" i="69"/>
  <c r="E19" i="69"/>
  <c r="F19" i="69"/>
  <c r="G19" i="69"/>
  <c r="H19" i="69"/>
  <c r="I19" i="69"/>
  <c r="B20" i="69"/>
  <c r="C20" i="69"/>
  <c r="D20" i="69"/>
  <c r="E20" i="69"/>
  <c r="F20" i="69"/>
  <c r="G20" i="69"/>
  <c r="H20" i="69"/>
  <c r="I20" i="69"/>
  <c r="B21" i="69"/>
  <c r="C21" i="69"/>
  <c r="D21" i="69"/>
  <c r="E21" i="69"/>
  <c r="F21" i="69"/>
  <c r="G21" i="69"/>
  <c r="H21" i="69"/>
  <c r="I21" i="69"/>
  <c r="B22" i="69"/>
  <c r="C22" i="69"/>
  <c r="D22" i="69"/>
  <c r="E22" i="69"/>
  <c r="F22" i="69"/>
  <c r="G22" i="69"/>
  <c r="H22" i="69"/>
  <c r="I22" i="69"/>
  <c r="B23" i="69"/>
  <c r="C23" i="69"/>
  <c r="D23" i="69"/>
  <c r="E23" i="69"/>
  <c r="F23" i="69"/>
  <c r="G23" i="69"/>
  <c r="H23" i="69"/>
  <c r="I23" i="69"/>
  <c r="B24" i="69"/>
  <c r="C24" i="69"/>
  <c r="D24" i="69"/>
  <c r="E24" i="69"/>
  <c r="F24" i="69"/>
  <c r="G24" i="69"/>
  <c r="H24" i="69"/>
  <c r="I24" i="69"/>
  <c r="B25" i="69"/>
  <c r="C25" i="69"/>
  <c r="D25" i="69"/>
  <c r="E25" i="69"/>
  <c r="F25" i="69"/>
  <c r="G25" i="69"/>
  <c r="H25" i="69"/>
  <c r="I25" i="69"/>
  <c r="B26" i="69"/>
  <c r="C26" i="69"/>
  <c r="D26" i="69"/>
  <c r="E26" i="69"/>
  <c r="F26" i="69"/>
  <c r="G26" i="69"/>
  <c r="H26" i="69"/>
  <c r="I26" i="69"/>
  <c r="B27" i="69"/>
  <c r="C27" i="69"/>
  <c r="D27" i="69"/>
  <c r="E27" i="69"/>
  <c r="F27" i="69"/>
  <c r="G27" i="69"/>
  <c r="H27" i="69"/>
  <c r="I27" i="69"/>
  <c r="B28" i="69"/>
  <c r="C28" i="69"/>
  <c r="D28" i="69"/>
  <c r="E28" i="69"/>
  <c r="F28" i="69"/>
  <c r="G28" i="69"/>
  <c r="H28" i="69"/>
  <c r="B29" i="69"/>
  <c r="C29" i="69"/>
  <c r="D29" i="69"/>
  <c r="E29" i="69"/>
  <c r="F29" i="69"/>
  <c r="G29" i="69"/>
  <c r="H29" i="69"/>
  <c r="I29" i="69"/>
  <c r="B30" i="69"/>
  <c r="C30" i="69"/>
  <c r="D30" i="69"/>
  <c r="E30" i="69"/>
  <c r="F30" i="69"/>
  <c r="G30" i="69"/>
  <c r="H30" i="69"/>
  <c r="I30" i="69"/>
  <c r="B31" i="69"/>
  <c r="C31" i="69"/>
  <c r="D31" i="69"/>
  <c r="E31" i="69"/>
  <c r="F31" i="69"/>
  <c r="G31" i="69"/>
  <c r="H31" i="69"/>
  <c r="I31" i="69"/>
  <c r="B32" i="69"/>
  <c r="C32" i="69"/>
  <c r="D32" i="69"/>
  <c r="E32" i="69"/>
  <c r="F32" i="69"/>
  <c r="G32" i="69"/>
  <c r="H32" i="69"/>
  <c r="I32" i="69"/>
  <c r="B33" i="69"/>
  <c r="C33" i="69"/>
  <c r="D33" i="69"/>
  <c r="E33" i="69"/>
  <c r="F33" i="69"/>
  <c r="G33" i="69"/>
  <c r="H33" i="69"/>
  <c r="I33" i="69"/>
  <c r="B34" i="69"/>
  <c r="C34" i="69"/>
  <c r="D34" i="69"/>
  <c r="E34" i="69"/>
  <c r="F34" i="69"/>
  <c r="H34" i="69"/>
  <c r="C8" i="69"/>
  <c r="D8" i="69"/>
  <c r="E8" i="69"/>
  <c r="F8" i="69"/>
  <c r="G8" i="69"/>
  <c r="H8" i="69"/>
  <c r="I8" i="69"/>
  <c r="B8" i="69"/>
  <c r="I28" i="69"/>
  <c r="G34" i="69"/>
  <c r="I34" i="69"/>
  <c r="A2" i="70"/>
  <c r="A33" i="70"/>
  <c r="B7" i="70"/>
  <c r="I7" i="70"/>
  <c r="H7" i="70"/>
  <c r="G7" i="70"/>
  <c r="F7" i="70"/>
  <c r="E7" i="70"/>
  <c r="D7" i="70"/>
  <c r="C7" i="70"/>
  <c r="I32" i="70"/>
  <c r="H32" i="70"/>
  <c r="G32" i="70"/>
  <c r="F32" i="70"/>
  <c r="E32" i="70"/>
  <c r="D32" i="70"/>
  <c r="C32" i="70"/>
  <c r="B32" i="70"/>
  <c r="I31" i="70"/>
  <c r="H31" i="70"/>
  <c r="G31" i="70"/>
  <c r="F31" i="70"/>
  <c r="E31" i="70"/>
  <c r="D31" i="70"/>
  <c r="C31" i="70"/>
  <c r="B31" i="70"/>
  <c r="I30" i="70"/>
  <c r="H30" i="70"/>
  <c r="G30" i="70"/>
  <c r="F30" i="70"/>
  <c r="E30" i="70"/>
  <c r="D30" i="70"/>
  <c r="C30" i="70"/>
  <c r="B30" i="70"/>
  <c r="I29" i="70"/>
  <c r="H29" i="70"/>
  <c r="G29" i="70"/>
  <c r="F29" i="70"/>
  <c r="E29" i="70"/>
  <c r="D29" i="70"/>
  <c r="C29" i="70"/>
  <c r="B29" i="70"/>
  <c r="I28" i="70"/>
  <c r="H28" i="70"/>
  <c r="G28" i="70"/>
  <c r="F28" i="70"/>
  <c r="E28" i="70"/>
  <c r="D28" i="70"/>
  <c r="C28" i="70"/>
  <c r="B28" i="70"/>
  <c r="I27" i="70"/>
  <c r="H27" i="70"/>
  <c r="G27" i="70"/>
  <c r="F27" i="70"/>
  <c r="E27" i="70"/>
  <c r="D27" i="70"/>
  <c r="C27" i="70"/>
  <c r="B27" i="70"/>
  <c r="I26" i="70"/>
  <c r="H26" i="70"/>
  <c r="G26" i="70"/>
  <c r="F26" i="70"/>
  <c r="E26" i="70"/>
  <c r="D26" i="70"/>
  <c r="C26" i="70"/>
  <c r="B26" i="70"/>
  <c r="I25" i="70"/>
  <c r="H25" i="70"/>
  <c r="G25" i="70"/>
  <c r="F25" i="70"/>
  <c r="E25" i="70"/>
  <c r="D25" i="70"/>
  <c r="C25" i="70"/>
  <c r="B25" i="70"/>
  <c r="I24" i="70"/>
  <c r="H24" i="70"/>
  <c r="G24" i="70"/>
  <c r="F24" i="70"/>
  <c r="E24" i="70"/>
  <c r="D24" i="70"/>
  <c r="C24" i="70"/>
  <c r="B24" i="70"/>
  <c r="I23" i="70"/>
  <c r="H23" i="70"/>
  <c r="G23" i="70"/>
  <c r="F23" i="70"/>
  <c r="E23" i="70"/>
  <c r="D23" i="70"/>
  <c r="C23" i="70"/>
  <c r="B23" i="70"/>
  <c r="I22" i="70"/>
  <c r="H22" i="70"/>
  <c r="G22" i="70"/>
  <c r="F22" i="70"/>
  <c r="E22" i="70"/>
  <c r="D22" i="70"/>
  <c r="C22" i="70"/>
  <c r="B22" i="70"/>
  <c r="I21" i="70"/>
  <c r="H21" i="70"/>
  <c r="G21" i="70"/>
  <c r="F21" i="70"/>
  <c r="E21" i="70"/>
  <c r="D21" i="70"/>
  <c r="C21" i="70"/>
  <c r="B21" i="70"/>
  <c r="I20" i="70"/>
  <c r="H20" i="70"/>
  <c r="G20" i="70"/>
  <c r="F20" i="70"/>
  <c r="E20" i="70"/>
  <c r="D20" i="70"/>
  <c r="C20" i="70"/>
  <c r="B20" i="70"/>
  <c r="I19" i="70"/>
  <c r="H19" i="70"/>
  <c r="G19" i="70"/>
  <c r="F19" i="70"/>
  <c r="E19" i="70"/>
  <c r="D19" i="70"/>
  <c r="C19" i="70"/>
  <c r="B19" i="70"/>
  <c r="I18" i="70"/>
  <c r="H18" i="70"/>
  <c r="G18" i="70"/>
  <c r="F18" i="70"/>
  <c r="E18" i="70"/>
  <c r="D18" i="70"/>
  <c r="C18" i="70"/>
  <c r="B18" i="70"/>
  <c r="I17" i="70"/>
  <c r="H17" i="70"/>
  <c r="G17" i="70"/>
  <c r="F17" i="70"/>
  <c r="E17" i="70"/>
  <c r="D17" i="70"/>
  <c r="C17" i="70"/>
  <c r="B17" i="70"/>
  <c r="I16" i="70"/>
  <c r="H16" i="70"/>
  <c r="G16" i="70"/>
  <c r="F16" i="70"/>
  <c r="E16" i="70"/>
  <c r="D16" i="70"/>
  <c r="C16" i="70"/>
  <c r="B16" i="70"/>
  <c r="I15" i="70"/>
  <c r="H15" i="70"/>
  <c r="G15" i="70"/>
  <c r="F15" i="70"/>
  <c r="E15" i="70"/>
  <c r="D15" i="70"/>
  <c r="C15" i="70"/>
  <c r="B15" i="70"/>
  <c r="I14" i="70"/>
  <c r="H14" i="70"/>
  <c r="G14" i="70"/>
  <c r="F14" i="70"/>
  <c r="E14" i="70"/>
  <c r="D14" i="70"/>
  <c r="C14" i="70"/>
  <c r="B14" i="70"/>
  <c r="I13" i="70"/>
  <c r="H13" i="70"/>
  <c r="G13" i="70"/>
  <c r="F13" i="70"/>
  <c r="E13" i="70"/>
  <c r="D13" i="70"/>
  <c r="C13" i="70"/>
  <c r="B13" i="70"/>
  <c r="I12" i="70"/>
  <c r="H12" i="70"/>
  <c r="G12" i="70"/>
  <c r="F12" i="70"/>
  <c r="E12" i="70"/>
  <c r="D12" i="70"/>
  <c r="C12" i="70"/>
  <c r="B12" i="70"/>
  <c r="I11" i="70"/>
  <c r="H11" i="70"/>
  <c r="G11" i="70"/>
  <c r="F11" i="70"/>
  <c r="E11" i="70"/>
  <c r="D11" i="70"/>
  <c r="C11" i="70"/>
  <c r="B11" i="70"/>
  <c r="I10" i="70"/>
  <c r="H10" i="70"/>
  <c r="G10" i="70"/>
  <c r="F10" i="70"/>
  <c r="E10" i="70"/>
  <c r="D10" i="70"/>
  <c r="C10" i="70"/>
  <c r="B10" i="70"/>
  <c r="I9" i="70"/>
  <c r="H9" i="70"/>
  <c r="G9" i="70"/>
  <c r="F9" i="70"/>
  <c r="E9" i="70"/>
  <c r="D9" i="70"/>
  <c r="C9" i="70"/>
  <c r="B9" i="70"/>
  <c r="I8" i="70"/>
  <c r="H8" i="70"/>
  <c r="G8" i="70"/>
  <c r="F8" i="70"/>
  <c r="E8" i="70"/>
  <c r="D8" i="70"/>
  <c r="C8" i="70"/>
  <c r="B8" i="70"/>
  <c r="A15" i="71"/>
  <c r="B8" i="71"/>
  <c r="E8" i="71"/>
  <c r="G8" i="71"/>
  <c r="B9" i="71"/>
  <c r="E9" i="71"/>
  <c r="G9" i="71"/>
  <c r="B10" i="71"/>
  <c r="E10" i="71"/>
  <c r="G10" i="71"/>
  <c r="B11" i="71"/>
  <c r="E11" i="71"/>
  <c r="B12" i="71"/>
  <c r="E12" i="71"/>
  <c r="B13" i="71"/>
  <c r="E13" i="71"/>
  <c r="G13" i="71"/>
  <c r="H13" i="71"/>
  <c r="B14" i="71"/>
  <c r="D14" i="71"/>
  <c r="E14" i="71"/>
  <c r="F14" i="71"/>
  <c r="G14" i="71"/>
  <c r="H14" i="71"/>
  <c r="C7" i="71"/>
  <c r="E7" i="71"/>
  <c r="F7" i="71"/>
  <c r="G7" i="71"/>
  <c r="H7" i="71"/>
  <c r="B7" i="71"/>
  <c r="G11" i="71"/>
  <c r="C8" i="71"/>
  <c r="F8" i="71"/>
  <c r="H8" i="71"/>
  <c r="C9" i="71"/>
  <c r="F9" i="71"/>
  <c r="H9" i="71"/>
  <c r="C10" i="71"/>
  <c r="F10" i="71"/>
  <c r="H10" i="71"/>
  <c r="C11" i="71"/>
  <c r="F11" i="71"/>
  <c r="C12" i="71"/>
  <c r="F12" i="71"/>
  <c r="C13" i="71"/>
  <c r="C14" i="71"/>
  <c r="H11" i="71"/>
  <c r="D7" i="71"/>
  <c r="D12" i="71"/>
  <c r="D11" i="71"/>
  <c r="D10" i="71"/>
  <c r="D9" i="71"/>
  <c r="D8" i="71"/>
  <c r="D13" i="71"/>
  <c r="G12" i="71"/>
  <c r="H12" i="71"/>
  <c r="F13" i="71"/>
  <c r="A36" i="72"/>
  <c r="E3" i="72"/>
  <c r="A2" i="72"/>
  <c r="D5" i="72"/>
  <c r="C6" i="72"/>
  <c r="B6" i="72"/>
  <c r="B9" i="72"/>
  <c r="H9" i="72"/>
  <c r="G9" i="72"/>
  <c r="F9" i="72"/>
  <c r="E9" i="72"/>
  <c r="D9" i="72"/>
  <c r="C9" i="72"/>
  <c r="I9" i="72"/>
  <c r="I10" i="72"/>
  <c r="H10" i="72"/>
  <c r="G10" i="72"/>
  <c r="F10" i="72"/>
  <c r="E10" i="72"/>
  <c r="D10" i="72"/>
  <c r="C10" i="72"/>
  <c r="B10" i="72"/>
  <c r="I11" i="72"/>
  <c r="I12" i="72"/>
  <c r="I13" i="72"/>
  <c r="I14" i="72"/>
  <c r="I15" i="72"/>
  <c r="I16" i="72"/>
  <c r="I17" i="72"/>
  <c r="I18" i="72"/>
  <c r="I19" i="72"/>
  <c r="I20" i="72"/>
  <c r="I21" i="72"/>
  <c r="I22" i="72"/>
  <c r="I23" i="72"/>
  <c r="I24" i="72"/>
  <c r="I25" i="72"/>
  <c r="I26" i="72"/>
  <c r="I27" i="72"/>
  <c r="I28" i="72"/>
  <c r="I29" i="72"/>
  <c r="I30" i="72"/>
  <c r="I31" i="72"/>
  <c r="I32" i="72"/>
  <c r="I33" i="72"/>
  <c r="I34" i="72"/>
  <c r="H34" i="72"/>
  <c r="G34" i="72"/>
  <c r="F34" i="72"/>
  <c r="E34" i="72"/>
  <c r="D34" i="72"/>
  <c r="C34" i="72"/>
  <c r="B34" i="72"/>
  <c r="H33" i="72"/>
  <c r="G33" i="72"/>
  <c r="F33" i="72"/>
  <c r="E33" i="72"/>
  <c r="D33" i="72"/>
  <c r="C33" i="72"/>
  <c r="B33" i="72"/>
  <c r="H32" i="72"/>
  <c r="G32" i="72"/>
  <c r="F32" i="72"/>
  <c r="E32" i="72"/>
  <c r="D32" i="72"/>
  <c r="C32" i="72"/>
  <c r="B32" i="72"/>
  <c r="H31" i="72"/>
  <c r="G31" i="72"/>
  <c r="F31" i="72"/>
  <c r="E31" i="72"/>
  <c r="D31" i="72"/>
  <c r="C31" i="72"/>
  <c r="B31" i="72"/>
  <c r="H30" i="72"/>
  <c r="G30" i="72"/>
  <c r="F30" i="72"/>
  <c r="E30" i="72"/>
  <c r="D30" i="72"/>
  <c r="C30" i="72"/>
  <c r="B30" i="72"/>
  <c r="H29" i="72"/>
  <c r="G29" i="72"/>
  <c r="F29" i="72"/>
  <c r="E29" i="72"/>
  <c r="D29" i="72"/>
  <c r="C29" i="72"/>
  <c r="B29" i="72"/>
  <c r="H28" i="72"/>
  <c r="G28" i="72"/>
  <c r="F28" i="72"/>
  <c r="E28" i="72"/>
  <c r="D28" i="72"/>
  <c r="C28" i="72"/>
  <c r="B28" i="72"/>
  <c r="H27" i="72"/>
  <c r="G27" i="72"/>
  <c r="F27" i="72"/>
  <c r="E27" i="72"/>
  <c r="D27" i="72"/>
  <c r="C27" i="72"/>
  <c r="B27" i="72"/>
  <c r="H26" i="72"/>
  <c r="G26" i="72"/>
  <c r="F26" i="72"/>
  <c r="E26" i="72"/>
  <c r="D26" i="72"/>
  <c r="C26" i="72"/>
  <c r="B26" i="72"/>
  <c r="H25" i="72"/>
  <c r="G25" i="72"/>
  <c r="F25" i="72"/>
  <c r="E25" i="72"/>
  <c r="D25" i="72"/>
  <c r="C25" i="72"/>
  <c r="B25" i="72"/>
  <c r="H24" i="72"/>
  <c r="G24" i="72"/>
  <c r="F24" i="72"/>
  <c r="E24" i="72"/>
  <c r="D24" i="72"/>
  <c r="C24" i="72"/>
  <c r="B24" i="72"/>
  <c r="H23" i="72"/>
  <c r="G23" i="72"/>
  <c r="F23" i="72"/>
  <c r="E23" i="72"/>
  <c r="D23" i="72"/>
  <c r="C23" i="72"/>
  <c r="B23" i="72"/>
  <c r="H22" i="72"/>
  <c r="G22" i="72"/>
  <c r="F22" i="72"/>
  <c r="E22" i="72"/>
  <c r="D22" i="72"/>
  <c r="C22" i="72"/>
  <c r="B22" i="72"/>
  <c r="H21" i="72"/>
  <c r="G21" i="72"/>
  <c r="F21" i="72"/>
  <c r="E21" i="72"/>
  <c r="D21" i="72"/>
  <c r="C21" i="72"/>
  <c r="B21" i="72"/>
  <c r="H20" i="72"/>
  <c r="G20" i="72"/>
  <c r="F20" i="72"/>
  <c r="E20" i="72"/>
  <c r="D20" i="72"/>
  <c r="C20" i="72"/>
  <c r="B20" i="72"/>
  <c r="H19" i="72"/>
  <c r="G19" i="72"/>
  <c r="F19" i="72"/>
  <c r="E19" i="72"/>
  <c r="D19" i="72"/>
  <c r="C19" i="72"/>
  <c r="B19" i="72"/>
  <c r="H18" i="72"/>
  <c r="G18" i="72"/>
  <c r="F18" i="72"/>
  <c r="E18" i="72"/>
  <c r="D18" i="72"/>
  <c r="C18" i="72"/>
  <c r="B18" i="72"/>
  <c r="H17" i="72"/>
  <c r="G17" i="72"/>
  <c r="F17" i="72"/>
  <c r="E17" i="72"/>
  <c r="D17" i="72"/>
  <c r="C17" i="72"/>
  <c r="B17" i="72"/>
  <c r="H16" i="72"/>
  <c r="G16" i="72"/>
  <c r="F16" i="72"/>
  <c r="E16" i="72"/>
  <c r="D16" i="72"/>
  <c r="C16" i="72"/>
  <c r="B16" i="72"/>
  <c r="H15" i="72"/>
  <c r="G15" i="72"/>
  <c r="F15" i="72"/>
  <c r="E15" i="72"/>
  <c r="D15" i="72"/>
  <c r="C15" i="72"/>
  <c r="B15" i="72"/>
  <c r="H14" i="72"/>
  <c r="G14" i="72"/>
  <c r="F14" i="72"/>
  <c r="E14" i="72"/>
  <c r="D14" i="72"/>
  <c r="C14" i="72"/>
  <c r="B14" i="72"/>
  <c r="H13" i="72"/>
  <c r="G13" i="72"/>
  <c r="F13" i="72"/>
  <c r="E13" i="72"/>
  <c r="D13" i="72"/>
  <c r="C13" i="72"/>
  <c r="B13" i="72"/>
  <c r="H12" i="72"/>
  <c r="G12" i="72"/>
  <c r="F12" i="72"/>
  <c r="E12" i="72"/>
  <c r="D12" i="72"/>
  <c r="C12" i="72"/>
  <c r="B12" i="72"/>
  <c r="H11" i="72"/>
  <c r="G11" i="72"/>
  <c r="F11" i="72"/>
  <c r="E11" i="72"/>
  <c r="D11" i="72"/>
  <c r="C11" i="72"/>
  <c r="B11" i="72"/>
  <c r="I35" i="72"/>
  <c r="H35" i="72"/>
  <c r="G35" i="72"/>
  <c r="F35" i="72"/>
  <c r="E35" i="72"/>
  <c r="D35" i="72"/>
  <c r="C35" i="72"/>
  <c r="B35" i="72"/>
  <c r="A2" i="73"/>
  <c r="D9" i="73"/>
  <c r="C9" i="73"/>
  <c r="C10" i="73"/>
  <c r="D10" i="73"/>
  <c r="C11" i="73"/>
  <c r="D11" i="73"/>
  <c r="C12" i="73"/>
  <c r="D12" i="73"/>
  <c r="C13" i="73"/>
  <c r="D13" i="73"/>
  <c r="C14" i="73"/>
  <c r="D14" i="73"/>
  <c r="C15" i="73"/>
  <c r="D15" i="73"/>
  <c r="C16" i="73"/>
  <c r="D16" i="73"/>
  <c r="C17" i="73"/>
  <c r="D17" i="73"/>
  <c r="C18" i="73"/>
  <c r="D18" i="73"/>
  <c r="C19" i="73"/>
  <c r="D19" i="73"/>
  <c r="C20" i="73"/>
  <c r="D20" i="73"/>
  <c r="C21" i="73"/>
  <c r="D21" i="73"/>
  <c r="C22" i="73"/>
  <c r="D22" i="73"/>
  <c r="C23" i="73"/>
  <c r="D23" i="73"/>
  <c r="C24" i="73"/>
  <c r="D24" i="73"/>
  <c r="C25" i="73"/>
  <c r="D25" i="73"/>
  <c r="C26" i="73"/>
  <c r="D26" i="73"/>
  <c r="C27" i="73"/>
  <c r="D27" i="73"/>
  <c r="C28" i="73"/>
  <c r="D28" i="73"/>
  <c r="C29" i="73"/>
  <c r="D29" i="73"/>
  <c r="C30" i="73"/>
  <c r="D30" i="73"/>
  <c r="C31" i="73"/>
  <c r="D31" i="73"/>
  <c r="C32" i="73"/>
  <c r="D32" i="73"/>
  <c r="C33" i="73"/>
  <c r="D33" i="73"/>
  <c r="C8" i="73"/>
  <c r="D8" i="73"/>
  <c r="D34" i="73"/>
  <c r="C34" i="73"/>
  <c r="E34" i="73"/>
  <c r="E9" i="73"/>
  <c r="E10" i="73"/>
  <c r="E11" i="73"/>
  <c r="E12" i="73"/>
  <c r="E13" i="73"/>
  <c r="E14" i="73"/>
  <c r="E15" i="73"/>
  <c r="E16" i="73"/>
  <c r="E17" i="73"/>
  <c r="E18" i="73"/>
  <c r="E19" i="73"/>
  <c r="E20" i="73"/>
  <c r="E21" i="73"/>
  <c r="E22" i="73"/>
  <c r="E23" i="73"/>
  <c r="E24" i="73"/>
  <c r="E25" i="73"/>
  <c r="E26" i="73"/>
  <c r="E27" i="73"/>
  <c r="E28" i="73"/>
  <c r="E29" i="73"/>
  <c r="E30" i="73"/>
  <c r="E31" i="73"/>
  <c r="E32" i="73"/>
  <c r="E33" i="73"/>
  <c r="E8" i="73"/>
  <c r="B34" i="73"/>
  <c r="F34" i="73"/>
  <c r="F9" i="73"/>
  <c r="F10" i="73"/>
  <c r="F11" i="73"/>
  <c r="F12" i="73"/>
  <c r="F13" i="73"/>
  <c r="F14" i="73"/>
  <c r="F15" i="73"/>
  <c r="F16" i="73"/>
  <c r="F17" i="73"/>
  <c r="F18" i="73"/>
  <c r="F19" i="73"/>
  <c r="F20" i="73"/>
  <c r="F21" i="73"/>
  <c r="F22" i="73"/>
  <c r="F23" i="73"/>
  <c r="F24" i="73"/>
  <c r="F25" i="73"/>
  <c r="F26" i="73"/>
  <c r="F27" i="73"/>
  <c r="F28" i="73"/>
  <c r="F29" i="73"/>
  <c r="F30" i="73"/>
  <c r="F31" i="73"/>
  <c r="F32" i="73"/>
  <c r="F33" i="73"/>
  <c r="F8" i="73"/>
  <c r="B9" i="73"/>
  <c r="B10" i="73"/>
  <c r="B11" i="73"/>
  <c r="B12" i="73"/>
  <c r="B13" i="73"/>
  <c r="B14" i="73"/>
  <c r="B15" i="73"/>
  <c r="B16" i="73"/>
  <c r="B17" i="73"/>
  <c r="B18" i="73"/>
  <c r="B19" i="73"/>
  <c r="B20" i="73"/>
  <c r="B21" i="73"/>
  <c r="B22" i="73"/>
  <c r="B23" i="73"/>
  <c r="B24" i="73"/>
  <c r="B25" i="73"/>
  <c r="B26" i="73"/>
  <c r="B27" i="73"/>
  <c r="B28" i="73"/>
  <c r="B29" i="73"/>
  <c r="B30" i="73"/>
  <c r="B31" i="73"/>
  <c r="B32" i="73"/>
  <c r="B33" i="73"/>
  <c r="B8" i="73"/>
  <c r="G34" i="73"/>
  <c r="G9" i="73"/>
  <c r="G10" i="73"/>
  <c r="G11" i="73"/>
  <c r="G12" i="73"/>
  <c r="G13" i="73"/>
  <c r="G14" i="73"/>
  <c r="G15" i="73"/>
  <c r="G16" i="73"/>
  <c r="G17" i="73"/>
  <c r="G18" i="73"/>
  <c r="G19" i="73"/>
  <c r="G20" i="73"/>
  <c r="G21" i="73"/>
  <c r="G22" i="73"/>
  <c r="G23" i="73"/>
  <c r="G24" i="73"/>
  <c r="G25" i="73"/>
  <c r="G26" i="73"/>
  <c r="G27" i="73"/>
  <c r="G28" i="73"/>
  <c r="G29" i="73"/>
  <c r="G30" i="73"/>
  <c r="G31" i="73"/>
  <c r="G32" i="73"/>
  <c r="G33" i="73"/>
  <c r="G8" i="73"/>
  <c r="B8" i="74"/>
  <c r="C8" i="74"/>
  <c r="A35" i="74"/>
  <c r="C5" i="74"/>
  <c r="B5" i="74"/>
  <c r="B9" i="74"/>
  <c r="C9" i="74"/>
  <c r="B10" i="74"/>
  <c r="C10" i="74"/>
  <c r="B11" i="74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A2" i="74"/>
  <c r="D9" i="74"/>
  <c r="D10" i="74"/>
  <c r="D11" i="74"/>
  <c r="D12" i="74"/>
  <c r="D13" i="74"/>
  <c r="D14" i="74"/>
  <c r="D15" i="74"/>
  <c r="D16" i="74"/>
  <c r="D17" i="74"/>
  <c r="D18" i="74"/>
  <c r="D19" i="74"/>
  <c r="D20" i="74"/>
  <c r="D21" i="74"/>
  <c r="D22" i="74"/>
  <c r="D23" i="74"/>
  <c r="D24" i="74"/>
  <c r="D25" i="74"/>
  <c r="D26" i="74"/>
  <c r="D27" i="74"/>
  <c r="D28" i="74"/>
  <c r="D29" i="74"/>
  <c r="D30" i="74"/>
  <c r="D31" i="74"/>
  <c r="D32" i="74"/>
  <c r="D33" i="74"/>
  <c r="B34" i="74"/>
  <c r="C34" i="74"/>
  <c r="D8" i="74"/>
  <c r="D34" i="74"/>
  <c r="F34" i="74"/>
  <c r="F33" i="74"/>
  <c r="F32" i="74"/>
  <c r="F31" i="74"/>
  <c r="F30" i="74"/>
  <c r="F29" i="74"/>
  <c r="F28" i="74"/>
  <c r="F27" i="74"/>
  <c r="F26" i="74"/>
  <c r="F25" i="74"/>
  <c r="F24" i="74"/>
  <c r="F23" i="74"/>
  <c r="F22" i="74"/>
  <c r="F21" i="74"/>
  <c r="F20" i="74"/>
  <c r="F19" i="74"/>
  <c r="F18" i="74"/>
  <c r="F17" i="74"/>
  <c r="F16" i="74"/>
  <c r="F15" i="74"/>
  <c r="F14" i="74"/>
  <c r="F13" i="74"/>
  <c r="F12" i="74"/>
  <c r="F11" i="74"/>
  <c r="F10" i="74"/>
  <c r="F9" i="74"/>
  <c r="F8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E12" i="74"/>
  <c r="E11" i="74"/>
  <c r="E10" i="74"/>
  <c r="E9" i="74"/>
  <c r="E8" i="74"/>
  <c r="E34" i="74"/>
  <c r="G8" i="74"/>
  <c r="G9" i="74"/>
  <c r="G10" i="74"/>
  <c r="G11" i="74"/>
  <c r="G12" i="74"/>
  <c r="G13" i="74"/>
  <c r="G14" i="74"/>
  <c r="G15" i="74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C127" i="75"/>
  <c r="D127" i="75"/>
  <c r="E127" i="75"/>
  <c r="C128" i="75"/>
  <c r="D128" i="75"/>
  <c r="E128" i="75"/>
  <c r="C129" i="75"/>
  <c r="D129" i="75"/>
  <c r="E129" i="75"/>
  <c r="C130" i="75"/>
  <c r="D130" i="75"/>
  <c r="E130" i="75"/>
  <c r="C131" i="75"/>
  <c r="D131" i="75"/>
  <c r="E131" i="75"/>
  <c r="C132" i="75"/>
  <c r="D132" i="75"/>
  <c r="E132" i="75"/>
  <c r="C133" i="75"/>
  <c r="D133" i="75"/>
  <c r="E133" i="75"/>
  <c r="C134" i="75"/>
  <c r="D134" i="75"/>
  <c r="E134" i="75"/>
  <c r="C135" i="75"/>
  <c r="D135" i="75"/>
  <c r="E135" i="75"/>
  <c r="C136" i="75"/>
  <c r="D136" i="75"/>
  <c r="E136" i="75"/>
  <c r="C137" i="75"/>
  <c r="D137" i="75"/>
  <c r="E137" i="75"/>
  <c r="C138" i="75"/>
  <c r="D138" i="75"/>
  <c r="E138" i="75"/>
  <c r="C139" i="75"/>
  <c r="D139" i="75"/>
  <c r="E139" i="75"/>
  <c r="C140" i="75"/>
  <c r="D140" i="75"/>
  <c r="E140" i="75"/>
  <c r="C141" i="75"/>
  <c r="D141" i="75"/>
  <c r="E141" i="75"/>
  <c r="C142" i="75"/>
  <c r="D142" i="75"/>
  <c r="E142" i="75"/>
  <c r="C143" i="75"/>
  <c r="D143" i="75"/>
  <c r="E143" i="75"/>
  <c r="C144" i="75"/>
  <c r="D144" i="75"/>
  <c r="E144" i="75"/>
  <c r="C145" i="75"/>
  <c r="D145" i="75"/>
  <c r="E145" i="75"/>
  <c r="C146" i="75"/>
  <c r="D146" i="75"/>
  <c r="E146" i="75"/>
  <c r="C147" i="75"/>
  <c r="D147" i="75"/>
  <c r="E147" i="75"/>
  <c r="C148" i="75"/>
  <c r="D148" i="75"/>
  <c r="E148" i="75"/>
  <c r="C149" i="75"/>
  <c r="D149" i="75"/>
  <c r="E149" i="75"/>
  <c r="C150" i="75"/>
  <c r="D150" i="75"/>
  <c r="E150" i="75"/>
  <c r="C151" i="75"/>
  <c r="D151" i="75"/>
  <c r="E151" i="75"/>
  <c r="C152" i="75"/>
  <c r="D152" i="75"/>
  <c r="E152" i="75"/>
  <c r="C153" i="75"/>
  <c r="D153" i="75"/>
  <c r="E153" i="75"/>
  <c r="C154" i="75"/>
  <c r="D154" i="75"/>
  <c r="E154" i="75"/>
  <c r="C155" i="75"/>
  <c r="D155" i="75"/>
  <c r="E155" i="75"/>
  <c r="C156" i="75"/>
  <c r="D156" i="75"/>
  <c r="E156" i="75"/>
  <c r="C157" i="75"/>
  <c r="D157" i="75"/>
  <c r="E157" i="75"/>
  <c r="C158" i="75"/>
  <c r="D158" i="75"/>
  <c r="E158" i="75"/>
  <c r="C159" i="75"/>
  <c r="D159" i="75"/>
  <c r="E159" i="75"/>
  <c r="C160" i="75"/>
  <c r="D160" i="75"/>
  <c r="E160" i="75"/>
  <c r="C161" i="75"/>
  <c r="D161" i="75"/>
  <c r="E161" i="75"/>
  <c r="C162" i="75"/>
  <c r="D162" i="75"/>
  <c r="E162" i="75"/>
  <c r="C163" i="75"/>
  <c r="D163" i="75"/>
  <c r="E163" i="75"/>
  <c r="C164" i="75"/>
  <c r="D164" i="75"/>
  <c r="E164" i="75"/>
  <c r="C165" i="75"/>
  <c r="D165" i="75"/>
  <c r="E165" i="75"/>
  <c r="C166" i="75"/>
  <c r="D166" i="75"/>
  <c r="E166" i="75"/>
  <c r="C167" i="75"/>
  <c r="D167" i="75"/>
  <c r="E167" i="75"/>
  <c r="C168" i="75"/>
  <c r="D168" i="75"/>
  <c r="E168" i="75"/>
  <c r="C169" i="75"/>
  <c r="D169" i="75"/>
  <c r="E169" i="75"/>
  <c r="C170" i="75"/>
  <c r="D170" i="75"/>
  <c r="E170" i="75"/>
  <c r="C171" i="75"/>
  <c r="D171" i="75"/>
  <c r="E171" i="75"/>
  <c r="C172" i="75"/>
  <c r="D172" i="75"/>
  <c r="E172" i="75"/>
  <c r="C173" i="75"/>
  <c r="D173" i="75"/>
  <c r="E173" i="75"/>
  <c r="C174" i="75"/>
  <c r="D174" i="75"/>
  <c r="E174" i="75"/>
  <c r="C175" i="75"/>
  <c r="D175" i="75"/>
  <c r="E175" i="75"/>
  <c r="C176" i="75"/>
  <c r="D176" i="75"/>
  <c r="E176" i="75"/>
  <c r="C177" i="75"/>
  <c r="D177" i="75"/>
  <c r="E177" i="75"/>
  <c r="C178" i="75"/>
  <c r="D178" i="75"/>
  <c r="E178" i="75"/>
  <c r="C179" i="75"/>
  <c r="D179" i="75"/>
  <c r="E179" i="75"/>
  <c r="C180" i="75"/>
  <c r="D180" i="75"/>
  <c r="E180" i="75"/>
  <c r="C181" i="75"/>
  <c r="D181" i="75"/>
  <c r="E181" i="75"/>
  <c r="C182" i="75"/>
  <c r="D182" i="75"/>
  <c r="E182" i="75"/>
  <c r="C183" i="75"/>
  <c r="D183" i="75"/>
  <c r="E183" i="75"/>
  <c r="C184" i="75"/>
  <c r="D184" i="75"/>
  <c r="E184" i="75"/>
  <c r="C185" i="75"/>
  <c r="D185" i="75"/>
  <c r="E185" i="75"/>
  <c r="C186" i="75"/>
  <c r="D186" i="75"/>
  <c r="E186" i="75"/>
  <c r="C187" i="75"/>
  <c r="D187" i="75"/>
  <c r="E187" i="75"/>
  <c r="C188" i="75"/>
  <c r="D188" i="75"/>
  <c r="E188" i="75"/>
  <c r="C189" i="75"/>
  <c r="D189" i="75"/>
  <c r="E189" i="75"/>
  <c r="C190" i="75"/>
  <c r="D190" i="75"/>
  <c r="E190" i="75"/>
  <c r="C191" i="75"/>
  <c r="D191" i="75"/>
  <c r="E191" i="75"/>
  <c r="C192" i="75"/>
  <c r="D192" i="75"/>
  <c r="E192" i="75"/>
  <c r="C193" i="75"/>
  <c r="D193" i="75"/>
  <c r="E193" i="75"/>
  <c r="C194" i="75"/>
  <c r="D194" i="75"/>
  <c r="E194" i="75"/>
  <c r="C195" i="75"/>
  <c r="D195" i="75"/>
  <c r="E195" i="75"/>
  <c r="C196" i="75"/>
  <c r="D196" i="75"/>
  <c r="E196" i="75"/>
  <c r="C197" i="75"/>
  <c r="D197" i="75"/>
  <c r="E197" i="75"/>
  <c r="C198" i="75"/>
  <c r="D198" i="75"/>
  <c r="E198" i="75"/>
  <c r="C199" i="75"/>
  <c r="D199" i="75"/>
  <c r="E199" i="75"/>
  <c r="C200" i="75"/>
  <c r="D200" i="75"/>
  <c r="E200" i="75"/>
  <c r="C201" i="75"/>
  <c r="D201" i="75"/>
  <c r="E201" i="75"/>
  <c r="C202" i="75"/>
  <c r="D202" i="75"/>
  <c r="E202" i="75"/>
  <c r="C203" i="75"/>
  <c r="D203" i="75"/>
  <c r="E203" i="75"/>
  <c r="C204" i="75"/>
  <c r="D204" i="75"/>
  <c r="E204" i="75"/>
  <c r="C205" i="75"/>
  <c r="D205" i="75"/>
  <c r="E205" i="75"/>
  <c r="C206" i="75"/>
  <c r="D206" i="75"/>
  <c r="E206" i="75"/>
  <c r="C207" i="75"/>
  <c r="D207" i="75"/>
  <c r="E207" i="75"/>
  <c r="C208" i="75"/>
  <c r="D208" i="75"/>
  <c r="E208" i="75"/>
  <c r="C209" i="75"/>
  <c r="D209" i="75"/>
  <c r="E209" i="75"/>
  <c r="C210" i="75"/>
  <c r="D210" i="75"/>
  <c r="E210" i="75"/>
  <c r="C211" i="75"/>
  <c r="D211" i="75"/>
  <c r="E211" i="75"/>
  <c r="C212" i="75"/>
  <c r="D212" i="75"/>
  <c r="E212" i="75"/>
  <c r="C213" i="75"/>
  <c r="D213" i="75"/>
  <c r="E213" i="75"/>
  <c r="C214" i="75"/>
  <c r="D214" i="75"/>
  <c r="E214" i="75"/>
  <c r="C215" i="75"/>
  <c r="D215" i="75"/>
  <c r="E215" i="75"/>
  <c r="C216" i="75"/>
  <c r="D216" i="75"/>
  <c r="E216" i="75"/>
  <c r="C217" i="75"/>
  <c r="D217" i="75"/>
  <c r="E217" i="75"/>
  <c r="C218" i="75"/>
  <c r="D218" i="75"/>
  <c r="E218" i="75"/>
  <c r="C219" i="75"/>
  <c r="D219" i="75"/>
  <c r="E219" i="75"/>
  <c r="C220" i="75"/>
  <c r="D220" i="75"/>
  <c r="E220" i="75"/>
  <c r="C221" i="75"/>
  <c r="D221" i="75"/>
  <c r="E221" i="75"/>
  <c r="C222" i="75"/>
  <c r="D222" i="75"/>
  <c r="E222" i="75"/>
  <c r="C223" i="75"/>
  <c r="D223" i="75"/>
  <c r="E223" i="75"/>
  <c r="C224" i="75"/>
  <c r="D224" i="75"/>
  <c r="E224" i="75"/>
  <c r="C225" i="75"/>
  <c r="D225" i="75"/>
  <c r="E225" i="75"/>
  <c r="E126" i="75"/>
  <c r="D126" i="75"/>
  <c r="C126" i="75"/>
  <c r="B224" i="75"/>
  <c r="B221" i="75"/>
  <c r="B222" i="75"/>
  <c r="B223" i="75"/>
  <c r="B213" i="75"/>
  <c r="B214" i="75"/>
  <c r="B215" i="75"/>
  <c r="B216" i="75"/>
  <c r="B217" i="75"/>
  <c r="B218" i="75"/>
  <c r="B219" i="75"/>
  <c r="B220" i="75"/>
  <c r="B199" i="75"/>
  <c r="B200" i="75"/>
  <c r="B201" i="75"/>
  <c r="B202" i="75"/>
  <c r="B203" i="75"/>
  <c r="B204" i="75"/>
  <c r="B205" i="75"/>
  <c r="B206" i="75"/>
  <c r="B207" i="75"/>
  <c r="B208" i="75"/>
  <c r="B209" i="75"/>
  <c r="B210" i="75"/>
  <c r="B211" i="75"/>
  <c r="B212" i="75"/>
  <c r="B194" i="75"/>
  <c r="B195" i="75"/>
  <c r="B196" i="75"/>
  <c r="B197" i="75"/>
  <c r="B198" i="75"/>
  <c r="B127" i="75"/>
  <c r="B128" i="75"/>
  <c r="B129" i="75"/>
  <c r="B130" i="75"/>
  <c r="B131" i="75"/>
  <c r="B132" i="75"/>
  <c r="B133" i="75"/>
  <c r="B134" i="75"/>
  <c r="B135" i="75"/>
  <c r="B136" i="75"/>
  <c r="B137" i="75"/>
  <c r="B138" i="75"/>
  <c r="B139" i="75"/>
  <c r="B140" i="75"/>
  <c r="B141" i="75"/>
  <c r="B142" i="75"/>
  <c r="B143" i="75"/>
  <c r="B144" i="75"/>
  <c r="B145" i="75"/>
  <c r="B146" i="75"/>
  <c r="B147" i="75"/>
  <c r="B148" i="75"/>
  <c r="B149" i="75"/>
  <c r="B150" i="75"/>
  <c r="B151" i="75"/>
  <c r="B152" i="75"/>
  <c r="B153" i="75"/>
  <c r="B154" i="75"/>
  <c r="B155" i="75"/>
  <c r="B156" i="75"/>
  <c r="B157" i="75"/>
  <c r="B158" i="75"/>
  <c r="B159" i="75"/>
  <c r="B160" i="75"/>
  <c r="B161" i="75"/>
  <c r="B162" i="75"/>
  <c r="B163" i="75"/>
  <c r="B164" i="75"/>
  <c r="B165" i="75"/>
  <c r="B166" i="75"/>
  <c r="B167" i="75"/>
  <c r="B168" i="75"/>
  <c r="B169" i="75"/>
  <c r="B170" i="75"/>
  <c r="B171" i="75"/>
  <c r="B172" i="75"/>
  <c r="B173" i="75"/>
  <c r="B174" i="75"/>
  <c r="B175" i="75"/>
  <c r="B176" i="75"/>
  <c r="B177" i="75"/>
  <c r="B178" i="75"/>
  <c r="B179" i="75"/>
  <c r="B180" i="75"/>
  <c r="B181" i="75"/>
  <c r="B182" i="75"/>
  <c r="B183" i="75"/>
  <c r="B184" i="75"/>
  <c r="B185" i="75"/>
  <c r="B186" i="75"/>
  <c r="B187" i="75"/>
  <c r="B188" i="75"/>
  <c r="B189" i="75"/>
  <c r="B190" i="75"/>
  <c r="B191" i="75"/>
  <c r="B192" i="75"/>
  <c r="B193" i="75"/>
  <c r="B126" i="75"/>
  <c r="B112" i="75"/>
  <c r="B2" i="75"/>
  <c r="F12" i="76"/>
  <c r="E12" i="76"/>
  <c r="D12" i="76"/>
  <c r="C12" i="76"/>
  <c r="B12" i="76"/>
  <c r="A12" i="76"/>
  <c r="A15" i="76"/>
  <c r="A8" i="76"/>
  <c r="B8" i="76"/>
  <c r="C8" i="76"/>
  <c r="D8" i="76"/>
  <c r="E8" i="76"/>
  <c r="F8" i="76"/>
  <c r="A9" i="76"/>
  <c r="B9" i="76"/>
  <c r="C9" i="76"/>
  <c r="D9" i="76"/>
  <c r="E9" i="76"/>
  <c r="F9" i="76"/>
  <c r="A10" i="76"/>
  <c r="B10" i="76"/>
  <c r="C10" i="76"/>
  <c r="D10" i="76"/>
  <c r="E10" i="76"/>
  <c r="F10" i="76"/>
  <c r="A11" i="76"/>
  <c r="B11" i="76"/>
  <c r="C11" i="76"/>
  <c r="D11" i="76"/>
  <c r="E11" i="76"/>
  <c r="F11" i="76"/>
  <c r="A13" i="76"/>
  <c r="B13" i="76"/>
  <c r="C13" i="76"/>
  <c r="D13" i="76"/>
  <c r="E13" i="76"/>
  <c r="F13" i="76"/>
  <c r="A14" i="76"/>
  <c r="B7" i="76"/>
  <c r="C7" i="76"/>
  <c r="D7" i="76"/>
  <c r="E7" i="76"/>
  <c r="F7" i="76"/>
  <c r="G7" i="76"/>
  <c r="A7" i="76"/>
  <c r="G8" i="76"/>
  <c r="G9" i="76"/>
  <c r="G10" i="76"/>
  <c r="G11" i="76"/>
  <c r="G13" i="76"/>
  <c r="G12" i="76"/>
  <c r="B14" i="76"/>
  <c r="C14" i="76"/>
  <c r="D14" i="76"/>
  <c r="E14" i="76"/>
  <c r="G14" i="76"/>
  <c r="F14" i="76"/>
  <c r="F12" i="77"/>
  <c r="D12" i="77"/>
  <c r="B12" i="77"/>
  <c r="A12" i="77"/>
  <c r="A15" i="77"/>
  <c r="A8" i="77"/>
  <c r="B8" i="77"/>
  <c r="D8" i="77"/>
  <c r="F8" i="77"/>
  <c r="A9" i="77"/>
  <c r="B9" i="77"/>
  <c r="D9" i="77"/>
  <c r="F9" i="77"/>
  <c r="A10" i="77"/>
  <c r="B10" i="77"/>
  <c r="D10" i="77"/>
  <c r="F10" i="77"/>
  <c r="A11" i="77"/>
  <c r="B11" i="77"/>
  <c r="D11" i="77"/>
  <c r="F11" i="77"/>
  <c r="A13" i="77"/>
  <c r="B13" i="77"/>
  <c r="D13" i="77"/>
  <c r="F13" i="77"/>
  <c r="A14" i="77"/>
  <c r="B7" i="77"/>
  <c r="C7" i="77"/>
  <c r="D7" i="77"/>
  <c r="E7" i="77"/>
  <c r="F7" i="77"/>
  <c r="G7" i="77"/>
  <c r="A7" i="77"/>
  <c r="G8" i="77"/>
  <c r="G9" i="77"/>
  <c r="G10" i="77"/>
  <c r="G11" i="77"/>
  <c r="C8" i="77"/>
  <c r="E8" i="77"/>
  <c r="C9" i="77"/>
  <c r="E9" i="77"/>
  <c r="C10" i="77"/>
  <c r="E10" i="77"/>
  <c r="C11" i="77"/>
  <c r="E11" i="77"/>
  <c r="C13" i="77"/>
  <c r="C12" i="77"/>
  <c r="E12" i="77"/>
  <c r="E13" i="77"/>
  <c r="G12" i="77"/>
  <c r="G13" i="77"/>
  <c r="C14" i="77"/>
  <c r="B14" i="77"/>
  <c r="E14" i="77"/>
  <c r="D14" i="77"/>
  <c r="G14" i="77"/>
  <c r="F14" i="77"/>
  <c r="A29" i="78"/>
  <c r="B9" i="78"/>
  <c r="C9" i="78"/>
  <c r="D9" i="78"/>
  <c r="B10" i="78"/>
  <c r="C10" i="78"/>
  <c r="D10" i="78"/>
  <c r="B11" i="78"/>
  <c r="C11" i="78"/>
  <c r="D11" i="78"/>
  <c r="B13" i="78"/>
  <c r="C13" i="78"/>
  <c r="D13" i="78"/>
  <c r="B14" i="78"/>
  <c r="C14" i="78"/>
  <c r="D14" i="78"/>
  <c r="B15" i="78"/>
  <c r="C15" i="78"/>
  <c r="D15" i="78"/>
  <c r="B17" i="78"/>
  <c r="C17" i="78"/>
  <c r="D17" i="78"/>
  <c r="B18" i="78"/>
  <c r="C18" i="78"/>
  <c r="D18" i="78"/>
  <c r="B19" i="78"/>
  <c r="C19" i="78"/>
  <c r="D19" i="78"/>
  <c r="B21" i="78"/>
  <c r="C21" i="78"/>
  <c r="D21" i="78"/>
  <c r="B22" i="78"/>
  <c r="C22" i="78"/>
  <c r="D22" i="78"/>
  <c r="B23" i="78"/>
  <c r="C23" i="78"/>
  <c r="D23" i="78"/>
  <c r="B24" i="78"/>
  <c r="C24" i="78"/>
  <c r="D24" i="78"/>
  <c r="B26" i="78"/>
  <c r="C26" i="78"/>
  <c r="D26" i="78"/>
  <c r="B27" i="78"/>
  <c r="C27" i="78"/>
  <c r="D27" i="78"/>
  <c r="B28" i="78"/>
  <c r="C28" i="78"/>
  <c r="D28" i="78"/>
  <c r="C7" i="78"/>
  <c r="D7" i="78"/>
  <c r="B7" i="78"/>
  <c r="A2" i="78"/>
  <c r="E7" i="78"/>
  <c r="E28" i="78"/>
  <c r="E27" i="78"/>
  <c r="E26" i="78"/>
  <c r="E25" i="78"/>
  <c r="E24" i="78"/>
  <c r="E23" i="78"/>
  <c r="E22" i="78"/>
  <c r="E21" i="78"/>
  <c r="E20" i="78"/>
  <c r="E19" i="78"/>
  <c r="E18" i="78"/>
  <c r="E17" i="78"/>
  <c r="E16" i="78"/>
  <c r="E15" i="78"/>
  <c r="E14" i="78"/>
  <c r="E13" i="78"/>
  <c r="E12" i="78"/>
  <c r="E11" i="78"/>
  <c r="E10" i="78"/>
  <c r="E9" i="78"/>
  <c r="E8" i="78"/>
  <c r="A31" i="79"/>
  <c r="C6" i="79"/>
  <c r="D6" i="79"/>
  <c r="E6" i="79"/>
  <c r="C7" i="79"/>
  <c r="D7" i="79"/>
  <c r="E7" i="79"/>
  <c r="C8" i="79"/>
  <c r="D8" i="79"/>
  <c r="E8" i="79"/>
  <c r="C9" i="79"/>
  <c r="D9" i="79"/>
  <c r="E9" i="79"/>
  <c r="C10" i="79"/>
  <c r="D10" i="79"/>
  <c r="E10" i="79"/>
  <c r="C11" i="79"/>
  <c r="D11" i="79"/>
  <c r="E11" i="79"/>
  <c r="C12" i="79"/>
  <c r="D12" i="79"/>
  <c r="E12" i="79"/>
  <c r="C13" i="79"/>
  <c r="D13" i="79"/>
  <c r="E13" i="79"/>
  <c r="C14" i="79"/>
  <c r="D14" i="79"/>
  <c r="E14" i="79"/>
  <c r="C15" i="79"/>
  <c r="D15" i="79"/>
  <c r="E15" i="79"/>
  <c r="C16" i="79"/>
  <c r="D16" i="79"/>
  <c r="E16" i="79"/>
  <c r="C17" i="79"/>
  <c r="D17" i="79"/>
  <c r="E17" i="79"/>
  <c r="C18" i="79"/>
  <c r="D18" i="79"/>
  <c r="E18" i="79"/>
  <c r="C19" i="79"/>
  <c r="D19" i="79"/>
  <c r="E19" i="79"/>
  <c r="C20" i="79"/>
  <c r="D20" i="79"/>
  <c r="E20" i="79"/>
  <c r="C21" i="79"/>
  <c r="D21" i="79"/>
  <c r="E21" i="79"/>
  <c r="C22" i="79"/>
  <c r="D22" i="79"/>
  <c r="E22" i="79"/>
  <c r="C23" i="79"/>
  <c r="D23" i="79"/>
  <c r="E23" i="79"/>
  <c r="C24" i="79"/>
  <c r="D24" i="79"/>
  <c r="E24" i="79"/>
  <c r="C25" i="79"/>
  <c r="D25" i="79"/>
  <c r="E25" i="79"/>
  <c r="C26" i="79"/>
  <c r="D26" i="79"/>
  <c r="E26" i="79"/>
  <c r="C27" i="79"/>
  <c r="D27" i="79"/>
  <c r="E27" i="79"/>
  <c r="C28" i="79"/>
  <c r="D28" i="79"/>
  <c r="E28" i="79"/>
  <c r="C29" i="79"/>
  <c r="D29" i="79"/>
  <c r="E29" i="79"/>
  <c r="C30" i="79"/>
  <c r="D30" i="79"/>
  <c r="E30" i="79"/>
  <c r="D5" i="79"/>
  <c r="E5" i="79"/>
  <c r="C5" i="79"/>
  <c r="A2" i="79"/>
  <c r="A31" i="80"/>
  <c r="C6" i="80"/>
  <c r="D6" i="80"/>
  <c r="E6" i="80"/>
  <c r="C7" i="80"/>
  <c r="D7" i="80"/>
  <c r="E7" i="80"/>
  <c r="C8" i="80"/>
  <c r="D8" i="80"/>
  <c r="E8" i="80"/>
  <c r="C9" i="80"/>
  <c r="D9" i="80"/>
  <c r="E9" i="80"/>
  <c r="C10" i="80"/>
  <c r="D10" i="80"/>
  <c r="E10" i="80"/>
  <c r="C11" i="80"/>
  <c r="D11" i="80"/>
  <c r="E11" i="80"/>
  <c r="C12" i="80"/>
  <c r="D12" i="80"/>
  <c r="E12" i="80"/>
  <c r="C13" i="80"/>
  <c r="D13" i="80"/>
  <c r="E13" i="80"/>
  <c r="C14" i="80"/>
  <c r="D14" i="80"/>
  <c r="E14" i="80"/>
  <c r="C15" i="80"/>
  <c r="D15" i="80"/>
  <c r="E15" i="80"/>
  <c r="C16" i="80"/>
  <c r="D16" i="80"/>
  <c r="E16" i="80"/>
  <c r="C17" i="80"/>
  <c r="D17" i="80"/>
  <c r="E17" i="80"/>
  <c r="C18" i="80"/>
  <c r="D18" i="80"/>
  <c r="E18" i="80"/>
  <c r="C19" i="80"/>
  <c r="D19" i="80"/>
  <c r="E19" i="80"/>
  <c r="C20" i="80"/>
  <c r="D20" i="80"/>
  <c r="E20" i="80"/>
  <c r="C21" i="80"/>
  <c r="D21" i="80"/>
  <c r="E21" i="80"/>
  <c r="C22" i="80"/>
  <c r="D22" i="80"/>
  <c r="E22" i="80"/>
  <c r="C23" i="80"/>
  <c r="D23" i="80"/>
  <c r="E23" i="80"/>
  <c r="C24" i="80"/>
  <c r="D24" i="80"/>
  <c r="E24" i="80"/>
  <c r="C25" i="80"/>
  <c r="D25" i="80"/>
  <c r="E25" i="80"/>
  <c r="C26" i="80"/>
  <c r="D26" i="80"/>
  <c r="E26" i="80"/>
  <c r="C27" i="80"/>
  <c r="D27" i="80"/>
  <c r="E27" i="80"/>
  <c r="C28" i="80"/>
  <c r="D28" i="80"/>
  <c r="E28" i="80"/>
  <c r="C29" i="80"/>
  <c r="D29" i="80"/>
  <c r="E29" i="80"/>
  <c r="C30" i="80"/>
  <c r="D30" i="80"/>
  <c r="E30" i="80"/>
  <c r="D5" i="80"/>
  <c r="E5" i="80"/>
  <c r="C5" i="80"/>
  <c r="A2" i="80"/>
  <c r="A31" i="81"/>
  <c r="C6" i="81"/>
  <c r="D6" i="81"/>
  <c r="E6" i="81"/>
  <c r="C7" i="81"/>
  <c r="D7" i="81"/>
  <c r="E7" i="81"/>
  <c r="C8" i="81"/>
  <c r="D8" i="81"/>
  <c r="E8" i="81"/>
  <c r="C9" i="81"/>
  <c r="D9" i="81"/>
  <c r="E9" i="81"/>
  <c r="C10" i="81"/>
  <c r="D10" i="81"/>
  <c r="E10" i="81"/>
  <c r="C11" i="81"/>
  <c r="D11" i="81"/>
  <c r="E11" i="81"/>
  <c r="C12" i="81"/>
  <c r="D12" i="81"/>
  <c r="E12" i="81"/>
  <c r="C13" i="81"/>
  <c r="D13" i="81"/>
  <c r="E13" i="81"/>
  <c r="C14" i="81"/>
  <c r="D14" i="81"/>
  <c r="E14" i="81"/>
  <c r="C15" i="81"/>
  <c r="D15" i="81"/>
  <c r="E15" i="81"/>
  <c r="C16" i="81"/>
  <c r="D16" i="81"/>
  <c r="E16" i="81"/>
  <c r="C17" i="81"/>
  <c r="D17" i="81"/>
  <c r="E17" i="81"/>
  <c r="C18" i="81"/>
  <c r="D18" i="81"/>
  <c r="E18" i="81"/>
  <c r="C19" i="81"/>
  <c r="D19" i="81"/>
  <c r="E19" i="81"/>
  <c r="C20" i="81"/>
  <c r="D20" i="81"/>
  <c r="E20" i="81"/>
  <c r="C21" i="81"/>
  <c r="D21" i="81"/>
  <c r="E21" i="81"/>
  <c r="C22" i="81"/>
  <c r="D22" i="81"/>
  <c r="E22" i="81"/>
  <c r="C23" i="81"/>
  <c r="D23" i="81"/>
  <c r="E23" i="81"/>
  <c r="C24" i="81"/>
  <c r="D24" i="81"/>
  <c r="E24" i="81"/>
  <c r="C25" i="81"/>
  <c r="D25" i="81"/>
  <c r="E25" i="81"/>
  <c r="C26" i="81"/>
  <c r="D26" i="81"/>
  <c r="E26" i="81"/>
  <c r="C27" i="81"/>
  <c r="D27" i="81"/>
  <c r="E27" i="81"/>
  <c r="C28" i="81"/>
  <c r="D28" i="81"/>
  <c r="E28" i="81"/>
  <c r="C29" i="81"/>
  <c r="D29" i="81"/>
  <c r="E29" i="81"/>
  <c r="C30" i="81"/>
  <c r="D30" i="81"/>
  <c r="E30" i="81"/>
  <c r="D5" i="81"/>
  <c r="E5" i="81"/>
  <c r="C5" i="81"/>
  <c r="A2" i="81"/>
  <c r="A15" i="82"/>
  <c r="F12" i="82"/>
  <c r="D12" i="82"/>
  <c r="B12" i="82"/>
  <c r="A12" i="82"/>
  <c r="A8" i="82"/>
  <c r="B8" i="82"/>
  <c r="D8" i="82"/>
  <c r="F8" i="82"/>
  <c r="A9" i="82"/>
  <c r="B9" i="82"/>
  <c r="D9" i="82"/>
  <c r="F9" i="82"/>
  <c r="A10" i="82"/>
  <c r="B10" i="82"/>
  <c r="D10" i="82"/>
  <c r="F10" i="82"/>
  <c r="A11" i="82"/>
  <c r="B11" i="82"/>
  <c r="D11" i="82"/>
  <c r="F11" i="82"/>
  <c r="A13" i="82"/>
  <c r="B13" i="82"/>
  <c r="D13" i="82"/>
  <c r="F13" i="82"/>
  <c r="A14" i="82"/>
  <c r="B7" i="82"/>
  <c r="C7" i="82"/>
  <c r="D7" i="82"/>
  <c r="E7" i="82"/>
  <c r="F7" i="82"/>
  <c r="G7" i="82"/>
  <c r="A7" i="82"/>
  <c r="C8" i="82"/>
  <c r="E8" i="82"/>
  <c r="G8" i="82"/>
  <c r="C9" i="82"/>
  <c r="E9" i="82"/>
  <c r="G9" i="82"/>
  <c r="C10" i="82"/>
  <c r="E10" i="82"/>
  <c r="G10" i="82"/>
  <c r="C11" i="82"/>
  <c r="E11" i="82"/>
  <c r="G11" i="82"/>
  <c r="C13" i="82"/>
  <c r="C12" i="82"/>
  <c r="E13" i="82"/>
  <c r="E12" i="82"/>
  <c r="G13" i="82"/>
  <c r="G12" i="82"/>
  <c r="C14" i="82"/>
  <c r="B14" i="82"/>
  <c r="E14" i="82"/>
  <c r="D14" i="82"/>
  <c r="G14" i="82"/>
  <c r="F14" i="82"/>
  <c r="A18" i="83"/>
  <c r="B10" i="83"/>
  <c r="C10" i="83"/>
  <c r="D10" i="83"/>
  <c r="E10" i="83"/>
  <c r="B11" i="83"/>
  <c r="C11" i="83"/>
  <c r="D11" i="83"/>
  <c r="E11" i="83"/>
  <c r="B12" i="83"/>
  <c r="C12" i="83"/>
  <c r="D12" i="83"/>
  <c r="E12" i="83"/>
  <c r="B13" i="83"/>
  <c r="C13" i="83"/>
  <c r="D13" i="83"/>
  <c r="E13" i="83"/>
  <c r="B14" i="83"/>
  <c r="C14" i="83"/>
  <c r="D14" i="83"/>
  <c r="E14" i="83"/>
  <c r="B15" i="83"/>
  <c r="C15" i="83"/>
  <c r="D15" i="83"/>
  <c r="E15" i="83"/>
  <c r="B16" i="83"/>
  <c r="C16" i="83"/>
  <c r="D16" i="83"/>
  <c r="E16" i="83"/>
  <c r="B17" i="83"/>
  <c r="C17" i="83"/>
  <c r="D17" i="83"/>
  <c r="E17" i="83"/>
  <c r="C9" i="83"/>
  <c r="D9" i="83"/>
  <c r="E9" i="83"/>
  <c r="B9" i="83"/>
  <c r="A2" i="83"/>
  <c r="F17" i="83"/>
  <c r="F9" i="83"/>
  <c r="F16" i="83"/>
  <c r="F15" i="83"/>
  <c r="F14" i="83"/>
  <c r="F13" i="83"/>
  <c r="F12" i="83"/>
  <c r="F10" i="83"/>
  <c r="F11" i="83"/>
  <c r="A2" i="84"/>
  <c r="A31" i="84"/>
  <c r="C6" i="84"/>
  <c r="D6" i="84"/>
  <c r="E6" i="84"/>
  <c r="C7" i="84"/>
  <c r="D7" i="84"/>
  <c r="E7" i="84"/>
  <c r="C8" i="84"/>
  <c r="D8" i="84"/>
  <c r="E8" i="84"/>
  <c r="C9" i="84"/>
  <c r="D9" i="84"/>
  <c r="E9" i="84"/>
  <c r="C10" i="84"/>
  <c r="D10" i="84"/>
  <c r="E10" i="84"/>
  <c r="C11" i="84"/>
  <c r="D11" i="84"/>
  <c r="E11" i="84"/>
  <c r="C12" i="84"/>
  <c r="D12" i="84"/>
  <c r="E12" i="84"/>
  <c r="C13" i="84"/>
  <c r="D13" i="84"/>
  <c r="E13" i="84"/>
  <c r="C14" i="84"/>
  <c r="D14" i="84"/>
  <c r="E14" i="84"/>
  <c r="C15" i="84"/>
  <c r="D15" i="84"/>
  <c r="E15" i="84"/>
  <c r="C16" i="84"/>
  <c r="D16" i="84"/>
  <c r="E16" i="84"/>
  <c r="C17" i="84"/>
  <c r="D17" i="84"/>
  <c r="E17" i="84"/>
  <c r="C18" i="84"/>
  <c r="D18" i="84"/>
  <c r="E18" i="84"/>
  <c r="C19" i="84"/>
  <c r="D19" i="84"/>
  <c r="E19" i="84"/>
  <c r="C20" i="84"/>
  <c r="D20" i="84"/>
  <c r="E20" i="84"/>
  <c r="C21" i="84"/>
  <c r="D21" i="84"/>
  <c r="E21" i="84"/>
  <c r="C22" i="84"/>
  <c r="D22" i="84"/>
  <c r="E22" i="84"/>
  <c r="C23" i="84"/>
  <c r="D23" i="84"/>
  <c r="E23" i="84"/>
  <c r="C24" i="84"/>
  <c r="D24" i="84"/>
  <c r="E24" i="84"/>
  <c r="C25" i="84"/>
  <c r="D25" i="84"/>
  <c r="E25" i="84"/>
  <c r="C26" i="84"/>
  <c r="D26" i="84"/>
  <c r="E26" i="84"/>
  <c r="C27" i="84"/>
  <c r="D27" i="84"/>
  <c r="E27" i="84"/>
  <c r="C28" i="84"/>
  <c r="D28" i="84"/>
  <c r="E28" i="84"/>
  <c r="C29" i="84"/>
  <c r="D29" i="84"/>
  <c r="E29" i="84"/>
  <c r="C30" i="84"/>
  <c r="D30" i="84"/>
  <c r="E30" i="84"/>
  <c r="D5" i="84"/>
  <c r="E5" i="84"/>
  <c r="C5" i="84"/>
  <c r="A31" i="85"/>
  <c r="C6" i="85"/>
  <c r="D6" i="85"/>
  <c r="E6" i="85"/>
  <c r="C7" i="85"/>
  <c r="D7" i="85"/>
  <c r="E7" i="85"/>
  <c r="C8" i="85"/>
  <c r="D8" i="85"/>
  <c r="E8" i="85"/>
  <c r="C9" i="85"/>
  <c r="D9" i="85"/>
  <c r="E9" i="85"/>
  <c r="C10" i="85"/>
  <c r="D10" i="85"/>
  <c r="E10" i="85"/>
  <c r="C11" i="85"/>
  <c r="D11" i="85"/>
  <c r="E11" i="85"/>
  <c r="C12" i="85"/>
  <c r="D12" i="85"/>
  <c r="E12" i="85"/>
  <c r="C13" i="85"/>
  <c r="D13" i="85"/>
  <c r="E13" i="85"/>
  <c r="C14" i="85"/>
  <c r="D14" i="85"/>
  <c r="E14" i="85"/>
  <c r="C15" i="85"/>
  <c r="D15" i="85"/>
  <c r="E15" i="85"/>
  <c r="C16" i="85"/>
  <c r="D16" i="85"/>
  <c r="E16" i="85"/>
  <c r="C17" i="85"/>
  <c r="D17" i="85"/>
  <c r="E17" i="85"/>
  <c r="C18" i="85"/>
  <c r="D18" i="85"/>
  <c r="E18" i="85"/>
  <c r="C19" i="85"/>
  <c r="D19" i="85"/>
  <c r="E19" i="85"/>
  <c r="C20" i="85"/>
  <c r="D20" i="85"/>
  <c r="E20" i="85"/>
  <c r="C21" i="85"/>
  <c r="D21" i="85"/>
  <c r="E21" i="85"/>
  <c r="C22" i="85"/>
  <c r="D22" i="85"/>
  <c r="E22" i="85"/>
  <c r="C23" i="85"/>
  <c r="D23" i="85"/>
  <c r="E23" i="85"/>
  <c r="C24" i="85"/>
  <c r="D24" i="85"/>
  <c r="E24" i="85"/>
  <c r="C25" i="85"/>
  <c r="D25" i="85"/>
  <c r="E25" i="85"/>
  <c r="C26" i="85"/>
  <c r="D26" i="85"/>
  <c r="E26" i="85"/>
  <c r="C27" i="85"/>
  <c r="D27" i="85"/>
  <c r="E27" i="85"/>
  <c r="C28" i="85"/>
  <c r="D28" i="85"/>
  <c r="E28" i="85"/>
  <c r="C29" i="85"/>
  <c r="D29" i="85"/>
  <c r="E29" i="85"/>
  <c r="C30" i="85"/>
  <c r="D30" i="85"/>
  <c r="E30" i="85"/>
  <c r="D5" i="85"/>
  <c r="E5" i="85"/>
  <c r="C5" i="85"/>
  <c r="A2" i="85"/>
  <c r="A31" i="86"/>
  <c r="C6" i="86"/>
  <c r="D6" i="86"/>
  <c r="E6" i="86"/>
  <c r="C7" i="86"/>
  <c r="D7" i="86"/>
  <c r="E7" i="86"/>
  <c r="C8" i="86"/>
  <c r="D8" i="86"/>
  <c r="E8" i="86"/>
  <c r="C9" i="86"/>
  <c r="D9" i="86"/>
  <c r="E9" i="86"/>
  <c r="C10" i="86"/>
  <c r="D10" i="86"/>
  <c r="E10" i="86"/>
  <c r="C11" i="86"/>
  <c r="D11" i="86"/>
  <c r="E11" i="86"/>
  <c r="C12" i="86"/>
  <c r="D12" i="86"/>
  <c r="E12" i="86"/>
  <c r="C13" i="86"/>
  <c r="D13" i="86"/>
  <c r="E13" i="86"/>
  <c r="C14" i="86"/>
  <c r="D14" i="86"/>
  <c r="E14" i="86"/>
  <c r="C15" i="86"/>
  <c r="D15" i="86"/>
  <c r="E15" i="86"/>
  <c r="C16" i="86"/>
  <c r="D16" i="86"/>
  <c r="E16" i="86"/>
  <c r="C17" i="86"/>
  <c r="D17" i="86"/>
  <c r="E17" i="86"/>
  <c r="C18" i="86"/>
  <c r="D18" i="86"/>
  <c r="E18" i="86"/>
  <c r="C19" i="86"/>
  <c r="D19" i="86"/>
  <c r="E19" i="86"/>
  <c r="C20" i="86"/>
  <c r="D20" i="86"/>
  <c r="E20" i="86"/>
  <c r="C21" i="86"/>
  <c r="D21" i="86"/>
  <c r="E21" i="86"/>
  <c r="C22" i="86"/>
  <c r="D22" i="86"/>
  <c r="E22" i="86"/>
  <c r="C23" i="86"/>
  <c r="D23" i="86"/>
  <c r="E23" i="86"/>
  <c r="C24" i="86"/>
  <c r="D24" i="86"/>
  <c r="E24" i="86"/>
  <c r="C25" i="86"/>
  <c r="D25" i="86"/>
  <c r="E25" i="86"/>
  <c r="C26" i="86"/>
  <c r="D26" i="86"/>
  <c r="E26" i="86"/>
  <c r="C27" i="86"/>
  <c r="D27" i="86"/>
  <c r="E27" i="86"/>
  <c r="C28" i="86"/>
  <c r="D28" i="86"/>
  <c r="E28" i="86"/>
  <c r="C29" i="86"/>
  <c r="D29" i="86"/>
  <c r="E29" i="86"/>
  <c r="C30" i="86"/>
  <c r="D30" i="86"/>
  <c r="E30" i="86"/>
  <c r="D5" i="86"/>
  <c r="E5" i="86"/>
  <c r="C5" i="86"/>
  <c r="A2" i="86"/>
  <c r="B8" i="87"/>
  <c r="C8" i="87"/>
  <c r="D8" i="87"/>
  <c r="E8" i="87"/>
  <c r="F8" i="87"/>
  <c r="B9" i="87"/>
  <c r="C9" i="87"/>
  <c r="D9" i="87"/>
  <c r="E9" i="87"/>
  <c r="F9" i="87"/>
  <c r="B10" i="87"/>
  <c r="C10" i="87"/>
  <c r="D10" i="87"/>
  <c r="E10" i="87"/>
  <c r="F10" i="87"/>
  <c r="B11" i="87"/>
  <c r="C11" i="87"/>
  <c r="D11" i="87"/>
  <c r="E11" i="87"/>
  <c r="F11" i="87"/>
  <c r="B12" i="87"/>
  <c r="C12" i="87"/>
  <c r="D12" i="87"/>
  <c r="E12" i="87"/>
  <c r="F12" i="87"/>
  <c r="B13" i="87"/>
  <c r="C13" i="87"/>
  <c r="D13" i="87"/>
  <c r="E13" i="87"/>
  <c r="F13" i="87"/>
  <c r="B14" i="87"/>
  <c r="C14" i="87"/>
  <c r="D14" i="87"/>
  <c r="E14" i="87"/>
  <c r="F14" i="87"/>
  <c r="B15" i="87"/>
  <c r="C15" i="87"/>
  <c r="D15" i="87"/>
  <c r="E15" i="87"/>
  <c r="F15" i="87"/>
  <c r="B16" i="87"/>
  <c r="C16" i="87"/>
  <c r="D16" i="87"/>
  <c r="E16" i="87"/>
  <c r="F16" i="87"/>
  <c r="B17" i="87"/>
  <c r="C17" i="87"/>
  <c r="D17" i="87"/>
  <c r="E17" i="87"/>
  <c r="F17" i="87"/>
  <c r="B18" i="87"/>
  <c r="C18" i="87"/>
  <c r="D18" i="87"/>
  <c r="E18" i="87"/>
  <c r="F18" i="87"/>
  <c r="B19" i="87"/>
  <c r="C19" i="87"/>
  <c r="D19" i="87"/>
  <c r="E19" i="87"/>
  <c r="F19" i="87"/>
  <c r="B20" i="87"/>
  <c r="C20" i="87"/>
  <c r="D20" i="87"/>
  <c r="E20" i="87"/>
  <c r="F20" i="87"/>
  <c r="B21" i="87"/>
  <c r="C21" i="87"/>
  <c r="D21" i="87"/>
  <c r="E21" i="87"/>
  <c r="F21" i="87"/>
  <c r="B22" i="87"/>
  <c r="C22" i="87"/>
  <c r="D22" i="87"/>
  <c r="E22" i="87"/>
  <c r="F22" i="87"/>
  <c r="B23" i="87"/>
  <c r="C23" i="87"/>
  <c r="D23" i="87"/>
  <c r="E23" i="87"/>
  <c r="F23" i="87"/>
  <c r="B24" i="87"/>
  <c r="C24" i="87"/>
  <c r="D24" i="87"/>
  <c r="E24" i="87"/>
  <c r="F24" i="87"/>
  <c r="B25" i="87"/>
  <c r="C25" i="87"/>
  <c r="D25" i="87"/>
  <c r="E25" i="87"/>
  <c r="F25" i="87"/>
  <c r="B26" i="87"/>
  <c r="C26" i="87"/>
  <c r="D26" i="87"/>
  <c r="E26" i="87"/>
  <c r="F26" i="87"/>
  <c r="B27" i="87"/>
  <c r="C27" i="87"/>
  <c r="D27" i="87"/>
  <c r="E27" i="87"/>
  <c r="F27" i="87"/>
  <c r="B28" i="87"/>
  <c r="C28" i="87"/>
  <c r="D28" i="87"/>
  <c r="E28" i="87"/>
  <c r="F28" i="87"/>
  <c r="B29" i="87"/>
  <c r="C29" i="87"/>
  <c r="D29" i="87"/>
  <c r="E29" i="87"/>
  <c r="F29" i="87"/>
  <c r="B30" i="87"/>
  <c r="C30" i="87"/>
  <c r="D30" i="87"/>
  <c r="E30" i="87"/>
  <c r="F30" i="87"/>
  <c r="B31" i="87"/>
  <c r="C31" i="87"/>
  <c r="D31" i="87"/>
  <c r="E31" i="87"/>
  <c r="F31" i="87"/>
  <c r="B32" i="87"/>
  <c r="C32" i="87"/>
  <c r="D32" i="87"/>
  <c r="E32" i="87"/>
  <c r="F32" i="87"/>
  <c r="B33" i="87"/>
  <c r="C33" i="87"/>
  <c r="D33" i="87"/>
  <c r="E33" i="87"/>
  <c r="F33" i="87"/>
  <c r="B34" i="87"/>
  <c r="C34" i="87"/>
  <c r="D34" i="87"/>
  <c r="E34" i="87"/>
  <c r="F34" i="87"/>
  <c r="B35" i="87"/>
  <c r="C35" i="87"/>
  <c r="D35" i="87"/>
  <c r="E35" i="87"/>
  <c r="F35" i="87"/>
  <c r="B36" i="87"/>
  <c r="C36" i="87"/>
  <c r="D36" i="87"/>
  <c r="E36" i="87"/>
  <c r="F36" i="87"/>
  <c r="B37" i="87"/>
  <c r="C37" i="87"/>
  <c r="D37" i="87"/>
  <c r="E37" i="87"/>
  <c r="F37" i="87"/>
  <c r="B38" i="87"/>
  <c r="C38" i="87"/>
  <c r="D38" i="87"/>
  <c r="E38" i="87"/>
  <c r="F38" i="87"/>
  <c r="B39" i="87"/>
  <c r="C39" i="87"/>
  <c r="D39" i="87"/>
  <c r="E39" i="87"/>
  <c r="F39" i="87"/>
  <c r="B40" i="87"/>
  <c r="C40" i="87"/>
  <c r="D40" i="87"/>
  <c r="E40" i="87"/>
  <c r="F40" i="87"/>
  <c r="B41" i="87"/>
  <c r="C41" i="87"/>
  <c r="D41" i="87"/>
  <c r="E41" i="87"/>
  <c r="F41" i="87"/>
  <c r="B42" i="87"/>
  <c r="C42" i="87"/>
  <c r="D42" i="87"/>
  <c r="E42" i="87"/>
  <c r="F42" i="87"/>
  <c r="B43" i="87"/>
  <c r="C43" i="87"/>
  <c r="D43" i="87"/>
  <c r="E43" i="87"/>
  <c r="F43" i="87"/>
  <c r="C7" i="87"/>
  <c r="D7" i="87"/>
  <c r="E7" i="87"/>
  <c r="F7" i="87"/>
  <c r="A41" i="87"/>
  <c r="A8" i="87"/>
  <c r="A9" i="87"/>
  <c r="A10" i="87"/>
  <c r="A11" i="87"/>
  <c r="A12" i="87"/>
  <c r="A13" i="87"/>
  <c r="A14" i="87"/>
  <c r="A15" i="87"/>
  <c r="A16" i="87"/>
  <c r="A17" i="87"/>
  <c r="A18" i="87"/>
  <c r="A19" i="87"/>
  <c r="A20" i="87"/>
  <c r="A21" i="87"/>
  <c r="A22" i="87"/>
  <c r="A23" i="87"/>
  <c r="A24" i="87"/>
  <c r="A25" i="87"/>
  <c r="A26" i="87"/>
  <c r="A27" i="87"/>
  <c r="A28" i="87"/>
  <c r="A29" i="87"/>
  <c r="A30" i="87"/>
  <c r="A31" i="87"/>
  <c r="A32" i="87"/>
  <c r="A33" i="87"/>
  <c r="A34" i="87"/>
  <c r="A35" i="87"/>
  <c r="A36" i="87"/>
  <c r="A37" i="87"/>
  <c r="A38" i="87"/>
  <c r="A39" i="87"/>
  <c r="A40" i="87"/>
  <c r="A42" i="87"/>
  <c r="B7" i="87"/>
  <c r="A7" i="87"/>
  <c r="A44" i="87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4" i="88"/>
  <c r="C8" i="88"/>
  <c r="C9" i="88"/>
  <c r="C10" i="88"/>
  <c r="C11" i="88"/>
  <c r="C12" i="88"/>
  <c r="C13" i="88"/>
  <c r="C14" i="88"/>
  <c r="C15" i="88"/>
  <c r="C16" i="88"/>
  <c r="C17" i="88"/>
  <c r="C18" i="88"/>
  <c r="C19" i="88"/>
  <c r="C20" i="88"/>
  <c r="C21" i="88"/>
  <c r="C22" i="88"/>
  <c r="C23" i="88"/>
  <c r="C24" i="88"/>
  <c r="C25" i="88"/>
  <c r="C26" i="88"/>
  <c r="C27" i="88"/>
  <c r="C28" i="88"/>
  <c r="C29" i="88"/>
  <c r="C30" i="88"/>
  <c r="C31" i="88"/>
  <c r="C32" i="88"/>
  <c r="C33" i="88"/>
  <c r="C34" i="88"/>
  <c r="C35" i="88"/>
  <c r="C36" i="88"/>
  <c r="C37" i="88"/>
  <c r="C40" i="88"/>
  <c r="C41" i="88"/>
  <c r="C42" i="88"/>
  <c r="C43" i="88"/>
  <c r="C44" i="88"/>
  <c r="F42" i="88"/>
  <c r="D42" i="88"/>
  <c r="B42" i="88"/>
  <c r="A42" i="88"/>
  <c r="A9" i="88"/>
  <c r="B9" i="88"/>
  <c r="D9" i="88"/>
  <c r="F9" i="88"/>
  <c r="A10" i="88"/>
  <c r="B10" i="88"/>
  <c r="D10" i="88"/>
  <c r="F10" i="88"/>
  <c r="A11" i="88"/>
  <c r="B11" i="88"/>
  <c r="D11" i="88"/>
  <c r="F11" i="88"/>
  <c r="A12" i="88"/>
  <c r="B12" i="88"/>
  <c r="D12" i="88"/>
  <c r="F12" i="88"/>
  <c r="A13" i="88"/>
  <c r="B13" i="88"/>
  <c r="D13" i="88"/>
  <c r="F13" i="88"/>
  <c r="A14" i="88"/>
  <c r="B14" i="88"/>
  <c r="D14" i="88"/>
  <c r="F14" i="88"/>
  <c r="A15" i="88"/>
  <c r="B15" i="88"/>
  <c r="D15" i="88"/>
  <c r="F15" i="88"/>
  <c r="A16" i="88"/>
  <c r="B16" i="88"/>
  <c r="D16" i="88"/>
  <c r="F16" i="88"/>
  <c r="A17" i="88"/>
  <c r="B17" i="88"/>
  <c r="D17" i="88"/>
  <c r="F17" i="88"/>
  <c r="A18" i="88"/>
  <c r="B18" i="88"/>
  <c r="D18" i="88"/>
  <c r="F18" i="88"/>
  <c r="A19" i="88"/>
  <c r="B19" i="88"/>
  <c r="D19" i="88"/>
  <c r="F19" i="88"/>
  <c r="A20" i="88"/>
  <c r="B20" i="88"/>
  <c r="D20" i="88"/>
  <c r="F20" i="88"/>
  <c r="A21" i="88"/>
  <c r="B21" i="88"/>
  <c r="D21" i="88"/>
  <c r="F21" i="88"/>
  <c r="A22" i="88"/>
  <c r="B22" i="88"/>
  <c r="D22" i="88"/>
  <c r="F22" i="88"/>
  <c r="A23" i="88"/>
  <c r="B23" i="88"/>
  <c r="D23" i="88"/>
  <c r="F23" i="88"/>
  <c r="A24" i="88"/>
  <c r="B24" i="88"/>
  <c r="D24" i="88"/>
  <c r="F24" i="88"/>
  <c r="A25" i="88"/>
  <c r="B25" i="88"/>
  <c r="D25" i="88"/>
  <c r="F25" i="88"/>
  <c r="A26" i="88"/>
  <c r="B26" i="88"/>
  <c r="D26" i="88"/>
  <c r="F26" i="88"/>
  <c r="A27" i="88"/>
  <c r="B27" i="88"/>
  <c r="D27" i="88"/>
  <c r="F27" i="88"/>
  <c r="A28" i="88"/>
  <c r="B28" i="88"/>
  <c r="D28" i="88"/>
  <c r="F28" i="88"/>
  <c r="A29" i="88"/>
  <c r="B29" i="88"/>
  <c r="D29" i="88"/>
  <c r="F29" i="88"/>
  <c r="A30" i="88"/>
  <c r="B30" i="88"/>
  <c r="D30" i="88"/>
  <c r="F30" i="88"/>
  <c r="A31" i="88"/>
  <c r="B31" i="88"/>
  <c r="D31" i="88"/>
  <c r="F31" i="88"/>
  <c r="A32" i="88"/>
  <c r="B32" i="88"/>
  <c r="D32" i="88"/>
  <c r="F32" i="88"/>
  <c r="A33" i="88"/>
  <c r="B33" i="88"/>
  <c r="D33" i="88"/>
  <c r="F33" i="88"/>
  <c r="A34" i="88"/>
  <c r="B34" i="88"/>
  <c r="D34" i="88"/>
  <c r="F34" i="88"/>
  <c r="A35" i="88"/>
  <c r="B35" i="88"/>
  <c r="D35" i="88"/>
  <c r="F35" i="88"/>
  <c r="A36" i="88"/>
  <c r="B36" i="88"/>
  <c r="D36" i="88"/>
  <c r="F36" i="88"/>
  <c r="A37" i="88"/>
  <c r="B37" i="88"/>
  <c r="D37" i="88"/>
  <c r="F37" i="88"/>
  <c r="A38" i="88"/>
  <c r="B38" i="88"/>
  <c r="D38" i="88"/>
  <c r="F38" i="88"/>
  <c r="A39" i="88"/>
  <c r="B39" i="88"/>
  <c r="D39" i="88"/>
  <c r="F39" i="88"/>
  <c r="A40" i="88"/>
  <c r="B40" i="88"/>
  <c r="D40" i="88"/>
  <c r="F40" i="88"/>
  <c r="A41" i="88"/>
  <c r="B41" i="88"/>
  <c r="D41" i="88"/>
  <c r="F41" i="88"/>
  <c r="A43" i="88"/>
  <c r="B43" i="88"/>
  <c r="D43" i="88"/>
  <c r="F43" i="88"/>
  <c r="A44" i="88"/>
  <c r="B44" i="88"/>
  <c r="D44" i="88"/>
  <c r="F44" i="88"/>
  <c r="B8" i="88"/>
  <c r="D8" i="88"/>
  <c r="F8" i="88"/>
  <c r="A8" i="88"/>
  <c r="A45" i="88"/>
  <c r="G8" i="88"/>
  <c r="G43" i="88"/>
  <c r="G41" i="88"/>
  <c r="G40" i="88"/>
  <c r="G39" i="88"/>
  <c r="G37" i="88"/>
  <c r="G36" i="88"/>
  <c r="G35" i="88"/>
  <c r="G34" i="88"/>
  <c r="G33" i="88"/>
  <c r="G32" i="88"/>
  <c r="G31" i="88"/>
  <c r="G30" i="88"/>
  <c r="G29" i="88"/>
  <c r="G28" i="88"/>
  <c r="G27" i="88"/>
  <c r="G26" i="88"/>
  <c r="G25" i="88"/>
  <c r="G24" i="88"/>
  <c r="G23" i="88"/>
  <c r="G22" i="88"/>
  <c r="G21" i="88"/>
  <c r="G20" i="88"/>
  <c r="G19" i="88"/>
  <c r="G18" i="88"/>
  <c r="G17" i="88"/>
  <c r="G16" i="88"/>
  <c r="G15" i="88"/>
  <c r="G14" i="88"/>
  <c r="G13" i="88"/>
  <c r="G12" i="88"/>
  <c r="G11" i="88"/>
  <c r="G10" i="88"/>
  <c r="G9" i="88"/>
  <c r="G42" i="88"/>
  <c r="C38" i="88"/>
  <c r="C39" i="88"/>
  <c r="G38" i="88"/>
  <c r="E40" i="88"/>
  <c r="E41" i="88"/>
  <c r="E43" i="88"/>
  <c r="E42" i="88"/>
  <c r="G44" i="88"/>
  <c r="G12" i="89"/>
  <c r="F12" i="89"/>
  <c r="E12" i="89"/>
  <c r="D12" i="89"/>
  <c r="C12" i="89"/>
  <c r="B12" i="89"/>
  <c r="A12" i="89"/>
  <c r="A8" i="89"/>
  <c r="B8" i="89"/>
  <c r="C8" i="89"/>
  <c r="D8" i="89"/>
  <c r="E8" i="89"/>
  <c r="F8" i="89"/>
  <c r="G8" i="89"/>
  <c r="A9" i="89"/>
  <c r="B9" i="89"/>
  <c r="C9" i="89"/>
  <c r="D9" i="89"/>
  <c r="E9" i="89"/>
  <c r="F9" i="89"/>
  <c r="G9" i="89"/>
  <c r="A10" i="89"/>
  <c r="B10" i="89"/>
  <c r="C10" i="89"/>
  <c r="D10" i="89"/>
  <c r="E10" i="89"/>
  <c r="F10" i="89"/>
  <c r="G10" i="89"/>
  <c r="A11" i="89"/>
  <c r="B11" i="89"/>
  <c r="C11" i="89"/>
  <c r="D11" i="89"/>
  <c r="E11" i="89"/>
  <c r="F11" i="89"/>
  <c r="G11" i="89"/>
  <c r="A13" i="89"/>
  <c r="B13" i="89"/>
  <c r="C13" i="89"/>
  <c r="D13" i="89"/>
  <c r="E13" i="89"/>
  <c r="F13" i="89"/>
  <c r="G13" i="89"/>
  <c r="A14" i="89"/>
  <c r="B14" i="89"/>
  <c r="C14" i="89"/>
  <c r="D14" i="89"/>
  <c r="E14" i="89"/>
  <c r="F14" i="89"/>
  <c r="G14" i="89"/>
  <c r="B7" i="89"/>
  <c r="C7" i="89"/>
  <c r="D7" i="89"/>
  <c r="E7" i="89"/>
  <c r="F7" i="89"/>
  <c r="G7" i="89"/>
  <c r="H7" i="89"/>
  <c r="A7" i="89"/>
  <c r="A15" i="89"/>
  <c r="H8" i="89"/>
  <c r="H9" i="89"/>
  <c r="H10" i="89"/>
  <c r="H11" i="89"/>
  <c r="H13" i="89"/>
  <c r="H12" i="89"/>
  <c r="H14" i="89"/>
  <c r="F12" i="90"/>
  <c r="D12" i="90"/>
  <c r="B12" i="90"/>
  <c r="A12" i="90"/>
  <c r="A8" i="90"/>
  <c r="B8" i="90"/>
  <c r="D8" i="90"/>
  <c r="F8" i="90"/>
  <c r="G8" i="90"/>
  <c r="A9" i="90"/>
  <c r="B9" i="90"/>
  <c r="D9" i="90"/>
  <c r="F9" i="90"/>
  <c r="G9" i="90"/>
  <c r="A10" i="90"/>
  <c r="B10" i="90"/>
  <c r="D10" i="90"/>
  <c r="F10" i="90"/>
  <c r="G10" i="90"/>
  <c r="A11" i="90"/>
  <c r="B11" i="90"/>
  <c r="D11" i="90"/>
  <c r="F11" i="90"/>
  <c r="A13" i="90"/>
  <c r="B13" i="90"/>
  <c r="D13" i="90"/>
  <c r="A14" i="90"/>
  <c r="B7" i="90"/>
  <c r="C7" i="90"/>
  <c r="D7" i="90"/>
  <c r="E7" i="90"/>
  <c r="F7" i="90"/>
  <c r="G7" i="90"/>
  <c r="A7" i="90"/>
  <c r="A15" i="90"/>
  <c r="C8" i="90"/>
  <c r="E8" i="90"/>
  <c r="C9" i="90"/>
  <c r="E9" i="90"/>
  <c r="C10" i="90"/>
  <c r="E10" i="90"/>
  <c r="C11" i="90"/>
  <c r="C12" i="90"/>
  <c r="E11" i="90"/>
  <c r="E12" i="90"/>
  <c r="G11" i="90"/>
  <c r="G12" i="90"/>
  <c r="C13" i="90"/>
  <c r="E13" i="90"/>
  <c r="F13" i="90"/>
  <c r="G13" i="90"/>
  <c r="C14" i="90"/>
  <c r="B14" i="90"/>
  <c r="E14" i="90"/>
  <c r="D14" i="90"/>
  <c r="F14" i="90"/>
  <c r="G14" i="90"/>
  <c r="D35" i="91"/>
  <c r="D36" i="91"/>
  <c r="A37" i="91"/>
  <c r="A2" i="91"/>
  <c r="C6" i="91"/>
  <c r="C5" i="91"/>
  <c r="C7" i="91"/>
  <c r="C14" i="91"/>
  <c r="C13" i="91"/>
  <c r="C12" i="91"/>
  <c r="C11" i="91"/>
  <c r="C10" i="91"/>
  <c r="C9" i="91"/>
  <c r="C8" i="91"/>
  <c r="C15" i="91"/>
  <c r="C17" i="91"/>
  <c r="C16" i="91"/>
  <c r="C24" i="91"/>
  <c r="C23" i="91"/>
  <c r="C22" i="91"/>
  <c r="C21" i="91"/>
  <c r="C20" i="91"/>
  <c r="C19" i="91"/>
  <c r="C18" i="91"/>
  <c r="C26" i="91"/>
  <c r="C25" i="91"/>
  <c r="C28" i="91"/>
  <c r="C27" i="91"/>
  <c r="D27" i="91"/>
  <c r="D28" i="91"/>
  <c r="D25" i="91"/>
  <c r="D26" i="91"/>
  <c r="D18" i="91"/>
  <c r="D19" i="91"/>
  <c r="D20" i="91"/>
  <c r="D21" i="91"/>
  <c r="D22" i="91"/>
  <c r="D23" i="91"/>
  <c r="D24" i="91"/>
  <c r="D16" i="91"/>
  <c r="D17" i="91"/>
  <c r="D15" i="91"/>
  <c r="D8" i="91"/>
  <c r="D9" i="91"/>
  <c r="D10" i="91"/>
  <c r="D11" i="91"/>
  <c r="D12" i="91"/>
  <c r="D13" i="91"/>
  <c r="D14" i="91"/>
  <c r="D7" i="91"/>
  <c r="D5" i="91"/>
  <c r="D6" i="91"/>
  <c r="C36" i="91"/>
  <c r="C35" i="91"/>
  <c r="D34" i="91"/>
  <c r="C34" i="91"/>
  <c r="D33" i="91"/>
  <c r="C33" i="91"/>
  <c r="D32" i="91"/>
  <c r="C32" i="91"/>
  <c r="D31" i="91"/>
  <c r="C31" i="91"/>
  <c r="D30" i="91"/>
  <c r="C30" i="91"/>
  <c r="D29" i="91"/>
  <c r="C29" i="91"/>
  <c r="C29" i="92"/>
  <c r="C30" i="92"/>
  <c r="C6" i="92"/>
  <c r="C7" i="92"/>
  <c r="C8" i="92"/>
  <c r="C9" i="92"/>
  <c r="C10" i="92"/>
  <c r="C11" i="92"/>
  <c r="C12" i="92"/>
  <c r="C13" i="92"/>
  <c r="C14" i="92"/>
  <c r="C15" i="92"/>
  <c r="C16" i="92"/>
  <c r="C17" i="92"/>
  <c r="C18" i="92"/>
  <c r="C19" i="92"/>
  <c r="C20" i="92"/>
  <c r="C21" i="92"/>
  <c r="C22" i="92"/>
  <c r="C23" i="92"/>
  <c r="C24" i="92"/>
  <c r="C25" i="92"/>
  <c r="C26" i="92"/>
  <c r="C27" i="92"/>
  <c r="C28" i="92"/>
  <c r="C5" i="92"/>
  <c r="A31" i="92"/>
  <c r="A2" i="92"/>
  <c r="D6" i="92"/>
  <c r="D7" i="92"/>
  <c r="D8" i="92"/>
  <c r="D9" i="92"/>
  <c r="D10" i="92"/>
  <c r="D11" i="92"/>
  <c r="D12" i="92"/>
  <c r="D13" i="92"/>
  <c r="D14" i="92"/>
  <c r="D15" i="92"/>
  <c r="D16" i="92"/>
  <c r="D17" i="92"/>
  <c r="D18" i="92"/>
  <c r="D19" i="92"/>
  <c r="D20" i="92"/>
  <c r="D21" i="92"/>
  <c r="D22" i="92"/>
  <c r="D23" i="92"/>
  <c r="D24" i="92"/>
  <c r="D25" i="92"/>
  <c r="D26" i="92"/>
  <c r="D27" i="92"/>
  <c r="D28" i="92"/>
  <c r="D5" i="92"/>
  <c r="F12" i="93"/>
  <c r="E12" i="93"/>
  <c r="D12" i="93"/>
  <c r="C12" i="93"/>
  <c r="B12" i="93"/>
  <c r="A12" i="93"/>
  <c r="A8" i="93"/>
  <c r="B8" i="93"/>
  <c r="C8" i="93"/>
  <c r="D8" i="93"/>
  <c r="E8" i="93"/>
  <c r="F8" i="93"/>
  <c r="A9" i="93"/>
  <c r="B9" i="93"/>
  <c r="C9" i="93"/>
  <c r="D9" i="93"/>
  <c r="E9" i="93"/>
  <c r="F9" i="93"/>
  <c r="A10" i="93"/>
  <c r="B10" i="93"/>
  <c r="C10" i="93"/>
  <c r="D10" i="93"/>
  <c r="E10" i="93"/>
  <c r="F10" i="93"/>
  <c r="A11" i="93"/>
  <c r="B11" i="93"/>
  <c r="C11" i="93"/>
  <c r="D11" i="93"/>
  <c r="E11" i="93"/>
  <c r="F11" i="93"/>
  <c r="A13" i="93"/>
  <c r="B13" i="93"/>
  <c r="C13" i="93"/>
  <c r="D13" i="93"/>
  <c r="E13" i="93"/>
  <c r="F13" i="93"/>
  <c r="A14" i="93"/>
  <c r="B7" i="93"/>
  <c r="C7" i="93"/>
  <c r="D7" i="93"/>
  <c r="E7" i="93"/>
  <c r="F7" i="93"/>
  <c r="G7" i="93"/>
  <c r="A7" i="93"/>
  <c r="A15" i="93"/>
  <c r="G8" i="93"/>
  <c r="G9" i="93"/>
  <c r="G10" i="93"/>
  <c r="G11" i="93"/>
  <c r="G13" i="93"/>
  <c r="G12" i="93"/>
  <c r="B14" i="93"/>
  <c r="C14" i="93"/>
  <c r="D14" i="93"/>
  <c r="E14" i="93"/>
  <c r="G14" i="93"/>
  <c r="F14" i="93"/>
  <c r="D12" i="94"/>
  <c r="B12" i="94"/>
  <c r="A12" i="94"/>
  <c r="A8" i="94"/>
  <c r="B8" i="94"/>
  <c r="D8" i="94"/>
  <c r="A9" i="94"/>
  <c r="B9" i="94"/>
  <c r="D9" i="94"/>
  <c r="A10" i="94"/>
  <c r="B10" i="94"/>
  <c r="D10" i="94"/>
  <c r="A11" i="94"/>
  <c r="B11" i="94"/>
  <c r="D11" i="94"/>
  <c r="A13" i="94"/>
  <c r="B13" i="94"/>
  <c r="D13" i="94"/>
  <c r="A14" i="94"/>
  <c r="B7" i="94"/>
  <c r="C7" i="94"/>
  <c r="D7" i="94"/>
  <c r="E7" i="94"/>
  <c r="A7" i="94"/>
  <c r="A15" i="94"/>
  <c r="C8" i="94"/>
  <c r="C9" i="94"/>
  <c r="C10" i="94"/>
  <c r="C11" i="94"/>
  <c r="E8" i="94"/>
  <c r="E9" i="94"/>
  <c r="E10" i="94"/>
  <c r="E11" i="94"/>
  <c r="C13" i="94"/>
  <c r="C12" i="94"/>
  <c r="E12" i="94"/>
  <c r="E13" i="94"/>
  <c r="D14" i="94"/>
  <c r="E14" i="94"/>
  <c r="C14" i="94"/>
  <c r="B14" i="94"/>
  <c r="C6" i="95"/>
  <c r="C7" i="95"/>
  <c r="C8" i="95"/>
  <c r="C9" i="95"/>
  <c r="C10" i="95"/>
  <c r="C11" i="95"/>
  <c r="C12" i="95"/>
  <c r="C13" i="95"/>
  <c r="C14" i="95"/>
  <c r="C15" i="95"/>
  <c r="C16" i="95"/>
  <c r="C17" i="95"/>
  <c r="C18" i="95"/>
  <c r="C19" i="95"/>
  <c r="C20" i="95"/>
  <c r="C21" i="95"/>
  <c r="C22" i="95"/>
  <c r="C23" i="95"/>
  <c r="C24" i="95"/>
  <c r="C25" i="95"/>
  <c r="C26" i="95"/>
  <c r="C27" i="95"/>
  <c r="C5" i="95"/>
  <c r="A28" i="95"/>
  <c r="A2" i="95"/>
  <c r="D6" i="95"/>
  <c r="D7" i="95"/>
  <c r="D8" i="95"/>
  <c r="D9" i="95"/>
  <c r="D10" i="95"/>
  <c r="D11" i="95"/>
  <c r="D12" i="95"/>
  <c r="D13" i="95"/>
  <c r="D14" i="95"/>
  <c r="D15" i="95"/>
  <c r="D16" i="95"/>
  <c r="D17" i="95"/>
  <c r="D18" i="95"/>
  <c r="D19" i="95"/>
  <c r="D20" i="95"/>
  <c r="D21" i="95"/>
  <c r="D22" i="95"/>
  <c r="D23" i="95"/>
  <c r="D24" i="95"/>
  <c r="D25" i="95"/>
  <c r="D26" i="95"/>
  <c r="D27" i="95"/>
  <c r="D5" i="95"/>
  <c r="C6" i="96"/>
  <c r="C7" i="96"/>
  <c r="C8" i="96"/>
  <c r="C9" i="96"/>
  <c r="C10" i="96"/>
  <c r="C11" i="96"/>
  <c r="C12" i="96"/>
  <c r="C13" i="96"/>
  <c r="C14" i="96"/>
  <c r="C15" i="96"/>
  <c r="C16" i="96"/>
  <c r="C17" i="96"/>
  <c r="C18" i="96"/>
  <c r="C19" i="96"/>
  <c r="C20" i="96"/>
  <c r="C21" i="96"/>
  <c r="C22" i="96"/>
  <c r="C23" i="96"/>
  <c r="C24" i="96"/>
  <c r="C25" i="96"/>
  <c r="C26" i="96"/>
  <c r="C27" i="96"/>
  <c r="C28" i="96"/>
  <c r="C29" i="96"/>
  <c r="C30" i="96"/>
  <c r="C31" i="96"/>
  <c r="C32" i="96"/>
  <c r="C33" i="96"/>
  <c r="C34" i="96"/>
  <c r="C5" i="96"/>
  <c r="A35" i="96"/>
  <c r="A2" i="96"/>
  <c r="D6" i="96"/>
  <c r="D7" i="96"/>
  <c r="D8" i="96"/>
  <c r="D9" i="96"/>
  <c r="D10" i="96"/>
  <c r="D11" i="96"/>
  <c r="D12" i="96"/>
  <c r="D13" i="96"/>
  <c r="D14" i="96"/>
  <c r="D15" i="96"/>
  <c r="D16" i="96"/>
  <c r="D17" i="96"/>
  <c r="D18" i="96"/>
  <c r="D19" i="96"/>
  <c r="D20" i="96"/>
  <c r="D21" i="96"/>
  <c r="D22" i="96"/>
  <c r="D23" i="96"/>
  <c r="D24" i="96"/>
  <c r="D25" i="96"/>
  <c r="D26" i="96"/>
  <c r="D27" i="96"/>
  <c r="D28" i="96"/>
  <c r="D29" i="96"/>
  <c r="D30" i="96"/>
  <c r="D31" i="96"/>
  <c r="D32" i="96"/>
  <c r="D33" i="96"/>
  <c r="D34" i="96"/>
  <c r="D5" i="96"/>
  <c r="B17" i="97"/>
  <c r="C17" i="97"/>
  <c r="D17" i="97"/>
  <c r="E17" i="97"/>
  <c r="F17" i="97"/>
  <c r="G17" i="97"/>
  <c r="H17" i="97"/>
  <c r="I17" i="97"/>
  <c r="J17" i="97"/>
  <c r="K17" i="97"/>
  <c r="L17" i="97"/>
  <c r="M17" i="97"/>
  <c r="N17" i="97"/>
  <c r="O17" i="97"/>
  <c r="P17" i="97"/>
  <c r="Q17" i="97"/>
  <c r="R17" i="97"/>
  <c r="S17" i="97"/>
  <c r="T17" i="97"/>
  <c r="U17" i="97"/>
  <c r="V17" i="97"/>
  <c r="W17" i="97"/>
  <c r="X17" i="97"/>
  <c r="Y17" i="97"/>
  <c r="Z17" i="97"/>
  <c r="AA17" i="97"/>
  <c r="AB17" i="97"/>
  <c r="AC17" i="97"/>
  <c r="AD17" i="97"/>
  <c r="AE17" i="97"/>
  <c r="AF17" i="97"/>
  <c r="AG17" i="97"/>
  <c r="AH17" i="97"/>
  <c r="AI17" i="97"/>
  <c r="AJ17" i="97"/>
  <c r="AK17" i="97"/>
  <c r="AL17" i="97"/>
  <c r="AM17" i="97"/>
  <c r="AN17" i="97"/>
  <c r="AO17" i="97"/>
  <c r="AP17" i="97"/>
  <c r="B18" i="97"/>
  <c r="C18" i="97"/>
  <c r="D18" i="97"/>
  <c r="E18" i="97"/>
  <c r="F18" i="97"/>
  <c r="G18" i="97"/>
  <c r="H18" i="97"/>
  <c r="I18" i="97"/>
  <c r="J18" i="97"/>
  <c r="K18" i="97"/>
  <c r="L18" i="97"/>
  <c r="M18" i="97"/>
  <c r="N18" i="97"/>
  <c r="O18" i="97"/>
  <c r="P18" i="97"/>
  <c r="Q18" i="97"/>
  <c r="R18" i="97"/>
  <c r="S18" i="97"/>
  <c r="T18" i="97"/>
  <c r="U18" i="97"/>
  <c r="V18" i="97"/>
  <c r="W18" i="97"/>
  <c r="X18" i="97"/>
  <c r="Y18" i="97"/>
  <c r="Z18" i="97"/>
  <c r="AA18" i="97"/>
  <c r="AB18" i="97"/>
  <c r="AC18" i="97"/>
  <c r="AD18" i="97"/>
  <c r="AE18" i="97"/>
  <c r="AF18" i="97"/>
  <c r="AG18" i="97"/>
  <c r="AH18" i="97"/>
  <c r="AI18" i="97"/>
  <c r="AJ18" i="97"/>
  <c r="AK18" i="97"/>
  <c r="AL18" i="97"/>
  <c r="AM18" i="97"/>
  <c r="AN18" i="97"/>
  <c r="AO18" i="97"/>
  <c r="AP18" i="97"/>
  <c r="B19" i="97"/>
  <c r="C19" i="97"/>
  <c r="D19" i="97"/>
  <c r="E19" i="97"/>
  <c r="F19" i="97"/>
  <c r="G19" i="97"/>
  <c r="H19" i="97"/>
  <c r="I19" i="97"/>
  <c r="J19" i="97"/>
  <c r="K19" i="97"/>
  <c r="L19" i="97"/>
  <c r="M19" i="97"/>
  <c r="N19" i="97"/>
  <c r="O19" i="97"/>
  <c r="P19" i="97"/>
  <c r="Q19" i="97"/>
  <c r="R19" i="97"/>
  <c r="S19" i="97"/>
  <c r="T19" i="97"/>
  <c r="U19" i="97"/>
  <c r="V19" i="97"/>
  <c r="W19" i="97"/>
  <c r="X19" i="97"/>
  <c r="Y19" i="97"/>
  <c r="Z19" i="97"/>
  <c r="AA19" i="97"/>
  <c r="AB19" i="97"/>
  <c r="AC19" i="97"/>
  <c r="AD19" i="97"/>
  <c r="AE19" i="97"/>
  <c r="AF19" i="97"/>
  <c r="AG19" i="97"/>
  <c r="AH19" i="97"/>
  <c r="AI19" i="97"/>
  <c r="AJ19" i="97"/>
  <c r="AK19" i="97"/>
  <c r="AL19" i="97"/>
  <c r="AM19" i="97"/>
  <c r="AN19" i="97"/>
  <c r="AO19" i="97"/>
  <c r="AP19" i="97"/>
  <c r="AP16" i="97"/>
  <c r="AP15" i="97"/>
  <c r="AP14" i="97"/>
  <c r="AP13" i="97"/>
  <c r="AP12" i="97"/>
  <c r="AP11" i="97"/>
  <c r="AP10" i="97"/>
  <c r="AP9" i="97"/>
  <c r="AP8" i="97"/>
  <c r="AP7" i="97"/>
  <c r="AP6" i="97"/>
  <c r="AP5" i="97"/>
  <c r="AP4" i="97"/>
  <c r="AO16" i="97"/>
  <c r="AO15" i="97"/>
  <c r="AO14" i="97"/>
  <c r="AO13" i="97"/>
  <c r="AO12" i="97"/>
  <c r="AO11" i="97"/>
  <c r="AO10" i="97"/>
  <c r="AO9" i="97"/>
  <c r="AO8" i="97"/>
  <c r="AO7" i="97"/>
  <c r="AO6" i="97"/>
  <c r="AO5" i="97"/>
  <c r="AO4" i="97"/>
  <c r="B5" i="97"/>
  <c r="C5" i="97"/>
  <c r="D5" i="97"/>
  <c r="E5" i="97"/>
  <c r="F5" i="97"/>
  <c r="G5" i="97"/>
  <c r="H5" i="97"/>
  <c r="I5" i="97"/>
  <c r="J5" i="97"/>
  <c r="K5" i="97"/>
  <c r="L5" i="97"/>
  <c r="M5" i="97"/>
  <c r="N5" i="97"/>
  <c r="O5" i="97"/>
  <c r="P5" i="97"/>
  <c r="Q5" i="97"/>
  <c r="R5" i="97"/>
  <c r="S5" i="97"/>
  <c r="T5" i="97"/>
  <c r="U5" i="97"/>
  <c r="V5" i="97"/>
  <c r="W5" i="97"/>
  <c r="X5" i="97"/>
  <c r="Y5" i="97"/>
  <c r="Z5" i="97"/>
  <c r="AA5" i="97"/>
  <c r="AB5" i="97"/>
  <c r="AC5" i="97"/>
  <c r="AD5" i="97"/>
  <c r="AE5" i="97"/>
  <c r="AF5" i="97"/>
  <c r="AG5" i="97"/>
  <c r="AH5" i="97"/>
  <c r="AI5" i="97"/>
  <c r="AJ5" i="97"/>
  <c r="AK5" i="97"/>
  <c r="AL5" i="97"/>
  <c r="AM5" i="97"/>
  <c r="AN5" i="97"/>
  <c r="B6" i="97"/>
  <c r="C6" i="97"/>
  <c r="D6" i="97"/>
  <c r="E6" i="97"/>
  <c r="F6" i="97"/>
  <c r="G6" i="97"/>
  <c r="H6" i="97"/>
  <c r="I6" i="97"/>
  <c r="J6" i="97"/>
  <c r="K6" i="97"/>
  <c r="L6" i="97"/>
  <c r="M6" i="97"/>
  <c r="N6" i="97"/>
  <c r="O6" i="97"/>
  <c r="P6" i="97"/>
  <c r="Q6" i="97"/>
  <c r="R6" i="97"/>
  <c r="S6" i="97"/>
  <c r="T6" i="97"/>
  <c r="U6" i="97"/>
  <c r="V6" i="97"/>
  <c r="W6" i="97"/>
  <c r="X6" i="97"/>
  <c r="Y6" i="97"/>
  <c r="Z6" i="97"/>
  <c r="AA6" i="97"/>
  <c r="AB6" i="97"/>
  <c r="AC6" i="97"/>
  <c r="AD6" i="97"/>
  <c r="AE6" i="97"/>
  <c r="AF6" i="97"/>
  <c r="AG6" i="97"/>
  <c r="AH6" i="97"/>
  <c r="AI6" i="97"/>
  <c r="AJ6" i="97"/>
  <c r="AK6" i="97"/>
  <c r="AL6" i="97"/>
  <c r="AM6" i="97"/>
  <c r="AN6" i="97"/>
  <c r="B7" i="97"/>
  <c r="C7" i="97"/>
  <c r="D7" i="97"/>
  <c r="E7" i="97"/>
  <c r="F7" i="97"/>
  <c r="G7" i="97"/>
  <c r="H7" i="97"/>
  <c r="I7" i="97"/>
  <c r="J7" i="97"/>
  <c r="K7" i="97"/>
  <c r="L7" i="97"/>
  <c r="M7" i="97"/>
  <c r="N7" i="97"/>
  <c r="O7" i="97"/>
  <c r="P7" i="97"/>
  <c r="Q7" i="97"/>
  <c r="R7" i="97"/>
  <c r="S7" i="97"/>
  <c r="T7" i="97"/>
  <c r="U7" i="97"/>
  <c r="V7" i="97"/>
  <c r="W7" i="97"/>
  <c r="X7" i="97"/>
  <c r="Y7" i="97"/>
  <c r="Z7" i="97"/>
  <c r="AA7" i="97"/>
  <c r="AB7" i="97"/>
  <c r="AC7" i="97"/>
  <c r="AD7" i="97"/>
  <c r="AE7" i="97"/>
  <c r="AF7" i="97"/>
  <c r="AG7" i="97"/>
  <c r="AH7" i="97"/>
  <c r="AI7" i="97"/>
  <c r="AJ7" i="97"/>
  <c r="AK7" i="97"/>
  <c r="AL7" i="97"/>
  <c r="AM7" i="97"/>
  <c r="AN7" i="97"/>
  <c r="B8" i="97"/>
  <c r="C8" i="97"/>
  <c r="D8" i="97"/>
  <c r="E8" i="97"/>
  <c r="F8" i="97"/>
  <c r="G8" i="97"/>
  <c r="H8" i="97"/>
  <c r="I8" i="97"/>
  <c r="J8" i="97"/>
  <c r="K8" i="97"/>
  <c r="L8" i="97"/>
  <c r="M8" i="97"/>
  <c r="N8" i="97"/>
  <c r="O8" i="97"/>
  <c r="P8" i="97"/>
  <c r="Q8" i="97"/>
  <c r="R8" i="97"/>
  <c r="S8" i="97"/>
  <c r="T8" i="97"/>
  <c r="U8" i="97"/>
  <c r="V8" i="97"/>
  <c r="W8" i="97"/>
  <c r="X8" i="97"/>
  <c r="Y8" i="97"/>
  <c r="Z8" i="97"/>
  <c r="AA8" i="97"/>
  <c r="AB8" i="97"/>
  <c r="AC8" i="97"/>
  <c r="AD8" i="97"/>
  <c r="AE8" i="97"/>
  <c r="AF8" i="97"/>
  <c r="AG8" i="97"/>
  <c r="AH8" i="97"/>
  <c r="AI8" i="97"/>
  <c r="AJ8" i="97"/>
  <c r="AK8" i="97"/>
  <c r="AL8" i="97"/>
  <c r="AM8" i="97"/>
  <c r="AN8" i="97"/>
  <c r="B9" i="97"/>
  <c r="C9" i="97"/>
  <c r="D9" i="97"/>
  <c r="E9" i="97"/>
  <c r="F9" i="97"/>
  <c r="G9" i="97"/>
  <c r="H9" i="97"/>
  <c r="I9" i="97"/>
  <c r="J9" i="97"/>
  <c r="K9" i="97"/>
  <c r="L9" i="97"/>
  <c r="M9" i="97"/>
  <c r="N9" i="97"/>
  <c r="O9" i="97"/>
  <c r="P9" i="97"/>
  <c r="Q9" i="97"/>
  <c r="R9" i="97"/>
  <c r="S9" i="97"/>
  <c r="T9" i="97"/>
  <c r="U9" i="97"/>
  <c r="V9" i="97"/>
  <c r="W9" i="97"/>
  <c r="X9" i="97"/>
  <c r="Y9" i="97"/>
  <c r="Z9" i="97"/>
  <c r="AA9" i="97"/>
  <c r="AB9" i="97"/>
  <c r="AC9" i="97"/>
  <c r="AD9" i="97"/>
  <c r="AE9" i="97"/>
  <c r="AF9" i="97"/>
  <c r="AG9" i="97"/>
  <c r="AH9" i="97"/>
  <c r="AI9" i="97"/>
  <c r="AJ9" i="97"/>
  <c r="AK9" i="97"/>
  <c r="AL9" i="97"/>
  <c r="AM9" i="97"/>
  <c r="AN9" i="97"/>
  <c r="B10" i="97"/>
  <c r="C10" i="97"/>
  <c r="D10" i="97"/>
  <c r="E10" i="97"/>
  <c r="F10" i="97"/>
  <c r="G10" i="97"/>
  <c r="H10" i="97"/>
  <c r="I10" i="97"/>
  <c r="J10" i="97"/>
  <c r="K10" i="97"/>
  <c r="L10" i="97"/>
  <c r="M10" i="97"/>
  <c r="N10" i="97"/>
  <c r="O10" i="97"/>
  <c r="P10" i="97"/>
  <c r="Q10" i="97"/>
  <c r="R10" i="97"/>
  <c r="S10" i="97"/>
  <c r="T10" i="97"/>
  <c r="U10" i="97"/>
  <c r="V10" i="97"/>
  <c r="W10" i="97"/>
  <c r="X10" i="97"/>
  <c r="Y10" i="97"/>
  <c r="Z10" i="97"/>
  <c r="AA10" i="97"/>
  <c r="AB10" i="97"/>
  <c r="AC10" i="97"/>
  <c r="AD10" i="97"/>
  <c r="AE10" i="97"/>
  <c r="AF10" i="97"/>
  <c r="AG10" i="97"/>
  <c r="AH10" i="97"/>
  <c r="AI10" i="97"/>
  <c r="AJ10" i="97"/>
  <c r="AK10" i="97"/>
  <c r="AL10" i="97"/>
  <c r="AM10" i="97"/>
  <c r="AN10" i="97"/>
  <c r="B11" i="97"/>
  <c r="C11" i="97"/>
  <c r="D11" i="97"/>
  <c r="E11" i="97"/>
  <c r="F11" i="97"/>
  <c r="G11" i="97"/>
  <c r="H11" i="97"/>
  <c r="I11" i="97"/>
  <c r="J11" i="97"/>
  <c r="K11" i="97"/>
  <c r="L11" i="97"/>
  <c r="M11" i="97"/>
  <c r="N11" i="97"/>
  <c r="O11" i="97"/>
  <c r="P11" i="97"/>
  <c r="Q11" i="97"/>
  <c r="R11" i="97"/>
  <c r="S11" i="97"/>
  <c r="T11" i="97"/>
  <c r="U11" i="97"/>
  <c r="V11" i="97"/>
  <c r="W11" i="97"/>
  <c r="X11" i="97"/>
  <c r="Y11" i="97"/>
  <c r="Z11" i="97"/>
  <c r="AA11" i="97"/>
  <c r="AB11" i="97"/>
  <c r="AC11" i="97"/>
  <c r="AD11" i="97"/>
  <c r="AE11" i="97"/>
  <c r="AF11" i="97"/>
  <c r="AG11" i="97"/>
  <c r="AH11" i="97"/>
  <c r="AI11" i="97"/>
  <c r="AJ11" i="97"/>
  <c r="AK11" i="97"/>
  <c r="AL11" i="97"/>
  <c r="AM11" i="97"/>
  <c r="AN11" i="97"/>
  <c r="B12" i="97"/>
  <c r="C12" i="97"/>
  <c r="D12" i="97"/>
  <c r="E12" i="97"/>
  <c r="F12" i="97"/>
  <c r="G12" i="97"/>
  <c r="H12" i="97"/>
  <c r="I12" i="97"/>
  <c r="J12" i="97"/>
  <c r="K12" i="97"/>
  <c r="L12" i="97"/>
  <c r="M12" i="97"/>
  <c r="N12" i="97"/>
  <c r="O12" i="97"/>
  <c r="P12" i="97"/>
  <c r="Q12" i="97"/>
  <c r="R12" i="97"/>
  <c r="S12" i="97"/>
  <c r="T12" i="97"/>
  <c r="U12" i="97"/>
  <c r="V12" i="97"/>
  <c r="W12" i="97"/>
  <c r="X12" i="97"/>
  <c r="Y12" i="97"/>
  <c r="Z12" i="97"/>
  <c r="AA12" i="97"/>
  <c r="AB12" i="97"/>
  <c r="AC12" i="97"/>
  <c r="AD12" i="97"/>
  <c r="AE12" i="97"/>
  <c r="AF12" i="97"/>
  <c r="AG12" i="97"/>
  <c r="AH12" i="97"/>
  <c r="AI12" i="97"/>
  <c r="AJ12" i="97"/>
  <c r="AK12" i="97"/>
  <c r="AL12" i="97"/>
  <c r="AM12" i="97"/>
  <c r="AN12" i="97"/>
  <c r="B13" i="97"/>
  <c r="C13" i="97"/>
  <c r="D13" i="97"/>
  <c r="E13" i="97"/>
  <c r="F13" i="97"/>
  <c r="G13" i="97"/>
  <c r="H13" i="97"/>
  <c r="I13" i="97"/>
  <c r="J13" i="97"/>
  <c r="K13" i="97"/>
  <c r="L13" i="97"/>
  <c r="M13" i="97"/>
  <c r="N13" i="97"/>
  <c r="O13" i="97"/>
  <c r="P13" i="97"/>
  <c r="Q13" i="97"/>
  <c r="R13" i="97"/>
  <c r="S13" i="97"/>
  <c r="T13" i="97"/>
  <c r="U13" i="97"/>
  <c r="V13" i="97"/>
  <c r="W13" i="97"/>
  <c r="X13" i="97"/>
  <c r="Y13" i="97"/>
  <c r="Z13" i="97"/>
  <c r="AA13" i="97"/>
  <c r="AB13" i="97"/>
  <c r="AC13" i="97"/>
  <c r="AD13" i="97"/>
  <c r="AE13" i="97"/>
  <c r="AF13" i="97"/>
  <c r="AG13" i="97"/>
  <c r="AH13" i="97"/>
  <c r="AI13" i="97"/>
  <c r="AJ13" i="97"/>
  <c r="AK13" i="97"/>
  <c r="AL13" i="97"/>
  <c r="AM13" i="97"/>
  <c r="AN13" i="97"/>
  <c r="B14" i="97"/>
  <c r="C14" i="97"/>
  <c r="D14" i="97"/>
  <c r="E14" i="97"/>
  <c r="F14" i="97"/>
  <c r="G14" i="97"/>
  <c r="H14" i="97"/>
  <c r="I14" i="97"/>
  <c r="J14" i="97"/>
  <c r="K14" i="97"/>
  <c r="L14" i="97"/>
  <c r="M14" i="97"/>
  <c r="N14" i="97"/>
  <c r="O14" i="97"/>
  <c r="P14" i="97"/>
  <c r="Q14" i="97"/>
  <c r="R14" i="97"/>
  <c r="S14" i="97"/>
  <c r="T14" i="97"/>
  <c r="U14" i="97"/>
  <c r="V14" i="97"/>
  <c r="W14" i="97"/>
  <c r="X14" i="97"/>
  <c r="Y14" i="97"/>
  <c r="Z14" i="97"/>
  <c r="AA14" i="97"/>
  <c r="AB14" i="97"/>
  <c r="AC14" i="97"/>
  <c r="AD14" i="97"/>
  <c r="AE14" i="97"/>
  <c r="AF14" i="97"/>
  <c r="AG14" i="97"/>
  <c r="AH14" i="97"/>
  <c r="AI14" i="97"/>
  <c r="AJ14" i="97"/>
  <c r="AK14" i="97"/>
  <c r="AL14" i="97"/>
  <c r="AM14" i="97"/>
  <c r="AN14" i="97"/>
  <c r="B15" i="97"/>
  <c r="C15" i="97"/>
  <c r="D15" i="97"/>
  <c r="E15" i="97"/>
  <c r="F15" i="97"/>
  <c r="G15" i="97"/>
  <c r="H15" i="97"/>
  <c r="I15" i="97"/>
  <c r="J15" i="97"/>
  <c r="K15" i="97"/>
  <c r="L15" i="97"/>
  <c r="M15" i="97"/>
  <c r="N15" i="97"/>
  <c r="O15" i="97"/>
  <c r="P15" i="97"/>
  <c r="Q15" i="97"/>
  <c r="R15" i="97"/>
  <c r="S15" i="97"/>
  <c r="T15" i="97"/>
  <c r="U15" i="97"/>
  <c r="V15" i="97"/>
  <c r="W15" i="97"/>
  <c r="X15" i="97"/>
  <c r="Y15" i="97"/>
  <c r="Z15" i="97"/>
  <c r="AA15" i="97"/>
  <c r="AB15" i="97"/>
  <c r="AC15" i="97"/>
  <c r="AD15" i="97"/>
  <c r="AE15" i="97"/>
  <c r="AF15" i="97"/>
  <c r="AG15" i="97"/>
  <c r="AH15" i="97"/>
  <c r="AI15" i="97"/>
  <c r="AJ15" i="97"/>
  <c r="AK15" i="97"/>
  <c r="AL15" i="97"/>
  <c r="AM15" i="97"/>
  <c r="AN15" i="97"/>
  <c r="B16" i="97"/>
  <c r="C16" i="97"/>
  <c r="D16" i="97"/>
  <c r="E16" i="97"/>
  <c r="F16" i="97"/>
  <c r="G16" i="97"/>
  <c r="H16" i="97"/>
  <c r="I16" i="97"/>
  <c r="J16" i="97"/>
  <c r="K16" i="97"/>
  <c r="L16" i="97"/>
  <c r="M16" i="97"/>
  <c r="N16" i="97"/>
  <c r="O16" i="97"/>
  <c r="P16" i="97"/>
  <c r="Q16" i="97"/>
  <c r="R16" i="97"/>
  <c r="S16" i="97"/>
  <c r="T16" i="97"/>
  <c r="U16" i="97"/>
  <c r="V16" i="97"/>
  <c r="W16" i="97"/>
  <c r="X16" i="97"/>
  <c r="Y16" i="97"/>
  <c r="Z16" i="97"/>
  <c r="AA16" i="97"/>
  <c r="AB16" i="97"/>
  <c r="AC16" i="97"/>
  <c r="AD16" i="97"/>
  <c r="AE16" i="97"/>
  <c r="AF16" i="97"/>
  <c r="AG16" i="97"/>
  <c r="AH16" i="97"/>
  <c r="AI16" i="97"/>
  <c r="AJ16" i="97"/>
  <c r="AK16" i="97"/>
  <c r="AL16" i="97"/>
  <c r="AM16" i="97"/>
  <c r="AN16" i="97"/>
  <c r="C4" i="97"/>
  <c r="D4" i="97"/>
  <c r="E4" i="97"/>
  <c r="F4" i="97"/>
  <c r="G4" i="97"/>
  <c r="H4" i="97"/>
  <c r="I4" i="97"/>
  <c r="J4" i="97"/>
  <c r="K4" i="97"/>
  <c r="L4" i="97"/>
  <c r="M4" i="97"/>
  <c r="N4" i="97"/>
  <c r="O4" i="97"/>
  <c r="P4" i="97"/>
  <c r="Q4" i="97"/>
  <c r="R4" i="97"/>
  <c r="S4" i="97"/>
  <c r="T4" i="97"/>
  <c r="U4" i="97"/>
  <c r="V4" i="97"/>
  <c r="W4" i="97"/>
  <c r="X4" i="97"/>
  <c r="Y4" i="97"/>
  <c r="Z4" i="97"/>
  <c r="AA4" i="97"/>
  <c r="AB4" i="97"/>
  <c r="AC4" i="97"/>
  <c r="AD4" i="97"/>
  <c r="AE4" i="97"/>
  <c r="AF4" i="97"/>
  <c r="AG4" i="97"/>
  <c r="AH4" i="97"/>
  <c r="AI4" i="97"/>
  <c r="AJ4" i="97"/>
  <c r="AK4" i="97"/>
  <c r="AL4" i="97"/>
  <c r="AM4" i="97"/>
  <c r="AN4" i="97"/>
  <c r="B4" i="97"/>
  <c r="A21" i="97"/>
  <c r="A20" i="97"/>
  <c r="B10" i="98"/>
  <c r="C10" i="98"/>
  <c r="D10" i="98"/>
  <c r="E10" i="98"/>
  <c r="F10" i="98"/>
  <c r="B11" i="98"/>
  <c r="C11" i="98"/>
  <c r="D11" i="98"/>
  <c r="E11" i="98"/>
  <c r="F11" i="98"/>
  <c r="B8" i="98"/>
  <c r="C8" i="98"/>
  <c r="D8" i="98"/>
  <c r="E8" i="98"/>
  <c r="F8" i="98"/>
  <c r="B9" i="98"/>
  <c r="C9" i="98"/>
  <c r="D9" i="98"/>
  <c r="E9" i="98"/>
  <c r="F9" i="98"/>
  <c r="B12" i="98"/>
  <c r="C12" i="98"/>
  <c r="D12" i="98"/>
  <c r="E12" i="98"/>
  <c r="F12" i="98"/>
  <c r="G12" i="98"/>
  <c r="C7" i="98"/>
  <c r="D7" i="98"/>
  <c r="E7" i="98"/>
  <c r="F7" i="98"/>
  <c r="B7" i="98"/>
  <c r="A13" i="98"/>
  <c r="G8" i="98"/>
  <c r="G9" i="98"/>
  <c r="G7" i="98"/>
  <c r="G10" i="98"/>
  <c r="G11" i="98"/>
  <c r="I11" i="99"/>
  <c r="H11" i="99"/>
  <c r="G11" i="99"/>
  <c r="F11" i="99"/>
  <c r="E11" i="99"/>
  <c r="D11" i="99"/>
  <c r="C11" i="99"/>
  <c r="B11" i="99"/>
  <c r="B9" i="99"/>
  <c r="C9" i="99"/>
  <c r="D9" i="99"/>
  <c r="E9" i="99"/>
  <c r="F9" i="99"/>
  <c r="G9" i="99"/>
  <c r="H9" i="99"/>
  <c r="I9" i="99"/>
  <c r="B10" i="99"/>
  <c r="C10" i="99"/>
  <c r="D10" i="99"/>
  <c r="E10" i="99"/>
  <c r="F10" i="99"/>
  <c r="G10" i="99"/>
  <c r="H10" i="99"/>
  <c r="I10" i="99"/>
  <c r="B12" i="99"/>
  <c r="C12" i="99"/>
  <c r="D12" i="99"/>
  <c r="E12" i="99"/>
  <c r="F12" i="99"/>
  <c r="G12" i="99"/>
  <c r="H12" i="99"/>
  <c r="B13" i="99"/>
  <c r="C13" i="99"/>
  <c r="D13" i="99"/>
  <c r="E13" i="99"/>
  <c r="F13" i="99"/>
  <c r="G13" i="99"/>
  <c r="H13" i="99"/>
  <c r="C8" i="99"/>
  <c r="D8" i="99"/>
  <c r="E8" i="99"/>
  <c r="F8" i="99"/>
  <c r="G8" i="99"/>
  <c r="H8" i="99"/>
  <c r="I8" i="99"/>
  <c r="B8" i="99"/>
  <c r="A14" i="99"/>
  <c r="I13" i="99"/>
  <c r="I12" i="99"/>
  <c r="B8" i="100"/>
  <c r="C8" i="100"/>
  <c r="D8" i="100"/>
  <c r="E8" i="100"/>
  <c r="F8" i="100"/>
  <c r="G8" i="100"/>
  <c r="B9" i="100"/>
  <c r="C9" i="100"/>
  <c r="D9" i="100"/>
  <c r="E9" i="100"/>
  <c r="F9" i="100"/>
  <c r="G9" i="100"/>
  <c r="B10" i="100"/>
  <c r="C10" i="100"/>
  <c r="D10" i="100"/>
  <c r="E10" i="100"/>
  <c r="F10" i="100"/>
  <c r="G10" i="100"/>
  <c r="B11" i="100"/>
  <c r="C11" i="100"/>
  <c r="D11" i="100"/>
  <c r="E11" i="100"/>
  <c r="F11" i="100"/>
  <c r="G11" i="100"/>
  <c r="H11" i="100"/>
  <c r="B12" i="100"/>
  <c r="C12" i="100"/>
  <c r="D12" i="100"/>
  <c r="E12" i="100"/>
  <c r="F12" i="100"/>
  <c r="G12" i="100"/>
  <c r="H12" i="100"/>
  <c r="C7" i="100"/>
  <c r="D7" i="100"/>
  <c r="E7" i="100"/>
  <c r="F7" i="100"/>
  <c r="G7" i="100"/>
  <c r="H7" i="100"/>
  <c r="B7" i="100"/>
  <c r="A13" i="100"/>
  <c r="H8" i="100"/>
  <c r="H9" i="100"/>
  <c r="H10" i="100"/>
  <c r="F13" i="101"/>
  <c r="F12" i="101"/>
  <c r="F11" i="101"/>
  <c r="F10" i="101"/>
  <c r="F9" i="101"/>
  <c r="F8" i="101"/>
  <c r="B9" i="101"/>
  <c r="C9" i="101"/>
  <c r="D9" i="101"/>
  <c r="B10" i="101"/>
  <c r="C10" i="101"/>
  <c r="D10" i="101"/>
  <c r="B11" i="101"/>
  <c r="C11" i="101"/>
  <c r="D11" i="101"/>
  <c r="B12" i="101"/>
  <c r="C12" i="101"/>
  <c r="D12" i="101"/>
  <c r="E12" i="101"/>
  <c r="B13" i="101"/>
  <c r="C13" i="101"/>
  <c r="D13" i="101"/>
  <c r="E13" i="101"/>
  <c r="C8" i="101"/>
  <c r="D8" i="101"/>
  <c r="E8" i="101"/>
  <c r="B8" i="101"/>
  <c r="A14" i="101"/>
  <c r="E9" i="101"/>
  <c r="E10" i="101"/>
  <c r="E11" i="101"/>
  <c r="G9" i="102"/>
  <c r="C10" i="102"/>
  <c r="D10" i="102"/>
  <c r="E10" i="102"/>
  <c r="F10" i="102"/>
  <c r="G10" i="102"/>
  <c r="H10" i="102"/>
  <c r="C11" i="102"/>
  <c r="D11" i="102"/>
  <c r="E11" i="102"/>
  <c r="F11" i="102"/>
  <c r="G11" i="102"/>
  <c r="C12" i="102"/>
  <c r="D12" i="102"/>
  <c r="E12" i="102"/>
  <c r="F12" i="102"/>
  <c r="G12" i="102"/>
  <c r="G13" i="102"/>
  <c r="C14" i="102"/>
  <c r="D14" i="102"/>
  <c r="E14" i="102"/>
  <c r="F14" i="102"/>
  <c r="G14" i="102"/>
  <c r="C15" i="102"/>
  <c r="D15" i="102"/>
  <c r="E15" i="102"/>
  <c r="F15" i="102"/>
  <c r="G15" i="102"/>
  <c r="C16" i="102"/>
  <c r="D16" i="102"/>
  <c r="E16" i="102"/>
  <c r="F16" i="102"/>
  <c r="G16" i="102"/>
  <c r="G18" i="102"/>
  <c r="C19" i="102"/>
  <c r="D19" i="102"/>
  <c r="E19" i="102"/>
  <c r="F19" i="102"/>
  <c r="G19" i="102"/>
  <c r="C20" i="102"/>
  <c r="D20" i="102"/>
  <c r="E20" i="102"/>
  <c r="F20" i="102"/>
  <c r="G20" i="102"/>
  <c r="C21" i="102"/>
  <c r="D21" i="102"/>
  <c r="E21" i="102"/>
  <c r="F21" i="102"/>
  <c r="G21" i="102"/>
  <c r="C24" i="102"/>
  <c r="D24" i="102"/>
  <c r="E24" i="102"/>
  <c r="F24" i="102"/>
  <c r="C25" i="102"/>
  <c r="D25" i="102"/>
  <c r="E25" i="102"/>
  <c r="F25" i="102"/>
  <c r="C26" i="102"/>
  <c r="D26" i="102"/>
  <c r="E26" i="102"/>
  <c r="F26" i="102"/>
  <c r="G28" i="102"/>
  <c r="G29" i="102"/>
  <c r="C30" i="102"/>
  <c r="D30" i="102"/>
  <c r="E30" i="102"/>
  <c r="F30" i="102"/>
  <c r="G30" i="102"/>
  <c r="C31" i="102"/>
  <c r="D31" i="102"/>
  <c r="E31" i="102"/>
  <c r="F31" i="102"/>
  <c r="G31" i="102"/>
  <c r="G32" i="102"/>
  <c r="C33" i="102"/>
  <c r="D33" i="102"/>
  <c r="E33" i="102"/>
  <c r="F33" i="102"/>
  <c r="G33" i="102"/>
  <c r="C34" i="102"/>
  <c r="D34" i="102"/>
  <c r="E34" i="102"/>
  <c r="F34" i="102"/>
  <c r="G34" i="102"/>
  <c r="G35" i="102"/>
  <c r="C36" i="102"/>
  <c r="D36" i="102"/>
  <c r="E36" i="102"/>
  <c r="F36" i="102"/>
  <c r="G36" i="102"/>
  <c r="C37" i="102"/>
  <c r="D37" i="102"/>
  <c r="E37" i="102"/>
  <c r="F37" i="102"/>
  <c r="G37" i="102"/>
  <c r="G38" i="102"/>
  <c r="C39" i="102"/>
  <c r="D39" i="102"/>
  <c r="E39" i="102"/>
  <c r="F39" i="102"/>
  <c r="G39" i="102"/>
  <c r="C40" i="102"/>
  <c r="D40" i="102"/>
  <c r="E40" i="102"/>
  <c r="F40" i="102"/>
  <c r="G40" i="102"/>
  <c r="C44" i="102"/>
  <c r="D44" i="102"/>
  <c r="E44" i="102"/>
  <c r="F44" i="102"/>
  <c r="C45" i="102"/>
  <c r="D45" i="102"/>
  <c r="E45" i="102"/>
  <c r="F45" i="102"/>
  <c r="C46" i="102"/>
  <c r="D46" i="102"/>
  <c r="E46" i="102"/>
  <c r="F46" i="102"/>
  <c r="G47" i="102"/>
  <c r="C48" i="102"/>
  <c r="D48" i="102"/>
  <c r="E48" i="102"/>
  <c r="F48" i="102"/>
  <c r="G48" i="102"/>
  <c r="C49" i="102"/>
  <c r="D49" i="102"/>
  <c r="E49" i="102"/>
  <c r="F49" i="102"/>
  <c r="G49" i="102"/>
  <c r="C52" i="102"/>
  <c r="D52" i="102"/>
  <c r="E52" i="102"/>
  <c r="F52" i="102"/>
  <c r="G52" i="102"/>
  <c r="C54" i="102"/>
  <c r="D54" i="102"/>
  <c r="E54" i="102"/>
  <c r="F54" i="102"/>
  <c r="G54" i="102"/>
  <c r="G8" i="102"/>
  <c r="C9" i="102"/>
  <c r="D9" i="102"/>
  <c r="E9" i="102"/>
  <c r="F9" i="102"/>
  <c r="H9" i="102"/>
  <c r="H11" i="102"/>
  <c r="H12" i="102"/>
  <c r="C13" i="102"/>
  <c r="D13" i="102"/>
  <c r="E13" i="102"/>
  <c r="F13" i="102"/>
  <c r="H13" i="102"/>
  <c r="H14" i="102"/>
  <c r="H15" i="102"/>
  <c r="H16" i="102"/>
  <c r="C18" i="102"/>
  <c r="D18" i="102"/>
  <c r="E18" i="102"/>
  <c r="F18" i="102"/>
  <c r="H18" i="102"/>
  <c r="H19" i="102"/>
  <c r="H20" i="102"/>
  <c r="H21" i="102"/>
  <c r="C23" i="102"/>
  <c r="D23" i="102"/>
  <c r="E23" i="102"/>
  <c r="F23" i="102"/>
  <c r="C28" i="102"/>
  <c r="D28" i="102"/>
  <c r="E28" i="102"/>
  <c r="F28" i="102"/>
  <c r="H28" i="102"/>
  <c r="C29" i="102"/>
  <c r="D29" i="102"/>
  <c r="E29" i="102"/>
  <c r="F29" i="102"/>
  <c r="H29" i="102"/>
  <c r="H30" i="102"/>
  <c r="H31" i="102"/>
  <c r="C32" i="102"/>
  <c r="D32" i="102"/>
  <c r="E32" i="102"/>
  <c r="F32" i="102"/>
  <c r="H32" i="102"/>
  <c r="H33" i="102"/>
  <c r="H34" i="102"/>
  <c r="C35" i="102"/>
  <c r="D35" i="102"/>
  <c r="E35" i="102"/>
  <c r="F35" i="102"/>
  <c r="H35" i="102"/>
  <c r="H36" i="102"/>
  <c r="H37" i="102"/>
  <c r="C38" i="102"/>
  <c r="D38" i="102"/>
  <c r="E38" i="102"/>
  <c r="F38" i="102"/>
  <c r="H38" i="102"/>
  <c r="H39" i="102"/>
  <c r="H40" i="102"/>
  <c r="C42" i="102"/>
  <c r="D42" i="102"/>
  <c r="E42" i="102"/>
  <c r="F42" i="102"/>
  <c r="C43" i="102"/>
  <c r="D43" i="102"/>
  <c r="E43" i="102"/>
  <c r="F43" i="102"/>
  <c r="C47" i="102"/>
  <c r="D47" i="102"/>
  <c r="E47" i="102"/>
  <c r="F47" i="102"/>
  <c r="H47" i="102"/>
  <c r="H48" i="102"/>
  <c r="H49" i="102"/>
  <c r="C50" i="102"/>
  <c r="D50" i="102"/>
  <c r="E50" i="102"/>
  <c r="F50" i="102"/>
  <c r="H52" i="102"/>
  <c r="H54" i="102"/>
  <c r="D8" i="102"/>
  <c r="E8" i="102"/>
  <c r="F8" i="102"/>
  <c r="H8" i="102"/>
  <c r="C8" i="102"/>
  <c r="H50" i="102"/>
  <c r="G50" i="102"/>
  <c r="H46" i="102"/>
  <c r="G46" i="102"/>
  <c r="H45" i="102"/>
  <c r="G45" i="102"/>
  <c r="H44" i="102"/>
  <c r="G44" i="102"/>
  <c r="H43" i="102"/>
  <c r="G43" i="102"/>
  <c r="H42" i="102"/>
  <c r="G42" i="102"/>
  <c r="H26" i="102"/>
  <c r="G26" i="102"/>
  <c r="H25" i="102"/>
  <c r="G25" i="102"/>
  <c r="H24" i="102"/>
  <c r="G24" i="102"/>
  <c r="H23" i="102"/>
  <c r="G23" i="102"/>
  <c r="E9" i="103"/>
  <c r="F9" i="103"/>
  <c r="G9" i="103"/>
  <c r="E10" i="103"/>
  <c r="F10" i="103"/>
  <c r="G10" i="103"/>
  <c r="E11" i="103"/>
  <c r="F11" i="103"/>
  <c r="G11" i="103"/>
  <c r="E12" i="103"/>
  <c r="F12" i="103"/>
  <c r="G12" i="103"/>
  <c r="E13" i="103"/>
  <c r="F13" i="103"/>
  <c r="G13" i="103"/>
  <c r="E14" i="103"/>
  <c r="F14" i="103"/>
  <c r="G14" i="103"/>
  <c r="E15" i="103"/>
  <c r="F15" i="103"/>
  <c r="G15" i="103"/>
  <c r="E16" i="103"/>
  <c r="F16" i="103"/>
  <c r="G16" i="103"/>
  <c r="E18" i="103"/>
  <c r="F18" i="103"/>
  <c r="G18" i="103"/>
  <c r="E19" i="103"/>
  <c r="F19" i="103"/>
  <c r="G19" i="103"/>
  <c r="E20" i="103"/>
  <c r="F20" i="103"/>
  <c r="G20" i="103"/>
  <c r="E21" i="103"/>
  <c r="F21" i="103"/>
  <c r="G21" i="103"/>
  <c r="E23" i="103"/>
  <c r="F23" i="103"/>
  <c r="E24" i="103"/>
  <c r="F24" i="103"/>
  <c r="E25" i="103"/>
  <c r="F25" i="103"/>
  <c r="E26" i="103"/>
  <c r="F26" i="103"/>
  <c r="E28" i="103"/>
  <c r="F28" i="103"/>
  <c r="G28" i="103"/>
  <c r="E29" i="103"/>
  <c r="F29" i="103"/>
  <c r="G29" i="103"/>
  <c r="E30" i="103"/>
  <c r="F30" i="103"/>
  <c r="G30" i="103"/>
  <c r="E31" i="103"/>
  <c r="F31" i="103"/>
  <c r="G31" i="103"/>
  <c r="E32" i="103"/>
  <c r="F32" i="103"/>
  <c r="G32" i="103"/>
  <c r="E33" i="103"/>
  <c r="F33" i="103"/>
  <c r="G33" i="103"/>
  <c r="E34" i="103"/>
  <c r="F34" i="103"/>
  <c r="G34" i="103"/>
  <c r="E35" i="103"/>
  <c r="F35" i="103"/>
  <c r="G35" i="103"/>
  <c r="E36" i="103"/>
  <c r="F36" i="103"/>
  <c r="G36" i="103"/>
  <c r="E37" i="103"/>
  <c r="F37" i="103"/>
  <c r="G37" i="103"/>
  <c r="E38" i="103"/>
  <c r="F38" i="103"/>
  <c r="G38" i="103"/>
  <c r="E39" i="103"/>
  <c r="F39" i="103"/>
  <c r="G39" i="103"/>
  <c r="E40" i="103"/>
  <c r="F40" i="103"/>
  <c r="G40" i="103"/>
  <c r="E42" i="103"/>
  <c r="F42" i="103"/>
  <c r="E43" i="103"/>
  <c r="F43" i="103"/>
  <c r="E44" i="103"/>
  <c r="F44" i="103"/>
  <c r="E45" i="103"/>
  <c r="F45" i="103"/>
  <c r="E46" i="103"/>
  <c r="F46" i="103"/>
  <c r="E47" i="103"/>
  <c r="F47" i="103"/>
  <c r="G47" i="103"/>
  <c r="E48" i="103"/>
  <c r="F48" i="103"/>
  <c r="G48" i="103"/>
  <c r="E49" i="103"/>
  <c r="F49" i="103"/>
  <c r="G49" i="103"/>
  <c r="E50" i="103"/>
  <c r="F50" i="103"/>
  <c r="E52" i="103"/>
  <c r="F52" i="103"/>
  <c r="G52" i="103"/>
  <c r="E54" i="103"/>
  <c r="F54" i="103"/>
  <c r="G54" i="103"/>
  <c r="E8" i="103"/>
  <c r="F8" i="103"/>
  <c r="G8" i="103"/>
  <c r="D8" i="103"/>
  <c r="D54" i="103"/>
  <c r="D52" i="103"/>
  <c r="D50" i="103"/>
  <c r="D49" i="103"/>
  <c r="D48" i="103"/>
  <c r="D47" i="103"/>
  <c r="D46" i="103"/>
  <c r="D45" i="103"/>
  <c r="D44" i="103"/>
  <c r="D43" i="103"/>
  <c r="D42" i="103"/>
  <c r="D40" i="103"/>
  <c r="D39" i="103"/>
  <c r="D38" i="103"/>
  <c r="D37" i="103"/>
  <c r="D36" i="103"/>
  <c r="D35" i="103"/>
  <c r="D34" i="103"/>
  <c r="D33" i="103"/>
  <c r="D32" i="103"/>
  <c r="D31" i="103"/>
  <c r="D30" i="103"/>
  <c r="D29" i="103"/>
  <c r="D28" i="103"/>
  <c r="D26" i="103"/>
  <c r="D25" i="103"/>
  <c r="D24" i="103"/>
  <c r="D23" i="103"/>
  <c r="D21" i="103"/>
  <c r="D20" i="103"/>
  <c r="D19" i="103"/>
  <c r="D18" i="103"/>
  <c r="D16" i="103"/>
  <c r="D15" i="103"/>
  <c r="D14" i="103"/>
  <c r="D13" i="103"/>
  <c r="D12" i="103"/>
  <c r="D11" i="103"/>
  <c r="D10" i="103"/>
  <c r="D9" i="103"/>
  <c r="C19" i="103"/>
  <c r="C20" i="103"/>
  <c r="C21" i="103"/>
  <c r="C23" i="103"/>
  <c r="C24" i="103"/>
  <c r="C25" i="103"/>
  <c r="C26" i="103"/>
  <c r="C28" i="103"/>
  <c r="C29" i="103"/>
  <c r="C30" i="103"/>
  <c r="C31" i="103"/>
  <c r="C32" i="103"/>
  <c r="C33" i="103"/>
  <c r="C34" i="103"/>
  <c r="C35" i="103"/>
  <c r="C36" i="103"/>
  <c r="C37" i="103"/>
  <c r="C38" i="103"/>
  <c r="C39" i="103"/>
  <c r="C40" i="103"/>
  <c r="C43" i="103"/>
  <c r="C44" i="103"/>
  <c r="C45" i="103"/>
  <c r="C46" i="103"/>
  <c r="C47" i="103"/>
  <c r="C48" i="103"/>
  <c r="C49" i="103"/>
  <c r="C52" i="103"/>
  <c r="C54" i="103"/>
  <c r="C42" i="103"/>
  <c r="C50" i="103"/>
  <c r="C9" i="103"/>
  <c r="C10" i="103"/>
  <c r="C11" i="103"/>
  <c r="C12" i="103"/>
  <c r="C13" i="103"/>
  <c r="C14" i="103"/>
  <c r="C15" i="103"/>
  <c r="C16" i="103"/>
  <c r="C18" i="103"/>
  <c r="C8" i="103"/>
  <c r="G50" i="103"/>
  <c r="G46" i="103"/>
  <c r="G45" i="103"/>
  <c r="G44" i="103"/>
  <c r="G43" i="103"/>
  <c r="G42" i="103"/>
  <c r="G26" i="103"/>
  <c r="G25" i="103"/>
  <c r="G24" i="103"/>
  <c r="G23" i="103"/>
  <c r="D8" i="104"/>
  <c r="E8" i="104"/>
  <c r="F8" i="104"/>
  <c r="G8" i="104"/>
  <c r="H8" i="104"/>
  <c r="I8" i="104"/>
  <c r="D9" i="104"/>
  <c r="E9" i="104"/>
  <c r="F9" i="104"/>
  <c r="G9" i="104"/>
  <c r="H9" i="104"/>
  <c r="I9" i="104"/>
  <c r="D10" i="104"/>
  <c r="E10" i="104"/>
  <c r="F10" i="104"/>
  <c r="G10" i="104"/>
  <c r="H10" i="104"/>
  <c r="I10" i="104"/>
  <c r="D12" i="104"/>
  <c r="E12" i="104"/>
  <c r="F12" i="104"/>
  <c r="G12" i="104"/>
  <c r="H12" i="104"/>
  <c r="I12" i="104"/>
  <c r="D13" i="104"/>
  <c r="E13" i="104"/>
  <c r="F13" i="104"/>
  <c r="G13" i="104"/>
  <c r="H13" i="104"/>
  <c r="I13" i="104"/>
  <c r="D14" i="104"/>
  <c r="E14" i="104"/>
  <c r="F14" i="104"/>
  <c r="G14" i="104"/>
  <c r="H14" i="104"/>
  <c r="I14" i="104"/>
  <c r="D15" i="104"/>
  <c r="E15" i="104"/>
  <c r="F15" i="104"/>
  <c r="G15" i="104"/>
  <c r="H15" i="104"/>
  <c r="I15" i="104"/>
  <c r="D17" i="104"/>
  <c r="E17" i="104"/>
  <c r="F17" i="104"/>
  <c r="G17" i="104"/>
  <c r="H17" i="104"/>
  <c r="I17" i="104"/>
  <c r="D18" i="104"/>
  <c r="E18" i="104"/>
  <c r="F18" i="104"/>
  <c r="G18" i="104"/>
  <c r="H18" i="104"/>
  <c r="I18" i="104"/>
  <c r="D19" i="104"/>
  <c r="E19" i="104"/>
  <c r="F19" i="104"/>
  <c r="G19" i="104"/>
  <c r="H19" i="104"/>
  <c r="I19" i="104"/>
  <c r="D20" i="104"/>
  <c r="E20" i="104"/>
  <c r="F20" i="104"/>
  <c r="G20" i="104"/>
  <c r="H20" i="104"/>
  <c r="I20" i="104"/>
  <c r="D22" i="104"/>
  <c r="E22" i="104"/>
  <c r="F22" i="104"/>
  <c r="G22" i="104"/>
  <c r="H22" i="104"/>
  <c r="I22" i="104"/>
  <c r="D23" i="104"/>
  <c r="E23" i="104"/>
  <c r="F23" i="104"/>
  <c r="G23" i="104"/>
  <c r="H23" i="104"/>
  <c r="I23" i="104"/>
  <c r="D24" i="104"/>
  <c r="E24" i="104"/>
  <c r="F24" i="104"/>
  <c r="G24" i="104"/>
  <c r="H24" i="104"/>
  <c r="I24" i="104"/>
  <c r="D25" i="104"/>
  <c r="E25" i="104"/>
  <c r="F25" i="104"/>
  <c r="G25" i="104"/>
  <c r="H25" i="104"/>
  <c r="I25" i="104"/>
  <c r="D27" i="104"/>
  <c r="E27" i="104"/>
  <c r="F27" i="104"/>
  <c r="G27" i="104"/>
  <c r="H27" i="104"/>
  <c r="I27" i="104"/>
  <c r="D28" i="104"/>
  <c r="E28" i="104"/>
  <c r="F28" i="104"/>
  <c r="G28" i="104"/>
  <c r="H28" i="104"/>
  <c r="I28" i="104"/>
  <c r="D29" i="104"/>
  <c r="E29" i="104"/>
  <c r="F29" i="104"/>
  <c r="G29" i="104"/>
  <c r="H29" i="104"/>
  <c r="I29" i="104"/>
  <c r="D30" i="104"/>
  <c r="E30" i="104"/>
  <c r="F30" i="104"/>
  <c r="G30" i="104"/>
  <c r="H30" i="104"/>
  <c r="I30" i="104"/>
  <c r="D32" i="104"/>
  <c r="E32" i="104"/>
  <c r="F32" i="104"/>
  <c r="G32" i="104"/>
  <c r="H32" i="104"/>
  <c r="I32" i="104"/>
  <c r="D33" i="104"/>
  <c r="E33" i="104"/>
  <c r="F33" i="104"/>
  <c r="G33" i="104"/>
  <c r="H33" i="104"/>
  <c r="I33" i="104"/>
  <c r="D34" i="104"/>
  <c r="E34" i="104"/>
  <c r="F34" i="104"/>
  <c r="G34" i="104"/>
  <c r="H34" i="104"/>
  <c r="I34" i="104"/>
  <c r="D35" i="104"/>
  <c r="E35" i="104"/>
  <c r="F35" i="104"/>
  <c r="G35" i="104"/>
  <c r="H35" i="104"/>
  <c r="I35" i="104"/>
  <c r="D37" i="104"/>
  <c r="E37" i="104"/>
  <c r="F37" i="104"/>
  <c r="G37" i="104"/>
  <c r="H37" i="104"/>
  <c r="I37" i="104"/>
  <c r="D38" i="104"/>
  <c r="E38" i="104"/>
  <c r="F38" i="104"/>
  <c r="G38" i="104"/>
  <c r="H38" i="104"/>
  <c r="I38" i="104"/>
  <c r="D39" i="104"/>
  <c r="E39" i="104"/>
  <c r="F39" i="104"/>
  <c r="G39" i="104"/>
  <c r="H39" i="104"/>
  <c r="I39" i="104"/>
  <c r="D40" i="104"/>
  <c r="E40" i="104"/>
  <c r="F40" i="104"/>
  <c r="G40" i="104"/>
  <c r="H40" i="104"/>
  <c r="I40" i="104"/>
  <c r="D43" i="104"/>
  <c r="E43" i="104"/>
  <c r="F43" i="104"/>
  <c r="G43" i="104"/>
  <c r="H43" i="104"/>
  <c r="I43" i="104"/>
  <c r="D44" i="104"/>
  <c r="E44" i="104"/>
  <c r="F44" i="104"/>
  <c r="G44" i="104"/>
  <c r="H44" i="104"/>
  <c r="I44" i="104"/>
  <c r="D45" i="104"/>
  <c r="E45" i="104"/>
  <c r="F45" i="104"/>
  <c r="G45" i="104"/>
  <c r="H45" i="104"/>
  <c r="I45" i="104"/>
  <c r="D46" i="104"/>
  <c r="E46" i="104"/>
  <c r="F46" i="104"/>
  <c r="G46" i="104"/>
  <c r="H46" i="104"/>
  <c r="I46" i="104"/>
  <c r="D48" i="104"/>
  <c r="E48" i="104"/>
  <c r="F48" i="104"/>
  <c r="G48" i="104"/>
  <c r="H48" i="104"/>
  <c r="I48" i="104"/>
  <c r="D49" i="104"/>
  <c r="E49" i="104"/>
  <c r="F49" i="104"/>
  <c r="G49" i="104"/>
  <c r="H49" i="104"/>
  <c r="I49" i="104"/>
  <c r="D50" i="104"/>
  <c r="E50" i="104"/>
  <c r="F50" i="104"/>
  <c r="G50" i="104"/>
  <c r="H50" i="104"/>
  <c r="I50" i="104"/>
  <c r="D51" i="104"/>
  <c r="E51" i="104"/>
  <c r="F51" i="104"/>
  <c r="G51" i="104"/>
  <c r="H51" i="104"/>
  <c r="I51" i="104"/>
  <c r="D53" i="104"/>
  <c r="E53" i="104"/>
  <c r="F53" i="104"/>
  <c r="G53" i="104"/>
  <c r="H53" i="104"/>
  <c r="I53" i="104"/>
  <c r="D54" i="104"/>
  <c r="E54" i="104"/>
  <c r="F54" i="104"/>
  <c r="G54" i="104"/>
  <c r="H54" i="104"/>
  <c r="I54" i="104"/>
  <c r="D55" i="104"/>
  <c r="E55" i="104"/>
  <c r="F55" i="104"/>
  <c r="G55" i="104"/>
  <c r="H55" i="104"/>
  <c r="I55" i="104"/>
  <c r="D56" i="104"/>
  <c r="E56" i="104"/>
  <c r="F56" i="104"/>
  <c r="G56" i="104"/>
  <c r="H56" i="104"/>
  <c r="I56" i="104"/>
  <c r="D59" i="104"/>
  <c r="E59" i="104"/>
  <c r="F59" i="104"/>
  <c r="G59" i="104"/>
  <c r="H59" i="104"/>
  <c r="I59" i="104"/>
  <c r="D60" i="104"/>
  <c r="E60" i="104"/>
  <c r="F60" i="104"/>
  <c r="G60" i="104"/>
  <c r="H60" i="104"/>
  <c r="I60" i="104"/>
  <c r="D61" i="104"/>
  <c r="E61" i="104"/>
  <c r="F61" i="104"/>
  <c r="G61" i="104"/>
  <c r="H61" i="104"/>
  <c r="I61" i="104"/>
  <c r="D62" i="104"/>
  <c r="E62" i="104"/>
  <c r="F62" i="104"/>
  <c r="G62" i="104"/>
  <c r="H62" i="104"/>
  <c r="I62" i="104"/>
  <c r="E7" i="104"/>
  <c r="F7" i="104"/>
  <c r="G7" i="104"/>
  <c r="H7" i="104"/>
  <c r="I7" i="104"/>
  <c r="D7" i="104"/>
  <c r="A2" i="105"/>
  <c r="A9" i="105"/>
  <c r="B9" i="105"/>
  <c r="E9" i="105"/>
  <c r="H9" i="105"/>
  <c r="A10" i="105"/>
  <c r="B10" i="105"/>
  <c r="E10" i="105"/>
  <c r="H10" i="105"/>
  <c r="A11" i="105"/>
  <c r="B11" i="105"/>
  <c r="E11" i="105"/>
  <c r="H11" i="105"/>
  <c r="A12" i="105"/>
  <c r="B12" i="105"/>
  <c r="E12" i="105"/>
  <c r="H12" i="105"/>
  <c r="A13" i="105"/>
  <c r="B13" i="105"/>
  <c r="E13" i="105"/>
  <c r="H13" i="105"/>
  <c r="A14" i="105"/>
  <c r="B14" i="105"/>
  <c r="E14" i="105"/>
  <c r="H14" i="105"/>
  <c r="A15" i="105"/>
  <c r="B15" i="105"/>
  <c r="E15" i="105"/>
  <c r="H15" i="105"/>
  <c r="A16" i="105"/>
  <c r="B16" i="105"/>
  <c r="E16" i="105"/>
  <c r="H16" i="105"/>
  <c r="A17" i="105"/>
  <c r="B17" i="105"/>
  <c r="E17" i="105"/>
  <c r="H17" i="105"/>
  <c r="A18" i="105"/>
  <c r="B18" i="105"/>
  <c r="E18" i="105"/>
  <c r="H18" i="105"/>
  <c r="A19" i="105"/>
  <c r="B19" i="105"/>
  <c r="E19" i="105"/>
  <c r="H19" i="105"/>
  <c r="A20" i="105"/>
  <c r="B20" i="105"/>
  <c r="E20" i="105"/>
  <c r="H20" i="105"/>
  <c r="A21" i="105"/>
  <c r="B21" i="105"/>
  <c r="E21" i="105"/>
  <c r="H21" i="105"/>
  <c r="A22" i="105"/>
  <c r="B22" i="105"/>
  <c r="E22" i="105"/>
  <c r="H22" i="105"/>
  <c r="A23" i="105"/>
  <c r="B23" i="105"/>
  <c r="E23" i="105"/>
  <c r="H23" i="105"/>
  <c r="A24" i="105"/>
  <c r="B24" i="105"/>
  <c r="E24" i="105"/>
  <c r="H24" i="105"/>
  <c r="A25" i="105"/>
  <c r="B25" i="105"/>
  <c r="E25" i="105"/>
  <c r="H25" i="105"/>
  <c r="A26" i="105"/>
  <c r="B26" i="105"/>
  <c r="E26" i="105"/>
  <c r="H26" i="105"/>
  <c r="A27" i="105"/>
  <c r="B27" i="105"/>
  <c r="E27" i="105"/>
  <c r="H27" i="105"/>
  <c r="A28" i="105"/>
  <c r="B28" i="105"/>
  <c r="E28" i="105"/>
  <c r="H28" i="105"/>
  <c r="A29" i="105"/>
  <c r="B29" i="105"/>
  <c r="E29" i="105"/>
  <c r="H29" i="105"/>
  <c r="A30" i="105"/>
  <c r="B30" i="105"/>
  <c r="E30" i="105"/>
  <c r="H30" i="105"/>
  <c r="A31" i="105"/>
  <c r="B31" i="105"/>
  <c r="E31" i="105"/>
  <c r="H31" i="105"/>
  <c r="A32" i="105"/>
  <c r="B32" i="105"/>
  <c r="E32" i="105"/>
  <c r="H32" i="105"/>
  <c r="A33" i="105"/>
  <c r="B33" i="105"/>
  <c r="E33" i="105"/>
  <c r="H33" i="105"/>
  <c r="A34" i="105"/>
  <c r="B8" i="105"/>
  <c r="E8" i="105"/>
  <c r="H8" i="105"/>
  <c r="A8" i="105"/>
  <c r="A35" i="105"/>
  <c r="S34" i="105"/>
  <c r="P34" i="105"/>
  <c r="R34" i="105" s="1"/>
  <c r="M34" i="105"/>
  <c r="U34" i="105"/>
  <c r="O34" i="105"/>
  <c r="N34" i="105"/>
  <c r="U33" i="105"/>
  <c r="R33" i="105"/>
  <c r="U32" i="105"/>
  <c r="R32" i="105"/>
  <c r="U31" i="105"/>
  <c r="R31" i="105"/>
  <c r="U30" i="105"/>
  <c r="R30" i="105"/>
  <c r="U29" i="105"/>
  <c r="R29" i="105"/>
  <c r="U28" i="105"/>
  <c r="R28" i="105"/>
  <c r="U27" i="105"/>
  <c r="R27" i="105"/>
  <c r="U26" i="105"/>
  <c r="R26" i="105"/>
  <c r="U25" i="105"/>
  <c r="R25" i="105"/>
  <c r="U24" i="105"/>
  <c r="R24" i="105"/>
  <c r="U23" i="105"/>
  <c r="R23" i="105"/>
  <c r="U22" i="105"/>
  <c r="R22" i="105"/>
  <c r="U21" i="105"/>
  <c r="R21" i="105"/>
  <c r="U20" i="105"/>
  <c r="R20" i="105"/>
  <c r="U19" i="105"/>
  <c r="R19" i="105"/>
  <c r="U18" i="105"/>
  <c r="R18" i="105"/>
  <c r="U17" i="105"/>
  <c r="R17" i="105"/>
  <c r="U16" i="105"/>
  <c r="R16" i="105"/>
  <c r="U15" i="105"/>
  <c r="R15" i="105"/>
  <c r="U14" i="105"/>
  <c r="R14" i="105"/>
  <c r="U13" i="105"/>
  <c r="R13" i="105"/>
  <c r="U12" i="105"/>
  <c r="R12" i="105"/>
  <c r="U11" i="105"/>
  <c r="R11" i="105"/>
  <c r="U10" i="105"/>
  <c r="R10" i="105"/>
  <c r="U9" i="105"/>
  <c r="R9" i="105"/>
  <c r="U8" i="105"/>
  <c r="R8" i="105"/>
  <c r="C9" i="105"/>
  <c r="D9" i="105"/>
  <c r="C10" i="105"/>
  <c r="D10" i="105"/>
  <c r="C11" i="105"/>
  <c r="D11" i="105"/>
  <c r="C12" i="105"/>
  <c r="D12" i="105"/>
  <c r="C13" i="105"/>
  <c r="D13" i="105"/>
  <c r="C14" i="105"/>
  <c r="D14" i="105"/>
  <c r="C15" i="105"/>
  <c r="D15" i="105"/>
  <c r="C16" i="105"/>
  <c r="D16" i="105"/>
  <c r="C17" i="105"/>
  <c r="D17" i="105"/>
  <c r="C18" i="105"/>
  <c r="D18" i="105"/>
  <c r="C19" i="105"/>
  <c r="D19" i="105"/>
  <c r="C20" i="105"/>
  <c r="D20" i="105"/>
  <c r="C21" i="105"/>
  <c r="D21" i="105"/>
  <c r="C22" i="105"/>
  <c r="D22" i="105"/>
  <c r="C23" i="105"/>
  <c r="D23" i="105"/>
  <c r="C24" i="105"/>
  <c r="D24" i="105"/>
  <c r="C25" i="105"/>
  <c r="D25" i="105"/>
  <c r="C26" i="105"/>
  <c r="D26" i="105"/>
  <c r="C27" i="105"/>
  <c r="D27" i="105"/>
  <c r="C28" i="105"/>
  <c r="D28" i="105"/>
  <c r="C29" i="105"/>
  <c r="D29" i="105"/>
  <c r="C30" i="105"/>
  <c r="D30" i="105"/>
  <c r="C31" i="105"/>
  <c r="D31" i="105"/>
  <c r="C32" i="105"/>
  <c r="D32" i="105"/>
  <c r="C33" i="105"/>
  <c r="D33" i="105"/>
  <c r="B34" i="105"/>
  <c r="C34" i="105"/>
  <c r="D34" i="105"/>
  <c r="E34" i="105"/>
  <c r="C8" i="105"/>
  <c r="D8" i="105"/>
  <c r="H34" i="105"/>
  <c r="I9" i="105"/>
  <c r="I10" i="105"/>
  <c r="I11" i="105"/>
  <c r="I12" i="105"/>
  <c r="I13" i="105"/>
  <c r="I14" i="105"/>
  <c r="I15" i="105"/>
  <c r="I16" i="105"/>
  <c r="I17" i="105"/>
  <c r="I18" i="105"/>
  <c r="I19" i="105"/>
  <c r="I20" i="105"/>
  <c r="I21" i="105"/>
  <c r="I22" i="105"/>
  <c r="I23" i="105"/>
  <c r="I24" i="105"/>
  <c r="I25" i="105"/>
  <c r="I26" i="105"/>
  <c r="I27" i="105"/>
  <c r="I28" i="105"/>
  <c r="I29" i="105"/>
  <c r="I30" i="105"/>
  <c r="I31" i="105"/>
  <c r="I32" i="105"/>
  <c r="I33" i="105"/>
  <c r="I34" i="105"/>
  <c r="I8" i="105"/>
  <c r="F9" i="105"/>
  <c r="F10" i="105"/>
  <c r="F11" i="105"/>
  <c r="F12" i="105"/>
  <c r="F13" i="105"/>
  <c r="F14" i="105"/>
  <c r="F15" i="105"/>
  <c r="F16" i="105"/>
  <c r="F17" i="105"/>
  <c r="F18" i="105"/>
  <c r="F19" i="105"/>
  <c r="F20" i="105"/>
  <c r="F21" i="105"/>
  <c r="F22" i="105"/>
  <c r="F23" i="105"/>
  <c r="F24" i="105"/>
  <c r="F25" i="105"/>
  <c r="F26" i="105"/>
  <c r="F27" i="105"/>
  <c r="F28" i="105"/>
  <c r="F29" i="105"/>
  <c r="F30" i="105"/>
  <c r="F31" i="105"/>
  <c r="F32" i="105"/>
  <c r="F33" i="105"/>
  <c r="F34" i="105"/>
  <c r="F8" i="105"/>
  <c r="J9" i="105"/>
  <c r="J10" i="105"/>
  <c r="J11" i="105"/>
  <c r="J12" i="105"/>
  <c r="J13" i="105"/>
  <c r="J14" i="105"/>
  <c r="J15" i="105"/>
  <c r="J16" i="105"/>
  <c r="J17" i="105"/>
  <c r="J18" i="105"/>
  <c r="J19" i="105"/>
  <c r="J20" i="105"/>
  <c r="J21" i="105"/>
  <c r="J22" i="105"/>
  <c r="J23" i="105"/>
  <c r="J24" i="105"/>
  <c r="J25" i="105"/>
  <c r="J26" i="105"/>
  <c r="J27" i="105"/>
  <c r="J28" i="105"/>
  <c r="J29" i="105"/>
  <c r="J30" i="105"/>
  <c r="J31" i="105"/>
  <c r="J32" i="105"/>
  <c r="J33" i="105"/>
  <c r="J34" i="105"/>
  <c r="J8" i="105"/>
  <c r="G9" i="105"/>
  <c r="G10" i="105"/>
  <c r="G11" i="105"/>
  <c r="G12" i="105"/>
  <c r="G13" i="105"/>
  <c r="G14" i="105"/>
  <c r="G15" i="105"/>
  <c r="G16" i="105"/>
  <c r="G17" i="105"/>
  <c r="G18" i="105"/>
  <c r="G19" i="105"/>
  <c r="G20" i="105"/>
  <c r="G21" i="105"/>
  <c r="G22" i="105"/>
  <c r="G23" i="105"/>
  <c r="G24" i="105"/>
  <c r="G25" i="105"/>
  <c r="G26" i="105"/>
  <c r="G27" i="105"/>
  <c r="G28" i="105"/>
  <c r="G29" i="105"/>
  <c r="G30" i="105"/>
  <c r="G31" i="105"/>
  <c r="G32" i="105"/>
  <c r="G33" i="105"/>
  <c r="G34" i="105"/>
  <c r="G8" i="105"/>
  <c r="I22" i="106"/>
  <c r="H22" i="106"/>
  <c r="G22" i="106"/>
  <c r="E22" i="106"/>
  <c r="D22" i="106"/>
  <c r="B22" i="106"/>
  <c r="A22" i="106"/>
  <c r="A25" i="106"/>
  <c r="A9" i="106"/>
  <c r="B9" i="106"/>
  <c r="C9" i="106"/>
  <c r="D9" i="106"/>
  <c r="E9" i="106"/>
  <c r="F9" i="106"/>
  <c r="G9" i="106"/>
  <c r="H9" i="106"/>
  <c r="I9" i="106"/>
  <c r="A10" i="106"/>
  <c r="B10" i="106"/>
  <c r="D10" i="106"/>
  <c r="E10" i="106"/>
  <c r="G10" i="106"/>
  <c r="H10" i="106"/>
  <c r="A11" i="106"/>
  <c r="B11" i="106"/>
  <c r="D11" i="106"/>
  <c r="E11" i="106"/>
  <c r="G11" i="106"/>
  <c r="H11" i="106"/>
  <c r="A12" i="106"/>
  <c r="B12" i="106"/>
  <c r="D12" i="106"/>
  <c r="E12" i="106"/>
  <c r="G12" i="106"/>
  <c r="H12" i="106"/>
  <c r="A13" i="106"/>
  <c r="B13" i="106"/>
  <c r="D13" i="106"/>
  <c r="E13" i="106"/>
  <c r="G13" i="106"/>
  <c r="H13" i="106"/>
  <c r="A14" i="106"/>
  <c r="B14" i="106"/>
  <c r="D14" i="106"/>
  <c r="E14" i="106"/>
  <c r="G14" i="106"/>
  <c r="H14" i="106"/>
  <c r="A15" i="106"/>
  <c r="B15" i="106"/>
  <c r="D15" i="106"/>
  <c r="E15" i="106"/>
  <c r="G15" i="106"/>
  <c r="H15" i="106"/>
  <c r="A16" i="106"/>
  <c r="B16" i="106"/>
  <c r="D16" i="106"/>
  <c r="E16" i="106"/>
  <c r="G16" i="106"/>
  <c r="H16" i="106"/>
  <c r="A17" i="106"/>
  <c r="B17" i="106"/>
  <c r="D17" i="106"/>
  <c r="E17" i="106"/>
  <c r="G17" i="106"/>
  <c r="H17" i="106"/>
  <c r="A18" i="106"/>
  <c r="B18" i="106"/>
  <c r="D18" i="106"/>
  <c r="E18" i="106"/>
  <c r="G18" i="106"/>
  <c r="H18" i="106"/>
  <c r="A19" i="106"/>
  <c r="B19" i="106"/>
  <c r="D19" i="106"/>
  <c r="E19" i="106"/>
  <c r="G19" i="106"/>
  <c r="H19" i="106"/>
  <c r="A20" i="106"/>
  <c r="B20" i="106"/>
  <c r="D20" i="106"/>
  <c r="E20" i="106"/>
  <c r="G20" i="106"/>
  <c r="H20" i="106"/>
  <c r="A21" i="106"/>
  <c r="B21" i="106"/>
  <c r="D21" i="106"/>
  <c r="E21" i="106"/>
  <c r="G21" i="106"/>
  <c r="H21" i="106"/>
  <c r="A23" i="106"/>
  <c r="B23" i="106"/>
  <c r="D23" i="106"/>
  <c r="G23" i="106"/>
  <c r="A24" i="106"/>
  <c r="B8" i="106"/>
  <c r="C8" i="106"/>
  <c r="D8" i="106"/>
  <c r="E8" i="106"/>
  <c r="F8" i="106"/>
  <c r="G8" i="106"/>
  <c r="H8" i="106"/>
  <c r="I8" i="106"/>
  <c r="A8" i="106"/>
  <c r="C10" i="106"/>
  <c r="F10" i="106"/>
  <c r="I10" i="106"/>
  <c r="C11" i="106"/>
  <c r="F11" i="106"/>
  <c r="I11" i="106"/>
  <c r="C12" i="106"/>
  <c r="F12" i="106"/>
  <c r="I12" i="106"/>
  <c r="C13" i="106"/>
  <c r="F13" i="106"/>
  <c r="I13" i="106"/>
  <c r="C14" i="106"/>
  <c r="F14" i="106"/>
  <c r="I14" i="106"/>
  <c r="C15" i="106"/>
  <c r="F15" i="106"/>
  <c r="I15" i="106"/>
  <c r="C16" i="106"/>
  <c r="F16" i="106"/>
  <c r="I16" i="106"/>
  <c r="C17" i="106"/>
  <c r="F17" i="106"/>
  <c r="I17" i="106"/>
  <c r="C18" i="106"/>
  <c r="F18" i="106"/>
  <c r="I18" i="106"/>
  <c r="C19" i="106"/>
  <c r="F19" i="106"/>
  <c r="I19" i="106"/>
  <c r="C20" i="106"/>
  <c r="F20" i="106"/>
  <c r="I20" i="106"/>
  <c r="I21" i="106"/>
  <c r="E23" i="106"/>
  <c r="H23" i="106"/>
  <c r="I23" i="106"/>
  <c r="F23" i="106"/>
  <c r="F21" i="106"/>
  <c r="F22" i="106"/>
  <c r="C23" i="106"/>
  <c r="C21" i="106"/>
  <c r="C22" i="106"/>
  <c r="G24" i="106"/>
  <c r="D24" i="106"/>
  <c r="C24" i="106"/>
  <c r="B24" i="106"/>
  <c r="I24" i="106"/>
  <c r="H24" i="106"/>
  <c r="E24" i="106"/>
  <c r="F24" i="106"/>
  <c r="A17" i="107"/>
  <c r="A10" i="107"/>
  <c r="E10" i="107"/>
  <c r="F10" i="107"/>
  <c r="G10" i="107"/>
  <c r="H10" i="107"/>
  <c r="I10" i="107"/>
  <c r="A11" i="107"/>
  <c r="E11" i="107"/>
  <c r="F11" i="107"/>
  <c r="G11" i="107"/>
  <c r="H11" i="107"/>
  <c r="I11" i="107"/>
  <c r="A12" i="107"/>
  <c r="E12" i="107"/>
  <c r="F12" i="107"/>
  <c r="G12" i="107"/>
  <c r="H12" i="107"/>
  <c r="I12" i="107"/>
  <c r="A13" i="107"/>
  <c r="I13" i="107"/>
  <c r="A14" i="107"/>
  <c r="I14" i="107"/>
  <c r="A15" i="107"/>
  <c r="I15" i="107"/>
  <c r="A16" i="107"/>
  <c r="I16" i="107"/>
  <c r="E9" i="107"/>
  <c r="F9" i="107"/>
  <c r="G9" i="107"/>
  <c r="H9" i="107"/>
  <c r="I9" i="107"/>
  <c r="A9" i="107"/>
  <c r="B10" i="107"/>
  <c r="C10" i="107"/>
  <c r="D10" i="107"/>
  <c r="B11" i="107"/>
  <c r="C11" i="107"/>
  <c r="D11" i="107"/>
  <c r="B12" i="107"/>
  <c r="C12" i="107"/>
  <c r="D12" i="107"/>
  <c r="B13" i="107"/>
  <c r="C13" i="107"/>
  <c r="D13" i="107"/>
  <c r="E13" i="107"/>
  <c r="F13" i="107"/>
  <c r="G13" i="107"/>
  <c r="H13" i="107"/>
  <c r="B14" i="107"/>
  <c r="C14" i="107"/>
  <c r="D14" i="107"/>
  <c r="E14" i="107"/>
  <c r="F14" i="107"/>
  <c r="G14" i="107"/>
  <c r="H14" i="107"/>
  <c r="B15" i="107"/>
  <c r="C15" i="107"/>
  <c r="D15" i="107"/>
  <c r="E15" i="107"/>
  <c r="F15" i="107"/>
  <c r="G15" i="107"/>
  <c r="H15" i="107"/>
  <c r="B16" i="107"/>
  <c r="C16" i="107"/>
  <c r="D16" i="107"/>
  <c r="E16" i="107"/>
  <c r="F16" i="107"/>
  <c r="G16" i="107"/>
  <c r="H16" i="107"/>
  <c r="B9" i="107"/>
  <c r="C9" i="107"/>
  <c r="D9" i="107"/>
  <c r="B5" i="108"/>
  <c r="C5" i="108"/>
  <c r="D5" i="108"/>
  <c r="E5" i="108"/>
  <c r="F5" i="108"/>
  <c r="G5" i="108"/>
  <c r="H5" i="108"/>
  <c r="I5" i="108"/>
  <c r="B6" i="108"/>
  <c r="C6" i="108"/>
  <c r="D6" i="108"/>
  <c r="E6" i="108"/>
  <c r="F6" i="108"/>
  <c r="G6" i="108"/>
  <c r="H6" i="108"/>
  <c r="I6" i="108"/>
  <c r="B7" i="108"/>
  <c r="C7" i="108"/>
  <c r="D7" i="108"/>
  <c r="E7" i="108"/>
  <c r="F7" i="108"/>
  <c r="G7" i="108"/>
  <c r="H7" i="108"/>
  <c r="I7" i="108"/>
  <c r="B8" i="108"/>
  <c r="C8" i="108"/>
  <c r="D8" i="108"/>
  <c r="E8" i="108"/>
  <c r="F8" i="108"/>
  <c r="G8" i="108"/>
  <c r="H8" i="108"/>
  <c r="I8" i="108"/>
  <c r="B9" i="108"/>
  <c r="C9" i="108"/>
  <c r="D9" i="108"/>
  <c r="E9" i="108"/>
  <c r="F9" i="108"/>
  <c r="G9" i="108"/>
  <c r="H9" i="108"/>
  <c r="I9" i="108"/>
  <c r="B10" i="108"/>
  <c r="C10" i="108"/>
  <c r="D10" i="108"/>
  <c r="E10" i="108"/>
  <c r="F10" i="108"/>
  <c r="G10" i="108"/>
  <c r="H10" i="108"/>
  <c r="I10" i="108"/>
  <c r="B11" i="108"/>
  <c r="C11" i="108"/>
  <c r="D11" i="108"/>
  <c r="E11" i="108"/>
  <c r="F11" i="108"/>
  <c r="G11" i="108"/>
  <c r="H11" i="108"/>
  <c r="I11" i="108"/>
  <c r="B12" i="108"/>
  <c r="C12" i="108"/>
  <c r="D12" i="108"/>
  <c r="E12" i="108"/>
  <c r="F12" i="108"/>
  <c r="G12" i="108"/>
  <c r="H12" i="108"/>
  <c r="I12" i="108"/>
  <c r="B13" i="108"/>
  <c r="C13" i="108"/>
  <c r="D13" i="108"/>
  <c r="E13" i="108"/>
  <c r="F13" i="108"/>
  <c r="G13" i="108"/>
  <c r="H13" i="108"/>
  <c r="I13" i="108"/>
  <c r="B14" i="108"/>
  <c r="C14" i="108"/>
  <c r="D14" i="108"/>
  <c r="E14" i="108"/>
  <c r="F14" i="108"/>
  <c r="G14" i="108"/>
  <c r="H14" i="108"/>
  <c r="I14" i="108"/>
  <c r="B15" i="108"/>
  <c r="C15" i="108"/>
  <c r="D15" i="108"/>
  <c r="E15" i="108"/>
  <c r="F15" i="108"/>
  <c r="G15" i="108"/>
  <c r="H15" i="108"/>
  <c r="I15" i="108"/>
  <c r="B16" i="108"/>
  <c r="C16" i="108"/>
  <c r="D16" i="108"/>
  <c r="E16" i="108"/>
  <c r="F16" i="108"/>
  <c r="G16" i="108"/>
  <c r="H16" i="108"/>
  <c r="I16" i="108"/>
  <c r="B17" i="108"/>
  <c r="C17" i="108"/>
  <c r="D17" i="108"/>
  <c r="E17" i="108"/>
  <c r="F17" i="108"/>
  <c r="G17" i="108"/>
  <c r="H17" i="108"/>
  <c r="I17" i="108"/>
  <c r="B18" i="108"/>
  <c r="C18" i="108"/>
  <c r="D18" i="108"/>
  <c r="E18" i="108"/>
  <c r="F18" i="108"/>
  <c r="G18" i="108"/>
  <c r="H18" i="108"/>
  <c r="I18" i="108"/>
  <c r="B19" i="108"/>
  <c r="C19" i="108"/>
  <c r="D19" i="108"/>
  <c r="E19" i="108"/>
  <c r="F19" i="108"/>
  <c r="G19" i="108"/>
  <c r="H19" i="108"/>
  <c r="I19" i="108"/>
  <c r="B20" i="108"/>
  <c r="C20" i="108"/>
  <c r="D20" i="108"/>
  <c r="E20" i="108"/>
  <c r="F20" i="108"/>
  <c r="G20" i="108"/>
  <c r="H20" i="108"/>
  <c r="I20" i="108"/>
  <c r="B21" i="108"/>
  <c r="C21" i="108"/>
  <c r="D21" i="108"/>
  <c r="E21" i="108"/>
  <c r="F21" i="108"/>
  <c r="G21" i="108"/>
  <c r="H21" i="108"/>
  <c r="I21" i="108"/>
  <c r="A19" i="108"/>
  <c r="A6" i="108"/>
  <c r="A7" i="108"/>
  <c r="A8" i="108"/>
  <c r="A9" i="108"/>
  <c r="A10" i="108"/>
  <c r="A11" i="108"/>
  <c r="A12" i="108"/>
  <c r="A13" i="108"/>
  <c r="A14" i="108"/>
  <c r="A15" i="108"/>
  <c r="A16" i="108"/>
  <c r="A17" i="108"/>
  <c r="A18" i="108"/>
  <c r="A20" i="108"/>
  <c r="A21" i="108"/>
  <c r="A5" i="108"/>
  <c r="A22" i="108"/>
  <c r="A18" i="109"/>
  <c r="A6" i="109"/>
  <c r="A7" i="109"/>
  <c r="A8" i="109"/>
  <c r="A9" i="109"/>
  <c r="A10" i="109"/>
  <c r="A11" i="109"/>
  <c r="A12" i="109"/>
  <c r="A13" i="109"/>
  <c r="A14" i="109"/>
  <c r="A15" i="109"/>
  <c r="A16" i="109"/>
  <c r="A17" i="109"/>
  <c r="A19" i="109"/>
  <c r="A20" i="109"/>
  <c r="A5" i="109"/>
  <c r="G5" i="109"/>
  <c r="F6" i="109"/>
  <c r="G6" i="109"/>
  <c r="F7" i="109"/>
  <c r="G7" i="109"/>
  <c r="F8" i="109"/>
  <c r="G8" i="109"/>
  <c r="F9" i="109"/>
  <c r="G9" i="109"/>
  <c r="F10" i="109"/>
  <c r="G10" i="109"/>
  <c r="F11" i="109"/>
  <c r="G11" i="109"/>
  <c r="F12" i="109"/>
  <c r="G12" i="109"/>
  <c r="F5" i="109"/>
  <c r="H5" i="109"/>
  <c r="I5" i="109"/>
  <c r="H6" i="109"/>
  <c r="I6" i="109"/>
  <c r="H7" i="109"/>
  <c r="I7" i="109"/>
  <c r="H8" i="109"/>
  <c r="I8" i="109"/>
  <c r="H9" i="109"/>
  <c r="I9" i="109"/>
  <c r="H10" i="109"/>
  <c r="I10" i="109"/>
  <c r="H11" i="109"/>
  <c r="I11" i="109"/>
  <c r="H12" i="109"/>
  <c r="I12" i="109"/>
  <c r="H13" i="109"/>
  <c r="I13" i="109"/>
  <c r="H14" i="109"/>
  <c r="I14" i="109"/>
  <c r="H15" i="109"/>
  <c r="I15" i="109"/>
  <c r="E5" i="109"/>
  <c r="D5" i="109"/>
  <c r="C5" i="109"/>
  <c r="B5" i="109"/>
  <c r="G15" i="109"/>
  <c r="F15" i="109"/>
  <c r="E15" i="109"/>
  <c r="D15" i="109"/>
  <c r="C15" i="109"/>
  <c r="B15" i="109"/>
  <c r="G14" i="109"/>
  <c r="F14" i="109"/>
  <c r="E14" i="109"/>
  <c r="D14" i="109"/>
  <c r="C14" i="109"/>
  <c r="B14" i="109"/>
  <c r="G13" i="109"/>
  <c r="F13" i="109"/>
  <c r="E13" i="109"/>
  <c r="D13" i="109"/>
  <c r="C13" i="109"/>
  <c r="B13" i="109"/>
  <c r="E12" i="109"/>
  <c r="D12" i="109"/>
  <c r="C12" i="109"/>
  <c r="B12" i="109"/>
  <c r="E11" i="109"/>
  <c r="D11" i="109"/>
  <c r="C11" i="109"/>
  <c r="B11" i="109"/>
  <c r="E10" i="109"/>
  <c r="D10" i="109"/>
  <c r="C10" i="109"/>
  <c r="B10" i="109"/>
  <c r="E9" i="109"/>
  <c r="D9" i="109"/>
  <c r="C9" i="109"/>
  <c r="B9" i="109"/>
  <c r="E8" i="109"/>
  <c r="D8" i="109"/>
  <c r="C8" i="109"/>
  <c r="B8" i="109"/>
  <c r="E7" i="109"/>
  <c r="D7" i="109"/>
  <c r="C7" i="109"/>
  <c r="B7" i="109"/>
  <c r="E6" i="109"/>
  <c r="D6" i="109"/>
  <c r="C6" i="109"/>
  <c r="B6" i="109"/>
  <c r="B16" i="109"/>
  <c r="C16" i="109"/>
  <c r="D16" i="109"/>
  <c r="E16" i="109"/>
  <c r="F16" i="109"/>
  <c r="G16" i="109"/>
  <c r="B17" i="109"/>
  <c r="C17" i="109"/>
  <c r="D17" i="109"/>
  <c r="E17" i="109"/>
  <c r="F17" i="109"/>
  <c r="G17" i="109"/>
  <c r="B19" i="109"/>
  <c r="C19" i="109"/>
  <c r="D19" i="109"/>
  <c r="E19" i="109"/>
  <c r="F19" i="109"/>
  <c r="G19" i="109"/>
  <c r="B20" i="109"/>
  <c r="C20" i="109"/>
  <c r="D20" i="109"/>
  <c r="E20" i="109"/>
  <c r="F20" i="109"/>
  <c r="G20" i="109"/>
  <c r="I20" i="109"/>
  <c r="H20" i="109"/>
  <c r="I19" i="109"/>
  <c r="H19" i="109"/>
  <c r="I17" i="109"/>
  <c r="H17" i="109"/>
  <c r="I16" i="109"/>
  <c r="H16" i="109"/>
  <c r="B18" i="109"/>
  <c r="C18" i="109"/>
  <c r="D18" i="109"/>
  <c r="E18" i="109"/>
  <c r="F18" i="109"/>
  <c r="G18" i="109"/>
  <c r="H18" i="109"/>
  <c r="I18" i="109"/>
  <c r="F22" i="110"/>
  <c r="D22" i="110"/>
  <c r="B22" i="110"/>
  <c r="A22" i="110"/>
  <c r="A9" i="110"/>
  <c r="B9" i="110"/>
  <c r="D9" i="110"/>
  <c r="F9" i="110"/>
  <c r="A10" i="110"/>
  <c r="B10" i="110"/>
  <c r="D10" i="110"/>
  <c r="F10" i="110"/>
  <c r="A11" i="110"/>
  <c r="B11" i="110"/>
  <c r="D11" i="110"/>
  <c r="F11" i="110"/>
  <c r="A12" i="110"/>
  <c r="B12" i="110"/>
  <c r="D12" i="110"/>
  <c r="F12" i="110"/>
  <c r="A13" i="110"/>
  <c r="B13" i="110"/>
  <c r="D13" i="110"/>
  <c r="F13" i="110"/>
  <c r="A14" i="110"/>
  <c r="B14" i="110"/>
  <c r="D14" i="110"/>
  <c r="F14" i="110"/>
  <c r="A15" i="110"/>
  <c r="B15" i="110"/>
  <c r="D15" i="110"/>
  <c r="F15" i="110"/>
  <c r="A16" i="110"/>
  <c r="B16" i="110"/>
  <c r="D16" i="110"/>
  <c r="F16" i="110"/>
  <c r="A17" i="110"/>
  <c r="B17" i="110"/>
  <c r="D17" i="110"/>
  <c r="F17" i="110"/>
  <c r="A18" i="110"/>
  <c r="B18" i="110"/>
  <c r="D18" i="110"/>
  <c r="F18" i="110"/>
  <c r="A19" i="110"/>
  <c r="B19" i="110"/>
  <c r="D19" i="110"/>
  <c r="F19" i="110"/>
  <c r="A20" i="110"/>
  <c r="B20" i="110"/>
  <c r="D20" i="110"/>
  <c r="F20" i="110"/>
  <c r="A21" i="110"/>
  <c r="B21" i="110"/>
  <c r="D21" i="110"/>
  <c r="F21" i="110"/>
  <c r="A23" i="110"/>
  <c r="B23" i="110"/>
  <c r="D23" i="110"/>
  <c r="F23" i="110"/>
  <c r="A24" i="110"/>
  <c r="B24" i="110"/>
  <c r="D24" i="110"/>
  <c r="F24" i="110"/>
  <c r="B8" i="110"/>
  <c r="C8" i="110"/>
  <c r="D8" i="110"/>
  <c r="E8" i="110"/>
  <c r="F8" i="110"/>
  <c r="G8" i="110"/>
  <c r="A8" i="110"/>
  <c r="A25" i="110"/>
  <c r="G9" i="110"/>
  <c r="G10" i="110"/>
  <c r="G11" i="110"/>
  <c r="G12" i="110"/>
  <c r="G13" i="110"/>
  <c r="G14" i="110"/>
  <c r="G15" i="110"/>
  <c r="G16" i="110"/>
  <c r="G17" i="110"/>
  <c r="G18" i="110"/>
  <c r="G19" i="110"/>
  <c r="G20" i="110"/>
  <c r="G23" i="110"/>
  <c r="G21" i="110"/>
  <c r="G22" i="110"/>
  <c r="G24" i="110"/>
  <c r="E9" i="110"/>
  <c r="E10" i="110"/>
  <c r="E11" i="110"/>
  <c r="E12" i="110"/>
  <c r="E13" i="110"/>
  <c r="E14" i="110"/>
  <c r="E15" i="110"/>
  <c r="E16" i="110"/>
  <c r="E17" i="110"/>
  <c r="E18" i="110"/>
  <c r="E19" i="110"/>
  <c r="E20" i="110"/>
  <c r="E23" i="110"/>
  <c r="E21" i="110"/>
  <c r="E22" i="110"/>
  <c r="E24" i="110"/>
  <c r="C9" i="110"/>
  <c r="C10" i="110"/>
  <c r="C11" i="110"/>
  <c r="C12" i="110"/>
  <c r="C13" i="110"/>
  <c r="C14" i="110"/>
  <c r="C15" i="110"/>
  <c r="C16" i="110"/>
  <c r="C17" i="110"/>
  <c r="C18" i="110"/>
  <c r="C19" i="110"/>
  <c r="C20" i="110"/>
  <c r="C23" i="110"/>
  <c r="C21" i="110"/>
  <c r="C22" i="110"/>
  <c r="C24" i="110"/>
  <c r="F24" i="111"/>
  <c r="G24" i="111"/>
  <c r="H24" i="111"/>
  <c r="I24" i="111"/>
  <c r="J24" i="111"/>
  <c r="F25" i="111"/>
  <c r="G25" i="111"/>
  <c r="H25" i="111"/>
  <c r="I25" i="111"/>
  <c r="J25" i="111"/>
  <c r="F26" i="111"/>
  <c r="G26" i="111"/>
  <c r="H26" i="111"/>
  <c r="I26" i="111"/>
  <c r="J26" i="111"/>
  <c r="F27" i="111"/>
  <c r="G27" i="111"/>
  <c r="H27" i="111"/>
  <c r="I27" i="111"/>
  <c r="J27" i="111"/>
  <c r="F28" i="111"/>
  <c r="G28" i="111"/>
  <c r="H28" i="111"/>
  <c r="I28" i="111"/>
  <c r="J28" i="111"/>
  <c r="F29" i="111"/>
  <c r="G29" i="111"/>
  <c r="H29" i="111"/>
  <c r="I29" i="111"/>
  <c r="J29" i="111"/>
  <c r="F23" i="111"/>
  <c r="G23" i="111"/>
  <c r="H23" i="111"/>
  <c r="I23" i="111"/>
  <c r="J23" i="111"/>
  <c r="B8" i="111"/>
  <c r="C8" i="111"/>
  <c r="D8" i="111"/>
  <c r="E8" i="111"/>
  <c r="F8" i="111"/>
  <c r="G8" i="111"/>
  <c r="H8" i="111"/>
  <c r="I8" i="111"/>
  <c r="J8" i="111"/>
  <c r="B9" i="111"/>
  <c r="C9" i="111"/>
  <c r="D9" i="111"/>
  <c r="E9" i="111"/>
  <c r="F9" i="111"/>
  <c r="G9" i="111"/>
  <c r="H9" i="111"/>
  <c r="I9" i="111"/>
  <c r="J9" i="111"/>
  <c r="B10" i="111"/>
  <c r="C10" i="111"/>
  <c r="D10" i="111"/>
  <c r="E10" i="111"/>
  <c r="F10" i="111"/>
  <c r="G10" i="111"/>
  <c r="H10" i="111"/>
  <c r="I10" i="111"/>
  <c r="J10" i="111"/>
  <c r="B11" i="111"/>
  <c r="C11" i="111"/>
  <c r="D11" i="111"/>
  <c r="E11" i="111"/>
  <c r="F11" i="111"/>
  <c r="G11" i="111"/>
  <c r="H11" i="111"/>
  <c r="I11" i="111"/>
  <c r="J11" i="111"/>
  <c r="B12" i="111"/>
  <c r="C12" i="111"/>
  <c r="D12" i="111"/>
  <c r="E12" i="111"/>
  <c r="F12" i="111"/>
  <c r="G12" i="111"/>
  <c r="H12" i="111"/>
  <c r="I12" i="111"/>
  <c r="J12" i="111"/>
  <c r="B13" i="111"/>
  <c r="C13" i="111"/>
  <c r="D13" i="111"/>
  <c r="E13" i="111"/>
  <c r="F13" i="111"/>
  <c r="G13" i="111"/>
  <c r="H13" i="111"/>
  <c r="I13" i="111"/>
  <c r="J13" i="111"/>
  <c r="B14" i="111"/>
  <c r="C14" i="111"/>
  <c r="D14" i="111"/>
  <c r="E14" i="111"/>
  <c r="F14" i="111"/>
  <c r="G14" i="111"/>
  <c r="H14" i="111"/>
  <c r="I14" i="111"/>
  <c r="J14" i="111"/>
  <c r="C7" i="111"/>
  <c r="D7" i="111"/>
  <c r="E7" i="111"/>
  <c r="F7" i="111"/>
  <c r="G7" i="111"/>
  <c r="H7" i="111"/>
  <c r="I7" i="111"/>
  <c r="J7" i="111"/>
  <c r="B7" i="111"/>
  <c r="A30" i="111"/>
  <c r="B24" i="111"/>
  <c r="B25" i="111"/>
  <c r="B26" i="111"/>
  <c r="B27" i="111"/>
  <c r="B28" i="111"/>
  <c r="B29" i="111"/>
  <c r="C23" i="111"/>
  <c r="E28" i="111"/>
  <c r="D28" i="111"/>
  <c r="C28" i="111"/>
  <c r="E27" i="111"/>
  <c r="D27" i="111"/>
  <c r="C27" i="111"/>
  <c r="E26" i="111"/>
  <c r="D26" i="111"/>
  <c r="C26" i="111"/>
  <c r="E25" i="111"/>
  <c r="D25" i="111"/>
  <c r="C25" i="111"/>
  <c r="E24" i="111"/>
  <c r="D24" i="111"/>
  <c r="C24" i="111"/>
  <c r="E29" i="111"/>
  <c r="D29" i="111"/>
  <c r="C29" i="111"/>
  <c r="D23" i="111"/>
  <c r="E23" i="111"/>
  <c r="B23" i="111"/>
  <c r="A10" i="112"/>
  <c r="B10" i="112"/>
  <c r="C10" i="112"/>
  <c r="D10" i="112"/>
  <c r="E10" i="112"/>
  <c r="F10" i="112"/>
  <c r="G10" i="112"/>
  <c r="H10" i="112"/>
  <c r="I10" i="112"/>
  <c r="A11" i="112"/>
  <c r="B11" i="112"/>
  <c r="C11" i="112"/>
  <c r="D11" i="112"/>
  <c r="E11" i="112"/>
  <c r="F11" i="112"/>
  <c r="G11" i="112"/>
  <c r="H11" i="112"/>
  <c r="I11" i="112"/>
  <c r="A12" i="112"/>
  <c r="B12" i="112"/>
  <c r="C12" i="112"/>
  <c r="D12" i="112"/>
  <c r="E12" i="112"/>
  <c r="F12" i="112"/>
  <c r="G12" i="112"/>
  <c r="H12" i="112"/>
  <c r="I12" i="112"/>
  <c r="A13" i="112"/>
  <c r="B13" i="112"/>
  <c r="C13" i="112"/>
  <c r="D13" i="112"/>
  <c r="E13" i="112"/>
  <c r="F13" i="112"/>
  <c r="G13" i="112"/>
  <c r="H13" i="112"/>
  <c r="I13" i="112"/>
  <c r="A14" i="112"/>
  <c r="B14" i="112"/>
  <c r="C14" i="112"/>
  <c r="D14" i="112"/>
  <c r="E14" i="112"/>
  <c r="F14" i="112"/>
  <c r="G14" i="112"/>
  <c r="H14" i="112"/>
  <c r="I14" i="112"/>
  <c r="A15" i="112"/>
  <c r="B15" i="112"/>
  <c r="C15" i="112"/>
  <c r="D15" i="112"/>
  <c r="E15" i="112"/>
  <c r="F15" i="112"/>
  <c r="G15" i="112"/>
  <c r="H15" i="112"/>
  <c r="I15" i="112"/>
  <c r="A16" i="112"/>
  <c r="B16" i="112"/>
  <c r="C16" i="112"/>
  <c r="D16" i="112"/>
  <c r="E16" i="112"/>
  <c r="F16" i="112"/>
  <c r="G16" i="112"/>
  <c r="H16" i="112"/>
  <c r="I16" i="112"/>
  <c r="A17" i="112"/>
  <c r="B17" i="112"/>
  <c r="C17" i="112"/>
  <c r="D17" i="112"/>
  <c r="E17" i="112"/>
  <c r="F17" i="112"/>
  <c r="G17" i="112"/>
  <c r="H17" i="112"/>
  <c r="I17" i="112"/>
  <c r="A18" i="112"/>
  <c r="B18" i="112"/>
  <c r="C18" i="112"/>
  <c r="D18" i="112"/>
  <c r="E18" i="112"/>
  <c r="F18" i="112"/>
  <c r="G18" i="112"/>
  <c r="H18" i="112"/>
  <c r="I18" i="112"/>
  <c r="A19" i="112"/>
  <c r="B19" i="112"/>
  <c r="C19" i="112"/>
  <c r="D19" i="112"/>
  <c r="E19" i="112"/>
  <c r="F19" i="112"/>
  <c r="G19" i="112"/>
  <c r="H19" i="112"/>
  <c r="I19" i="112"/>
  <c r="A20" i="112"/>
  <c r="B20" i="112"/>
  <c r="C20" i="112"/>
  <c r="E20" i="112"/>
  <c r="F20" i="112"/>
  <c r="G20" i="112"/>
  <c r="I20" i="112"/>
  <c r="A21" i="112"/>
  <c r="B21" i="112"/>
  <c r="C21" i="112"/>
  <c r="E21" i="112"/>
  <c r="F21" i="112"/>
  <c r="G21" i="112"/>
  <c r="I21" i="112"/>
  <c r="A22" i="112"/>
  <c r="B22" i="112"/>
  <c r="C22" i="112"/>
  <c r="E22" i="112"/>
  <c r="F22" i="112"/>
  <c r="G22" i="112"/>
  <c r="I22" i="112"/>
  <c r="A23" i="112"/>
  <c r="B23" i="112"/>
  <c r="E23" i="112"/>
  <c r="F23" i="112"/>
  <c r="I23" i="112"/>
  <c r="A24" i="112"/>
  <c r="B24" i="112"/>
  <c r="C24" i="112"/>
  <c r="E24" i="112"/>
  <c r="F24" i="112"/>
  <c r="G24" i="112"/>
  <c r="I24" i="112"/>
  <c r="C9" i="112"/>
  <c r="D9" i="112"/>
  <c r="E9" i="112"/>
  <c r="F9" i="112"/>
  <c r="G9" i="112"/>
  <c r="H9" i="112"/>
  <c r="I9" i="112"/>
  <c r="A9" i="112"/>
  <c r="A25" i="112"/>
  <c r="C23" i="112"/>
  <c r="G23" i="112"/>
  <c r="D20" i="112"/>
  <c r="H20" i="112"/>
  <c r="B9" i="112"/>
  <c r="D22" i="112"/>
  <c r="D23" i="112"/>
  <c r="D24" i="112"/>
  <c r="H21" i="112"/>
  <c r="H22" i="112"/>
  <c r="H23" i="112"/>
  <c r="H24" i="112"/>
  <c r="D21" i="112"/>
  <c r="A10" i="113"/>
  <c r="B10" i="113"/>
  <c r="C10" i="113"/>
  <c r="E10" i="113"/>
  <c r="G10" i="113"/>
  <c r="H10" i="113"/>
  <c r="J10" i="113"/>
  <c r="A11" i="113"/>
  <c r="B11" i="113"/>
  <c r="C11" i="113"/>
  <c r="E11" i="113"/>
  <c r="G11" i="113"/>
  <c r="H11" i="113"/>
  <c r="J11" i="113"/>
  <c r="A12" i="113"/>
  <c r="B12" i="113"/>
  <c r="C12" i="113"/>
  <c r="E12" i="113"/>
  <c r="H12" i="113"/>
  <c r="J12" i="113"/>
  <c r="A13" i="113"/>
  <c r="B13" i="113"/>
  <c r="C13" i="113"/>
  <c r="E13" i="113"/>
  <c r="H13" i="113"/>
  <c r="J13" i="113"/>
  <c r="A14" i="113"/>
  <c r="B14" i="113"/>
  <c r="C14" i="113"/>
  <c r="E14" i="113"/>
  <c r="H14" i="113"/>
  <c r="J14" i="113"/>
  <c r="A15" i="113"/>
  <c r="B15" i="113"/>
  <c r="C15" i="113"/>
  <c r="E15" i="113"/>
  <c r="H15" i="113"/>
  <c r="J15" i="113"/>
  <c r="A16" i="113"/>
  <c r="B16" i="113"/>
  <c r="C16" i="113"/>
  <c r="E16" i="113"/>
  <c r="H16" i="113"/>
  <c r="J16" i="113"/>
  <c r="A17" i="113"/>
  <c r="B17" i="113"/>
  <c r="C17" i="113"/>
  <c r="E17" i="113"/>
  <c r="H17" i="113"/>
  <c r="J17" i="113"/>
  <c r="A18" i="113"/>
  <c r="B18" i="113"/>
  <c r="C18" i="113"/>
  <c r="E18" i="113"/>
  <c r="H18" i="113"/>
  <c r="J18" i="113"/>
  <c r="A19" i="113"/>
  <c r="B19" i="113"/>
  <c r="C19" i="113"/>
  <c r="E19" i="113"/>
  <c r="H19" i="113"/>
  <c r="J19" i="113"/>
  <c r="B9" i="113"/>
  <c r="C9" i="113"/>
  <c r="E9" i="113"/>
  <c r="G9" i="113"/>
  <c r="H9" i="113"/>
  <c r="J9" i="113"/>
  <c r="A9" i="113"/>
  <c r="A20" i="113"/>
  <c r="I10" i="113"/>
  <c r="K10" i="113"/>
  <c r="I11" i="113"/>
  <c r="K11" i="113"/>
  <c r="I9" i="113"/>
  <c r="K9" i="113"/>
  <c r="D10" i="113"/>
  <c r="F10" i="113"/>
  <c r="D11" i="113"/>
  <c r="F11" i="113"/>
  <c r="D12" i="113"/>
  <c r="F12" i="113"/>
  <c r="D13" i="113"/>
  <c r="F13" i="113"/>
  <c r="D14" i="113"/>
  <c r="F14" i="113"/>
  <c r="D15" i="113"/>
  <c r="F15" i="113"/>
  <c r="D16" i="113"/>
  <c r="F16" i="113"/>
  <c r="D17" i="113"/>
  <c r="F17" i="113"/>
  <c r="D9" i="113"/>
  <c r="F9" i="113"/>
  <c r="D18" i="113"/>
  <c r="F18" i="113"/>
  <c r="D19" i="113"/>
  <c r="F19" i="113"/>
  <c r="G12" i="113"/>
  <c r="I12" i="113"/>
  <c r="K12" i="113"/>
  <c r="G13" i="113"/>
  <c r="I13" i="113"/>
  <c r="K13" i="113"/>
  <c r="G14" i="113"/>
  <c r="I14" i="113"/>
  <c r="K14" i="113"/>
  <c r="G15" i="113"/>
  <c r="I15" i="113"/>
  <c r="K15" i="113"/>
  <c r="G16" i="113"/>
  <c r="I16" i="113"/>
  <c r="K16" i="113"/>
  <c r="G17" i="113"/>
  <c r="I17" i="113"/>
  <c r="K17" i="113"/>
  <c r="G18" i="113"/>
  <c r="I18" i="113"/>
  <c r="K18" i="113"/>
  <c r="G19" i="113"/>
  <c r="I19" i="113"/>
  <c r="K19" i="113"/>
  <c r="A9" i="114"/>
  <c r="B9" i="114"/>
  <c r="C9" i="114"/>
  <c r="D9" i="114"/>
  <c r="E9" i="114"/>
  <c r="F9" i="114"/>
  <c r="G9" i="114"/>
  <c r="H9" i="114"/>
  <c r="I9" i="114"/>
  <c r="A10" i="114"/>
  <c r="B10" i="114"/>
  <c r="C10" i="114"/>
  <c r="D10" i="114"/>
  <c r="E10" i="114"/>
  <c r="F10" i="114"/>
  <c r="G10" i="114"/>
  <c r="H10" i="114"/>
  <c r="I10" i="114"/>
  <c r="A11" i="114"/>
  <c r="B11" i="114"/>
  <c r="C11" i="114"/>
  <c r="D11" i="114"/>
  <c r="E11" i="114"/>
  <c r="F11" i="114"/>
  <c r="G11" i="114"/>
  <c r="H11" i="114"/>
  <c r="I11" i="114"/>
  <c r="A12" i="114"/>
  <c r="B12" i="114"/>
  <c r="C12" i="114"/>
  <c r="D12" i="114"/>
  <c r="E12" i="114"/>
  <c r="F12" i="114"/>
  <c r="G12" i="114"/>
  <c r="H12" i="114"/>
  <c r="I12" i="114"/>
  <c r="A13" i="114"/>
  <c r="B13" i="114"/>
  <c r="C13" i="114"/>
  <c r="D13" i="114"/>
  <c r="E13" i="114"/>
  <c r="F13" i="114"/>
  <c r="G13" i="114"/>
  <c r="H13" i="114"/>
  <c r="I13" i="114"/>
  <c r="A14" i="114"/>
  <c r="B14" i="114"/>
  <c r="C14" i="114"/>
  <c r="D14" i="114"/>
  <c r="E14" i="114"/>
  <c r="F14" i="114"/>
  <c r="G14" i="114"/>
  <c r="H14" i="114"/>
  <c r="I14" i="114"/>
  <c r="A15" i="114"/>
  <c r="B15" i="114"/>
  <c r="C15" i="114"/>
  <c r="D15" i="114"/>
  <c r="E15" i="114"/>
  <c r="F15" i="114"/>
  <c r="G15" i="114"/>
  <c r="H15" i="114"/>
  <c r="I15" i="114"/>
  <c r="A16" i="114"/>
  <c r="B16" i="114"/>
  <c r="C16" i="114"/>
  <c r="D16" i="114"/>
  <c r="E16" i="114"/>
  <c r="F16" i="114"/>
  <c r="G16" i="114"/>
  <c r="H16" i="114"/>
  <c r="I16" i="114"/>
  <c r="A17" i="114"/>
  <c r="B17" i="114"/>
  <c r="C17" i="114"/>
  <c r="D17" i="114"/>
  <c r="E17" i="114"/>
  <c r="F17" i="114"/>
  <c r="G17" i="114"/>
  <c r="H17" i="114"/>
  <c r="I17" i="114"/>
  <c r="A18" i="114"/>
  <c r="B18" i="114"/>
  <c r="C18" i="114"/>
  <c r="D18" i="114"/>
  <c r="E18" i="114"/>
  <c r="F18" i="114"/>
  <c r="G18" i="114"/>
  <c r="H18" i="114"/>
  <c r="I18" i="114"/>
  <c r="B8" i="114"/>
  <c r="C8" i="114"/>
  <c r="D8" i="114"/>
  <c r="E8" i="114"/>
  <c r="F8" i="114"/>
  <c r="G8" i="114"/>
  <c r="H8" i="114"/>
  <c r="I8" i="114"/>
  <c r="A8" i="114"/>
  <c r="A19" i="1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Informatik</author>
  </authors>
  <commentList>
    <comment ref="H6" authorId="0" shapeId="0" xr:uid="{C836135B-6A1A-ED49-8962-03487814A665}">
      <text>
        <r>
          <rPr>
            <b/>
            <sz val="8"/>
            <color indexed="81"/>
            <rFont val="Tahoma"/>
            <family val="2"/>
          </rPr>
          <t>Cap / 22.10.01</t>
        </r>
        <r>
          <rPr>
            <sz val="8"/>
            <color indexed="81"/>
            <rFont val="Tahoma"/>
            <family val="2"/>
          </rPr>
          <t xml:space="preserve">
gemäss Auswertung 1999 vom 22.10.01</t>
        </r>
      </text>
    </comment>
  </commentList>
</comments>
</file>

<file path=xl/sharedStrings.xml><?xml version="1.0" encoding="utf-8"?>
<sst xmlns="http://schemas.openxmlformats.org/spreadsheetml/2006/main" count="3706" uniqueCount="1289">
  <si>
    <t>PROVITA Gesundheitsversicherung</t>
  </si>
  <si>
    <t>Sumiswalder Kranken- und Unfallkasse</t>
  </si>
  <si>
    <t>Caisse-maladie EOS</t>
  </si>
  <si>
    <t>Oeffentliche Krankenkasse Celerina</t>
  </si>
  <si>
    <t>Krankenkasse Steffisburg</t>
  </si>
  <si>
    <t>T 9.17 Taggeldversicherung ab 1991 in Mio. Fr.</t>
  </si>
  <si>
    <t>KVG-Versicherer</t>
  </si>
  <si>
    <t>Privat-versicherer</t>
  </si>
  <si>
    <t>freiwillige</t>
  </si>
  <si>
    <t>Versicherung</t>
  </si>
  <si>
    <t>des Bundes an diesen Kanton wird im gleichen Verhältnis gekürzt".  Wert gerundet.</t>
  </si>
  <si>
    <t>2) Budget. Wert in einigen Kantonen gerundet.</t>
  </si>
  <si>
    <r>
      <t xml:space="preserve">faktor </t>
    </r>
    <r>
      <rPr>
        <vertAlign val="superscript"/>
        <sz val="11"/>
        <rFont val="Arial"/>
        <family val="2"/>
      </rPr>
      <t>1</t>
    </r>
  </si>
  <si>
    <r>
      <t xml:space="preserve">in Fr. </t>
    </r>
    <r>
      <rPr>
        <vertAlign val="superscript"/>
        <sz val="11"/>
        <rFont val="Arial"/>
        <family val="2"/>
      </rPr>
      <t>2</t>
    </r>
  </si>
  <si>
    <r>
      <t>Bereich Statistik</t>
    </r>
    <r>
      <rPr>
        <sz val="12"/>
        <rFont val="55 Helvetica Roman"/>
      </rPr>
      <t xml:space="preserve"> 2</t>
    </r>
  </si>
  <si>
    <t>Prämien = verdiente Prämien brutto; Leistungen = Zahlungen für Versicherungsfälle .</t>
  </si>
  <si>
    <t>1) Quelle: BSV.</t>
  </si>
  <si>
    <t xml:space="preserve">2) Quelle: Bundesamt für Privatversicherungswesen (BPV). Für 1996 sind keine Angaben verfügbar (Beginn dieser Versicherungsdeckung), sie wurden vom BSV geschätzt. </t>
  </si>
  <si>
    <t>3) Total: die kursiv gedruckten Zahlen wurden vom BSV geschätzt auf der Basis der vom BPV gelieferten Zahlen.</t>
  </si>
  <si>
    <t>4) Quelle: Bundesamt für Privatversicherungswesen (BPV). Vor 1991 sind keine Zahlen verfügbar; 1992-1996:  Schätzungen  BSV.</t>
  </si>
  <si>
    <t xml:space="preserve">     Der Anteil der Kollektivversicherung (Prämien und Leistungen) umfasst mehr als 90 %.</t>
  </si>
  <si>
    <r>
      <t>Total</t>
    </r>
    <r>
      <rPr>
        <b/>
        <vertAlign val="superscript"/>
        <sz val="11"/>
        <rFont val="Arial"/>
        <family val="2"/>
      </rPr>
      <t xml:space="preserve"> 3</t>
    </r>
  </si>
  <si>
    <r>
      <t xml:space="preserve">Total </t>
    </r>
    <r>
      <rPr>
        <b/>
        <vertAlign val="superscript"/>
        <sz val="11"/>
        <rFont val="Arial"/>
        <family val="2"/>
      </rPr>
      <t>3</t>
    </r>
  </si>
  <si>
    <r>
      <t xml:space="preserve">VVG </t>
    </r>
    <r>
      <rPr>
        <vertAlign val="superscript"/>
        <sz val="11"/>
        <rFont val="Arial"/>
        <family val="2"/>
      </rPr>
      <t>2</t>
    </r>
  </si>
  <si>
    <r>
      <t xml:space="preserve">VVG </t>
    </r>
    <r>
      <rPr>
        <vertAlign val="superscript"/>
        <sz val="11"/>
        <rFont val="Arial"/>
        <family val="2"/>
      </rPr>
      <t>4</t>
    </r>
  </si>
  <si>
    <r>
      <t xml:space="preserve">KVG </t>
    </r>
    <r>
      <rPr>
        <vertAlign val="superscript"/>
        <sz val="11"/>
        <rFont val="Arial"/>
        <family val="2"/>
      </rPr>
      <t>1</t>
    </r>
  </si>
  <si>
    <t>OeKK Ostschweiz</t>
  </si>
  <si>
    <t>Krankenkasse SKBH / CMBB / CMEL</t>
  </si>
  <si>
    <t>CONCORDIA Schweiz. Kranken- und Unfallversicherung</t>
  </si>
  <si>
    <t>Krankenkasse Malters</t>
  </si>
  <si>
    <t xml:space="preserve">Krankenkasse SBB </t>
  </si>
  <si>
    <t>Avenir Assurances maladie et accidents</t>
  </si>
  <si>
    <t xml:space="preserve">Krankenkasse Zurzach </t>
  </si>
  <si>
    <t>Krankenkasse Luzerner Hinterland</t>
  </si>
  <si>
    <t>Krankenkasse  KPT / CPT</t>
  </si>
  <si>
    <t>ÖKK Luzern AG</t>
  </si>
  <si>
    <t>Caisse-maladie Hermes</t>
  </si>
  <si>
    <t>ÖKK Kranken- und Unfallversicherungen AG</t>
  </si>
  <si>
    <t>Stiftung Panorama</t>
  </si>
  <si>
    <t>ÖKK Oeffentliche Krankenkasse Basel</t>
  </si>
  <si>
    <t>Kranken- und Unfall-Versicherungsverein St. Moritz</t>
  </si>
  <si>
    <t>Krankenkasse Flaachtal</t>
  </si>
  <si>
    <t>Krankenkasse der Region Goms</t>
  </si>
  <si>
    <t>Krankenkasse Embd</t>
  </si>
  <si>
    <t>Krankenkasse Lötschental</t>
  </si>
  <si>
    <t>Krankenkasse Eisten</t>
  </si>
  <si>
    <t>La Caisse Vaudoise Assurance maladie et accidents</t>
  </si>
  <si>
    <t>Krankenkasse Stalden</t>
  </si>
  <si>
    <t>Kolping Krankenkasse</t>
  </si>
  <si>
    <t>Betriebskrankenkasse Lindt &amp; Sprüngli AG</t>
  </si>
  <si>
    <t>Dorfkrankenkasse Elm-ÖKK</t>
  </si>
  <si>
    <t>Krankenkasse des Saastales</t>
  </si>
  <si>
    <t>Krankenkasse "Fürsorge"</t>
  </si>
  <si>
    <t>ÖKK Lugnez I</t>
  </si>
  <si>
    <t>KLuG Krankenkasse Landis und Gyr</t>
  </si>
  <si>
    <t>ÖKK Signina</t>
  </si>
  <si>
    <t>EGK- Gesundheitskasse</t>
  </si>
  <si>
    <t>Krankenkasse Staldenried</t>
  </si>
  <si>
    <t>ÖKK Lugnez II</t>
  </si>
  <si>
    <t>Krankenkasse SLKK</t>
  </si>
  <si>
    <t>Krankenkasse Visp und Umgebung</t>
  </si>
  <si>
    <t>Oeffentliche Krankenkasse (ÖKK) Surselva</t>
  </si>
  <si>
    <t>Krankenkasse Unterbäch</t>
  </si>
  <si>
    <t>Natura Gesundheitskasse</t>
  </si>
  <si>
    <t>Progrès caisse-maladie</t>
  </si>
  <si>
    <t>Gesundheits-plege (Total)</t>
  </si>
  <si>
    <t>Datenstand: Oktober 2001</t>
  </si>
  <si>
    <t>1) Basis Mai 2000 = 100.</t>
  </si>
  <si>
    <r>
      <t xml:space="preserve">T 9.13 Vorjahresveränderung der Preisindizes für Gesundheitspflege ab 1986 </t>
    </r>
    <r>
      <rPr>
        <b/>
        <vertAlign val="superscript"/>
        <sz val="12"/>
        <rFont val="Arial"/>
        <family val="2"/>
      </rPr>
      <t>1</t>
    </r>
  </si>
  <si>
    <t>Krankenkasse Zeneggen</t>
  </si>
  <si>
    <t xml:space="preserve">Mutualité caisse maladie et accidents </t>
  </si>
  <si>
    <t>KKV Krankenkasse Visperterminen</t>
  </si>
  <si>
    <t>Krankenkasse Gondo-Zwischbergen</t>
  </si>
  <si>
    <t>Wincare Versicherungen</t>
  </si>
  <si>
    <t>Krankenkasse Eischoll</t>
  </si>
  <si>
    <t>Caisse-maladie de Nendaz et Veysonnaz</t>
  </si>
  <si>
    <t>Caisse-maladie d'Isérables</t>
  </si>
  <si>
    <t>Oeffentliche Krankenkasse Flims</t>
  </si>
  <si>
    <t>Société de secours mutuels d'Orsières et environs</t>
  </si>
  <si>
    <t xml:space="preserve">Caisse-maladie Vallée d'Entremont </t>
  </si>
  <si>
    <t>ÖKK Dorfkrankenkasse Engi</t>
  </si>
  <si>
    <t>Krankenkasse Institut Ingenbohl</t>
  </si>
  <si>
    <t>Krankenkasse Turbenthal</t>
  </si>
  <si>
    <t xml:space="preserve">Auxilia Assurance-maladie </t>
  </si>
  <si>
    <t>Caisse-maladie de Troistorrents</t>
  </si>
  <si>
    <t>ÖKK Oeffentliche Krankenkasse Winterthur</t>
  </si>
  <si>
    <t>Krankenkasse Wädenswil</t>
  </si>
  <si>
    <t>Krankenkasse Birchmeier</t>
  </si>
  <si>
    <t>KGW Krankenversicherungen</t>
  </si>
  <si>
    <t>Krankenkasse Stoffel Mels KKS</t>
  </si>
  <si>
    <t>Krankenkasse Simplon</t>
  </si>
  <si>
    <t>SWICA Gesundheitsorganisation</t>
  </si>
  <si>
    <t>GALENOS Kranken- und Unfallversicherung</t>
  </si>
  <si>
    <t>ÖKK Schweiz</t>
  </si>
  <si>
    <t xml:space="preserve">BKK Heerbrugg Betriebskrankenkasse </t>
  </si>
  <si>
    <t>Allgemeine Krankenkasse Brugg</t>
  </si>
  <si>
    <t xml:space="preserve">Caisse-maladie des chemins de fer du Jura </t>
  </si>
  <si>
    <t>Krankenkasse Mischabel Täsch-Randa</t>
  </si>
  <si>
    <t>Krankenkasse Zermatt</t>
  </si>
  <si>
    <t xml:space="preserve">Caisse-maladie Mutuelle Valaisanne </t>
  </si>
  <si>
    <t xml:space="preserve">AMB </t>
  </si>
  <si>
    <t xml:space="preserve">Sanitas Krankenversicherung </t>
  </si>
  <si>
    <t>Krankenkasse KBV</t>
  </si>
  <si>
    <t>Caisse-maladie accidents de la société suisse des hôteliers</t>
  </si>
  <si>
    <t xml:space="preserve">INTRAS </t>
  </si>
  <si>
    <t>PHILOS Caisse-maladie-accident</t>
  </si>
  <si>
    <t>Assura assurance maladie et accident</t>
  </si>
  <si>
    <t>T 9.07 Finanzströme im schweizerischen Gesundheitswesen in % des Totals der Kosten des Gesundheitswesens</t>
  </si>
  <si>
    <t>1) - 9) Vgl. Fussnoten 1 bis 9 von Tabelle 9.06.</t>
  </si>
  <si>
    <t>Futura caisse-maladie et accidents</t>
  </si>
  <si>
    <t>Kranken- und Unfallkasse UNIVERSA</t>
  </si>
  <si>
    <t>Aerosana Krankenkasse</t>
  </si>
  <si>
    <t>VISANA</t>
  </si>
  <si>
    <t>AGRISANO</t>
  </si>
  <si>
    <t>Helsana Versicherungen AG</t>
  </si>
  <si>
    <t>Innova Krankenversicherung AG</t>
  </si>
  <si>
    <t>Accorda</t>
  </si>
  <si>
    <t>( 99 )</t>
  </si>
  <si>
    <t>-</t>
  </si>
  <si>
    <t>input</t>
  </si>
  <si>
    <t>copier valeurs depuis pour_KV5_Aufsichtsdaten onglet all</t>
  </si>
  <si>
    <t>graphique</t>
  </si>
  <si>
    <t>no de caisse</t>
  </si>
  <si>
    <t>Leistungen pro Versicherte Person in Fr.</t>
  </si>
  <si>
    <t>Rückstellungen pro Versicherte Person in Fr.</t>
  </si>
  <si>
    <t>Reserven pro Versicherte Person in Fr.</t>
  </si>
  <si>
    <t>Prestations par personne assurée en francs</t>
  </si>
  <si>
    <t>Provisions par personne assurée en francs</t>
  </si>
  <si>
    <t>réserves par personne assurée en francs</t>
  </si>
  <si>
    <t>Moyenne</t>
  </si>
  <si>
    <t>G 5a Leistungen pro Versicherte Person 2001</t>
  </si>
  <si>
    <t>G 5b Rückstellungen und Reserven pro Versicherte Person 2001</t>
  </si>
  <si>
    <t>G 5a Prestations par personne assurée en francs en 2001</t>
  </si>
  <si>
    <t>G 5b Provisions et réserves par personne assurée en francs en 2001</t>
  </si>
  <si>
    <t>T 6.01 Prämien, Leistungen und Versichertenbestand ab 1994</t>
  </si>
  <si>
    <t>Leistun-</t>
  </si>
  <si>
    <t>Versi-</t>
  </si>
  <si>
    <t>soll pro</t>
  </si>
  <si>
    <t>gen pro</t>
  </si>
  <si>
    <t>cherten-</t>
  </si>
  <si>
    <t>Versicher-</t>
  </si>
  <si>
    <t>bestand</t>
  </si>
  <si>
    <t>te(n) in Fr.</t>
  </si>
  <si>
    <t>1) 1994 und 1995: Krankengeldversicherung gemäss KUVG; die Werte 1997 bis 1999 des Versichertenbestands wurden revidiert.</t>
  </si>
  <si>
    <t xml:space="preserve">T 6.02 Ertrag, Aufwand und Ergebnis in Fr. ab 1994 </t>
  </si>
  <si>
    <t>Total des</t>
  </si>
  <si>
    <t>Total Ver-</t>
  </si>
  <si>
    <t>sicherungs-</t>
  </si>
  <si>
    <t>betriebs-</t>
  </si>
  <si>
    <t>und Betriebs-</t>
  </si>
  <si>
    <r>
      <t xml:space="preserve">ertrags </t>
    </r>
    <r>
      <rPr>
        <vertAlign val="superscript"/>
        <sz val="11"/>
        <rFont val="Arial"/>
        <family val="2"/>
      </rPr>
      <t>1)</t>
    </r>
  </si>
  <si>
    <r>
      <t xml:space="preserve">ergebnis </t>
    </r>
    <r>
      <rPr>
        <vertAlign val="superscript"/>
        <sz val="11"/>
        <rFont val="Arial"/>
        <family val="2"/>
      </rPr>
      <t>1)</t>
    </r>
  </si>
  <si>
    <r>
      <t xml:space="preserve">aufwand </t>
    </r>
    <r>
      <rPr>
        <vertAlign val="superscript"/>
        <sz val="11"/>
        <rFont val="Arial"/>
        <family val="2"/>
      </rPr>
      <t>1)</t>
    </r>
  </si>
  <si>
    <t>Anzahl / Betrag</t>
  </si>
  <si>
    <t>Einzel-</t>
  </si>
  <si>
    <t>Kollektiv-</t>
  </si>
  <si>
    <t>versiche-</t>
  </si>
  <si>
    <t>1999 alt</t>
  </si>
  <si>
    <t>1999 neu</t>
  </si>
  <si>
    <t>Anzahl Versicherer</t>
  </si>
  <si>
    <t>Versichertenbestand</t>
  </si>
  <si>
    <t>Prämiensoll in Fr.</t>
  </si>
  <si>
    <t>Prämiensoll in Fr. pro Versicherte(n)</t>
  </si>
  <si>
    <t xml:space="preserve">Leistungen in Fr. </t>
  </si>
  <si>
    <t>Leistungen in Fr. pro Versicherte(n)</t>
  </si>
  <si>
    <t>1) Getrennte Rechnungsführung für die Einzel- und die Kollektivversicherung wird nur bei unterschiedlichen Prämientarifen</t>
  </si>
  <si>
    <t>verlangt (vgl. Art. 75 Abs. 2 KVG).</t>
  </si>
  <si>
    <t>aufwand</t>
  </si>
  <si>
    <t>1) Zusammenzug der «Zusatzversicherungen und weitere Versicherungsarten» sowie der Zusatzversicherungen «Kranken-</t>
  </si>
  <si>
    <t>pflegeversicherung Liechtenstein» und «Krankenpflegeversicherung Versicherte wohnhaft im Ausland».</t>
  </si>
  <si>
    <t>T 9.06 Finanzströme im schweizerischen Gesundheitswesen in Millionen Fr.</t>
  </si>
  <si>
    <t>Finanzierungsträger</t>
  </si>
  <si>
    <t>des Gesundheitswesens</t>
  </si>
  <si>
    <t xml:space="preserve">  Beiträge an die Leistungserbringer 1)</t>
  </si>
  <si>
    <t>Bund</t>
  </si>
  <si>
    <t>Kantone</t>
  </si>
  <si>
    <t>Gemeinden</t>
  </si>
  <si>
    <t xml:space="preserve">  Öffentliche Gesundheit, Verwaltung und Prävention</t>
  </si>
  <si>
    <t>Sozialversicherungen 2)</t>
  </si>
  <si>
    <t xml:space="preserve">  Unfallversicherung UVG</t>
  </si>
  <si>
    <t xml:space="preserve">  AHV / IV 3)</t>
  </si>
  <si>
    <t xml:space="preserve"> Militärversicherung</t>
  </si>
  <si>
    <t>Finanzierungssaldo für die Krankenversicherung 4)</t>
  </si>
  <si>
    <t>Grundversicherung KVG</t>
  </si>
  <si>
    <t>Zusatzversicherungen VVG der KVG-Versicherer 5)</t>
  </si>
  <si>
    <t>Zusatzversicherungen VVG der Privatversicherer 6)</t>
  </si>
  <si>
    <t>Übrige Systeme der sozialen Sicherheit 7)</t>
  </si>
  <si>
    <t xml:space="preserve">  Prämienverbilligung KVG</t>
  </si>
  <si>
    <t>Kantone (inkl. Gemeinden)</t>
  </si>
  <si>
    <t xml:space="preserve">  Ergänzungsleistungen</t>
  </si>
  <si>
    <t xml:space="preserve">  Sozialhilfe</t>
  </si>
  <si>
    <t>Kantone und Gemeinden</t>
  </si>
  <si>
    <t xml:space="preserve">  Hilflosenentschädigungen</t>
  </si>
  <si>
    <t>AHV</t>
  </si>
  <si>
    <t>IV</t>
  </si>
  <si>
    <t xml:space="preserve">  Krankenversicherungsprämien</t>
  </si>
  <si>
    <t xml:space="preserve">  Kostenbeteiligung</t>
  </si>
  <si>
    <t xml:space="preserve">Zusatzversicherungen VVG der KVG-Versicherer </t>
  </si>
  <si>
    <t xml:space="preserve">  Out of pocket 8)</t>
  </si>
  <si>
    <t>calculé</t>
  </si>
  <si>
    <t>Übrige private Finanzierung 9)</t>
  </si>
  <si>
    <t>Total Kosten des Gesundheitswesens</t>
  </si>
  <si>
    <t xml:space="preserve">Quelle: BSV / BPV / BFS </t>
  </si>
  <si>
    <t>1) Subventionen oder direkte Leistungen an das Gesundheitswesen. An die Leistungserbringer (Spitäler), an die</t>
  </si>
  <si>
    <t xml:space="preserve">   sozialmedizinischen Institutionen, an die Spitex- und Rettungsdienste</t>
  </si>
  <si>
    <t>2) Leistungen/Zahlungen nur an das Gesundheitswesen</t>
  </si>
  <si>
    <t>3) Individuelle Sachleistungen und Subventionen an die IV-Institutionen; von der AHV bezahlte Hilfsmittel</t>
  </si>
  <si>
    <t>4) Finanzierungssaldo: Details siehe T 9.08</t>
  </si>
  <si>
    <t>5) Ohne Prämien für Taggelder KVG oder VVG</t>
  </si>
  <si>
    <t>6) Ohne Prämien für Taggelder für Verdienstausfall nach VVG</t>
  </si>
  <si>
    <t>7) Regimes, die in den Kosten des Gesundheitswesens nicht als Direktzahler gelten (vgl. auch Punkt 8)</t>
  </si>
  <si>
    <t xml:space="preserve">8) Zahnpflege, Pensionskosten in Pflegeheimen, Spitexdienste und rezeptfreie Medikamente </t>
  </si>
  <si>
    <t xml:space="preserve">    ("over the counter") bilden die Hauptkosten zur vollen oder teilweisen Last der Haushalte</t>
  </si>
  <si>
    <t xml:space="preserve">    = "Out of pocket"-Wert der Publikation Kosten des Gesundheitswesens - übrige Regimes der sozialen Sicherheit</t>
  </si>
  <si>
    <t xml:space="preserve">9) Spenden und Legate an Organisationen ohne Erwerbszweck wie Pflegeheime für Betagte, Institutionen für Behinderte,  </t>
  </si>
  <si>
    <t xml:space="preserve">    Spitexorganisationen, Gesundheitsligen</t>
  </si>
  <si>
    <t>2) Vorjahresvergleiche sind nur mit Vorbehalt möglich, da jene Zusatzversicherungen VAG, welche auch unternehmensrechtlich</t>
  </si>
  <si>
    <t>vom KVG-Bereich eines Versicherers abgetrennt werden, sich der Sicht der BSV-Krankenversicherungsstatistik entziehen.</t>
  </si>
  <si>
    <t>3) Schätzungen für die Jahre 1994 und 1995.</t>
  </si>
  <si>
    <r>
      <t xml:space="preserve">T 7.01  Ertrag, Aufwand und Ergebnis der Zusatzversicherungen insgesamt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in Fr. ab 1994</t>
    </r>
  </si>
  <si>
    <r>
      <t xml:space="preserve">ertrags </t>
    </r>
    <r>
      <rPr>
        <vertAlign val="superscript"/>
        <sz val="11"/>
        <rFont val="Arial"/>
        <family val="2"/>
      </rPr>
      <t>3)</t>
    </r>
  </si>
  <si>
    <r>
      <t xml:space="preserve">ergebnis </t>
    </r>
    <r>
      <rPr>
        <vertAlign val="superscript"/>
        <sz val="11"/>
        <rFont val="Arial"/>
        <family val="2"/>
      </rPr>
      <t>3)</t>
    </r>
  </si>
  <si>
    <t>Zusatzversi-</t>
  </si>
  <si>
    <t>Kranken-</t>
  </si>
  <si>
    <t>cherungen</t>
  </si>
  <si>
    <t>pflegever-</t>
  </si>
  <si>
    <t xml:space="preserve"> und weitere</t>
  </si>
  <si>
    <t>sicherung</t>
  </si>
  <si>
    <t>«Liechten-</t>
  </si>
  <si>
    <t>«Versicherte</t>
  </si>
  <si>
    <t>1)</t>
  </si>
  <si>
    <t>rungsarten</t>
  </si>
  <si>
    <t>stein»</t>
  </si>
  <si>
    <t>wohnhaft</t>
  </si>
  <si>
    <t xml:space="preserve"> im Ausland»</t>
  </si>
  <si>
    <t>Versicherungsertrag</t>
  </si>
  <si>
    <t>davon Brutto-Prämien</t>
  </si>
  <si>
    <t>Neutraler Aufwand/Ertrag</t>
  </si>
  <si>
    <t>Total des Gesamtertrags</t>
  </si>
  <si>
    <t>Versicherungsaufwand</t>
  </si>
  <si>
    <t>davon Brutto-Leistungen</t>
  </si>
  <si>
    <t>Betriebsaufwand</t>
  </si>
  <si>
    <t>Total Vers.- und Betriebsaufwand</t>
  </si>
  <si>
    <t>1) Vgl. Fussnote 2) von Tabelle 7.01.</t>
  </si>
  <si>
    <t>1) Ohne Krankenpflegeversicherungen «Liechtenstein» und «Versicherte wohnhaft im Ausland».</t>
  </si>
  <si>
    <t>T 8.01 Anzahl Versicherer ab 1945</t>
  </si>
  <si>
    <t xml:space="preserve">Anzahl </t>
  </si>
  <si>
    <t>Zuwachs</t>
  </si>
  <si>
    <t>Abgang</t>
  </si>
  <si>
    <t>Taggeld</t>
  </si>
  <si>
    <t>Versicherer</t>
  </si>
  <si>
    <t>pflege</t>
  </si>
  <si>
    <t>1) Einzelheiten ab 1994</t>
  </si>
  <si>
    <t>2) 1.1.2001   147 UNITAS: Fusion mit 290 Concordia / 40 "Natura Ardon": Fusion mit 992 NATURA</t>
  </si>
  <si>
    <r>
      <t xml:space="preserve">      Anzahl Versicherer </t>
    </r>
    <r>
      <rPr>
        <vertAlign val="superscript"/>
        <sz val="11"/>
        <rFont val="Arial"/>
        <family val="2"/>
      </rPr>
      <t>1</t>
    </r>
  </si>
  <si>
    <r>
      <t>2001</t>
    </r>
    <r>
      <rPr>
        <b/>
        <vertAlign val="superscript"/>
        <sz val="11"/>
        <rFont val="Arial"/>
        <family val="2"/>
      </rPr>
      <t xml:space="preserve"> 2</t>
    </r>
  </si>
  <si>
    <t>T 8.02 Versichertenbestände und Versicherungsdichte ab 1945</t>
  </si>
  <si>
    <r>
      <t xml:space="preserve">Versicherten-bestand  </t>
    </r>
    <r>
      <rPr>
        <vertAlign val="superscript"/>
        <sz val="11"/>
        <rFont val="Arial"/>
        <family val="2"/>
      </rPr>
      <t>1</t>
    </r>
  </si>
  <si>
    <r>
      <t xml:space="preserve">rungsdichte </t>
    </r>
    <r>
      <rPr>
        <vertAlign val="superscript"/>
        <sz val="11"/>
        <rFont val="Arial"/>
        <family val="2"/>
      </rPr>
      <t>2</t>
    </r>
  </si>
  <si>
    <t>geldver-</t>
  </si>
  <si>
    <t>sicherte</t>
  </si>
  <si>
    <r>
      <t xml:space="preserve">sicherte </t>
    </r>
    <r>
      <rPr>
        <vertAlign val="superscript"/>
        <sz val="11"/>
        <rFont val="Arial"/>
        <family val="2"/>
      </rPr>
      <t>1)</t>
    </r>
  </si>
  <si>
    <t>1) Bis 1995 durchschnittlicher Versichertenbestand; ab 1996 Jahresendbestand (vgl. T 1.02 und 6.01).</t>
  </si>
  <si>
    <t>2) In der Schweiz wohnhafte Krankenpflegeversicherte (vgl. T 1.03) in % der mittleren Wohnbevölkerung; für die errechnete</t>
  </si>
  <si>
    <t>Versicherungsdichte von über 100% dürften primär erhebungstechnische Unterschiede zwischen der Bevölkerungs- und der</t>
  </si>
  <si>
    <t>Krankenversicherungsstatistik verantwortlich sein.</t>
  </si>
  <si>
    <t>T 8.03  Stellen- und Personalbestand der Versicherer ab 1994</t>
  </si>
  <si>
    <t xml:space="preserve">          Hauptamtlich</t>
  </si>
  <si>
    <t xml:space="preserve">           Nebenamtlich</t>
  </si>
  <si>
    <t xml:space="preserve">                    Total</t>
  </si>
  <si>
    <t>Stellen</t>
  </si>
  <si>
    <t>1) Ab 2001, nur obligatorische Grundversicherung OKP</t>
  </si>
  <si>
    <t xml:space="preserve">T 9.05 Kosten des Gesundheitswesens in der Schweiz </t>
  </si>
  <si>
    <t>aus der Sicht der Volkswirtschaft in Mio. Fr. ab 1995</t>
  </si>
  <si>
    <t>Unter-</t>
  </si>
  <si>
    <t>nehmungen</t>
  </si>
  <si>
    <t>T 8.04  Ertrag, Aufwand und Ergebnis der Versicherer in Fr. ab 1994</t>
  </si>
  <si>
    <t>ertrags</t>
  </si>
  <si>
    <r>
      <t xml:space="preserve">ergebnis </t>
    </r>
    <r>
      <rPr>
        <vertAlign val="superscript"/>
        <sz val="11"/>
        <rFont val="Arial"/>
        <family val="2"/>
      </rPr>
      <t>2)</t>
    </r>
  </si>
  <si>
    <t>1) Vorjahresvergleiche sind nur mit Vorbehalt möglich, da jene Zusatzversicherungen VAG, welche auch unternehmensrechtlich</t>
  </si>
  <si>
    <t>die resp. der Entnahme von den Fonds und Reserven.</t>
  </si>
  <si>
    <r>
      <t xml:space="preserve">2) Jahresergebnis ( = Vorschlag Gesamtbetriebsrechnung minus Rückschlag Gesamtbetriebsrechnung) </t>
    </r>
    <r>
      <rPr>
        <i/>
        <sz val="10"/>
        <rFont val="Arial"/>
        <family val="2"/>
      </rPr>
      <t>vor</t>
    </r>
    <r>
      <rPr>
        <sz val="10"/>
        <rFont val="Arial"/>
        <family val="2"/>
      </rPr>
      <t xml:space="preserve"> der Zuweisung an</t>
    </r>
  </si>
  <si>
    <t>Betrag</t>
  </si>
  <si>
    <t>Anteile</t>
  </si>
  <si>
    <t>Freiwillige Taggeldversicherung KVG</t>
  </si>
  <si>
    <t>– Taggeld</t>
  </si>
  <si>
    <t>Medikamente</t>
  </si>
  <si>
    <t>Ärztliche Leistungen</t>
  </si>
  <si>
    <t>Zahnärztliche Leistungen</t>
  </si>
  <si>
    <t>Spital-leistungen</t>
  </si>
  <si>
    <t>Medizinische Apparate</t>
  </si>
  <si>
    <t>Parame- dizinische Leistungen</t>
  </si>
  <si>
    <t>Gesundheits-pflege (Total)</t>
  </si>
  <si>
    <t>Allgemeiner Kostenindex (LIK)</t>
  </si>
  <si>
    <t>1) Basis Mai 2000 = 100. Indizes auf der Basis Jahresdurchschnitt 1995 = 100.</t>
  </si>
  <si>
    <t>Quelle: BFS, Sektion Preise und Verbrauch.</t>
  </si>
  <si>
    <t>Methode zur Ermittlung des Index  "Gesundheitspflege":</t>
  </si>
  <si>
    <t>- Gesundheitskosten: Gewichtung nach den 6 in der Folge aufgeführten Teilindizes:</t>
  </si>
  <si>
    <t xml:space="preserve"> - Medikamente: Kostenermittlung bei rund 200 Medikamenten in den 10 umsatzstärksten Behandlungskategorien</t>
  </si>
  <si>
    <t xml:space="preserve"> - Ärztliche Leistungen: Gewichtung nach 26 kantonalen Indizes; </t>
  </si>
  <si>
    <t xml:space="preserve">   für jeden Kanton werden die 30 umsatzstärksten Tarifpositionen ermittelt </t>
  </si>
  <si>
    <t xml:space="preserve"> - Zahnärztliche Leistungen: Kostenermittlung von 11 typischen Leistungsarten in 16 Gemeinden, bei ca. 50 Zahnärzten</t>
  </si>
  <si>
    <t xml:space="preserve"> - Spitalleistungen: Gewichtung nach 26 kantonalen Indizes unter Berücksichtigung der Tarife für stationäre und ambulante Dienste.</t>
  </si>
  <si>
    <t xml:space="preserve">   Betrachtet wurden öffentliche und private Akutspitäler und Psychiatrieeinrichtungen.</t>
  </si>
  <si>
    <t xml:space="preserve"> - Medizinische Geräte: Kostenermittlung nach den typischen Leistungen in den Bereichen Augenoptik (Brillen und </t>
  </si>
  <si>
    <t xml:space="preserve">   Kontaktlinsen in 16 Gemeinden), Hörgeräte (Kostenfeststellung nach den 6 - nach BSV-Tarif - meistverkauften Geräten)</t>
  </si>
  <si>
    <t xml:space="preserve">  und andere medizinische Geräte (z.B. Gehhilfen, Stützen usw.)</t>
  </si>
  <si>
    <t xml:space="preserve"> - Paramedizinische Leistungen: Kostenermittlung nach den typischen Leistungen in den Bereichen Physiotherapie, Labor und Spitex. </t>
  </si>
  <si>
    <r>
      <t xml:space="preserve">T 9.12  Entwicklung der Preisindizes für Gesundheitspflege ab 1985 </t>
    </r>
    <r>
      <rPr>
        <b/>
        <vertAlign val="superscript"/>
        <sz val="12"/>
        <rFont val="Arial"/>
        <family val="2"/>
      </rPr>
      <t>1</t>
    </r>
  </si>
  <si>
    <t>– Überschussbeteiligung auf Kollektivversicherung Taggeld</t>
  </si>
  <si>
    <t>Obligatorische Krankenpflegeversicherung KVG</t>
  </si>
  <si>
    <r>
      <t xml:space="preserve">Zusatzversicherungen VVG, inkl. Taggeld VVG </t>
    </r>
    <r>
      <rPr>
        <vertAlign val="superscript"/>
        <sz val="11"/>
        <rFont val="Arial"/>
        <family val="2"/>
      </rPr>
      <t>1</t>
    </r>
  </si>
  <si>
    <t>60 – 63</t>
  </si>
  <si>
    <t>Erlösminderungen auf Prämien</t>
  </si>
  <si>
    <t>Andere Prämienanteile</t>
  </si>
  <si>
    <t>60 – 65</t>
  </si>
  <si>
    <t>Prämienanteile der Rückversicherer</t>
  </si>
  <si>
    <t>60 – 66</t>
  </si>
  <si>
    <t>Prämienverbilligung und sonstige Beiträge / Subventionen</t>
  </si>
  <si>
    <t>– Beiträge zur Prämienverbilligung (Art. 65 KVG)</t>
  </si>
  <si>
    <t>– Beiträge anderer Institutionen z.G. der Versicherten</t>
  </si>
  <si>
    <t>– Beiträge z.G. des Versicheres</t>
  </si>
  <si>
    <t>– Beiträge an Insolvenzfonds</t>
  </si>
  <si>
    <t>Prämienermässigung an Versicherte</t>
  </si>
  <si>
    <t>67 – 68</t>
  </si>
  <si>
    <t>Eigene Subventionen und Beiträge</t>
  </si>
  <si>
    <t>Liegenschaftsrechnung</t>
  </si>
  <si>
    <t>– Liegenschaftsergebnis</t>
  </si>
  <si>
    <t>Neutraler Aufwand und Ertrag</t>
  </si>
  <si>
    <t>– Kapitalertrag</t>
  </si>
  <si>
    <t>– Kapitalaufwand</t>
  </si>
  <si>
    <t>mit</t>
  </si>
  <si>
    <t>krankenver-</t>
  </si>
  <si>
    <t>Taggeld-</t>
  </si>
  <si>
    <t>versicherung</t>
  </si>
  <si>
    <t>1) Prämien = verdiente Prämien brutto; Leistungen = Zahlungen für Versicherungsfälle brutto.</t>
  </si>
  <si>
    <t xml:space="preserve">   Die Zuzatzversicherungen gemäss VVG der KVG-Versicherer (Krankenkassen) ab 1996 sind in diesen Zahlen nicht inbegriffen.</t>
  </si>
  <si>
    <t>2) Prämien und Leistungen ohne Taggeldversicherung.</t>
  </si>
  <si>
    <t>Quelle: Bundesamt für Privatversicherungswesen (BPV).</t>
  </si>
  <si>
    <r>
      <t xml:space="preserve">T 9.16 Krankenversicherung bei den privaten Versicherungsunternehmungen </t>
    </r>
    <r>
      <rPr>
        <b/>
        <sz val="12"/>
        <rFont val="Arial"/>
        <family val="2"/>
      </rPr>
      <t>ab 1985 in Mio. Fr.</t>
    </r>
  </si>
  <si>
    <r>
      <t xml:space="preserve">Prämien </t>
    </r>
    <r>
      <rPr>
        <b/>
        <vertAlign val="superscript"/>
        <sz val="11"/>
        <rFont val="Arial"/>
        <family val="2"/>
      </rPr>
      <t>1</t>
    </r>
  </si>
  <si>
    <r>
      <t xml:space="preserve">Leistungen </t>
    </r>
    <r>
      <rPr>
        <b/>
        <vertAlign val="superscript"/>
        <sz val="11"/>
        <rFont val="Arial"/>
        <family val="2"/>
      </rPr>
      <t>1</t>
    </r>
  </si>
  <si>
    <r>
      <t xml:space="preserve">      Krankenpflegeversicherung</t>
    </r>
    <r>
      <rPr>
        <b/>
        <vertAlign val="superscript"/>
        <sz val="11"/>
        <rFont val="Arial"/>
        <family val="2"/>
      </rPr>
      <t xml:space="preserve"> 2</t>
    </r>
  </si>
  <si>
    <r>
      <t xml:space="preserve">      Krankenpflegeversicherung </t>
    </r>
    <r>
      <rPr>
        <b/>
        <vertAlign val="superscript"/>
        <sz val="11"/>
        <rFont val="Arial"/>
        <family val="2"/>
      </rPr>
      <t>2</t>
    </r>
  </si>
  <si>
    <r>
      <t xml:space="preserve">   Vor 1991 sind keine Zahlen verfügbar; 1992-1996:  Schätzungen  BSV </t>
    </r>
    <r>
      <rPr>
        <i/>
        <sz val="10"/>
        <rFont val="Arial"/>
        <family val="2"/>
      </rPr>
      <t>(kursiv).</t>
    </r>
  </si>
  <si>
    <t>– Wertberichtigung auf Wertschriften</t>
  </si>
  <si>
    <t>– Übriger neutraler Aufwand und Ertrag</t>
  </si>
  <si>
    <t>Einkommens, Vermögens-, Ertrags- und Kapitalsteuer VVG</t>
  </si>
  <si>
    <t>Total Neutraler Aufwand/Ertrag</t>
  </si>
  <si>
    <t>6 / 7</t>
  </si>
  <si>
    <t>Total des Gesamtertrages</t>
  </si>
  <si>
    <t>800 – 801</t>
  </si>
  <si>
    <t>Rückschlag Gesamtbetriebsrechnung</t>
  </si>
  <si>
    <t>Gesamt-Total</t>
  </si>
  <si>
    <t xml:space="preserve">1) Jene Zusatzversicherungen VVG, welche auch unternehmensrechtlich vom KVG-Bereich eines Versicherers abgetrennt werden, </t>
  </si>
  <si>
    <t>entziehen sich der Sicht der BSV-Krankenversicherungsstatistik.</t>
  </si>
  <si>
    <t>Kostenbeteiligung der Mitglieder</t>
  </si>
  <si>
    <t>T 9.04  Kosten des Gesundheitswesens in der Schweiz nach Leistungen in Mio. Fr. ab 1995</t>
  </si>
  <si>
    <t>Verkauf</t>
  </si>
  <si>
    <t>Prävention</t>
  </si>
  <si>
    <t>Verwaltung</t>
  </si>
  <si>
    <t>und</t>
  </si>
  <si>
    <t>Gesund-</t>
  </si>
  <si>
    <t>teilstationäre</t>
  </si>
  <si>
    <t>gung</t>
  </si>
  <si>
    <t>heitsgüter</t>
  </si>
  <si>
    <t>1) Inkl. Psychiatrie.</t>
  </si>
  <si>
    <r>
      <t xml:space="preserve">Behandlung </t>
    </r>
    <r>
      <rPr>
        <vertAlign val="superscript"/>
        <sz val="11"/>
        <rFont val="Arial"/>
        <family val="2"/>
      </rPr>
      <t>1</t>
    </r>
  </si>
  <si>
    <t>30 – 33</t>
  </si>
  <si>
    <t>Veränderung der Rückstellungen für unerledigte Versicherungsfälle / versicherungstechnische Rückstellungen</t>
  </si>
  <si>
    <t>30 – 35</t>
  </si>
  <si>
    <t>Leistungsanteile der Rückversicherer</t>
  </si>
  <si>
    <t>– Personalaufwand inkl. Sozialleistungen</t>
  </si>
  <si>
    <t>– Verwaltungsräumlichkeiten und Betriebseinrichtungen</t>
  </si>
  <si>
    <t>– EDV-Kosten</t>
  </si>
  <si>
    <t>– Versicherungsprämien und Verbandsbeiträge</t>
  </si>
  <si>
    <t>– Marketing und Werbung inkl. Provisionen KVG</t>
  </si>
  <si>
    <t>– Marketing und Werbung inkl. Provisionen VVG</t>
  </si>
  <si>
    <t>– Übriger Verwaltungsaufwand</t>
  </si>
  <si>
    <t>– Erhaltene Verwaltungsentschädigung</t>
  </si>
  <si>
    <t>40 – 47</t>
  </si>
  <si>
    <t>Total Verwaltungsaufwand</t>
  </si>
  <si>
    <t>Abschreibungen</t>
  </si>
  <si>
    <t>3 / 4</t>
  </si>
  <si>
    <t>Vorschlag Gesamtbetriebsrechnung</t>
  </si>
  <si>
    <t>T 8.07 Aktiven und Passiven der Versicherer in Fr. ab 1994</t>
  </si>
  <si>
    <t>Aktiven</t>
  </si>
  <si>
    <t>Passiven</t>
  </si>
  <si>
    <t>Bilanz-</t>
  </si>
  <si>
    <t>Umlauf-</t>
  </si>
  <si>
    <t>Anlage-</t>
  </si>
  <si>
    <t>Fremd-</t>
  </si>
  <si>
    <t>Fonds und</t>
  </si>
  <si>
    <t>summe</t>
  </si>
  <si>
    <t>vermögen</t>
  </si>
  <si>
    <t>kapital</t>
  </si>
  <si>
    <t>1) Bestände per Jahresende; Vorjahresvergleiche sind nur mit Vorbehalt möglich, da jene Zusatzversicherungen VAG, welche</t>
  </si>
  <si>
    <t>T 9.02  Kosten des Gesundheitswesens in der Schweiz nach Direktzahler in Mio. Fr. ab 1995</t>
  </si>
  <si>
    <t>Sozial-</t>
  </si>
  <si>
    <t>Privat-</t>
  </si>
  <si>
    <t>Private</t>
  </si>
  <si>
    <t>private</t>
  </si>
  <si>
    <t>rungen</t>
  </si>
  <si>
    <t>Finanzie-</t>
  </si>
  <si>
    <t>VVG</t>
  </si>
  <si>
    <t>1) Subventionen an die Leistungserbringer (Stationäre Betriebe, etc.) sowie Ausgaben für Verwaltung und Prävention.</t>
  </si>
  <si>
    <t>2) Krankenversicherung KVG (Grundversicherung), Unfallversicherung UVG, AHV / IV und Militärversicherung.</t>
  </si>
  <si>
    <t>3) Kostenbeteiligungen der Versicherten für Sozial- und Privatversicherung sowie "Out of pocket" der Haushalte.</t>
  </si>
  <si>
    <t>4) Zuwendungen Dritter an nicht-gewinnorientierte Institutionen für Aeltere, Behinderte, Spitex, etc.</t>
  </si>
  <si>
    <t>Datenstand: 16.4.03</t>
  </si>
  <si>
    <r>
      <t xml:space="preserve">Staat </t>
    </r>
    <r>
      <rPr>
        <vertAlign val="superscript"/>
        <sz val="11"/>
        <rFont val="Arial"/>
        <family val="2"/>
      </rPr>
      <t>1</t>
    </r>
  </si>
  <si>
    <r>
      <t xml:space="preserve">rungen </t>
    </r>
    <r>
      <rPr>
        <vertAlign val="superscript"/>
        <sz val="11"/>
        <rFont val="Arial"/>
        <family val="2"/>
      </rPr>
      <t>2</t>
    </r>
  </si>
  <si>
    <r>
      <t xml:space="preserve">halte </t>
    </r>
    <r>
      <rPr>
        <vertAlign val="superscript"/>
        <sz val="11"/>
        <rFont val="Arial"/>
        <family val="2"/>
      </rPr>
      <t>3</t>
    </r>
  </si>
  <si>
    <r>
      <t xml:space="preserve">rung </t>
    </r>
    <r>
      <rPr>
        <vertAlign val="superscript"/>
        <sz val="11"/>
        <rFont val="Arial"/>
        <family val="2"/>
      </rPr>
      <t>4</t>
    </r>
  </si>
  <si>
    <t>auch unternehmensrechtlich vom KVG-Bereich eines Versicherers abgetrennt werden, sich der Sicht der BSV-Krankenversicher-</t>
  </si>
  <si>
    <t>ungsstatistik entziehen.</t>
  </si>
  <si>
    <t>T 8.08  Eigenkapital und Eigenkapitalquote der Versicherer in Fr. ab 1994</t>
  </si>
  <si>
    <t>Eigenkapital</t>
  </si>
  <si>
    <t>Eigenkapital-</t>
  </si>
  <si>
    <t>1) Eigenkapital in % des Prämiensolls; die Abnahme der Eigenkapitalquote zwischen 1995 und 1996 wird wegen dem mit dem KVG</t>
  </si>
  <si>
    <t>eingeführten Prämienverbilligungssystem (führte technisch zu einem relativ höheren Prämiensoll der Versicherer) überzeichnet.</t>
  </si>
  <si>
    <r>
      <t xml:space="preserve">quote </t>
    </r>
    <r>
      <rPr>
        <vertAlign val="superscript"/>
        <sz val="11"/>
        <rFont val="Arial"/>
        <family val="2"/>
      </rPr>
      <t>1</t>
    </r>
  </si>
  <si>
    <t>Umlaufvermögen</t>
  </si>
  <si>
    <t>Flüssige Mittel</t>
  </si>
  <si>
    <t>Forderungen bei Versicherten</t>
  </si>
  <si>
    <t>– Forderungen bei Versicherten brutto</t>
  </si>
  <si>
    <t>– Wertberichtigung / Delkredere (–)</t>
  </si>
  <si>
    <t>Forderungen bei Partnern</t>
  </si>
  <si>
    <t>– Forderungen bei Partnern brutto</t>
  </si>
  <si>
    <t>Forderungen bei Rückversicherern</t>
  </si>
  <si>
    <t>Forderungen von Subventionen, Prämienverbilligung, Risikoausgleich und anderen Beiträgen</t>
  </si>
  <si>
    <t>Vorausbezahlte Versicherungsleistungen, Regress und Rückerstattungsansprüche</t>
  </si>
  <si>
    <t>Uebrige Forderungen und aktive Rechnungsabgrenzung</t>
  </si>
  <si>
    <t>Anlagevermögen</t>
  </si>
  <si>
    <t>Kapitalanlagen</t>
  </si>
  <si>
    <t>– Kapitalanlagen brutto</t>
  </si>
  <si>
    <t>– Wertberichtigung (–)</t>
  </si>
  <si>
    <t>Grundstücke und Gebäude</t>
  </si>
  <si>
    <t>– Grundstücke und Gebäude brutto</t>
  </si>
  <si>
    <t>Betriebseinrichtungen und Fahrzeuge</t>
  </si>
  <si>
    <t>– Betriebseinrichtungen und Fahrzeuge brutto</t>
  </si>
  <si>
    <t>Total Aktiven</t>
  </si>
  <si>
    <t>Fremdkapital</t>
  </si>
  <si>
    <t>Verbindlichkeiten aus Versicherungsleistungen</t>
  </si>
  <si>
    <t>Verbindlichkeiten bei Versicherten</t>
  </si>
  <si>
    <t>Verbindlichkeiten bei Partnern</t>
  </si>
  <si>
    <t>Verbindlichkeiten bei Rückversicherern</t>
  </si>
  <si>
    <t>Verbindlichkeiten bei der Gemeinsamen Einrichtung KVG</t>
  </si>
  <si>
    <t>Verbindlichkeiten bei anderen Versicherern</t>
  </si>
  <si>
    <t>Uebrige Verbindlichkeiten und passive Rechnungsabgrenzung</t>
  </si>
  <si>
    <t>Rückstellung für unerledigte Versicherungsfälle, Risikoausgleich, nicht versicherungstechn. Rückstellungen, Rücklagen aus Fusionen</t>
  </si>
  <si>
    <t>– Obligatorische Krankenpflegeversicherung</t>
  </si>
  <si>
    <t>– Nicht versicherungstechnische Rückstellungen KVG</t>
  </si>
  <si>
    <t>– Freiwillige Taggeldversicherung nach KVG</t>
  </si>
  <si>
    <t>– Aktive Rückversicherung</t>
  </si>
  <si>
    <t>– Zusatzversicherungen inkl. Taggeld VVG</t>
  </si>
  <si>
    <t>– Nicht versicherungstechnische Rückstellungen VVG</t>
  </si>
  <si>
    <t>– Risikoausgleich</t>
  </si>
  <si>
    <t>– Zweckgebundene Rücklagen aus Fusionen</t>
  </si>
  <si>
    <t>Fonds und Eigenkapital</t>
  </si>
  <si>
    <t>Fonds</t>
  </si>
  <si>
    <t>– Reglementierte Fonds</t>
  </si>
  <si>
    <t>– Immobilien (Renovationen, Umbauten)</t>
  </si>
  <si>
    <t>– EDV-Projekte</t>
  </si>
  <si>
    <t>– Reserven Obligatorische Krankenpflegeversicherung KVG</t>
  </si>
  <si>
    <t>– Aktienkapital</t>
  </si>
  <si>
    <t>– Reserven Taggeldversicherung nach KVG</t>
  </si>
  <si>
    <t>– Reserven Aktive Rückversicherung</t>
  </si>
  <si>
    <t>– Zusatzversicherung VVG, inkl. Taggeld VVG</t>
  </si>
  <si>
    <t>– Einkaufssummen fusionierter Versicherer</t>
  </si>
  <si>
    <t>Total Passiven</t>
  </si>
  <si>
    <t xml:space="preserve">T 9.01  Gesundheitskosten ausgewählter OECD–Länder in % des BIP ab 1960 </t>
  </si>
  <si>
    <t>Land</t>
  </si>
  <si>
    <t>T 9.03  Kosten des Gesundheitswesens in der Schweiz nach Leistungserbringer in Mio. Fr. ab 1995</t>
  </si>
  <si>
    <t>Sozialme-</t>
  </si>
  <si>
    <t>Detail-</t>
  </si>
  <si>
    <t>Staat</t>
  </si>
  <si>
    <t>Organisati-</t>
  </si>
  <si>
    <t>häuser</t>
  </si>
  <si>
    <t>dizinische</t>
  </si>
  <si>
    <t>Versor-</t>
  </si>
  <si>
    <t>cherer</t>
  </si>
  <si>
    <t>onen ohne</t>
  </si>
  <si>
    <t>Institu-</t>
  </si>
  <si>
    <t>Erwerbs-</t>
  </si>
  <si>
    <t>charakter</t>
  </si>
  <si>
    <t>Krankenhäuser</t>
  </si>
  <si>
    <t>Sozialmedizinische Institutionen</t>
  </si>
  <si>
    <t>Ambulante Versorgung</t>
  </si>
  <si>
    <t>Detailhandel</t>
  </si>
  <si>
    <t>Organisationen ohne Erwerbscharakter</t>
  </si>
  <si>
    <t>1) Institutionen für Betagte, Chronischkranke und Behinderte.</t>
  </si>
  <si>
    <t>2) Aerzte, Zahnärzte, Physiotherapeuten, Psychotherapeuten, Spitexdienste, medizinische Labors und andere.</t>
  </si>
  <si>
    <t>3) Apotheken, Drogerien und therapeutische Apparate.</t>
  </si>
  <si>
    <r>
      <t xml:space="preserve">handel </t>
    </r>
    <r>
      <rPr>
        <vertAlign val="superscript"/>
        <sz val="11"/>
        <rFont val="Arial"/>
        <family val="2"/>
      </rPr>
      <t>3</t>
    </r>
  </si>
  <si>
    <r>
      <t xml:space="preserve">gung </t>
    </r>
    <r>
      <rPr>
        <vertAlign val="superscript"/>
        <sz val="11"/>
        <rFont val="Arial"/>
        <family val="2"/>
      </rPr>
      <t>2</t>
    </r>
  </si>
  <si>
    <r>
      <t xml:space="preserve">tionen </t>
    </r>
    <r>
      <rPr>
        <vertAlign val="superscript"/>
        <sz val="11"/>
        <rFont val="Arial"/>
        <family val="2"/>
      </rPr>
      <t>1</t>
    </r>
  </si>
  <si>
    <t>Total </t>
  </si>
  <si>
    <t>Quelle: Kosten des Gesundheitswesens; Bundesamt für Statistik.</t>
  </si>
  <si>
    <t>Australien</t>
  </si>
  <si>
    <t>Belgien</t>
  </si>
  <si>
    <t>Dänemark</t>
  </si>
  <si>
    <t>Deutschland</t>
  </si>
  <si>
    <t>Finnland</t>
  </si>
  <si>
    <t>Frankreich</t>
  </si>
  <si>
    <t>Grossbritannien</t>
  </si>
  <si>
    <t>Italien</t>
  </si>
  <si>
    <t>Japan</t>
  </si>
  <si>
    <t>Niederlande</t>
  </si>
  <si>
    <t>Norwegen</t>
  </si>
  <si>
    <t>Österreich</t>
  </si>
  <si>
    <t>Schweden</t>
  </si>
  <si>
    <t>Spanien</t>
  </si>
  <si>
    <t>USA</t>
  </si>
  <si>
    <t>Total</t>
  </si>
  <si>
    <r>
      <t xml:space="preserve">Jahr </t>
    </r>
    <r>
      <rPr>
        <vertAlign val="superscript"/>
        <sz val="11"/>
        <rFont val="Arial"/>
        <family val="2"/>
      </rPr>
      <t>2)</t>
    </r>
  </si>
  <si>
    <t>1 – 5'000</t>
  </si>
  <si>
    <t>5'001 –</t>
  </si>
  <si>
    <t>10'001 –</t>
  </si>
  <si>
    <t xml:space="preserve">50'001 – </t>
  </si>
  <si>
    <t xml:space="preserve">100'001 – </t>
  </si>
  <si>
    <t>mehr als</t>
  </si>
  <si>
    <t>Veränd.</t>
  </si>
  <si>
    <t>gegenüb.</t>
  </si>
  <si>
    <t>Vorjahr</t>
  </si>
  <si>
    <t>1) Gemäss Versichertenbestand OKP am Jahresende.</t>
  </si>
  <si>
    <t>2) 1994 und 1995: Krankenpflegegrundversicherung KUVG.</t>
  </si>
  <si>
    <r>
      <t xml:space="preserve">T 1.01  Anzahl Versicherer OKP nach Grösse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ab 1994</t>
    </r>
  </si>
  <si>
    <t>T 1.02  Versichertenbestand nach Geschlecht / Kinder ab 1994</t>
  </si>
  <si>
    <t>Männer</t>
  </si>
  <si>
    <t>Frauen</t>
  </si>
  <si>
    <t>Erwachsene</t>
  </si>
  <si>
    <t>Datenstand: 3.3.03</t>
  </si>
  <si>
    <t>1) 1994 und 1995: Krankenpflegegrundversicherung KUVG.</t>
  </si>
  <si>
    <t>2) Personen, die das 18. Altersjahr noch nicht vollendet haben (vor 1996: das 16. Altersjahr).</t>
  </si>
  <si>
    <r>
      <t xml:space="preserve">Jahr </t>
    </r>
    <r>
      <rPr>
        <vertAlign val="superscript"/>
        <sz val="11"/>
        <rFont val="Arial"/>
        <family val="2"/>
      </rPr>
      <t>1)</t>
    </r>
  </si>
  <si>
    <r>
      <t xml:space="preserve">Kinder </t>
    </r>
    <r>
      <rPr>
        <vertAlign val="superscript"/>
        <sz val="11"/>
        <rFont val="Arial"/>
        <family val="2"/>
      </rPr>
      <t>2)</t>
    </r>
  </si>
  <si>
    <t>Kanton</t>
  </si>
  <si>
    <t>Kinder</t>
  </si>
  <si>
    <t xml:space="preserve">Veränderung </t>
  </si>
  <si>
    <t xml:space="preserve">gegenüber </t>
  </si>
  <si>
    <t>ZH</t>
  </si>
  <si>
    <t>BE</t>
  </si>
  <si>
    <t>LU</t>
  </si>
  <si>
    <t>UR</t>
  </si>
  <si>
    <t>SZ</t>
  </si>
  <si>
    <t>OW</t>
  </si>
  <si>
    <t>NW</t>
  </si>
  <si>
    <t>GL</t>
  </si>
  <si>
    <t>ZG</t>
  </si>
  <si>
    <t>FR</t>
  </si>
  <si>
    <t>SO</t>
  </si>
  <si>
    <t>BS</t>
  </si>
  <si>
    <t>BL</t>
  </si>
  <si>
    <t>SH</t>
  </si>
  <si>
    <t>AR</t>
  </si>
  <si>
    <t>AI</t>
  </si>
  <si>
    <t>SG</t>
  </si>
  <si>
    <t>GR</t>
  </si>
  <si>
    <t>AG</t>
  </si>
  <si>
    <t>TG</t>
  </si>
  <si>
    <t>TI</t>
  </si>
  <si>
    <t>VD</t>
  </si>
  <si>
    <t>VS</t>
  </si>
  <si>
    <t>NE</t>
  </si>
  <si>
    <t>GE</t>
  </si>
  <si>
    <t>JU</t>
  </si>
  <si>
    <t>Schweiz</t>
  </si>
  <si>
    <r>
      <t>Ausland</t>
    </r>
    <r>
      <rPr>
        <vertAlign val="superscript"/>
        <sz val="11"/>
        <rFont val="Arial"/>
        <family val="2"/>
      </rPr>
      <t xml:space="preserve"> 1</t>
    </r>
  </si>
  <si>
    <t>unbekannt</t>
  </si>
  <si>
    <t>1) Personen mit Wohnsitz/Aufenthalt im Ausland (vgl. Art. 3, 4 und 5 KVV).</t>
  </si>
  <si>
    <t>Altersklassen</t>
  </si>
  <si>
    <t>männlich</t>
  </si>
  <si>
    <t>weiblich</t>
  </si>
  <si>
    <t>Anzahl</t>
  </si>
  <si>
    <t>Anteil am</t>
  </si>
  <si>
    <t>Versicherte</t>
  </si>
  <si>
    <t>Gesamt-</t>
  </si>
  <si>
    <t>total in %</t>
  </si>
  <si>
    <t xml:space="preserve">  0 - 5</t>
  </si>
  <si>
    <t xml:space="preserve">  6 - 10</t>
  </si>
  <si>
    <t>11 - 15</t>
  </si>
  <si>
    <t>16 - 18</t>
  </si>
  <si>
    <t>Total 0 - 18</t>
  </si>
  <si>
    <t>19 - 20</t>
  </si>
  <si>
    <t>21 - 25</t>
  </si>
  <si>
    <t>T 9.11 Aufteilung der Versicherten nach Art der Spitalzusatzversicherungen ab 1994</t>
  </si>
  <si>
    <t xml:space="preserve">   Total der Versicherer </t>
  </si>
  <si>
    <t>Versicherten-</t>
  </si>
  <si>
    <t>Spital</t>
  </si>
  <si>
    <t>OKP</t>
  </si>
  <si>
    <t>Halbprivat</t>
  </si>
  <si>
    <t>Privat</t>
  </si>
  <si>
    <t>allgemein</t>
  </si>
  <si>
    <t>per 31.12</t>
  </si>
  <si>
    <t>ganze CH</t>
  </si>
  <si>
    <t>1) Quelle: Bundesamt für Sozialversicherung (BSV).</t>
  </si>
  <si>
    <t>2) 1994-1997 : Datenmängel. Quelle: Bundesamt für Privatversicherungen (BPV).</t>
  </si>
  <si>
    <t xml:space="preserve">      Nur Zusatzversicherungen gemäss VVG.</t>
  </si>
  <si>
    <r>
      <t xml:space="preserve">   KVG Versicherer </t>
    </r>
    <r>
      <rPr>
        <b/>
        <vertAlign val="superscript"/>
        <sz val="11"/>
        <rFont val="Arial"/>
        <family val="2"/>
      </rPr>
      <t>1</t>
    </r>
  </si>
  <si>
    <r>
      <t xml:space="preserve">   (KVG + private Versicherer)</t>
    </r>
    <r>
      <rPr>
        <b/>
        <vertAlign val="superscript"/>
        <sz val="11"/>
        <rFont val="Arial"/>
        <family val="2"/>
      </rPr>
      <t xml:space="preserve"> 2</t>
    </r>
  </si>
  <si>
    <t>26 - 30</t>
  </si>
  <si>
    <t>31 - 35</t>
  </si>
  <si>
    <t>36 - 40</t>
  </si>
  <si>
    <t>41 - 45</t>
  </si>
  <si>
    <t>46 - 50</t>
  </si>
  <si>
    <t>51 - 55</t>
  </si>
  <si>
    <t>56 - 60</t>
  </si>
  <si>
    <t>61 - 65</t>
  </si>
  <si>
    <t>Total 19 - 65</t>
  </si>
  <si>
    <t>66 - 70</t>
  </si>
  <si>
    <t>71 - 75</t>
  </si>
  <si>
    <t>76 - 80</t>
  </si>
  <si>
    <t>81 - 85</t>
  </si>
  <si>
    <t>86 - 90</t>
  </si>
  <si>
    <t>91 - 95</t>
  </si>
  <si>
    <t>96 - 100</t>
  </si>
  <si>
    <t>&gt; 100</t>
  </si>
  <si>
    <t>Total 66 u. mehr</t>
  </si>
  <si>
    <t>T 1.05 Versichertenbestand per 31.12. nach Versicherungsform ab 1994</t>
  </si>
  <si>
    <t xml:space="preserve">Jahr </t>
  </si>
  <si>
    <t>Ordentl.</t>
  </si>
  <si>
    <t>Wählbare</t>
  </si>
  <si>
    <t>BONUS-</t>
  </si>
  <si>
    <t>Einge-</t>
  </si>
  <si>
    <t xml:space="preserve">  Jahres-</t>
  </si>
  <si>
    <t xml:space="preserve"> Jahres-</t>
  </si>
  <si>
    <t>Versiche-</t>
  </si>
  <si>
    <t>schränk-</t>
  </si>
  <si>
    <t>franchise</t>
  </si>
  <si>
    <t>franchisen</t>
  </si>
  <si>
    <t>rung</t>
  </si>
  <si>
    <t>te Wahl</t>
  </si>
  <si>
    <t xml:space="preserve"> (z.B. HMO)</t>
  </si>
  <si>
    <t>Versicherungsform</t>
  </si>
  <si>
    <t>Ordentliche Jahresfranchise</t>
  </si>
  <si>
    <t>Wählbare Jahresfranchisen</t>
  </si>
  <si>
    <t>BONUS-Versicherung</t>
  </si>
  <si>
    <t>Eingeschränkte Wahl (z.B. HMO)</t>
  </si>
  <si>
    <t>T 1.07 Erkrankte, Spitaleinweisungen und Spitaltage ab 1994</t>
  </si>
  <si>
    <t>Jahr</t>
  </si>
  <si>
    <r>
      <t xml:space="preserve">Erkrankte </t>
    </r>
    <r>
      <rPr>
        <vertAlign val="superscript"/>
        <sz val="11"/>
        <rFont val="Arial"/>
        <family val="2"/>
      </rPr>
      <t>1)</t>
    </r>
  </si>
  <si>
    <t>Einweisun-</t>
  </si>
  <si>
    <r>
      <t>Spitaltage</t>
    </r>
    <r>
      <rPr>
        <vertAlign val="superscript"/>
        <sz val="11"/>
        <rFont val="Arial"/>
        <family val="2"/>
      </rPr>
      <t xml:space="preserve"> 2)</t>
    </r>
  </si>
  <si>
    <r>
      <t xml:space="preserve">gen </t>
    </r>
    <r>
      <rPr>
        <vertAlign val="superscript"/>
        <sz val="11"/>
        <rFont val="Arial"/>
        <family val="2"/>
      </rPr>
      <t>2)</t>
    </r>
  </si>
  <si>
    <t>1) Anzahl versicherte Personen, welche im Berichtsjahr mindestens einmal ambulante oder stationäre Kosten verursacht haben.</t>
  </si>
  <si>
    <t>2) Die Zeitreihen der Einweisungen und besonders der Spitaltage ins/im Spital stationär sind von beschränkter Aussagekraft; der</t>
  </si>
  <si>
    <t>Grund liegt darin, dass vor 1999 nicht von allen Versicherern die Einweisungen und Tage in Pflegeheime(n) vollständig ausge-</t>
  </si>
  <si>
    <t>schieden werden konnten. So ist insbesondere auch die starke Abnahme der Spitaltage zwischen 1998 und 1999 auf diese</t>
  </si>
  <si>
    <t>"Nicht-mehr-Berücksichtigung" von Pflegeheimtagen durch grosse Versicherer zurückzuführen und darf somit nicht als echte</t>
  </si>
  <si>
    <t>Abnahme der Spitaltage im Spital stationär fehlinterpretiert werden.</t>
  </si>
  <si>
    <t>Merkmal</t>
  </si>
  <si>
    <r>
      <t>Erkrankte</t>
    </r>
    <r>
      <rPr>
        <vertAlign val="superscript"/>
        <sz val="11"/>
        <rFont val="Arial"/>
        <family val="2"/>
      </rPr>
      <t>1</t>
    </r>
  </si>
  <si>
    <t>Erkrankte je 100 Versicherte</t>
  </si>
  <si>
    <r>
      <t>Einweisungen</t>
    </r>
    <r>
      <rPr>
        <vertAlign val="superscript"/>
        <sz val="11"/>
        <rFont val="Arial"/>
        <family val="2"/>
      </rPr>
      <t>2</t>
    </r>
  </si>
  <si>
    <t>davon Mutterschaft</t>
  </si>
  <si>
    <t>Einweisungen je 100 Versicherte</t>
  </si>
  <si>
    <r>
      <t>Spitaltage</t>
    </r>
    <r>
      <rPr>
        <vertAlign val="superscript"/>
        <sz val="11"/>
        <rFont val="Arial"/>
        <family val="2"/>
      </rPr>
      <t>2</t>
    </r>
  </si>
  <si>
    <t>Spitaltage je 100 Versicherte</t>
  </si>
  <si>
    <t>Spitaltage je Einweisung</t>
  </si>
  <si>
    <t>2) Einweisungen und Spitaltage ins/im Spital stationär.</t>
  </si>
  <si>
    <t>T 1.09  Prämiensoll in Fr. nach Versicherungsform ab 1994</t>
  </si>
  <si>
    <t>Ordentliche</t>
  </si>
  <si>
    <t>1) Der Wechsel auf das Subventionierungssystem mit individueller Prämienverbilligung unter dem KVG führte technisch zu einem</t>
  </si>
  <si>
    <t>relativ höheren Prämiensoll der Versicherer; dieser Effekt ist beim Anstieg des Prämiensolls von 1995 auf 1996 zu berücksichtigen.</t>
  </si>
  <si>
    <t>T 1.10  Prämiensoll in Fr. je versicherte Person nach Versicherungsform ab 1994</t>
  </si>
  <si>
    <t>1) Vgl. Fussnote 1) von Tabelle 1.09.</t>
  </si>
  <si>
    <t>Abweichung</t>
  </si>
  <si>
    <t>vom Gesamt-</t>
  </si>
  <si>
    <t>durchschnitt</t>
  </si>
  <si>
    <t>T 1.13  Leistungen (brutto) in Fr. nach Versicherungsform ab 1994</t>
  </si>
  <si>
    <t>Laufende Aufdatierung</t>
  </si>
  <si>
    <t>Letzter vollständiger Bericht auf deutsch im PDF-Format auf der Internet-Adresse</t>
  </si>
  <si>
    <t>www.bsv.admin.ch/kv/statistik/d/index.htm</t>
  </si>
  <si>
    <t>T 1.14  Leistungen (brutto) in Fr. je versicherte Person nach Versicherungsform ab 1994</t>
  </si>
  <si>
    <t>Ambulante</t>
  </si>
  <si>
    <t>Stationäre</t>
  </si>
  <si>
    <t>Leistungen</t>
  </si>
  <si>
    <t>Behandlung</t>
  </si>
  <si>
    <t>1) Vgl. Tabelle 1.16; als stationäre Kosten gelten die Kategorien "Spital stationär", "Pflegeheime" und "übrige Leistungen sta-</t>
  </si>
  <si>
    <t>tionär", als ambulante Kosten alle übrigen Kategorien.</t>
  </si>
  <si>
    <t>2) Werte 1994 - 1997 teilweise geschätzt, Werte 1999 mit Datenstand Oktober 2001 revidiert.</t>
  </si>
  <si>
    <r>
      <t xml:space="preserve">T 1.15  Leistungen (brutto) in Fr. nach Kostengruppen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ab 1994</t>
    </r>
  </si>
  <si>
    <r>
      <t xml:space="preserve">Jahr </t>
    </r>
    <r>
      <rPr>
        <vertAlign val="superscript"/>
        <sz val="11"/>
        <rFont val="Arial"/>
        <family val="2"/>
      </rPr>
      <t>2</t>
    </r>
  </si>
  <si>
    <t>Kostengruppen</t>
  </si>
  <si>
    <t>Arzt ambulant</t>
  </si>
  <si>
    <t>Spital stationär</t>
  </si>
  <si>
    <t>Spital ambulant</t>
  </si>
  <si>
    <t>Medikamente Arzt</t>
  </si>
  <si>
    <t>Medikamente Apotheke</t>
  </si>
  <si>
    <t>Pflegeheim</t>
  </si>
  <si>
    <t>Spitex</t>
  </si>
  <si>
    <t>Physiotherapeut</t>
  </si>
  <si>
    <t>Labor</t>
  </si>
  <si>
    <t>Chiropraktor</t>
  </si>
  <si>
    <t>Mittel und Gegenstände</t>
  </si>
  <si>
    <r>
      <t xml:space="preserve">Betriebsbeiträge an HMO's </t>
    </r>
    <r>
      <rPr>
        <vertAlign val="superscript"/>
        <sz val="11"/>
        <rFont val="Arial"/>
        <family val="2"/>
      </rPr>
      <t>1)</t>
    </r>
  </si>
  <si>
    <t>Komplementärmedizin</t>
  </si>
  <si>
    <t>Übrige Leistungen ambulant</t>
  </si>
  <si>
    <t>Übrige Leistungen stationär</t>
  </si>
  <si>
    <t>Leistungen Total</t>
  </si>
  <si>
    <t>davon Leistungen Mutterschaft</t>
  </si>
  <si>
    <t>1) Sofern keine Aufteilung nach den anderen aufgeführten Kostengruppen möglich ist.</t>
  </si>
  <si>
    <t>1) Vgl. Fussnoten 1) und 2) von Tabelle 1.15.</t>
  </si>
  <si>
    <r>
      <t xml:space="preserve">T 1.17  Leistungen (brutto) in Fr. je versicherte Person nach Kostengruppen </t>
    </r>
    <r>
      <rPr>
        <b/>
        <vertAlign val="superscript"/>
        <sz val="12"/>
        <rFont val="Arial"/>
        <family val="2"/>
      </rPr>
      <t xml:space="preserve">1 </t>
    </r>
    <r>
      <rPr>
        <b/>
        <sz val="12"/>
        <rFont val="Arial"/>
        <family val="2"/>
      </rPr>
      <t xml:space="preserve">ab 1994 </t>
    </r>
  </si>
  <si>
    <r>
      <t xml:space="preserve">Betriebsbeiträge an HMO's </t>
    </r>
    <r>
      <rPr>
        <vertAlign val="superscript"/>
        <sz val="11"/>
        <rFont val="Arial"/>
        <family val="2"/>
      </rPr>
      <t>1</t>
    </r>
  </si>
  <si>
    <t xml:space="preserve">T 1.19  Kostenbeteiligung der Versicherten in Fr. nach Versicherungsform ab 1994 </t>
  </si>
  <si>
    <t>T 9.15 Krankenversicherungsprämienindex nach Versicherungsart für die Schweiz ab 1996 (Basis 1999 = 100)</t>
  </si>
  <si>
    <t>Grundversicherung (OKP)</t>
  </si>
  <si>
    <t>Junge</t>
  </si>
  <si>
    <t>halbprivat</t>
  </si>
  <si>
    <t>privat</t>
  </si>
  <si>
    <t>(19-25 Jahre)</t>
  </si>
  <si>
    <t>(ganze CH)</t>
  </si>
  <si>
    <t>Veränderung gegenüber dem Vorjahr</t>
  </si>
  <si>
    <t>1) Quelle: BFS, Sektion Preise und Verbrauch. Index berechnet seit 1999.</t>
  </si>
  <si>
    <t>2) Die Werte für 1996 wurden geschätzt auf der Basis der Veränderung 1996/97 der Durchschnittsprämien der Erwachsenen.</t>
  </si>
  <si>
    <t>3) Gesamtindex basierend auf einer Gewichtung mit den Versichertenbeständen.</t>
  </si>
  <si>
    <r>
      <t xml:space="preserve">Spitalzusatzversicherungen </t>
    </r>
    <r>
      <rPr>
        <b/>
        <vertAlign val="superscript"/>
        <sz val="11"/>
        <rFont val="Arial"/>
        <family val="2"/>
      </rPr>
      <t>1</t>
    </r>
  </si>
  <si>
    <r>
      <t xml:space="preserve">Total </t>
    </r>
    <r>
      <rPr>
        <b/>
        <vertAlign val="superscript"/>
        <sz val="11"/>
        <rFont val="Arial"/>
        <family val="2"/>
      </rPr>
      <t>1</t>
    </r>
  </si>
  <si>
    <r>
      <t xml:space="preserve">Total </t>
    </r>
    <r>
      <rPr>
        <vertAlign val="superscript"/>
        <sz val="11"/>
        <rFont val="Arial"/>
        <family val="2"/>
      </rPr>
      <t>2, 3</t>
    </r>
  </si>
  <si>
    <r>
      <t xml:space="preserve">Kinder </t>
    </r>
    <r>
      <rPr>
        <vertAlign val="superscript"/>
        <sz val="11"/>
        <rFont val="Arial"/>
        <family val="2"/>
      </rPr>
      <t>2</t>
    </r>
  </si>
  <si>
    <r>
      <t xml:space="preserve">Erwachsene </t>
    </r>
    <r>
      <rPr>
        <vertAlign val="superscript"/>
        <sz val="11"/>
        <rFont val="Arial"/>
        <family val="2"/>
      </rPr>
      <t>2</t>
    </r>
  </si>
  <si>
    <t xml:space="preserve">T 1.20  Kostenbeteiligung je versicherte Person in Fr. nach Versicherungsform ab 1994 </t>
  </si>
  <si>
    <r>
      <t xml:space="preserve">T 1.21  Bezahlte Leistungen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in Fr. nach Versicherungsform ab 1994</t>
    </r>
  </si>
  <si>
    <t>1) Bezahlte Leistungen der Versicherer = Leistungen (brutto) der Versicherer minus Kostenbeteiligungen der Versicherten.</t>
  </si>
  <si>
    <r>
      <t xml:space="preserve">T 1.22 Bezahlte Leistungen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in Fr. je versicherte Person nach Versicherungsform ab 1994</t>
    </r>
  </si>
  <si>
    <t>T 1.23 Verwaltungsaufwand / Abschreibungen in Fr. nach Versicherungsform ab 1994</t>
  </si>
  <si>
    <t>In % des</t>
  </si>
  <si>
    <t>Versicherungs-</t>
  </si>
  <si>
    <t>und Betriebsauf-</t>
  </si>
  <si>
    <t>wand</t>
  </si>
  <si>
    <t>wands</t>
  </si>
  <si>
    <t xml:space="preserve">T 1.24 Verwaltungsaufwand / Abschreibungen in Fr. je versicherte Person nach Versicherungsform ab 1994 </t>
  </si>
  <si>
    <t>T 1.25  Gesamtbetriebsergebnis in Fr. nach Versicherungsform ab 1994</t>
  </si>
  <si>
    <t>1) Schätzungen für die Jahre 1994 und 1995.</t>
  </si>
  <si>
    <t>T 1.26  Gesamtbetriebsergebnis in Fr. je versicherte Person nach Versicherungsform ab 1994</t>
  </si>
  <si>
    <t>Kontengruppen</t>
  </si>
  <si>
    <t>Krankheit</t>
  </si>
  <si>
    <t>Unfall</t>
  </si>
  <si>
    <t>in Fr.</t>
  </si>
  <si>
    <t>Prämien</t>
  </si>
  <si>
    <t>Erlösminderungen für Prämien (-)</t>
  </si>
  <si>
    <t>Andere Beitragsanteile</t>
  </si>
  <si>
    <t>60-65</t>
  </si>
  <si>
    <t>Brutto-Prämien</t>
  </si>
  <si>
    <t>Prämienanteile der Rückversicherer (-)</t>
  </si>
  <si>
    <t>60-66</t>
  </si>
  <si>
    <t>Eigene Versicherungsprämien</t>
  </si>
  <si>
    <t>Prämienverbilligung / sonstige Beiträge</t>
  </si>
  <si>
    <t>Prämienermässigung an Versicherte (-)</t>
  </si>
  <si>
    <t>Sonstige Betriebserträge</t>
  </si>
  <si>
    <t>Total Versicherungsertrag</t>
  </si>
  <si>
    <t>Kostenbeteiligung der Versicherten (-)</t>
  </si>
  <si>
    <t>30-33</t>
  </si>
  <si>
    <t>Bezahlte Leistungen</t>
  </si>
  <si>
    <t>Sonstige Aufwendungen für Leistungen</t>
  </si>
  <si>
    <t>Rückstellungen für unerledigte Versicherungsfälle</t>
  </si>
  <si>
    <t>30-35</t>
  </si>
  <si>
    <t>Brutto-Leistungen</t>
  </si>
  <si>
    <t>Leistungsanteile der Rückversicherer (-)</t>
  </si>
  <si>
    <t>Risikoausgleich</t>
  </si>
  <si>
    <t>Total Versicherungsaufwand</t>
  </si>
  <si>
    <t>40-48</t>
  </si>
  <si>
    <t>Verwaltungsaufwand / Abschreibungen</t>
  </si>
  <si>
    <t>Sonstige Betriebsaufwendungen</t>
  </si>
  <si>
    <t>Total Betriebsaufwand</t>
  </si>
  <si>
    <t>3/4</t>
  </si>
  <si>
    <t>Total Versicherungs- und Betriebsaufwand</t>
  </si>
  <si>
    <t>Versicherungsbetriebsergebnis</t>
  </si>
  <si>
    <t>Neutraler Aufwand / Ertrag</t>
  </si>
  <si>
    <t>Gesamtbetriebsergebnis</t>
  </si>
  <si>
    <t>T 1.32 Stand der Reserven in Fr. ab 1996</t>
  </si>
  <si>
    <r>
      <t xml:space="preserve">Jahr </t>
    </r>
    <r>
      <rPr>
        <vertAlign val="superscript"/>
        <sz val="11"/>
        <rFont val="Arial"/>
        <family val="2"/>
      </rPr>
      <t>1</t>
    </r>
  </si>
  <si>
    <t>Stand</t>
  </si>
  <si>
    <t>Reserven</t>
  </si>
  <si>
    <t>Reserve-</t>
  </si>
  <si>
    <t>pro ver-</t>
  </si>
  <si>
    <r>
      <t xml:space="preserve">quote </t>
    </r>
    <r>
      <rPr>
        <vertAlign val="superscript"/>
        <sz val="11"/>
        <rFont val="Arial"/>
        <family val="2"/>
      </rPr>
      <t>2</t>
    </r>
  </si>
  <si>
    <t>sicherte Per-</t>
  </si>
  <si>
    <t>son in Fr.</t>
  </si>
  <si>
    <t>1) Bestand jeweils am Jahresende gemäss Bilanz; Werte 1994 und 1995 noch nicht separat für die Grundversicherung erfasst.</t>
  </si>
  <si>
    <t>2) Reserven in % des Prämiensolls (vgl. Tabelle 1.09).</t>
  </si>
  <si>
    <t xml:space="preserve">T 1.33  Stand der Rückstellungen für unerledigte Versicherungsfälle in Fr. ab 1996 </t>
  </si>
  <si>
    <t>Stand Rück-</t>
  </si>
  <si>
    <t>Rückstellungen</t>
  </si>
  <si>
    <t>Rück-</t>
  </si>
  <si>
    <t>stellungen pro</t>
  </si>
  <si>
    <t>in % der be-</t>
  </si>
  <si>
    <t>stellungen</t>
  </si>
  <si>
    <t>versicherte</t>
  </si>
  <si>
    <t>zahlten Lei-</t>
  </si>
  <si>
    <t>Person in Fr.</t>
  </si>
  <si>
    <r>
      <t xml:space="preserve">stungen </t>
    </r>
    <r>
      <rPr>
        <vertAlign val="superscript"/>
        <sz val="11"/>
        <rFont val="Arial"/>
        <family val="2"/>
      </rPr>
      <t>2</t>
    </r>
  </si>
  <si>
    <t>2) Vgl. Tabelle 1.21.</t>
  </si>
  <si>
    <t>T 1.34 Verteilung der Versicherten (Kinder und Erwachsene) nach Versicherungsform ab 1994</t>
  </si>
  <si>
    <t>Andere</t>
  </si>
  <si>
    <t>400 Fr.</t>
  </si>
  <si>
    <t>600 Fr.</t>
  </si>
  <si>
    <t>1200 Fr.</t>
  </si>
  <si>
    <t>1500 Fr.</t>
  </si>
  <si>
    <t>rungsformen</t>
  </si>
  <si>
    <t>230 Fr.</t>
  </si>
  <si>
    <t>Datenstand: 16.4.02</t>
  </si>
  <si>
    <t>Quelle: Datenpool Santésuisse / Auswertung BSV / Abdeckungsgrad der Erhebung: 91,2% -  93,4%</t>
  </si>
  <si>
    <t>1) Im Jahr 1997: ordentliche Jahresfranchise: 150.-  wählbare Jahresfranchisen: 300.-  600.-  1200.-  1500.-</t>
  </si>
  <si>
    <r>
      <t>T 1.35 Verteilung der Versicherungsformen</t>
    </r>
    <r>
      <rPr>
        <b/>
        <vertAlign val="superscript"/>
        <sz val="12"/>
        <rFont val="Arial"/>
        <family val="2"/>
      </rPr>
      <t xml:space="preserve"> </t>
    </r>
    <r>
      <rPr>
        <b/>
        <sz val="12"/>
        <rFont val="Arial"/>
        <family val="2"/>
      </rPr>
      <t xml:space="preserve">in % - Versicherte ab 19 Jahren ab 1997 </t>
    </r>
  </si>
  <si>
    <r>
      <t xml:space="preserve">1997 </t>
    </r>
    <r>
      <rPr>
        <vertAlign val="superscript"/>
        <sz val="11"/>
        <rFont val="Arial"/>
        <family val="2"/>
      </rPr>
      <t>1</t>
    </r>
  </si>
  <si>
    <t>CH</t>
  </si>
  <si>
    <t>Quelle: Datenpool Santésuisse / Auswertung BSV / Abdeckungsgrad der Erhebung: CH 93,4%  Kantone: 83,1% - 99,1%</t>
  </si>
  <si>
    <t>T 1.37 Verteilung der Versicherungsformen in % - Versicherte CH 0-18 Jahre ab 1997</t>
  </si>
  <si>
    <t>150 Fr.</t>
  </si>
  <si>
    <t>300 Fr.</t>
  </si>
  <si>
    <t>375 Fr.</t>
  </si>
  <si>
    <t>0 Fr.</t>
  </si>
  <si>
    <t>Quelle: Datenpool Santésuisse / Auswertung BSV / Abdeckungsgrad der Erhebung: 91,2% - 93,4%</t>
  </si>
  <si>
    <t>Quelle: Datenpool Santésuisse / Auswertung BSV / Abdeckungsgrad der Erhebung: CH 93,4%, Kantone: 83,1% - 99,1%</t>
  </si>
  <si>
    <t>Prämiensoll</t>
  </si>
  <si>
    <t>Kostenbe-</t>
  </si>
  <si>
    <t>in Mio. Fr.</t>
  </si>
  <si>
    <t>T 9.10  Entwicklung der Wohnbevölkerung, der Aerzte mit Praxistätigkeit und der Apotheken ab 1985</t>
  </si>
  <si>
    <t>Aerzte</t>
  </si>
  <si>
    <t>Apo</t>
  </si>
  <si>
    <t>theken</t>
  </si>
  <si>
    <t>1) Quellen: siehe Tabelle 9.09.</t>
  </si>
  <si>
    <t>2) Anzahl Ärzte mit Praxistätigkeit pro 1'000 Einwohner.</t>
  </si>
  <si>
    <t>3) Anderung der Dichte.</t>
  </si>
  <si>
    <t>4) Anzahl Apotheken (Öffentliche Apotheken) pro 10'000 Einwohner.</t>
  </si>
  <si>
    <r>
      <t xml:space="preserve">Veränd. </t>
    </r>
    <r>
      <rPr>
        <vertAlign val="superscript"/>
        <sz val="11"/>
        <rFont val="Arial"/>
        <family val="2"/>
      </rPr>
      <t>3</t>
    </r>
  </si>
  <si>
    <r>
      <t xml:space="preserve">Aerzte </t>
    </r>
    <r>
      <rPr>
        <vertAlign val="superscript"/>
        <sz val="11"/>
        <rFont val="Arial"/>
        <family val="2"/>
      </rPr>
      <t>1</t>
    </r>
  </si>
  <si>
    <r>
      <t xml:space="preserve">dichte </t>
    </r>
    <r>
      <rPr>
        <vertAlign val="superscript"/>
        <sz val="11"/>
        <rFont val="Arial"/>
        <family val="2"/>
      </rPr>
      <t>2</t>
    </r>
  </si>
  <si>
    <r>
      <t xml:space="preserve">ken </t>
    </r>
    <r>
      <rPr>
        <vertAlign val="superscript"/>
        <sz val="11"/>
        <rFont val="Arial"/>
        <family val="2"/>
      </rPr>
      <t>1</t>
    </r>
  </si>
  <si>
    <r>
      <t xml:space="preserve">dichte </t>
    </r>
    <r>
      <rPr>
        <vertAlign val="superscript"/>
        <sz val="11"/>
        <rFont val="Arial"/>
        <family val="2"/>
      </rPr>
      <t>4</t>
    </r>
  </si>
  <si>
    <t xml:space="preserve">teiligung </t>
  </si>
  <si>
    <t>nach KOBE</t>
  </si>
  <si>
    <t>(netto)</t>
  </si>
  <si>
    <t>1) OKP = Obligatorische Krankenpflegeversicherung KVG; vor 1996: Krankenpflegegrundversicherung gemäss KUVG und dort ohne</t>
  </si>
  <si>
    <t>die Leistungen für Mutterschaft, Invalidität und Tbc.</t>
  </si>
  <si>
    <t>Quelle: BSV, vgl. Tabellen 1.09, 1.13 und 1.21.</t>
  </si>
  <si>
    <r>
      <t xml:space="preserve">T 1.41 Prämiensoll, Kostenbeteiligung (KOBE) und Nettoleistungen in der OKP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 ab 1985</t>
    </r>
  </si>
  <si>
    <t>1) Versichertenbestand = Durchschnittsbestand = Stand aller Monate zusammengezählt und geteilt durch 12.</t>
  </si>
  <si>
    <r>
      <t xml:space="preserve">T 1.42 Versichertenbestand </t>
    </r>
    <r>
      <rPr>
        <b/>
        <vertAlign val="superscript"/>
        <sz val="12"/>
        <rFont val="Arial"/>
        <family val="2"/>
      </rPr>
      <t xml:space="preserve">1  </t>
    </r>
    <r>
      <rPr>
        <b/>
        <sz val="12"/>
        <rFont val="Arial"/>
        <family val="2"/>
      </rPr>
      <t>nach Geschlecht / Kinder ab 1995</t>
    </r>
  </si>
  <si>
    <t>T 1.43 Obligatorische Krankenpflegeversicherung ab 1996: wichtigste Indikatoren</t>
  </si>
  <si>
    <t>Merkmale</t>
  </si>
  <si>
    <t>– Anzahl Versicherer OKP</t>
  </si>
  <si>
    <t>–</t>
  </si>
  <si>
    <t>– Versichertenbestand per 31.12.</t>
  </si>
  <si>
    <t>– davon ordentliche Franchise</t>
  </si>
  <si>
    <t>– davon wählbare Franchise</t>
  </si>
  <si>
    <t>– davon BONUS-Modell</t>
  </si>
  <si>
    <t>– davon eingeschränkte Wahl</t>
  </si>
  <si>
    <t>– Anzahl Erkrankte</t>
  </si>
  <si>
    <t>– Anzahl Erkrankte je 100 Versicherte</t>
  </si>
  <si>
    <t>– Anzahl Spitaleinweisungen</t>
  </si>
  <si>
    <t>– Anzahl Spitaltage in 1'000</t>
  </si>
  <si>
    <t>Finanzen der OKP</t>
  </si>
  <si>
    <t>– Prämiensoll in Mio. Fr.</t>
  </si>
  <si>
    <t>– Prämiensoll pro Versicherte(n) in Fr.</t>
  </si>
  <si>
    <t>–– davon ambulante Leistungen in Fr.</t>
  </si>
  <si>
    <t>–– davon stationäre Leistungen in Fr.</t>
  </si>
  <si>
    <t>– Kostenbeteiligung in Mio. Fr.</t>
  </si>
  <si>
    <t>– Kostenbeteiligung pro Versicherten in Fr.</t>
  </si>
  <si>
    <t>– Verwaltungsaufwand / Abschreibungen in Mio. Fr.</t>
  </si>
  <si>
    <t>– Gesamtbetriebsergebnis in Mio. Fr.</t>
  </si>
  <si>
    <t>– Rückstellungen: Stand per 31.12. in Mio. Fr.</t>
  </si>
  <si>
    <t>– Reserven: Stand per 31.12. in Mio. Fr.</t>
  </si>
  <si>
    <t>1) Leistungen brutto = Leistungen inkl. Kostenbeteiligung der Versicherten.</t>
  </si>
  <si>
    <t>2) Leistungen netto = Leistungen der Versicherer abzüglich Kostenbeteiligung der Versicherten.</t>
  </si>
  <si>
    <t>3) Reserven in Prozent des Prämiensolls.</t>
  </si>
  <si>
    <r>
      <t xml:space="preserve">– Leistungen </t>
    </r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 xml:space="preserve"> in Mio. Fr.</t>
    </r>
  </si>
  <si>
    <r>
      <t xml:space="preserve">– Leistungen </t>
    </r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 xml:space="preserve"> pro Versicherte(n) in Fr.</t>
    </r>
  </si>
  <si>
    <r>
      <t xml:space="preserve">– Bezahlte Leistungen </t>
    </r>
    <r>
      <rPr>
        <vertAlign val="superscript"/>
        <sz val="11"/>
        <rFont val="Arial"/>
        <family val="2"/>
      </rPr>
      <t xml:space="preserve">2 </t>
    </r>
    <r>
      <rPr>
        <sz val="11"/>
        <rFont val="Arial"/>
        <family val="2"/>
      </rPr>
      <t>in Mio. Fr.</t>
    </r>
  </si>
  <si>
    <r>
      <t xml:space="preserve">– Bezahlte Leistungen </t>
    </r>
    <r>
      <rPr>
        <vertAlign val="superscript"/>
        <sz val="11"/>
        <rFont val="Arial"/>
        <family val="2"/>
      </rPr>
      <t>2</t>
    </r>
    <r>
      <rPr>
        <sz val="11"/>
        <rFont val="Arial"/>
        <family val="2"/>
      </rPr>
      <t xml:space="preserve"> pro Versicherten in  Fr.</t>
    </r>
  </si>
  <si>
    <r>
      <t xml:space="preserve">– Reservequote 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 xml:space="preserve"> per 31.12. in %</t>
    </r>
  </si>
  <si>
    <t>Aus-</t>
  </si>
  <si>
    <t>Netto-</t>
  </si>
  <si>
    <t>Anteil</t>
  </si>
  <si>
    <t>gleichs-</t>
  </si>
  <si>
    <t>am Total</t>
  </si>
  <si>
    <t>1) 1993 - 1995: Risikoausgleich in der Krankenpflegegrundversicherung gemäss KUVG.</t>
  </si>
  <si>
    <t>2) Anzahl Versicherer, die für das Ausgleichsjahr eine Abgabe an den Risikoausgleich leisten mussten (Nettozahler), resp.</t>
  </si>
  <si>
    <t>einen Beitrag aus dem Risikoausgleich erhielten (Nettoempfänger).</t>
  </si>
  <si>
    <r>
      <t xml:space="preserve">zahler </t>
    </r>
    <r>
      <rPr>
        <vertAlign val="superscript"/>
        <sz val="11"/>
        <rFont val="Arial"/>
        <family val="2"/>
      </rPr>
      <t>2)</t>
    </r>
  </si>
  <si>
    <r>
      <t xml:space="preserve">empfänger </t>
    </r>
    <r>
      <rPr>
        <vertAlign val="superscript"/>
        <sz val="11"/>
        <rFont val="Arial"/>
        <family val="2"/>
      </rPr>
      <t>2)</t>
    </r>
  </si>
  <si>
    <r>
      <t xml:space="preserve">jahr </t>
    </r>
    <r>
      <rPr>
        <vertAlign val="superscript"/>
        <sz val="11"/>
        <rFont val="Arial"/>
        <family val="2"/>
      </rPr>
      <t>1)</t>
    </r>
  </si>
  <si>
    <r>
      <t xml:space="preserve">Bruttoumverteilung </t>
    </r>
    <r>
      <rPr>
        <vertAlign val="superscript"/>
        <sz val="11"/>
        <rFont val="Arial"/>
        <family val="2"/>
      </rPr>
      <t>1)</t>
    </r>
  </si>
  <si>
    <r>
      <t xml:space="preserve">Nettoumverteilung </t>
    </r>
    <r>
      <rPr>
        <vertAlign val="superscript"/>
        <sz val="11"/>
        <rFont val="Arial"/>
        <family val="2"/>
      </rPr>
      <t>2)</t>
    </r>
  </si>
  <si>
    <t>nach Ge-</t>
  </si>
  <si>
    <t>nach</t>
  </si>
  <si>
    <t>zwischen</t>
  </si>
  <si>
    <t>jahr</t>
  </si>
  <si>
    <t>schlecht</t>
  </si>
  <si>
    <t>Alter</t>
  </si>
  <si>
    <t>Versicherern</t>
  </si>
  <si>
    <t xml:space="preserve">Vorjahr </t>
  </si>
  <si>
    <t>1) Theoretisch-statistische Grösse: Gesamtschweizerische Umverteilung von Männern zu Frauen resp. von jüngeren</t>
  </si>
  <si>
    <t>Versicherten (19 – 55-jährige Personen) zu älteren Versicherten (56-jährige und ältere Personen).</t>
  </si>
  <si>
    <t>2) Effektiv erfolgte Umverteilung zwischen den Versicherern (von Nettozahlern zu Nettoempfängern; vgl. Tabelle 2.01).</t>
  </si>
  <si>
    <t>Erwach-</t>
  </si>
  <si>
    <t>Kinder und</t>
  </si>
  <si>
    <t>sene</t>
  </si>
  <si>
    <t>1) Durchschnittlicher Versichertenbestand = Anzahl Versicherungsmonate dividiert durch 12.</t>
  </si>
  <si>
    <t>1) Bruttokosten = Leistungen (brutto) der Versicherer in der OKP vor Abzug der Kostenbeteiligung durch die Versicherten;</t>
  </si>
  <si>
    <t>vgl. hierzu auch Tabellen 1.12 bis 1.17.</t>
  </si>
  <si>
    <t>1) Bruttokosten = Leistungen (brutto) der Versicherer in der OKP vor Abzug der Kostenbeteiligung durch die Versicherten.</t>
  </si>
  <si>
    <t>T 2.06</t>
  </si>
  <si>
    <t>Bruttokosten 1) in Fr. pro Versicherten pro Versicherungsmonat nach Altersgruppen</t>
  </si>
  <si>
    <t>Männlich</t>
  </si>
  <si>
    <t>Weiblich</t>
  </si>
  <si>
    <t>0 - 18</t>
  </si>
  <si>
    <t>19 - 25</t>
  </si>
  <si>
    <t>&gt; 90</t>
  </si>
  <si>
    <t>1) Effektive Kosten = (bezahlte) Leistungen der Versicherer in der OKP nach Abzug der Kostenbeteiligung durch die Versicherten;</t>
  </si>
  <si>
    <t>vgl. hierzu auch Tabellen 1.18 und 1.19.</t>
  </si>
  <si>
    <t>Grund-</t>
  </si>
  <si>
    <t>Zusatzver-</t>
  </si>
  <si>
    <t>1) Prämien = verdiente Prämien brutto; Leistungen = Zahlungen für Versicherungsfälle .</t>
  </si>
  <si>
    <t>Prämien und Leistungen ohne Taggelvdersicherung.</t>
  </si>
  <si>
    <t>Vor 1991 sind keine Zahlen verfügbar; 1992-1996:  Schätzungen  BSV.</t>
  </si>
  <si>
    <t>2) Die Zusatzversicherungen gemäss VVG der KVG-Versicherer (Krankenkassen) ab 1996 sind nicht in diesen Zahlen inbegriffen.</t>
  </si>
  <si>
    <t>Quelle: Bundesamt für Privatversicherungswesen (BPV) und BSV.</t>
  </si>
  <si>
    <t>3) Zusatzversicherungen der KVG-Versicherer (Krankenkassen) : ab 1996 gemäss VVG.</t>
  </si>
  <si>
    <r>
      <t xml:space="preserve">T 9.18  Krankenversicherung 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(KVG-Versicherer und Privatversicherer) ab 1991 in Mio. Fr.</t>
    </r>
  </si>
  <si>
    <r>
      <t xml:space="preserve">Privat-versicherer </t>
    </r>
    <r>
      <rPr>
        <b/>
        <vertAlign val="superscript"/>
        <sz val="11"/>
        <rFont val="Arial"/>
        <family val="2"/>
      </rPr>
      <t>2</t>
    </r>
  </si>
  <si>
    <r>
      <t xml:space="preserve">sicherung </t>
    </r>
    <r>
      <rPr>
        <vertAlign val="superscript"/>
        <sz val="11"/>
        <rFont val="Arial"/>
        <family val="2"/>
      </rPr>
      <t>3</t>
    </r>
  </si>
  <si>
    <t>1) Effektive Kosten = (bezahlte) Leistungen der Versicherer in der OKP nach Abzug der Kostenbeteiligung durch die Versicherten.</t>
  </si>
  <si>
    <t>T 2.09</t>
  </si>
  <si>
    <t xml:space="preserve">Effektive Kosten 1) in Fr. pro Versicherten pro Versicherungsmonat nach Altersgruppen </t>
  </si>
  <si>
    <t>1) Berücksichtigt nur die bei dem Versicherer eingereichten Rechnungen</t>
  </si>
  <si>
    <t>T 2.11</t>
  </si>
  <si>
    <t xml:space="preserve">Kostenbeteiligung 1) in Fr. pro Versicherten pro Jahr nach Altersgruppen </t>
  </si>
  <si>
    <t>2)</t>
  </si>
  <si>
    <t>Datenstand: 25.2.2003</t>
  </si>
  <si>
    <t>1) Datenquelle ist das Genehmigungsverfahren für Krankenversicherungsprämien des BSV; ausgewiesen wird die geschätzte</t>
  </si>
  <si>
    <t>monatliche Durchschnittsprämie in Franken; die Berechnungen beruhen auf den Prämientarifen inklusive Unfalldeckung der</t>
  </si>
  <si>
    <t>ordentlichen Franchise (die Tarife der Versicherungsmodelle mit wählbarer Franchise, Bonus oder eingeschränkter Wahl des</t>
  </si>
  <si>
    <t>Leistungserbringers konnten nicht berücksichtigt werden) und auf den Versichertenbeständen nach Kantonen, nach Prämien-</t>
  </si>
  <si>
    <t>regionen sowie nach Altersstufen (Erwachsene, junge Erwachsene und Kinder).</t>
  </si>
  <si>
    <t>2)  Die Werte für 1996 wurden revidiert. Diese Werte beziehen sich auf das KVG-Einführungsjahr</t>
  </si>
  <si>
    <t xml:space="preserve">       und sind infolge teilweise unvollständiger Daten mit Zurückhaltung zu interpretieren.</t>
  </si>
  <si>
    <r>
      <t xml:space="preserve">T 3.01 Kantonale monatliche Durchschnittsprämien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für Erwachsene (26 J. und älter) in Fr. ab 1996</t>
    </r>
  </si>
  <si>
    <t>Verän-</t>
  </si>
  <si>
    <t>Jahresdurch-</t>
  </si>
  <si>
    <t>derung</t>
  </si>
  <si>
    <t>schnittliche</t>
  </si>
  <si>
    <t>1996 / 97</t>
  </si>
  <si>
    <t>1997 / 98</t>
  </si>
  <si>
    <t>1998 / 99</t>
  </si>
  <si>
    <t>1999 / 00</t>
  </si>
  <si>
    <t>2000 / 01</t>
  </si>
  <si>
    <t>2001 / 02</t>
  </si>
  <si>
    <t>2002 / 03</t>
  </si>
  <si>
    <t>Veränderung</t>
  </si>
  <si>
    <t>3)</t>
  </si>
  <si>
    <t>1996 - 2003</t>
  </si>
  <si>
    <t>1) Vgl. Fussnote 1) von Tabelle 3.01.</t>
  </si>
  <si>
    <t>2) Vgl. auch die Entwicklung des Prämiensolls pro Versicherten gemäss KV-Betriebsrechnung in Tabelle 1.10</t>
  </si>
  <si>
    <t>3) Die Werte für 1996 / 97 wurden revidiert. Diese Werte sind infolge teilweise unvollständiger Daten mit Zurückhaltung zu interpretieren.</t>
  </si>
  <si>
    <t xml:space="preserve">     </t>
  </si>
  <si>
    <r>
      <t xml:space="preserve">T 3.02 Kantonale Durchschnittsprämien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für Erwachsene: Vorjahresveränderungen in % ab 1997</t>
    </r>
  </si>
  <si>
    <t>in Fr. ab 1996</t>
  </si>
  <si>
    <t>2) Bis zum Jahr 2000 gab es nur reduzierte Prämien für junge Erwachsene, welche noch in Ausbildung waren. Mit dem Weglassen</t>
  </si>
  <si>
    <t>der Bedingung "in Ausbildung" in 2001 kamen deutlich mehr Personen, welche vorher eine Erwachsenenprämie bezahlen mussten,</t>
  </si>
  <si>
    <t>in den Genuss einer reduzierten Prämie. Als Folge hiervon musste die reduzierte Prämie relativ stark auf 2001 hin erhöht werden.</t>
  </si>
  <si>
    <t>3) Die Werte für 1996 wurden revidiert. Sie wurden mittels der Veränderungen 1996/97 der Erwachsenenprämie geschätzt.</t>
  </si>
  <si>
    <t>Daten Vorjahr</t>
  </si>
  <si>
    <t>Ärzte:</t>
  </si>
  <si>
    <t>T 9.14 Entwicklung der Indizes der Krankenpflegekosten, der Löhne sowie der Preise ab 1985</t>
  </si>
  <si>
    <t>Pflege-</t>
  </si>
  <si>
    <t>BFS-Lohn-</t>
  </si>
  <si>
    <t>Konsumen-</t>
  </si>
  <si>
    <t>kosten-</t>
  </si>
  <si>
    <t>tenpreis-</t>
  </si>
  <si>
    <t>index</t>
  </si>
  <si>
    <t>(nominal)</t>
  </si>
  <si>
    <t>Pflegekostenindex OKP</t>
  </si>
  <si>
    <t>BFS–Lohnindex</t>
  </si>
  <si>
    <t>Konsumentenpreisindex</t>
  </si>
  <si>
    <t>1) Entwicklung der Leistungen pro Versicherte(n) in der Krankenpflege-Grundversicherung gemäss KUVG resp. in der oblig. Kranken–</t>
  </si>
  <si>
    <t>pflegeversicherung KVG (ab 1996). Bei den Leistungen - erfasst vor der Kostenbeteiligung der Versicherten – ist der Wechsel auf ei–</t>
  </si>
  <si>
    <t>nen neuen Kontenplan ab 1994 zu berücksichtigen; so wurden vor 1994 die Leistungen berechnet als Gesamtkosten der ambulanten</t>
  </si>
  <si>
    <t>Krankenpflege plus Heilanstaltskosten der Grundversicherung plus Kosten der oblig. Spitaltaggeldversicherung; dabei nicht erfasst</t>
  </si>
  <si>
    <t>waren die Leistungen für Mutterschaft, Invalidität und Tbc; die Folge ist eine leichte Unterschätzung des Indexes für 1985 – 1993.</t>
  </si>
  <si>
    <t>2) Quelle: BFS, Sektion Löhne und Arbeitsbedingungen.</t>
  </si>
  <si>
    <t>2) Quelle: BFS, Sektion Preise und Verbrauch.</t>
  </si>
  <si>
    <r>
      <t xml:space="preserve">index </t>
    </r>
    <r>
      <rPr>
        <vertAlign val="superscript"/>
        <sz val="11"/>
        <rFont val="Arial"/>
        <family val="2"/>
      </rPr>
      <t>2</t>
    </r>
  </si>
  <si>
    <r>
      <t xml:space="preserve">index (LIK) </t>
    </r>
    <r>
      <rPr>
        <vertAlign val="superscript"/>
        <sz val="11"/>
        <rFont val="Arial"/>
        <family val="2"/>
      </rPr>
      <t>3</t>
    </r>
  </si>
  <si>
    <r>
      <t xml:space="preserve">OKP </t>
    </r>
    <r>
      <rPr>
        <vertAlign val="superscript"/>
        <sz val="11"/>
        <rFont val="Arial"/>
        <family val="2"/>
      </rPr>
      <t>1</t>
    </r>
  </si>
  <si>
    <t>Aerzte-</t>
  </si>
  <si>
    <t>Apo-</t>
  </si>
  <si>
    <t>Wohn-</t>
  </si>
  <si>
    <t>Allge-</t>
  </si>
  <si>
    <t>Spezial-</t>
  </si>
  <si>
    <t>Ärzte mit</t>
  </si>
  <si>
    <t>Apothe-</t>
  </si>
  <si>
    <t>theken-</t>
  </si>
  <si>
    <t>Anzahl Ärzte (linke Skala)</t>
  </si>
  <si>
    <t xml:space="preserve">Datenstand: 18.3.03 </t>
  </si>
  <si>
    <t>3) Der Reduktionsfaktor bezieht sich auf das Total der Prämienverbilligung.</t>
  </si>
  <si>
    <r>
      <t xml:space="preserve">CH </t>
    </r>
    <r>
      <rPr>
        <b/>
        <vertAlign val="superscript"/>
        <sz val="11"/>
        <rFont val="Arial"/>
        <family val="2"/>
      </rPr>
      <t>3</t>
    </r>
  </si>
  <si>
    <t>Anzahl Apotheken (rechte Skala)</t>
  </si>
  <si>
    <t>bevölke-</t>
  </si>
  <si>
    <t>mein-</t>
  </si>
  <si>
    <t>äzte</t>
  </si>
  <si>
    <t>Vom Bund anerkannte Versicherungsträger</t>
  </si>
  <si>
    <t>Statistik der Krankenversicherung 2001</t>
  </si>
  <si>
    <t>Bundesamt für Sozialversicherung</t>
  </si>
  <si>
    <t>Teil  Tabellen (Excel)</t>
  </si>
  <si>
    <t xml:space="preserve">Tabellen </t>
  </si>
  <si>
    <t>Teil 1</t>
  </si>
  <si>
    <t>Versicherte und Finanzen in der obligatorischen Krankenpflegeversicherung (OKP)</t>
  </si>
  <si>
    <t>Teil 2</t>
  </si>
  <si>
    <t>Risikoausgleich in der OKP (Leistungen, Kostenbeteiligung)</t>
  </si>
  <si>
    <t>Teil 3</t>
  </si>
  <si>
    <t>Prämien in der OKP</t>
  </si>
  <si>
    <t>Teil 4</t>
  </si>
  <si>
    <t>Prämienverbilligung in der OKP</t>
  </si>
  <si>
    <t>Teil 5</t>
  </si>
  <si>
    <t>Aufsichtsdaten OKP</t>
  </si>
  <si>
    <t>Teil 6</t>
  </si>
  <si>
    <t>Teil 7</t>
  </si>
  <si>
    <t>Zusatzversicherungen VVG der vom BSV anerkannten Krankenversicherer</t>
  </si>
  <si>
    <t>Teil 8</t>
  </si>
  <si>
    <t>Gesamtgeschäft der vom BSV anerkannten Krankenversicherer</t>
  </si>
  <si>
    <t>Teil 9</t>
  </si>
  <si>
    <t>Zusatzinformationen zum Gesundheitswesen</t>
  </si>
  <si>
    <t>101-141</t>
  </si>
  <si>
    <t>201-211</t>
  </si>
  <si>
    <t>301-309</t>
  </si>
  <si>
    <t>401-410</t>
  </si>
  <si>
    <t>601-606</t>
  </si>
  <si>
    <t>701-705</t>
  </si>
  <si>
    <t>801-810</t>
  </si>
  <si>
    <t>901-918</t>
  </si>
  <si>
    <t>Praxistä-</t>
  </si>
  <si>
    <t>ken</t>
  </si>
  <si>
    <t>praktiker</t>
  </si>
  <si>
    <t>FMH</t>
  </si>
  <si>
    <t>tigkeit</t>
  </si>
  <si>
    <t>1) Quellen: BFS, Bevölkerungsentwicklung; FMH, Ärztestatistik (Ärzte mit Praxistätigkeit), Schweizerischerer Apothekerverein.</t>
  </si>
  <si>
    <t xml:space="preserve">1) Quelle: BFS, Bevölkerungsentwicklung. </t>
  </si>
  <si>
    <t>2) Anzahl Einwohner pro Arzt mit Praxistätigkeit resp. Anzahl Einwohner pro Apotheke (Öffentliche Apotheken).</t>
  </si>
  <si>
    <t>2) Summe der Ärzte (mit Praxistätigkeit) mit Facharzttitel in Allgemeinmedizin und der Ärzte (mit Praxistätigkeit) ohne Facharzttitel.</t>
  </si>
  <si>
    <t>3) Inklusiv Fachärzte für innere Medizin, die als Grundversorger tätig sind.</t>
  </si>
  <si>
    <t>4) Quelle: FMH, Ärztestatistik;</t>
  </si>
  <si>
    <t>5) Anzahl Ärzte mit Praxistätigkeit pro 1'000 Einwohner.</t>
  </si>
  <si>
    <t>6) Anderung der Dichte.</t>
  </si>
  <si>
    <t>7) Quelle: Schweizerischer Apothekerverein SAV.</t>
  </si>
  <si>
    <t>8) Anzahl Apotheken (Öffentliche Apotheken) pro 10'000 Einwohner.</t>
  </si>
  <si>
    <r>
      <t xml:space="preserve">Veränd. </t>
    </r>
    <r>
      <rPr>
        <vertAlign val="superscript"/>
        <sz val="11"/>
        <rFont val="Arial"/>
        <family val="2"/>
      </rPr>
      <t>6</t>
    </r>
  </si>
  <si>
    <r>
      <t xml:space="preserve">dichte </t>
    </r>
    <r>
      <rPr>
        <vertAlign val="superscript"/>
        <sz val="11"/>
        <rFont val="Arial"/>
        <family val="2"/>
      </rPr>
      <t>5</t>
    </r>
  </si>
  <si>
    <r>
      <t xml:space="preserve">dichte </t>
    </r>
    <r>
      <rPr>
        <vertAlign val="superscript"/>
        <sz val="11"/>
        <rFont val="Arial"/>
        <family val="2"/>
      </rPr>
      <t>2)</t>
    </r>
  </si>
  <si>
    <r>
      <t>ken</t>
    </r>
    <r>
      <rPr>
        <vertAlign val="superscript"/>
        <sz val="11"/>
        <rFont val="Arial"/>
        <family val="2"/>
      </rPr>
      <t xml:space="preserve"> 7</t>
    </r>
  </si>
  <si>
    <r>
      <t xml:space="preserve">dichte </t>
    </r>
    <r>
      <rPr>
        <vertAlign val="superscript"/>
        <sz val="11"/>
        <rFont val="Arial"/>
        <family val="2"/>
      </rPr>
      <t>8</t>
    </r>
  </si>
  <si>
    <r>
      <t xml:space="preserve">rung </t>
    </r>
    <r>
      <rPr>
        <vertAlign val="superscript"/>
        <sz val="11"/>
        <rFont val="Arial"/>
        <family val="2"/>
      </rPr>
      <t>1</t>
    </r>
  </si>
  <si>
    <r>
      <t xml:space="preserve">praktiker </t>
    </r>
    <r>
      <rPr>
        <vertAlign val="superscript"/>
        <sz val="11"/>
        <rFont val="Arial"/>
        <family val="2"/>
      </rPr>
      <t>2</t>
    </r>
  </si>
  <si>
    <r>
      <t xml:space="preserve">FMH </t>
    </r>
    <r>
      <rPr>
        <vertAlign val="superscript"/>
        <sz val="11"/>
        <rFont val="Arial"/>
        <family val="2"/>
      </rPr>
      <t>3</t>
    </r>
  </si>
  <si>
    <r>
      <t xml:space="preserve">tigkeit </t>
    </r>
    <r>
      <rPr>
        <vertAlign val="superscript"/>
        <sz val="11"/>
        <rFont val="Arial"/>
        <family val="2"/>
      </rPr>
      <t>4</t>
    </r>
  </si>
  <si>
    <r>
      <t xml:space="preserve">T 3.03 Kantonale monatliche Durchschnittsprämien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für junge Erwachsene </t>
    </r>
    <r>
      <rPr>
        <b/>
        <vertAlign val="superscript"/>
        <sz val="12"/>
        <rFont val="Arial"/>
        <family val="2"/>
      </rPr>
      <t>2)</t>
    </r>
    <r>
      <rPr>
        <b/>
        <sz val="12"/>
        <rFont val="Arial"/>
        <family val="2"/>
      </rPr>
      <t xml:space="preserve"> (19 – 25 Jahre)</t>
    </r>
  </si>
  <si>
    <t>in %</t>
  </si>
  <si>
    <t>1) Vgl. Fussnote 1) von Tabelle 3.01 sowie Fussnote 2) von Tabelle 3.03.</t>
  </si>
  <si>
    <t>3) Schätzung: Veränderungen 1996/97 der Durchschnittsprämien der Erwachsenen. Die Werte für 1996 / 97 wurden revidiert.</t>
  </si>
  <si>
    <r>
      <t xml:space="preserve">T 3.04 Kantonale Durchschnittsprämien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für junge Erwachsene: Vorjahresveränderungen in % ab 1996</t>
    </r>
  </si>
  <si>
    <r>
      <t>1996</t>
    </r>
    <r>
      <rPr>
        <vertAlign val="superscript"/>
        <sz val="11"/>
        <rFont val="Arial"/>
        <family val="2"/>
      </rPr>
      <t xml:space="preserve">2) </t>
    </r>
    <r>
      <rPr>
        <sz val="11"/>
        <rFont val="Arial"/>
        <family val="2"/>
      </rPr>
      <t>/ 97</t>
    </r>
  </si>
  <si>
    <r>
      <t xml:space="preserve">T 3.05 Kantonale monatliche Durchschnittsprämien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für Kinder (0 – 18 Jahre) in Fr. ab 1996</t>
    </r>
  </si>
  <si>
    <r>
      <t xml:space="preserve">T 3.06 Kantonale Durchschnittsprämien </t>
    </r>
    <r>
      <rPr>
        <b/>
        <vertAlign val="superscript"/>
        <sz val="12"/>
        <rFont val="Arial"/>
        <family val="2"/>
      </rPr>
      <t>1)</t>
    </r>
    <r>
      <rPr>
        <b/>
        <sz val="12"/>
        <rFont val="Arial"/>
        <family val="2"/>
      </rPr>
      <t xml:space="preserve"> für Kinder: Vorjahresveränderungen in % ab 1996</t>
    </r>
  </si>
  <si>
    <t xml:space="preserve">T 3.07  Verteilung der monatlichen Durchschnittsprämien 1) </t>
  </si>
  <si>
    <t>der Versicherten sind unterhalb dieser Prämie</t>
  </si>
  <si>
    <t>der Versicherten sind unterhalb und oberhalb dieser Prämie</t>
  </si>
  <si>
    <t>der Versicherten sind oberhalb dieser Prämie</t>
  </si>
  <si>
    <t>Schätzung basierend auf den Prämien 2003 und der Aufteilung der Versicherten 2001</t>
  </si>
  <si>
    <t xml:space="preserve">T 3.08  Verteilung der monatlichen Durchschnittsprämien 1) </t>
  </si>
  <si>
    <t xml:space="preserve">T 3.09  Verteilung der monatlichen Durchschnittsprämien 1) </t>
  </si>
  <si>
    <t>T 4.01 Anzahl BezügerInnen, BezügerInnen-Quoten, Haushalte sowie Subvention nach KVG ab 1996</t>
  </si>
  <si>
    <t>Bezüger-</t>
  </si>
  <si>
    <t>Subvention</t>
  </si>
  <si>
    <t>Innen-</t>
  </si>
  <si>
    <t>Haus-</t>
  </si>
  <si>
    <t>nach KVG</t>
  </si>
  <si>
    <t>Innen</t>
  </si>
  <si>
    <t>halte</t>
  </si>
  <si>
    <t>pro Haushalt</t>
  </si>
  <si>
    <t>pro Bezüger</t>
  </si>
  <si>
    <t>1) Angaben zu BezügerInnen und subventionierten Haushalten der Jahre 1996 und 1997 teilweise unvollständig.</t>
  </si>
  <si>
    <t>2) Anzahl BezügerInnen in Prozent der mittleren Wohnbevölkerung des entsprechenden Berichtsjahres.</t>
  </si>
  <si>
    <r>
      <t xml:space="preserve">quote </t>
    </r>
    <r>
      <rPr>
        <vertAlign val="superscript"/>
        <sz val="11"/>
        <rFont val="Arial"/>
        <family val="2"/>
      </rPr>
      <t>2)</t>
    </r>
  </si>
  <si>
    <t>Männliche</t>
  </si>
  <si>
    <t>Weibliche</t>
  </si>
  <si>
    <t>Personen</t>
  </si>
  <si>
    <t>1) Anzahl Personen, an welche im Berichtsjahr eine Prämienverbilligung nach KVG ausbezahlt wurde.</t>
  </si>
  <si>
    <t>2) Anzahl Personen in % der mittleren Wohnbevölkerung des Berichtsjahres.</t>
  </si>
  <si>
    <t>3) Ohne EL–BezügerInnen.</t>
  </si>
  <si>
    <t>4) Schätzung des Kantons.</t>
  </si>
  <si>
    <r>
      <t xml:space="preserve">BezügerInnen </t>
    </r>
    <r>
      <rPr>
        <vertAlign val="superscript"/>
        <sz val="11"/>
        <rFont val="Arial"/>
        <family val="2"/>
      </rPr>
      <t>1)</t>
    </r>
  </si>
  <si>
    <r>
      <t xml:space="preserve">BezügerInnenquoten </t>
    </r>
    <r>
      <rPr>
        <vertAlign val="superscript"/>
        <sz val="11"/>
        <rFont val="Arial"/>
        <family val="2"/>
      </rPr>
      <t>2)</t>
    </r>
  </si>
  <si>
    <r>
      <t xml:space="preserve">SO </t>
    </r>
    <r>
      <rPr>
        <vertAlign val="superscript"/>
        <sz val="11"/>
        <rFont val="Arial"/>
        <family val="2"/>
      </rPr>
      <t>3)</t>
    </r>
  </si>
  <si>
    <r>
      <t xml:space="preserve">BL </t>
    </r>
    <r>
      <rPr>
        <vertAlign val="superscript"/>
        <sz val="11"/>
        <rFont val="Arial"/>
        <family val="2"/>
      </rPr>
      <t>4)</t>
    </r>
  </si>
  <si>
    <r>
      <t xml:space="preserve">VS </t>
    </r>
    <r>
      <rPr>
        <vertAlign val="superscript"/>
        <sz val="11"/>
        <rFont val="Arial"/>
        <family val="2"/>
      </rPr>
      <t>4)</t>
    </r>
  </si>
  <si>
    <t>Altersgruppe</t>
  </si>
  <si>
    <t>total</t>
  </si>
  <si>
    <t>0 – 5</t>
  </si>
  <si>
    <t>6 – 10</t>
  </si>
  <si>
    <t>11 – 15</t>
  </si>
  <si>
    <t>16 – 18</t>
  </si>
  <si>
    <t>19 – 20</t>
  </si>
  <si>
    <t>20 – 25</t>
  </si>
  <si>
    <t>26 – 30</t>
  </si>
  <si>
    <t>31 – 35</t>
  </si>
  <si>
    <t>36 – 40</t>
  </si>
  <si>
    <t>41 – 45</t>
  </si>
  <si>
    <t>46 – 50</t>
  </si>
  <si>
    <t>51 – 55</t>
  </si>
  <si>
    <t>56 – 60</t>
  </si>
  <si>
    <t>61 – 65</t>
  </si>
  <si>
    <t>66 – 70</t>
  </si>
  <si>
    <t>71 – 75</t>
  </si>
  <si>
    <t>76 – 80</t>
  </si>
  <si>
    <t>81 – 85</t>
  </si>
  <si>
    <t>86 – 90</t>
  </si>
  <si>
    <t>91 – 95</t>
  </si>
  <si>
    <t>96 und mehr</t>
  </si>
  <si>
    <t>Alter unbekannt</t>
  </si>
  <si>
    <t>Haushaltgrösse gemäss Anzahl Haushaltsmitglieder</t>
  </si>
  <si>
    <t>Haushalte</t>
  </si>
  <si>
    <t>1 Person</t>
  </si>
  <si>
    <t>2 Perso-</t>
  </si>
  <si>
    <t>3 Perso-</t>
  </si>
  <si>
    <t>4 Perso-</t>
  </si>
  <si>
    <t>5 Perso-</t>
  </si>
  <si>
    <t>Haushalts-</t>
  </si>
  <si>
    <t>nen</t>
  </si>
  <si>
    <t>nen und</t>
  </si>
  <si>
    <t>grösse un-</t>
  </si>
  <si>
    <t>gegen.</t>
  </si>
  <si>
    <t>mehr</t>
  </si>
  <si>
    <t>bekannt</t>
  </si>
  <si>
    <t>1) Anzahl subventionierte Haushalte im Sinne von steuerrechtlichen Einheiten.</t>
  </si>
  <si>
    <t>2) Ohne EL-BezügerInnen.</t>
  </si>
  <si>
    <r>
      <t xml:space="preserve">FR </t>
    </r>
    <r>
      <rPr>
        <vertAlign val="superscript"/>
        <sz val="11"/>
        <rFont val="Arial"/>
        <family val="2"/>
      </rPr>
      <t>2)</t>
    </r>
  </si>
  <si>
    <r>
      <t xml:space="preserve">SO </t>
    </r>
    <r>
      <rPr>
        <vertAlign val="superscript"/>
        <sz val="11"/>
        <rFont val="Arial"/>
        <family val="2"/>
      </rPr>
      <t>2)</t>
    </r>
  </si>
  <si>
    <t>Ausbezahlter Jahresbetrag</t>
  </si>
  <si>
    <t>1 - 600</t>
  </si>
  <si>
    <t>601 -</t>
  </si>
  <si>
    <t>1'201 -</t>
  </si>
  <si>
    <t>2'401 -</t>
  </si>
  <si>
    <t>3'601 -</t>
  </si>
  <si>
    <t>Jahresbe-</t>
  </si>
  <si>
    <t>Fr.</t>
  </si>
  <si>
    <t>1'200 Fr.</t>
  </si>
  <si>
    <t>2'400 Fr.</t>
  </si>
  <si>
    <t>3'600 Fr.</t>
  </si>
  <si>
    <t>4'800 Fr.</t>
  </si>
  <si>
    <t>trag un-</t>
  </si>
  <si>
    <r>
      <t xml:space="preserve">Obergrenze des Massgebenden Einkommens </t>
    </r>
    <r>
      <rPr>
        <sz val="11"/>
        <rFont val="Arial"/>
        <family val="2"/>
      </rPr>
      <t>in Fr.</t>
    </r>
  </si>
  <si>
    <t>Hauhaltsvorstand alleinstehend/alleinerziehend</t>
  </si>
  <si>
    <t>Hauhaltsvorstand verheiratet</t>
  </si>
  <si>
    <t>Keine</t>
  </si>
  <si>
    <t>1 Kind</t>
  </si>
  <si>
    <t>2 Kinder</t>
  </si>
  <si>
    <t>3 Kinder</t>
  </si>
  <si>
    <t>1) Das massgebende Einkommen entspricht einem je nach Kanton definierten Einkommen, meist "steuerbares Einkommen" aber auch "Reineinkommen"</t>
  </si>
  <si>
    <t>oder "Effektives Einkommen", zuzüglich einem bestimmten Anteil des Vermögens (meist "steuerbares Vermögen" oder "Reinvermögen").</t>
  </si>
  <si>
    <t xml:space="preserve">T 4.07 Maximale, budgetierte und ausbezahlte Subventionen ab 1996 </t>
  </si>
  <si>
    <t>Subven-</t>
  </si>
  <si>
    <t>Reduktions-</t>
  </si>
  <si>
    <t>Subventions-</t>
  </si>
  <si>
    <t>Ausbezahlte</t>
  </si>
  <si>
    <r>
      <t xml:space="preserve">tionsziel </t>
    </r>
    <r>
      <rPr>
        <vertAlign val="superscript"/>
        <sz val="11"/>
        <rFont val="Arial"/>
        <family val="2"/>
      </rPr>
      <t>1)</t>
    </r>
  </si>
  <si>
    <r>
      <t xml:space="preserve">faktor </t>
    </r>
    <r>
      <rPr>
        <vertAlign val="superscript"/>
        <sz val="11"/>
        <rFont val="Arial"/>
        <family val="2"/>
      </rPr>
      <t>2)</t>
    </r>
    <r>
      <rPr>
        <sz val="11"/>
        <rFont val="Arial"/>
        <family val="2"/>
      </rPr>
      <t xml:space="preserve"> :</t>
    </r>
  </si>
  <si>
    <t>budget nach</t>
  </si>
  <si>
    <t>Subventionen</t>
  </si>
  <si>
    <t>Durchschnitt</t>
  </si>
  <si>
    <r>
      <t xml:space="preserve">Kürzungen </t>
    </r>
    <r>
      <rPr>
        <vertAlign val="superscript"/>
        <sz val="11"/>
        <rFont val="Arial"/>
        <family val="2"/>
      </rPr>
      <t>3)</t>
    </r>
  </si>
  <si>
    <r>
      <t xml:space="preserve">nach KVG </t>
    </r>
    <r>
      <rPr>
        <vertAlign val="superscript"/>
        <sz val="11"/>
        <rFont val="Arial"/>
        <family val="2"/>
      </rPr>
      <t>4)</t>
    </r>
  </si>
  <si>
    <t xml:space="preserve">CH </t>
  </si>
  <si>
    <t>1) Maximaler Subventionsbetrag von Bund und Kantonen gemäss KVG-Verteilmodell (vgl. Art. 106 KVG).</t>
  </si>
  <si>
    <t>2) Vgl. Art. 66 Abs. 5 KVG: "Der Kanton darf den (...) von ihm zu übernehmenden Betrag um maximal 50 Prozent kürzen, wenn</t>
  </si>
  <si>
    <t>die Prämienverbilligung für Versicherte in bescheidenen wirtschaftlichen Verhältnissen trotzdem sichergestellt ist. Der Beitrag</t>
  </si>
  <si>
    <t>des Bundes an diesen Kanton wird im gleichen Verhältnis gekürzt".</t>
  </si>
  <si>
    <t>3) Subventionsbudget = maximaler Subventionsbetrag abzüglich der Kürzungsbeträge von Kantonen und Bund (vgl. Fussnote 2).</t>
  </si>
  <si>
    <t>4) Effektiv im Berichtsjahr an die Haushalte/BezügerInnen ausbezahlte Prämienverbilligungen nach KVG.</t>
  </si>
  <si>
    <t>Mittlere</t>
  </si>
  <si>
    <t>Index der</t>
  </si>
  <si>
    <t>Prämien-</t>
  </si>
  <si>
    <t>Wohnbe-</t>
  </si>
  <si>
    <t>Finanz-</t>
  </si>
  <si>
    <t>index KV</t>
  </si>
  <si>
    <t>Bundes-</t>
  </si>
  <si>
    <t>Kantons-</t>
  </si>
  <si>
    <t>völkerung</t>
  </si>
  <si>
    <t>T 9.08 Details des Finanzierungssaldos in Millionen Fr.</t>
  </si>
  <si>
    <t>Krankenversicherung *</t>
  </si>
  <si>
    <t>Krankenversicherer</t>
  </si>
  <si>
    <t xml:space="preserve">  a) Leistungen der Krankenversicherer I ***</t>
  </si>
  <si>
    <t>Zusatzversicherungen VVG der Privatversicherer</t>
  </si>
  <si>
    <t xml:space="preserve">  b) Übriger Aufwand</t>
  </si>
  <si>
    <t xml:space="preserve">Grundversicherung KVG </t>
  </si>
  <si>
    <t>Zusatzversicherungen VVG der Privatversicherer **</t>
  </si>
  <si>
    <t xml:space="preserve">  c) Leistungen II (=a+b)</t>
  </si>
  <si>
    <t xml:space="preserve">  d) Verwaltungskosten (inkl. Prävention) </t>
  </si>
  <si>
    <t xml:space="preserve">  e) Leistungen III (=c+d)</t>
  </si>
  <si>
    <t xml:space="preserve">  f) Kostenbeteiligung</t>
  </si>
  <si>
    <t xml:space="preserve">  g) Gesamtleistungen IV (=e+f)</t>
  </si>
  <si>
    <t xml:space="preserve">  h) Prämien der Haushalte ***</t>
  </si>
  <si>
    <t xml:space="preserve">  i) Gesamtbeitrag (=h+f)</t>
  </si>
  <si>
    <t>j) Finanzierungssaldo (=e-h oder g-i)</t>
  </si>
  <si>
    <t xml:space="preserve">a) Leistungen gemäss Rechnungen BSV und BPV </t>
  </si>
  <si>
    <t>b) Übriger Aufwand wie in Kosten des Gesundheitsw. BFS, gemäss Rechn. BSV (Pos. 34) und Schätzungskorrekturen</t>
  </si>
  <si>
    <t>d) Gemäss Kosten des Gesundheitswesens BFS</t>
  </si>
  <si>
    <t>f) Gemäss Rechnungen BSV, keine Informationen für Privatversicherer</t>
  </si>
  <si>
    <t>h) Gemäss Rechnungen BSV (Grundversicherung KVG) und BPV (Zusatzversicherungen VVG)</t>
  </si>
  <si>
    <t xml:space="preserve">j) Finanzierungssaldo: Differenz zwischen den Leistungen III der Versicherer an das </t>
  </si>
  <si>
    <t xml:space="preserve">    Gesundheitswesen und den Prämieneinzahlungen der Haushalte</t>
  </si>
  <si>
    <t xml:space="preserve">    Aus der Sicht des Finanzgleichgewichts handelt es sich um die Kapitaleinkommen, die ausserordentlichen </t>
  </si>
  <si>
    <t xml:space="preserve">    Einkommen, die Gewinne und die Veränderungen von Reserven.</t>
  </si>
  <si>
    <t xml:space="preserve">    Ein positiver Saldo bedeutet grundätzlich einen Abbau, ein negativer Saldo eine Erhöhung der Reserven.</t>
  </si>
  <si>
    <t>* Ohne Taggelder (für Verdienstausfall) KVG oder VVG</t>
  </si>
  <si>
    <t>** Schätzung: ~ 20% der Leistungen der Privatversicherer (Quelle BPV), basierend auf dem 1998-99 festgestellten</t>
  </si>
  <si>
    <t xml:space="preserve">       Verhältnis "Verwaltungskosten + Prävention / Leistungen " für die Zusatzversicherungen der KVG-Versicherer</t>
  </si>
  <si>
    <t>*** Schätzungen für Zusatzversicherungen 1996 ohne Taggelder</t>
  </si>
  <si>
    <t>kraft</t>
  </si>
  <si>
    <t>beiträge</t>
  </si>
  <si>
    <t>Beiträge</t>
  </si>
  <si>
    <t>in % der</t>
  </si>
  <si>
    <t>1) vgl. Art. 66 Abs. 3 KVG: "Der Bundesrat setzt die Anteile der einzelnen Kantone am Bundesbeitrag nach deren Wohnbevöl-</t>
  </si>
  <si>
    <t>kerung und deren Finanzkraft fest. Er kann die durchschnittlichen Prämien der obligatorischen Krankenpflegeversicherung in</t>
  </si>
  <si>
    <t>den einzelnen Kantonen berücksichtigen".</t>
  </si>
  <si>
    <t>Reduk-</t>
  </si>
  <si>
    <t>In %</t>
  </si>
  <si>
    <t>tions-</t>
  </si>
  <si>
    <t>beitrag</t>
  </si>
  <si>
    <t>Beitrag</t>
  </si>
  <si>
    <t>des Totals</t>
  </si>
  <si>
    <t>nach Re-</t>
  </si>
  <si>
    <t xml:space="preserve">duktion </t>
  </si>
  <si>
    <t>vor Re-</t>
  </si>
  <si>
    <t>1) vgl. Art. 66 Abs. 5 KVG: "Der Kanton darf den (...) von ihm zu übernehmenden Betrag um maximal 50 Prozent kürzen, wenn</t>
  </si>
  <si>
    <r>
      <t xml:space="preserve">nach KVG </t>
    </r>
    <r>
      <rPr>
        <vertAlign val="superscript"/>
        <sz val="11"/>
        <rFont val="Arial"/>
        <family val="2"/>
      </rPr>
      <t>1)</t>
    </r>
  </si>
  <si>
    <t>und früher</t>
  </si>
  <si>
    <t>1) Effektiv im Berichtsjahr an die Haushalte/BezügerInnen ausbezahlte Prämienverbilligungen nach KVG.</t>
  </si>
  <si>
    <t>No.</t>
  </si>
  <si>
    <t>Nom de l'assureur</t>
  </si>
  <si>
    <t>Effectif</t>
  </si>
  <si>
    <t>Recettes</t>
  </si>
  <si>
    <t>Primes</t>
  </si>
  <si>
    <t>Compens.</t>
  </si>
  <si>
    <t>Prestations</t>
  </si>
  <si>
    <t>Frais admin.</t>
  </si>
  <si>
    <t>Résultat</t>
  </si>
  <si>
    <t>Etat des</t>
  </si>
  <si>
    <t>Réserves</t>
  </si>
  <si>
    <t>OFAS</t>
  </si>
  <si>
    <t xml:space="preserve"> des assurés</t>
  </si>
  <si>
    <t>totales</t>
  </si>
  <si>
    <t>en millions</t>
  </si>
  <si>
    <t xml:space="preserve">des risques </t>
  </si>
  <si>
    <t xml:space="preserve"> des assu-</t>
  </si>
  <si>
    <t>+ amortisse-</t>
  </si>
  <si>
    <t xml:space="preserve"> global par</t>
  </si>
  <si>
    <t>provisions</t>
  </si>
  <si>
    <t>réserves</t>
  </si>
  <si>
    <t>en % des</t>
  </si>
  <si>
    <t>de francs</t>
  </si>
  <si>
    <t>reurs-maladie</t>
  </si>
  <si>
    <t>Datenstand: 12.5.2003</t>
  </si>
  <si>
    <t>ments en</t>
  </si>
  <si>
    <t>ments par</t>
  </si>
  <si>
    <t>personne</t>
  </si>
  <si>
    <t>par personne</t>
  </si>
  <si>
    <t>primes</t>
  </si>
  <si>
    <t>recettes</t>
  </si>
  <si>
    <t xml:space="preserve"> % des</t>
  </si>
  <si>
    <t>assurée</t>
  </si>
  <si>
    <t>dépenses</t>
  </si>
  <si>
    <t>en francs</t>
  </si>
  <si>
    <t>5 / 1</t>
  </si>
  <si>
    <t>6 / 1</t>
  </si>
  <si>
    <t>8 / 1</t>
  </si>
  <si>
    <t>9 / 1</t>
  </si>
  <si>
    <t>9 / 3</t>
  </si>
  <si>
    <t>CSS Versicherung</t>
  </si>
  <si>
    <t>Krankenkasse Aquilana</t>
  </si>
  <si>
    <t xml:space="preserve">Krankenkasse 57 </t>
  </si>
  <si>
    <t>SUPRA Krankenkasse</t>
  </si>
  <si>
    <t>Dorfkrankenkasse Hätzingen-Luchsingen</t>
  </si>
  <si>
    <t>Krankenkasse Unitas</t>
  </si>
  <si>
    <t xml:space="preserve">Kranken- und Unfallkasse Einsiedeln </t>
  </si>
  <si>
    <t>Krankenkasse Fonction publique</t>
  </si>
  <si>
    <t>Kranken- und Unfallkasse Rothenburg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</si>
</sst>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"/>
  </numFmts>
  <fonts count="54">
    <font>
      <sz val="10"/>
      <name val="55 Helvetica Roman"/>
    </font>
    <font>
      <sz val="12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name val="55 Helvetica Roman"/>
    </font>
    <font>
      <b/>
      <sz val="14"/>
      <name val="Arial"/>
      <family val="2"/>
    </font>
    <font>
      <sz val="9"/>
      <name val="Arial"/>
      <family val="2"/>
    </font>
    <font>
      <b/>
      <i/>
      <sz val="18"/>
      <name val="Arial"/>
      <family val="2"/>
    </font>
    <font>
      <i/>
      <sz val="12"/>
      <name val="55 Helvetica Roman"/>
    </font>
    <font>
      <b/>
      <i/>
      <sz val="12"/>
      <name val="Arial"/>
      <family val="2"/>
    </font>
    <font>
      <sz val="12"/>
      <name val="55 Helvetica Roman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vertAlign val="superscript"/>
      <sz val="11"/>
      <name val="Arial"/>
      <family val="2"/>
    </font>
    <font>
      <i/>
      <sz val="10"/>
      <name val="Arial"/>
      <family val="2"/>
    </font>
    <font>
      <b/>
      <sz val="20"/>
      <name val="55 Helvetica Roman"/>
    </font>
    <font>
      <b/>
      <i/>
      <sz val="22"/>
      <name val="Arial"/>
      <family val="2"/>
    </font>
    <font>
      <sz val="12"/>
      <color indexed="8"/>
      <name val="Arial"/>
      <family val="2"/>
    </font>
    <font>
      <i/>
      <sz val="11"/>
      <name val="55 Helvetica Roman"/>
    </font>
    <font>
      <sz val="10"/>
      <name val="Tms Rmn"/>
    </font>
    <font>
      <sz val="8"/>
      <name val="Tms Rmn"/>
    </font>
    <font>
      <b/>
      <sz val="12"/>
      <name val="Times New Roman"/>
      <family val="1"/>
    </font>
    <font>
      <b/>
      <sz val="10"/>
      <name val="Tms Rmn"/>
    </font>
    <font>
      <b/>
      <i/>
      <sz val="10"/>
      <name val="Tms Rmn"/>
    </font>
    <font>
      <sz val="8"/>
      <color indexed="12"/>
      <name val="Tms Rmn"/>
    </font>
    <font>
      <sz val="8"/>
      <color indexed="10"/>
      <name val="Tms Rmn"/>
    </font>
    <font>
      <sz val="10"/>
      <color indexed="10"/>
      <name val="Tms Rmn"/>
    </font>
    <font>
      <sz val="8"/>
      <color indexed="20"/>
      <name val="Tms Rmn"/>
    </font>
    <font>
      <sz val="8"/>
      <color indexed="52"/>
      <name val="Tms Rmn"/>
    </font>
    <font>
      <sz val="8"/>
      <color indexed="53"/>
      <name val="Tms Rmn"/>
    </font>
    <font>
      <sz val="8"/>
      <color indexed="50"/>
      <name val="Tms Rmn"/>
    </font>
    <font>
      <b/>
      <sz val="10"/>
      <color indexed="12"/>
      <name val="Tms Rmn"/>
    </font>
    <font>
      <sz val="9"/>
      <name val="Tms Rmn"/>
    </font>
    <font>
      <sz val="10"/>
      <name val="Times New Roman"/>
      <family val="1"/>
    </font>
    <font>
      <sz val="10"/>
      <color indexed="56"/>
      <name val="Tms Rmn"/>
    </font>
    <font>
      <b/>
      <sz val="10"/>
      <color indexed="56"/>
      <name val="Tms Rmn"/>
    </font>
    <font>
      <b/>
      <sz val="10"/>
      <color indexed="17"/>
      <name val="Tms Rmn"/>
    </font>
    <font>
      <b/>
      <sz val="10"/>
      <color indexed="52"/>
      <name val="Tms Rmn"/>
    </font>
    <font>
      <sz val="10"/>
      <color indexed="20"/>
      <name val="Tms Rmn"/>
    </font>
    <font>
      <sz val="8"/>
      <color indexed="17"/>
      <name val="Tms Rmn"/>
    </font>
    <font>
      <sz val="10"/>
      <color indexed="14"/>
      <name val="Tms Rmn"/>
    </font>
    <font>
      <sz val="8"/>
      <color indexed="14"/>
      <name val="Tms Rmn"/>
    </font>
    <font>
      <b/>
      <sz val="10"/>
      <color indexed="10"/>
      <name val="Tms Rmn"/>
    </font>
    <font>
      <b/>
      <sz val="8"/>
      <color indexed="10"/>
      <name val="Tms Rmn"/>
    </font>
    <font>
      <b/>
      <sz val="10"/>
      <color indexed="50"/>
      <name val="Tms Rmn"/>
    </font>
    <font>
      <i/>
      <sz val="10"/>
      <name val="Times New Roman"/>
      <family val="1"/>
    </font>
    <font>
      <i/>
      <sz val="11"/>
      <name val="Arial"/>
      <family val="2"/>
    </font>
    <font>
      <b/>
      <sz val="10"/>
      <color indexed="9"/>
      <name val="55 Helvetica Roman"/>
    </font>
  </fonts>
  <fills count="10">
    <fill>
      <patternFill patternType="none"/>
    </fill>
    <fill>
      <patternFill patternType="gray125"/>
    </fill>
    <fill>
      <patternFill patternType="lightGray">
        <fgColor indexed="22"/>
        <bgColor indexed="22"/>
      </patternFill>
    </fill>
    <fill>
      <patternFill patternType="solid">
        <fgColor indexed="47"/>
        <b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9"/>
      </top>
      <bottom style="medium">
        <color indexed="64"/>
      </bottom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 style="medium">
        <color indexed="9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8"/>
      </top>
      <bottom style="medium">
        <color indexed="9"/>
      </bottom>
      <diagonal/>
    </border>
    <border>
      <left style="medium">
        <color indexed="64"/>
      </left>
      <right/>
      <top style="thin">
        <color indexed="8"/>
      </top>
      <bottom style="medium">
        <color indexed="9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9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9"/>
      </bottom>
      <diagonal/>
    </border>
    <border>
      <left/>
      <right style="medium">
        <color indexed="64"/>
      </right>
      <top/>
      <bottom style="medium">
        <color indexed="9"/>
      </bottom>
      <diagonal/>
    </border>
    <border>
      <left style="medium">
        <color indexed="64"/>
      </left>
      <right/>
      <top style="medium">
        <color indexed="9"/>
      </top>
      <bottom style="medium">
        <color indexed="9"/>
      </bottom>
      <diagonal/>
    </border>
    <border>
      <left style="medium">
        <color indexed="64"/>
      </left>
      <right/>
      <top/>
      <bottom style="medium">
        <color indexed="9"/>
      </bottom>
      <diagonal/>
    </border>
    <border>
      <left style="medium">
        <color indexed="64"/>
      </left>
      <right/>
      <top style="medium">
        <color indexed="9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5" fillId="0" borderId="0"/>
    <xf numFmtId="0" fontId="25" fillId="0" borderId="0"/>
    <xf numFmtId="0" fontId="25" fillId="0" borderId="0"/>
  </cellStyleXfs>
  <cellXfs count="871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4" fillId="2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6" fillId="0" borderId="0" xfId="0" applyFont="1"/>
    <xf numFmtId="0" fontId="4" fillId="2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3" fontId="4" fillId="4" borderId="0" xfId="0" applyNumberFormat="1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4" fillId="2" borderId="2" xfId="0" applyFont="1" applyFill="1" applyBorder="1" applyAlignment="1">
      <alignment horizontal="left" vertical="top"/>
    </xf>
    <xf numFmtId="0" fontId="4" fillId="3" borderId="2" xfId="0" applyFont="1" applyFill="1" applyBorder="1" applyAlignment="1">
      <alignment horizontal="right" vertical="top"/>
    </xf>
    <xf numFmtId="0" fontId="4" fillId="2" borderId="2" xfId="0" applyFont="1" applyFill="1" applyBorder="1" applyAlignment="1">
      <alignment horizontal="right" vertical="top"/>
    </xf>
    <xf numFmtId="0" fontId="4" fillId="4" borderId="2" xfId="0" applyFont="1" applyFill="1" applyBorder="1" applyAlignment="1">
      <alignment horizontal="right" vertical="top"/>
    </xf>
    <xf numFmtId="0" fontId="4" fillId="2" borderId="3" xfId="0" quotePrefix="1" applyFont="1" applyFill="1" applyBorder="1" applyAlignment="1">
      <alignment horizontal="left"/>
    </xf>
    <xf numFmtId="3" fontId="4" fillId="3" borderId="3" xfId="0" applyNumberFormat="1" applyFont="1" applyFill="1" applyBorder="1" applyAlignment="1">
      <alignment horizontal="right"/>
    </xf>
    <xf numFmtId="0" fontId="4" fillId="2" borderId="3" xfId="0" quotePrefix="1" applyFont="1" applyFill="1" applyBorder="1" applyAlignment="1">
      <alignment horizontal="right"/>
    </xf>
    <xf numFmtId="3" fontId="4" fillId="4" borderId="3" xfId="0" applyNumberFormat="1" applyFont="1" applyFill="1" applyBorder="1" applyAlignment="1">
      <alignment horizontal="right"/>
    </xf>
    <xf numFmtId="3" fontId="4" fillId="4" borderId="3" xfId="0" applyNumberFormat="1" applyFont="1" applyFill="1" applyBorder="1"/>
    <xf numFmtId="3" fontId="6" fillId="0" borderId="0" xfId="0" applyNumberFormat="1" applyFont="1"/>
    <xf numFmtId="0" fontId="4" fillId="2" borderId="4" xfId="0" quotePrefix="1" applyFont="1" applyFill="1" applyBorder="1" applyAlignment="1">
      <alignment horizontal="left"/>
    </xf>
    <xf numFmtId="3" fontId="4" fillId="3" borderId="4" xfId="0" applyNumberFormat="1" applyFont="1" applyFill="1" applyBorder="1" applyAlignment="1">
      <alignment horizontal="right"/>
    </xf>
    <xf numFmtId="0" fontId="4" fillId="2" borderId="4" xfId="0" quotePrefix="1" applyFont="1" applyFill="1" applyBorder="1" applyAlignment="1">
      <alignment horizontal="right"/>
    </xf>
    <xf numFmtId="3" fontId="4" fillId="4" borderId="4" xfId="0" applyNumberFormat="1" applyFont="1" applyFill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6" fillId="0" borderId="5" xfId="0" applyFont="1" applyBorder="1"/>
    <xf numFmtId="3" fontId="4" fillId="0" borderId="5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3" fontId="4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3" fontId="4" fillId="2" borderId="0" xfId="0" applyNumberFormat="1" applyFont="1" applyFill="1" applyAlignment="1">
      <alignment horizontal="right"/>
    </xf>
    <xf numFmtId="165" fontId="4" fillId="2" borderId="3" xfId="0" quotePrefix="1" applyNumberFormat="1" applyFont="1" applyFill="1" applyBorder="1" applyAlignment="1">
      <alignment horizontal="right"/>
    </xf>
    <xf numFmtId="165" fontId="4" fillId="2" borderId="4" xfId="0" quotePrefix="1" applyNumberFormat="1" applyFont="1" applyFill="1" applyBorder="1" applyAlignment="1">
      <alignment horizontal="right"/>
    </xf>
    <xf numFmtId="0" fontId="7" fillId="2" borderId="0" xfId="0" quotePrefix="1" applyFont="1" applyFill="1" applyAlignment="1">
      <alignment horizontal="left" vertical="center"/>
    </xf>
    <xf numFmtId="3" fontId="7" fillId="3" borderId="0" xfId="0" applyNumberFormat="1" applyFont="1" applyFill="1" applyAlignment="1">
      <alignment horizontal="right" vertical="center"/>
    </xf>
    <xf numFmtId="0" fontId="7" fillId="2" borderId="0" xfId="0" quotePrefix="1" applyFont="1" applyFill="1" applyAlignment="1">
      <alignment horizontal="right" vertical="center"/>
    </xf>
    <xf numFmtId="3" fontId="7" fillId="4" borderId="0" xfId="0" applyNumberFormat="1" applyFont="1" applyFill="1" applyAlignment="1">
      <alignment horizontal="right" vertical="center"/>
    </xf>
    <xf numFmtId="165" fontId="7" fillId="2" borderId="4" xfId="0" quotePrefix="1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right"/>
    </xf>
    <xf numFmtId="0" fontId="4" fillId="5" borderId="0" xfId="0" applyFont="1" applyFill="1" applyAlignment="1">
      <alignment horizontal="left"/>
    </xf>
    <xf numFmtId="0" fontId="4" fillId="5" borderId="0" xfId="0" applyFont="1" applyFill="1" applyAlignment="1">
      <alignment horizontal="right"/>
    </xf>
    <xf numFmtId="3" fontId="4" fillId="5" borderId="0" xfId="0" applyNumberFormat="1" applyFont="1" applyFill="1" applyAlignment="1">
      <alignment horizontal="right"/>
    </xf>
    <xf numFmtId="0" fontId="4" fillId="5" borderId="2" xfId="0" applyFont="1" applyFill="1" applyBorder="1" applyAlignment="1">
      <alignment horizontal="left" vertical="top"/>
    </xf>
    <xf numFmtId="0" fontId="4" fillId="5" borderId="2" xfId="0" applyFont="1" applyFill="1" applyBorder="1" applyAlignment="1">
      <alignment horizontal="right" vertical="top"/>
    </xf>
    <xf numFmtId="3" fontId="4" fillId="5" borderId="2" xfId="0" applyNumberFormat="1" applyFont="1" applyFill="1" applyBorder="1" applyAlignment="1">
      <alignment horizontal="right" vertical="top"/>
    </xf>
    <xf numFmtId="0" fontId="4" fillId="5" borderId="3" xfId="0" quotePrefix="1" applyFont="1" applyFill="1" applyBorder="1" applyAlignment="1">
      <alignment horizontal="left"/>
    </xf>
    <xf numFmtId="3" fontId="4" fillId="5" borderId="3" xfId="0" applyNumberFormat="1" applyFont="1" applyFill="1" applyBorder="1" applyAlignment="1">
      <alignment horizontal="right"/>
    </xf>
    <xf numFmtId="165" fontId="4" fillId="5" borderId="3" xfId="0" applyNumberFormat="1" applyFont="1" applyFill="1" applyBorder="1" applyAlignment="1">
      <alignment horizontal="right"/>
    </xf>
    <xf numFmtId="0" fontId="4" fillId="5" borderId="4" xfId="0" quotePrefix="1" applyFont="1" applyFill="1" applyBorder="1" applyAlignment="1">
      <alignment horizontal="left"/>
    </xf>
    <xf numFmtId="3" fontId="4" fillId="4" borderId="4" xfId="0" applyNumberFormat="1" applyFont="1" applyFill="1" applyBorder="1"/>
    <xf numFmtId="3" fontId="4" fillId="5" borderId="4" xfId="0" applyNumberFormat="1" applyFont="1" applyFill="1" applyBorder="1" applyAlignment="1">
      <alignment horizontal="right"/>
    </xf>
    <xf numFmtId="165" fontId="4" fillId="5" borderId="4" xfId="0" applyNumberFormat="1" applyFont="1" applyFill="1" applyBorder="1" applyAlignment="1">
      <alignment horizontal="right"/>
    </xf>
    <xf numFmtId="0" fontId="7" fillId="5" borderId="0" xfId="0" quotePrefix="1" applyFont="1" applyFill="1" applyAlignment="1">
      <alignment horizontal="left" vertical="center"/>
    </xf>
    <xf numFmtId="3" fontId="7" fillId="5" borderId="0" xfId="0" applyNumberFormat="1" applyFont="1" applyFill="1" applyAlignment="1">
      <alignment horizontal="right" vertical="center"/>
    </xf>
    <xf numFmtId="165" fontId="7" fillId="5" borderId="4" xfId="0" applyNumberFormat="1" applyFont="1" applyFill="1" applyBorder="1" applyAlignment="1">
      <alignment horizontal="right" vertical="center"/>
    </xf>
    <xf numFmtId="165" fontId="1" fillId="0" borderId="0" xfId="0" applyNumberFormat="1" applyFont="1"/>
    <xf numFmtId="165" fontId="4" fillId="4" borderId="1" xfId="0" applyNumberFormat="1" applyFont="1" applyFill="1" applyBorder="1" applyAlignment="1">
      <alignment horizontal="right"/>
    </xf>
    <xf numFmtId="0" fontId="4" fillId="5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65" fontId="4" fillId="4" borderId="0" xfId="0" applyNumberFormat="1" applyFont="1" applyFill="1" applyAlignment="1">
      <alignment horizontal="right"/>
    </xf>
    <xf numFmtId="0" fontId="4" fillId="5" borderId="2" xfId="0" applyFont="1" applyFill="1" applyBorder="1" applyAlignment="1">
      <alignment horizontal="center" vertical="top"/>
    </xf>
    <xf numFmtId="0" fontId="4" fillId="4" borderId="2" xfId="0" applyFont="1" applyFill="1" applyBorder="1" applyAlignment="1">
      <alignment horizontal="center" vertical="top"/>
    </xf>
    <xf numFmtId="165" fontId="4" fillId="4" borderId="2" xfId="0" applyNumberFormat="1" applyFont="1" applyFill="1" applyBorder="1" applyAlignment="1">
      <alignment horizontal="right" vertical="top"/>
    </xf>
    <xf numFmtId="0" fontId="4" fillId="5" borderId="3" xfId="0" applyFont="1" applyFill="1" applyBorder="1" applyAlignment="1">
      <alignment horizontal="left"/>
    </xf>
    <xf numFmtId="3" fontId="4" fillId="5" borderId="3" xfId="0" applyNumberFormat="1" applyFont="1" applyFill="1" applyBorder="1"/>
    <xf numFmtId="165" fontId="4" fillId="4" borderId="3" xfId="0" applyNumberFormat="1" applyFont="1" applyFill="1" applyBorder="1"/>
    <xf numFmtId="0" fontId="4" fillId="5" borderId="4" xfId="0" applyFont="1" applyFill="1" applyBorder="1" applyAlignment="1">
      <alignment horizontal="left"/>
    </xf>
    <xf numFmtId="3" fontId="4" fillId="5" borderId="4" xfId="0" applyNumberFormat="1" applyFont="1" applyFill="1" applyBorder="1"/>
    <xf numFmtId="165" fontId="4" fillId="4" borderId="4" xfId="0" applyNumberFormat="1" applyFont="1" applyFill="1" applyBorder="1"/>
    <xf numFmtId="0" fontId="4" fillId="5" borderId="4" xfId="0" applyFont="1" applyFill="1" applyBorder="1" applyAlignment="1">
      <alignment horizontal="left" vertical="center"/>
    </xf>
    <xf numFmtId="3" fontId="4" fillId="4" borderId="4" xfId="0" applyNumberFormat="1" applyFont="1" applyFill="1" applyBorder="1" applyAlignment="1">
      <alignment vertical="center"/>
    </xf>
    <xf numFmtId="3" fontId="4" fillId="5" borderId="4" xfId="0" applyNumberFormat="1" applyFont="1" applyFill="1" applyBorder="1" applyAlignment="1">
      <alignment vertical="center"/>
    </xf>
    <xf numFmtId="165" fontId="4" fillId="4" borderId="4" xfId="0" applyNumberFormat="1" applyFont="1" applyFill="1" applyBorder="1" applyAlignment="1">
      <alignment vertical="center"/>
    </xf>
    <xf numFmtId="165" fontId="4" fillId="4" borderId="4" xfId="0" applyNumberFormat="1" applyFont="1" applyFill="1" applyBorder="1" applyAlignment="1">
      <alignment horizontal="right" vertical="center"/>
    </xf>
    <xf numFmtId="0" fontId="7" fillId="5" borderId="0" xfId="0" applyFont="1" applyFill="1" applyAlignment="1">
      <alignment horizontal="left" vertical="center"/>
    </xf>
    <xf numFmtId="3" fontId="7" fillId="5" borderId="0" xfId="0" applyNumberFormat="1" applyFont="1" applyFill="1" applyAlignment="1">
      <alignment vertical="center"/>
    </xf>
    <xf numFmtId="165" fontId="7" fillId="4" borderId="0" xfId="0" applyNumberFormat="1" applyFont="1" applyFill="1" applyAlignment="1">
      <alignment horizontal="right" vertical="center"/>
    </xf>
    <xf numFmtId="0" fontId="8" fillId="0" borderId="0" xfId="0" applyFont="1"/>
    <xf numFmtId="165" fontId="6" fillId="0" borderId="5" xfId="0" applyNumberFormat="1" applyFont="1" applyBorder="1"/>
    <xf numFmtId="165" fontId="6" fillId="0" borderId="0" xfId="0" applyNumberFormat="1" applyFont="1"/>
    <xf numFmtId="0" fontId="4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/>
    </xf>
    <xf numFmtId="0" fontId="4" fillId="5" borderId="0" xfId="0" applyFont="1" applyFill="1" applyAlignment="1">
      <alignment horizontal="left" vertical="center"/>
    </xf>
    <xf numFmtId="0" fontId="4" fillId="4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165" fontId="4" fillId="5" borderId="3" xfId="0" applyNumberFormat="1" applyFont="1" applyFill="1" applyBorder="1"/>
    <xf numFmtId="16" fontId="4" fillId="5" borderId="4" xfId="0" applyNumberFormat="1" applyFont="1" applyFill="1" applyBorder="1" applyAlignment="1">
      <alignment horizontal="left"/>
    </xf>
    <xf numFmtId="165" fontId="4" fillId="5" borderId="3" xfId="0" applyNumberFormat="1" applyFont="1" applyFill="1" applyBorder="1" applyAlignment="1">
      <alignment vertical="center"/>
    </xf>
    <xf numFmtId="0" fontId="7" fillId="5" borderId="6" xfId="0" applyFont="1" applyFill="1" applyBorder="1" applyAlignment="1">
      <alignment horizontal="left" vertical="center"/>
    </xf>
    <xf numFmtId="3" fontId="7" fillId="4" borderId="7" xfId="0" applyNumberFormat="1" applyFont="1" applyFill="1" applyBorder="1" applyAlignment="1">
      <alignment vertical="center"/>
    </xf>
    <xf numFmtId="165" fontId="7" fillId="5" borderId="7" xfId="0" applyNumberFormat="1" applyFont="1" applyFill="1" applyBorder="1" applyAlignment="1">
      <alignment vertical="center"/>
    </xf>
    <xf numFmtId="3" fontId="4" fillId="5" borderId="1" xfId="0" applyNumberFormat="1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4" fillId="5" borderId="8" xfId="0" applyFont="1" applyFill="1" applyBorder="1" applyAlignment="1">
      <alignment vertical="top" wrapText="1"/>
    </xf>
    <xf numFmtId="3" fontId="4" fillId="4" borderId="8" xfId="0" applyNumberFormat="1" applyFont="1" applyFill="1" applyBorder="1"/>
    <xf numFmtId="3" fontId="4" fillId="5" borderId="8" xfId="0" applyNumberFormat="1" applyFont="1" applyFill="1" applyBorder="1"/>
    <xf numFmtId="165" fontId="4" fillId="4" borderId="8" xfId="0" applyNumberFormat="1" applyFont="1" applyFill="1" applyBorder="1"/>
    <xf numFmtId="165" fontId="4" fillId="5" borderId="8" xfId="0" applyNumberFormat="1" applyFont="1" applyFill="1" applyBorder="1"/>
    <xf numFmtId="0" fontId="4" fillId="5" borderId="9" xfId="0" applyFont="1" applyFill="1" applyBorder="1" applyAlignment="1">
      <alignment vertical="top"/>
    </xf>
    <xf numFmtId="3" fontId="4" fillId="4" borderId="9" xfId="0" applyNumberFormat="1" applyFont="1" applyFill="1" applyBorder="1"/>
    <xf numFmtId="3" fontId="4" fillId="5" borderId="9" xfId="0" applyNumberFormat="1" applyFont="1" applyFill="1" applyBorder="1"/>
    <xf numFmtId="165" fontId="4" fillId="4" borderId="9" xfId="0" applyNumberFormat="1" applyFont="1" applyFill="1" applyBorder="1"/>
    <xf numFmtId="165" fontId="4" fillId="5" borderId="9" xfId="0" applyNumberFormat="1" applyFont="1" applyFill="1" applyBorder="1"/>
    <xf numFmtId="0" fontId="4" fillId="5" borderId="0" xfId="0" applyFont="1" applyFill="1" applyAlignment="1">
      <alignment vertical="center"/>
    </xf>
    <xf numFmtId="3" fontId="7" fillId="4" borderId="0" xfId="0" applyNumberFormat="1" applyFont="1" applyFill="1" applyAlignment="1">
      <alignment vertical="center"/>
    </xf>
    <xf numFmtId="165" fontId="7" fillId="4" borderId="8" xfId="0" applyNumberFormat="1" applyFont="1" applyFill="1" applyBorder="1" applyAlignment="1">
      <alignment vertical="center"/>
    </xf>
    <xf numFmtId="165" fontId="7" fillId="5" borderId="8" xfId="0" applyNumberFormat="1" applyFont="1" applyFill="1" applyBorder="1" applyAlignment="1">
      <alignment vertical="center"/>
    </xf>
    <xf numFmtId="0" fontId="4" fillId="5" borderId="1" xfId="0" applyFont="1" applyFill="1" applyBorder="1"/>
    <xf numFmtId="3" fontId="4" fillId="4" borderId="1" xfId="0" applyNumberFormat="1" applyFont="1" applyFill="1" applyBorder="1" applyAlignment="1">
      <alignment horizontal="right"/>
    </xf>
    <xf numFmtId="0" fontId="6" fillId="0" borderId="0" xfId="0" applyFont="1" applyAlignment="1">
      <alignment horizontal="center"/>
    </xf>
    <xf numFmtId="0" fontId="4" fillId="5" borderId="0" xfId="0" applyFont="1" applyFill="1"/>
    <xf numFmtId="0" fontId="4" fillId="5" borderId="2" xfId="0" applyFont="1" applyFill="1" applyBorder="1"/>
    <xf numFmtId="3" fontId="4" fillId="4" borderId="2" xfId="0" applyNumberFormat="1" applyFont="1" applyFill="1" applyBorder="1" applyAlignment="1">
      <alignment horizontal="right"/>
    </xf>
    <xf numFmtId="3" fontId="4" fillId="5" borderId="2" xfId="0" applyNumberFormat="1" applyFont="1" applyFill="1" applyBorder="1" applyAlignment="1">
      <alignment horizontal="right"/>
    </xf>
    <xf numFmtId="0" fontId="4" fillId="5" borderId="3" xfId="0" applyFont="1" applyFill="1" applyBorder="1"/>
    <xf numFmtId="3" fontId="7" fillId="4" borderId="3" xfId="0" applyNumberFormat="1" applyFont="1" applyFill="1" applyBorder="1" applyAlignment="1">
      <alignment horizontal="right"/>
    </xf>
    <xf numFmtId="0" fontId="4" fillId="5" borderId="4" xfId="0" applyFont="1" applyFill="1" applyBorder="1"/>
    <xf numFmtId="3" fontId="7" fillId="4" borderId="4" xfId="0" applyNumberFormat="1" applyFont="1" applyFill="1" applyBorder="1" applyAlignment="1">
      <alignment horizontal="right"/>
    </xf>
    <xf numFmtId="166" fontId="4" fillId="4" borderId="4" xfId="0" applyNumberFormat="1" applyFont="1" applyFill="1" applyBorder="1" applyAlignment="1">
      <alignment horizontal="right"/>
    </xf>
    <xf numFmtId="166" fontId="4" fillId="5" borderId="4" xfId="0" applyNumberFormat="1" applyFont="1" applyFill="1" applyBorder="1" applyAlignment="1">
      <alignment horizontal="right"/>
    </xf>
    <xf numFmtId="166" fontId="7" fillId="4" borderId="4" xfId="0" applyNumberFormat="1" applyFont="1" applyFill="1" applyBorder="1" applyAlignment="1">
      <alignment horizontal="right"/>
    </xf>
    <xf numFmtId="164" fontId="4" fillId="4" borderId="4" xfId="0" applyNumberFormat="1" applyFont="1" applyFill="1" applyBorder="1" applyAlignment="1">
      <alignment horizontal="right"/>
    </xf>
    <xf numFmtId="166" fontId="4" fillId="4" borderId="0" xfId="0" applyNumberFormat="1" applyFont="1" applyFill="1" applyAlignment="1">
      <alignment horizontal="right" vertical="center"/>
    </xf>
    <xf numFmtId="166" fontId="4" fillId="5" borderId="0" xfId="0" applyNumberFormat="1" applyFont="1" applyFill="1" applyAlignment="1">
      <alignment horizontal="right" vertical="center"/>
    </xf>
    <xf numFmtId="166" fontId="7" fillId="4" borderId="0" xfId="0" applyNumberFormat="1" applyFont="1" applyFill="1" applyAlignment="1">
      <alignment horizontal="right" vertical="center"/>
    </xf>
    <xf numFmtId="3" fontId="6" fillId="0" borderId="5" xfId="0" applyNumberFormat="1" applyFont="1" applyBorder="1"/>
    <xf numFmtId="0" fontId="7" fillId="5" borderId="9" xfId="0" quotePrefix="1" applyFont="1" applyFill="1" applyBorder="1" applyAlignment="1">
      <alignment horizontal="left" vertical="center"/>
    </xf>
    <xf numFmtId="3" fontId="7" fillId="4" borderId="9" xfId="0" applyNumberFormat="1" applyFont="1" applyFill="1" applyBorder="1" applyAlignment="1">
      <alignment horizontal="right" vertical="center"/>
    </xf>
    <xf numFmtId="3" fontId="7" fillId="5" borderId="9" xfId="0" applyNumberFormat="1" applyFont="1" applyFill="1" applyBorder="1" applyAlignment="1">
      <alignment horizontal="right" vertical="center"/>
    </xf>
    <xf numFmtId="3" fontId="4" fillId="5" borderId="0" xfId="0" applyNumberFormat="1" applyFont="1" applyFill="1"/>
    <xf numFmtId="0" fontId="7" fillId="5" borderId="0" xfId="0" applyFont="1" applyFill="1" applyAlignment="1">
      <alignment vertical="center"/>
    </xf>
    <xf numFmtId="165" fontId="7" fillId="4" borderId="0" xfId="0" applyNumberFormat="1" applyFont="1" applyFill="1" applyAlignment="1">
      <alignment vertical="center"/>
    </xf>
    <xf numFmtId="165" fontId="7" fillId="5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3" fontId="4" fillId="5" borderId="0" xfId="0" applyNumberFormat="1" applyFont="1" applyFill="1" applyAlignment="1">
      <alignment vertical="center"/>
    </xf>
    <xf numFmtId="0" fontId="6" fillId="6" borderId="0" xfId="0" applyFont="1" applyFill="1"/>
    <xf numFmtId="164" fontId="6" fillId="0" borderId="0" xfId="0" applyNumberFormat="1" applyFont="1"/>
    <xf numFmtId="0" fontId="7" fillId="5" borderId="1" xfId="0" applyFont="1" applyFill="1" applyBorder="1" applyAlignment="1">
      <alignment horizontal="right"/>
    </xf>
    <xf numFmtId="3" fontId="7" fillId="5" borderId="3" xfId="0" applyNumberFormat="1" applyFont="1" applyFill="1" applyBorder="1" applyAlignment="1">
      <alignment horizontal="right"/>
    </xf>
    <xf numFmtId="165" fontId="4" fillId="4" borderId="3" xfId="0" applyNumberFormat="1" applyFont="1" applyFill="1" applyBorder="1" applyAlignment="1">
      <alignment horizontal="right"/>
    </xf>
    <xf numFmtId="3" fontId="7" fillId="5" borderId="4" xfId="0" applyNumberFormat="1" applyFont="1" applyFill="1" applyBorder="1" applyAlignment="1">
      <alignment horizontal="right"/>
    </xf>
    <xf numFmtId="0" fontId="4" fillId="5" borderId="4" xfId="0" quotePrefix="1" applyFont="1" applyFill="1" applyBorder="1" applyAlignment="1">
      <alignment horizontal="left" vertical="center"/>
    </xf>
    <xf numFmtId="3" fontId="4" fillId="4" borderId="4" xfId="0" applyNumberFormat="1" applyFont="1" applyFill="1" applyBorder="1" applyAlignment="1">
      <alignment horizontal="right" vertical="center"/>
    </xf>
    <xf numFmtId="3" fontId="4" fillId="5" borderId="4" xfId="0" applyNumberFormat="1" applyFont="1" applyFill="1" applyBorder="1" applyAlignment="1">
      <alignment horizontal="right" vertical="center"/>
    </xf>
    <xf numFmtId="3" fontId="7" fillId="5" borderId="4" xfId="0" applyNumberFormat="1" applyFont="1" applyFill="1" applyBorder="1" applyAlignment="1">
      <alignment horizontal="right" vertical="center"/>
    </xf>
    <xf numFmtId="165" fontId="4" fillId="4" borderId="3" xfId="0" applyNumberFormat="1" applyFont="1" applyFill="1" applyBorder="1" applyAlignment="1">
      <alignment horizontal="right" vertical="center"/>
    </xf>
    <xf numFmtId="0" fontId="4" fillId="5" borderId="0" xfId="0" quotePrefix="1" applyFont="1" applyFill="1" applyAlignment="1">
      <alignment horizontal="left" vertical="top"/>
    </xf>
    <xf numFmtId="3" fontId="4" fillId="4" borderId="0" xfId="0" applyNumberFormat="1" applyFont="1" applyFill="1" applyAlignment="1">
      <alignment horizontal="right" vertical="top"/>
    </xf>
    <xf numFmtId="3" fontId="4" fillId="5" borderId="0" xfId="0" applyNumberFormat="1" applyFont="1" applyFill="1" applyAlignment="1">
      <alignment horizontal="right" vertical="top"/>
    </xf>
    <xf numFmtId="3" fontId="7" fillId="5" borderId="0" xfId="0" applyNumberFormat="1" applyFont="1" applyFill="1" applyAlignment="1">
      <alignment horizontal="right" vertical="top"/>
    </xf>
    <xf numFmtId="165" fontId="4" fillId="4" borderId="0" xfId="0" applyNumberFormat="1" applyFont="1" applyFill="1" applyAlignment="1">
      <alignment horizontal="right" vertical="top"/>
    </xf>
    <xf numFmtId="0" fontId="4" fillId="0" borderId="4" xfId="0" applyFont="1" applyBorder="1" applyAlignment="1">
      <alignment horizontal="left"/>
    </xf>
    <xf numFmtId="0" fontId="2" fillId="0" borderId="0" xfId="0" applyFont="1"/>
    <xf numFmtId="3" fontId="7" fillId="5" borderId="0" xfId="0" applyNumberFormat="1" applyFont="1" applyFill="1" applyAlignment="1">
      <alignment horizontal="right"/>
    </xf>
    <xf numFmtId="3" fontId="7" fillId="5" borderId="2" xfId="0" applyNumberFormat="1" applyFont="1" applyFill="1" applyBorder="1" applyAlignment="1">
      <alignment horizontal="right" vertical="top"/>
    </xf>
    <xf numFmtId="3" fontId="7" fillId="0" borderId="5" xfId="0" applyNumberFormat="1" applyFont="1" applyBorder="1" applyAlignment="1">
      <alignment horizontal="right" vertical="top"/>
    </xf>
    <xf numFmtId="0" fontId="1" fillId="7" borderId="0" xfId="0" applyFont="1" applyFill="1"/>
    <xf numFmtId="0" fontId="2" fillId="7" borderId="0" xfId="0" applyFont="1" applyFill="1" applyAlignment="1">
      <alignment vertical="top"/>
    </xf>
    <xf numFmtId="164" fontId="4" fillId="5" borderId="3" xfId="0" applyNumberFormat="1" applyFont="1" applyFill="1" applyBorder="1" applyAlignment="1">
      <alignment horizontal="right"/>
    </xf>
    <xf numFmtId="0" fontId="6" fillId="7" borderId="5" xfId="0" applyFont="1" applyFill="1" applyBorder="1"/>
    <xf numFmtId="0" fontId="1" fillId="0" borderId="2" xfId="0" applyFont="1" applyBorder="1"/>
    <xf numFmtId="0" fontId="4" fillId="4" borderId="0" xfId="0" applyFont="1" applyFill="1" applyAlignment="1">
      <alignment horizontal="right" wrapText="1"/>
    </xf>
    <xf numFmtId="0" fontId="4" fillId="5" borderId="0" xfId="0" applyFont="1" applyFill="1" applyAlignment="1">
      <alignment horizontal="right" wrapText="1"/>
    </xf>
    <xf numFmtId="0" fontId="4" fillId="4" borderId="0" xfId="0" applyFont="1" applyFill="1" applyAlignment="1">
      <alignment horizontal="right" vertical="top"/>
    </xf>
    <xf numFmtId="1" fontId="4" fillId="5" borderId="3" xfId="0" applyNumberFormat="1" applyFont="1" applyFill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1" fontId="7" fillId="5" borderId="0" xfId="0" applyNumberFormat="1" applyFont="1" applyFill="1" applyAlignment="1">
      <alignment horizontal="left" vertical="center"/>
    </xf>
    <xf numFmtId="165" fontId="7" fillId="5" borderId="3" xfId="0" applyNumberFormat="1" applyFont="1" applyFill="1" applyBorder="1" applyAlignment="1">
      <alignment horizontal="right" vertical="center"/>
    </xf>
    <xf numFmtId="3" fontId="7" fillId="4" borderId="7" xfId="0" applyNumberFormat="1" applyFont="1" applyFill="1" applyBorder="1" applyAlignment="1">
      <alignment horizontal="right" vertical="center"/>
    </xf>
    <xf numFmtId="3" fontId="0" fillId="0" borderId="0" xfId="0" applyNumberFormat="1"/>
    <xf numFmtId="164" fontId="4" fillId="4" borderId="3" xfId="0" applyNumberFormat="1" applyFont="1" applyFill="1" applyBorder="1" applyAlignment="1">
      <alignment horizontal="right"/>
    </xf>
    <xf numFmtId="0" fontId="6" fillId="0" borderId="0" xfId="0" applyFont="1" applyAlignment="1">
      <alignment vertical="top"/>
    </xf>
    <xf numFmtId="0" fontId="1" fillId="0" borderId="0" xfId="0" applyFont="1" applyAlignment="1">
      <alignment horizontal="center"/>
    </xf>
    <xf numFmtId="3" fontId="1" fillId="0" borderId="0" xfId="0" applyNumberFormat="1" applyFont="1"/>
    <xf numFmtId="3" fontId="7" fillId="4" borderId="1" xfId="0" applyNumberFormat="1" applyFont="1" applyFill="1" applyBorder="1" applyAlignment="1">
      <alignment horizontal="right"/>
    </xf>
    <xf numFmtId="0" fontId="4" fillId="5" borderId="2" xfId="0" applyFont="1" applyFill="1" applyBorder="1" applyAlignment="1">
      <alignment horizontal="left"/>
    </xf>
    <xf numFmtId="3" fontId="7" fillId="4" borderId="2" xfId="0" applyNumberFormat="1" applyFont="1" applyFill="1" applyBorder="1" applyAlignment="1">
      <alignment horizontal="right" vertical="top"/>
    </xf>
    <xf numFmtId="3" fontId="7" fillId="4" borderId="4" xfId="0" applyNumberFormat="1" applyFont="1" applyFill="1" applyBorder="1" applyAlignment="1">
      <alignment horizontal="right" vertical="center"/>
    </xf>
    <xf numFmtId="0" fontId="4" fillId="5" borderId="6" xfId="0" applyFont="1" applyFill="1" applyBorder="1" applyAlignment="1">
      <alignment horizontal="left" vertical="center"/>
    </xf>
    <xf numFmtId="3" fontId="4" fillId="4" borderId="6" xfId="0" applyNumberFormat="1" applyFont="1" applyFill="1" applyBorder="1" applyAlignment="1">
      <alignment horizontal="right" vertical="center"/>
    </xf>
    <xf numFmtId="3" fontId="4" fillId="5" borderId="6" xfId="0" applyNumberFormat="1" applyFont="1" applyFill="1" applyBorder="1" applyAlignment="1">
      <alignment horizontal="right" vertical="center"/>
    </xf>
    <xf numFmtId="3" fontId="7" fillId="4" borderId="6" xfId="0" applyNumberFormat="1" applyFont="1" applyFill="1" applyBorder="1" applyAlignment="1">
      <alignment horizontal="right" vertical="center"/>
    </xf>
    <xf numFmtId="3" fontId="4" fillId="4" borderId="2" xfId="0" applyNumberFormat="1" applyFont="1" applyFill="1" applyBorder="1" applyAlignment="1">
      <alignment horizontal="right" vertical="top"/>
    </xf>
    <xf numFmtId="165" fontId="4" fillId="4" borderId="4" xfId="0" applyNumberFormat="1" applyFont="1" applyFill="1" applyBorder="1" applyAlignment="1">
      <alignment horizontal="right"/>
    </xf>
    <xf numFmtId="165" fontId="4" fillId="5" borderId="4" xfId="0" applyNumberFormat="1" applyFont="1" applyFill="1" applyBorder="1"/>
    <xf numFmtId="165" fontId="7" fillId="5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/>
    </xf>
    <xf numFmtId="0" fontId="7" fillId="4" borderId="1" xfId="0" applyFont="1" applyFill="1" applyBorder="1" applyAlignment="1">
      <alignment horizontal="right"/>
    </xf>
    <xf numFmtId="0" fontId="7" fillId="4" borderId="0" xfId="0" applyFont="1" applyFill="1" applyAlignment="1">
      <alignment horizontal="right"/>
    </xf>
    <xf numFmtId="0" fontId="7" fillId="5" borderId="0" xfId="0" applyFont="1" applyFill="1" applyAlignment="1">
      <alignment horizontal="right"/>
    </xf>
    <xf numFmtId="0" fontId="7" fillId="5" borderId="0" xfId="0" applyFont="1" applyFill="1" applyAlignment="1">
      <alignment horizontal="center"/>
    </xf>
    <xf numFmtId="0" fontId="7" fillId="4" borderId="2" xfId="0" applyFont="1" applyFill="1" applyBorder="1" applyAlignment="1">
      <alignment horizontal="right" vertical="top"/>
    </xf>
    <xf numFmtId="0" fontId="7" fillId="5" borderId="2" xfId="0" applyFont="1" applyFill="1" applyBorder="1" applyAlignment="1">
      <alignment horizontal="center" vertical="top"/>
    </xf>
    <xf numFmtId="0" fontId="4" fillId="5" borderId="8" xfId="0" applyFont="1" applyFill="1" applyBorder="1" applyAlignment="1">
      <alignment horizontal="left"/>
    </xf>
    <xf numFmtId="165" fontId="7" fillId="4" borderId="3" xfId="0" applyNumberFormat="1" applyFont="1" applyFill="1" applyBorder="1" applyAlignment="1">
      <alignment horizontal="right"/>
    </xf>
    <xf numFmtId="165" fontId="7" fillId="5" borderId="3" xfId="0" applyNumberFormat="1" applyFont="1" applyFill="1" applyBorder="1" applyAlignment="1">
      <alignment horizontal="right"/>
    </xf>
    <xf numFmtId="165" fontId="7" fillId="4" borderId="3" xfId="0" applyNumberFormat="1" applyFont="1" applyFill="1" applyBorder="1" applyAlignment="1">
      <alignment horizontal="right" vertical="center"/>
    </xf>
    <xf numFmtId="165" fontId="7" fillId="4" borderId="7" xfId="0" applyNumberFormat="1" applyFont="1" applyFill="1" applyBorder="1" applyAlignment="1">
      <alignment horizontal="right" vertical="center"/>
    </xf>
    <xf numFmtId="165" fontId="7" fillId="5" borderId="7" xfId="0" applyNumberFormat="1" applyFont="1" applyFill="1" applyBorder="1" applyAlignment="1">
      <alignment horizontal="right" vertical="center"/>
    </xf>
    <xf numFmtId="0" fontId="8" fillId="0" borderId="5" xfId="0" applyFont="1" applyBorder="1"/>
    <xf numFmtId="0" fontId="8" fillId="0" borderId="5" xfId="0" applyFont="1" applyBorder="1" applyAlignment="1">
      <alignment horizontal="center"/>
    </xf>
    <xf numFmtId="0" fontId="4" fillId="0" borderId="0" xfId="0" applyFont="1"/>
    <xf numFmtId="0" fontId="8" fillId="0" borderId="0" xfId="0" applyFont="1" applyAlignment="1">
      <alignment horizontal="center"/>
    </xf>
    <xf numFmtId="0" fontId="2" fillId="7" borderId="0" xfId="0" applyFont="1" applyFill="1"/>
    <xf numFmtId="0" fontId="2" fillId="7" borderId="0" xfId="0" applyFont="1" applyFill="1" applyAlignment="1">
      <alignment horizontal="center"/>
    </xf>
    <xf numFmtId="0" fontId="2" fillId="7" borderId="2" xfId="0" applyFont="1" applyFill="1" applyBorder="1"/>
    <xf numFmtId="0" fontId="2" fillId="7" borderId="2" xfId="0" applyFont="1" applyFill="1" applyBorder="1" applyAlignment="1">
      <alignment horizontal="center"/>
    </xf>
    <xf numFmtId="165" fontId="4" fillId="4" borderId="7" xfId="0" applyNumberFormat="1" applyFont="1" applyFill="1" applyBorder="1" applyAlignment="1">
      <alignment horizontal="right" vertical="center"/>
    </xf>
    <xf numFmtId="0" fontId="8" fillId="7" borderId="5" xfId="0" applyFont="1" applyFill="1" applyBorder="1"/>
    <xf numFmtId="0" fontId="8" fillId="7" borderId="5" xfId="0" applyFont="1" applyFill="1" applyBorder="1" applyAlignment="1">
      <alignment horizontal="center"/>
    </xf>
    <xf numFmtId="0" fontId="8" fillId="7" borderId="0" xfId="0" applyFont="1" applyFill="1"/>
    <xf numFmtId="0" fontId="6" fillId="7" borderId="0" xfId="0" applyFont="1" applyFill="1"/>
    <xf numFmtId="0" fontId="8" fillId="7" borderId="0" xfId="0" applyFont="1" applyFill="1" applyAlignment="1">
      <alignment horizontal="center"/>
    </xf>
    <xf numFmtId="0" fontId="1" fillId="7" borderId="0" xfId="0" applyFont="1" applyFill="1" applyAlignment="1">
      <alignment horizontal="right"/>
    </xf>
    <xf numFmtId="0" fontId="4" fillId="5" borderId="0" xfId="0" applyFont="1" applyFill="1" applyAlignment="1">
      <alignment horizontal="right" vertical="top"/>
    </xf>
    <xf numFmtId="1" fontId="6" fillId="7" borderId="5" xfId="0" applyNumberFormat="1" applyFont="1" applyFill="1" applyBorder="1" applyAlignment="1">
      <alignment horizontal="left"/>
    </xf>
    <xf numFmtId="166" fontId="4" fillId="7" borderId="5" xfId="0" applyNumberFormat="1" applyFont="1" applyFill="1" applyBorder="1" applyAlignment="1">
      <alignment horizontal="right"/>
    </xf>
    <xf numFmtId="1" fontId="6" fillId="7" borderId="0" xfId="0" applyNumberFormat="1" applyFont="1" applyFill="1" applyAlignment="1">
      <alignment horizontal="left"/>
    </xf>
    <xf numFmtId="166" fontId="4" fillId="7" borderId="0" xfId="0" applyNumberFormat="1" applyFont="1" applyFill="1" applyAlignment="1">
      <alignment horizontal="right"/>
    </xf>
    <xf numFmtId="0" fontId="6" fillId="7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0" fontId="4" fillId="5" borderId="8" xfId="0" quotePrefix="1" applyFont="1" applyFill="1" applyBorder="1" applyAlignment="1">
      <alignment horizontal="left"/>
    </xf>
    <xf numFmtId="3" fontId="4" fillId="5" borderId="8" xfId="0" applyNumberFormat="1" applyFont="1" applyFill="1" applyBorder="1" applyAlignment="1">
      <alignment horizontal="right"/>
    </xf>
    <xf numFmtId="3" fontId="4" fillId="4" borderId="8" xfId="0" applyNumberFormat="1" applyFont="1" applyFill="1" applyBorder="1" applyAlignment="1">
      <alignment horizontal="right"/>
    </xf>
    <xf numFmtId="165" fontId="4" fillId="5" borderId="8" xfId="0" applyNumberFormat="1" applyFont="1" applyFill="1" applyBorder="1" applyAlignment="1">
      <alignment horizontal="right"/>
    </xf>
    <xf numFmtId="0" fontId="10" fillId="7" borderId="0" xfId="0" applyFont="1" applyFill="1" applyAlignment="1">
      <alignment vertical="top"/>
    </xf>
    <xf numFmtId="0" fontId="11" fillId="7" borderId="0" xfId="0" applyFont="1" applyFill="1"/>
    <xf numFmtId="0" fontId="10" fillId="7" borderId="6" xfId="0" applyFont="1" applyFill="1" applyBorder="1" applyAlignment="1">
      <alignment vertical="top"/>
    </xf>
    <xf numFmtId="0" fontId="11" fillId="7" borderId="6" xfId="0" applyFont="1" applyFill="1" applyBorder="1" applyAlignment="1">
      <alignment vertical="center"/>
    </xf>
    <xf numFmtId="0" fontId="6" fillId="7" borderId="6" xfId="0" applyFont="1" applyFill="1" applyBorder="1" applyAlignment="1">
      <alignment vertical="center"/>
    </xf>
    <xf numFmtId="0" fontId="8" fillId="7" borderId="6" xfId="0" applyFont="1" applyFill="1" applyBorder="1" applyAlignment="1">
      <alignment vertical="center"/>
    </xf>
    <xf numFmtId="0" fontId="7" fillId="4" borderId="0" xfId="0" applyFont="1" applyFill="1"/>
    <xf numFmtId="0" fontId="7" fillId="5" borderId="0" xfId="0" applyFont="1" applyFill="1"/>
    <xf numFmtId="0" fontId="7" fillId="4" borderId="2" xfId="0" applyFont="1" applyFill="1" applyBorder="1" applyAlignment="1">
      <alignment vertical="top"/>
    </xf>
    <xf numFmtId="0" fontId="7" fillId="5" borderId="2" xfId="0" applyFont="1" applyFill="1" applyBorder="1" applyAlignment="1">
      <alignment vertical="top"/>
    </xf>
    <xf numFmtId="0" fontId="4" fillId="4" borderId="8" xfId="0" applyFont="1" applyFill="1" applyBorder="1"/>
    <xf numFmtId="3" fontId="7" fillId="4" borderId="8" xfId="0" applyNumberFormat="1" applyFont="1" applyFill="1" applyBorder="1"/>
    <xf numFmtId="0" fontId="4" fillId="4" borderId="4" xfId="0" applyFont="1" applyFill="1" applyBorder="1"/>
    <xf numFmtId="3" fontId="7" fillId="4" borderId="4" xfId="0" applyNumberFormat="1" applyFont="1" applyFill="1" applyBorder="1"/>
    <xf numFmtId="164" fontId="4" fillId="5" borderId="4" xfId="0" applyNumberFormat="1" applyFont="1" applyFill="1" applyBorder="1" applyAlignment="1">
      <alignment horizontal="right"/>
    </xf>
    <xf numFmtId="166" fontId="4" fillId="5" borderId="4" xfId="0" applyNumberFormat="1" applyFont="1" applyFill="1" applyBorder="1"/>
    <xf numFmtId="166" fontId="4" fillId="4" borderId="4" xfId="0" applyNumberFormat="1" applyFont="1" applyFill="1" applyBorder="1"/>
    <xf numFmtId="166" fontId="7" fillId="4" borderId="4" xfId="0" applyNumberFormat="1" applyFont="1" applyFill="1" applyBorder="1"/>
    <xf numFmtId="0" fontId="7" fillId="4" borderId="4" xfId="0" applyFont="1" applyFill="1" applyBorder="1"/>
    <xf numFmtId="0" fontId="4" fillId="4" borderId="7" xfId="0" applyFont="1" applyFill="1" applyBorder="1"/>
    <xf numFmtId="3" fontId="4" fillId="5" borderId="7" xfId="0" applyNumberFormat="1" applyFont="1" applyFill="1" applyBorder="1" applyAlignment="1">
      <alignment horizontal="right"/>
    </xf>
    <xf numFmtId="3" fontId="4" fillId="4" borderId="7" xfId="0" applyNumberFormat="1" applyFont="1" applyFill="1" applyBorder="1" applyAlignment="1">
      <alignment horizontal="right"/>
    </xf>
    <xf numFmtId="165" fontId="4" fillId="5" borderId="7" xfId="0" applyNumberFormat="1" applyFont="1" applyFill="1" applyBorder="1"/>
    <xf numFmtId="165" fontId="4" fillId="4" borderId="7" xfId="0" applyNumberFormat="1" applyFont="1" applyFill="1" applyBorder="1"/>
    <xf numFmtId="165" fontId="7" fillId="4" borderId="7" xfId="0" applyNumberFormat="1" applyFont="1" applyFill="1" applyBorder="1"/>
    <xf numFmtId="0" fontId="11" fillId="0" borderId="0" xfId="0" applyFont="1"/>
    <xf numFmtId="0" fontId="7" fillId="5" borderId="4" xfId="0" quotePrefix="1" applyFont="1" applyFill="1" applyBorder="1" applyAlignment="1">
      <alignment horizontal="left"/>
    </xf>
    <xf numFmtId="165" fontId="7" fillId="5" borderId="4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165" fontId="4" fillId="5" borderId="3" xfId="0" applyNumberFormat="1" applyFont="1" applyFill="1" applyBorder="1" applyAlignment="1">
      <alignment horizontal="center"/>
    </xf>
    <xf numFmtId="3" fontId="4" fillId="0" borderId="0" xfId="0" applyNumberFormat="1" applyFont="1"/>
    <xf numFmtId="3" fontId="7" fillId="4" borderId="3" xfId="0" applyNumberFormat="1" applyFont="1" applyFill="1" applyBorder="1" applyAlignment="1">
      <alignment vertical="center"/>
    </xf>
    <xf numFmtId="3" fontId="7" fillId="5" borderId="3" xfId="0" applyNumberFormat="1" applyFont="1" applyFill="1" applyBorder="1" applyAlignment="1">
      <alignment vertical="center"/>
    </xf>
    <xf numFmtId="165" fontId="7" fillId="5" borderId="3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1" fillId="0" borderId="0" xfId="0" applyFont="1" applyAlignment="1">
      <alignment horizontal="right"/>
    </xf>
    <xf numFmtId="3" fontId="4" fillId="5" borderId="0" xfId="0" applyNumberFormat="1" applyFont="1" applyFill="1" applyAlignment="1">
      <alignment horizontal="center"/>
    </xf>
    <xf numFmtId="3" fontId="4" fillId="4" borderId="0" xfId="0" applyNumberFormat="1" applyFont="1" applyFill="1" applyAlignment="1">
      <alignment horizontal="center"/>
    </xf>
    <xf numFmtId="3" fontId="4" fillId="4" borderId="2" xfId="0" applyNumberFormat="1" applyFont="1" applyFill="1" applyBorder="1" applyAlignment="1">
      <alignment horizontal="center" vertical="top"/>
    </xf>
    <xf numFmtId="3" fontId="4" fillId="5" borderId="2" xfId="0" applyNumberFormat="1" applyFont="1" applyFill="1" applyBorder="1" applyAlignment="1">
      <alignment horizontal="center" vertical="top"/>
    </xf>
    <xf numFmtId="3" fontId="7" fillId="4" borderId="8" xfId="0" applyNumberFormat="1" applyFont="1" applyFill="1" applyBorder="1" applyAlignment="1">
      <alignment vertical="center"/>
    </xf>
    <xf numFmtId="3" fontId="7" fillId="5" borderId="8" xfId="0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6" fillId="0" borderId="5" xfId="0" applyFont="1" applyBorder="1" applyAlignment="1">
      <alignment horizontal="right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horizontal="right"/>
    </xf>
    <xf numFmtId="1" fontId="6" fillId="0" borderId="0" xfId="0" applyNumberFormat="1" applyFont="1"/>
    <xf numFmtId="1" fontId="8" fillId="0" borderId="0" xfId="0" applyNumberFormat="1" applyFont="1"/>
    <xf numFmtId="3" fontId="6" fillId="0" borderId="5" xfId="0" applyNumberFormat="1" applyFont="1" applyBorder="1" applyAlignment="1">
      <alignment horizontal="right"/>
    </xf>
    <xf numFmtId="3" fontId="6" fillId="0" borderId="0" xfId="0" applyNumberFormat="1" applyFont="1" applyAlignment="1">
      <alignment horizontal="right"/>
    </xf>
    <xf numFmtId="0" fontId="2" fillId="7" borderId="0" xfId="0" applyFont="1" applyFill="1" applyAlignment="1">
      <alignment vertical="center"/>
    </xf>
    <xf numFmtId="3" fontId="7" fillId="4" borderId="4" xfId="0" applyNumberFormat="1" applyFont="1" applyFill="1" applyBorder="1" applyAlignment="1">
      <alignment vertical="center"/>
    </xf>
    <xf numFmtId="3" fontId="7" fillId="5" borderId="4" xfId="0" applyNumberFormat="1" applyFont="1" applyFill="1" applyBorder="1" applyAlignment="1">
      <alignment vertical="center"/>
    </xf>
    <xf numFmtId="3" fontId="7" fillId="4" borderId="8" xfId="0" applyNumberFormat="1" applyFont="1" applyFill="1" applyBorder="1" applyAlignment="1">
      <alignment horizontal="right" vertical="center"/>
    </xf>
    <xf numFmtId="3" fontId="7" fillId="5" borderId="8" xfId="0" applyNumberFormat="1" applyFont="1" applyFill="1" applyBorder="1" applyAlignment="1">
      <alignment horizontal="right" vertical="center"/>
    </xf>
    <xf numFmtId="165" fontId="7" fillId="5" borderId="8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2" fontId="6" fillId="0" borderId="0" xfId="0" applyNumberFormat="1" applyFont="1"/>
    <xf numFmtId="164" fontId="4" fillId="5" borderId="3" xfId="0" applyNumberFormat="1" applyFont="1" applyFill="1" applyBorder="1" applyAlignment="1">
      <alignment horizontal="left"/>
    </xf>
    <xf numFmtId="164" fontId="4" fillId="5" borderId="4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165" fontId="4" fillId="4" borderId="8" xfId="0" applyNumberFormat="1" applyFont="1" applyFill="1" applyBorder="1" applyAlignment="1">
      <alignment horizontal="center"/>
    </xf>
    <xf numFmtId="165" fontId="4" fillId="5" borderId="8" xfId="0" applyNumberFormat="1" applyFont="1" applyFill="1" applyBorder="1" applyAlignment="1">
      <alignment horizontal="center"/>
    </xf>
    <xf numFmtId="165" fontId="4" fillId="4" borderId="4" xfId="0" applyNumberFormat="1" applyFont="1" applyFill="1" applyBorder="1" applyAlignment="1">
      <alignment horizontal="center"/>
    </xf>
    <xf numFmtId="165" fontId="4" fillId="5" borderId="4" xfId="0" applyNumberFormat="1" applyFont="1" applyFill="1" applyBorder="1" applyAlignment="1">
      <alignment horizontal="center"/>
    </xf>
    <xf numFmtId="165" fontId="7" fillId="4" borderId="4" xfId="0" applyNumberFormat="1" applyFont="1" applyFill="1" applyBorder="1" applyAlignment="1">
      <alignment horizontal="center" vertical="center"/>
    </xf>
    <xf numFmtId="165" fontId="7" fillId="5" borderId="4" xfId="0" applyNumberFormat="1" applyFont="1" applyFill="1" applyBorder="1" applyAlignment="1">
      <alignment horizontal="center" vertical="center"/>
    </xf>
    <xf numFmtId="165" fontId="7" fillId="5" borderId="8" xfId="0" applyNumberFormat="1" applyFont="1" applyFill="1" applyBorder="1" applyAlignment="1">
      <alignment horizontal="center" vertical="center"/>
    </xf>
    <xf numFmtId="1" fontId="4" fillId="4" borderId="8" xfId="0" applyNumberFormat="1" applyFont="1" applyFill="1" applyBorder="1" applyAlignment="1">
      <alignment horizontal="right"/>
    </xf>
    <xf numFmtId="1" fontId="4" fillId="5" borderId="8" xfId="0" applyNumberFormat="1" applyFont="1" applyFill="1" applyBorder="1" applyAlignment="1">
      <alignment horizontal="right"/>
    </xf>
    <xf numFmtId="1" fontId="4" fillId="5" borderId="3" xfId="0" applyNumberFormat="1" applyFont="1" applyFill="1" applyBorder="1" applyAlignment="1">
      <alignment horizontal="right"/>
    </xf>
    <xf numFmtId="1" fontId="4" fillId="4" borderId="4" xfId="0" applyNumberFormat="1" applyFont="1" applyFill="1" applyBorder="1" applyAlignment="1">
      <alignment horizontal="right"/>
    </xf>
    <xf numFmtId="1" fontId="4" fillId="5" borderId="4" xfId="0" applyNumberFormat="1" applyFont="1" applyFill="1" applyBorder="1" applyAlignment="1">
      <alignment horizontal="right"/>
    </xf>
    <xf numFmtId="1" fontId="7" fillId="4" borderId="4" xfId="0" applyNumberFormat="1" applyFont="1" applyFill="1" applyBorder="1" applyAlignment="1">
      <alignment horizontal="right" vertical="center"/>
    </xf>
    <xf numFmtId="1" fontId="7" fillId="5" borderId="4" xfId="0" applyNumberFormat="1" applyFont="1" applyFill="1" applyBorder="1" applyAlignment="1">
      <alignment horizontal="right" vertical="center"/>
    </xf>
    <xf numFmtId="1" fontId="7" fillId="5" borderId="0" xfId="0" applyNumberFormat="1" applyFont="1" applyFill="1" applyAlignment="1">
      <alignment horizontal="right" vertical="center"/>
    </xf>
    <xf numFmtId="164" fontId="0" fillId="0" borderId="0" xfId="0" applyNumberFormat="1"/>
    <xf numFmtId="0" fontId="1" fillId="0" borderId="2" xfId="0" applyFont="1" applyBorder="1" applyAlignment="1">
      <alignment horizontal="center"/>
    </xf>
    <xf numFmtId="164" fontId="7" fillId="4" borderId="0" xfId="0" applyNumberFormat="1" applyFont="1" applyFill="1" applyAlignment="1">
      <alignment horizontal="right" vertical="center"/>
    </xf>
    <xf numFmtId="165" fontId="7" fillId="4" borderId="8" xfId="0" applyNumberFormat="1" applyFont="1" applyFill="1" applyBorder="1" applyAlignment="1">
      <alignment horizontal="center" vertical="center"/>
    </xf>
    <xf numFmtId="165" fontId="7" fillId="4" borderId="7" xfId="0" applyNumberFormat="1" applyFont="1" applyFill="1" applyBorder="1" applyAlignment="1">
      <alignment horizontal="center" vertical="center"/>
    </xf>
    <xf numFmtId="165" fontId="7" fillId="5" borderId="7" xfId="0" applyNumberFormat="1" applyFont="1" applyFill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top"/>
    </xf>
    <xf numFmtId="164" fontId="4" fillId="0" borderId="5" xfId="0" applyNumberFormat="1" applyFont="1" applyBorder="1" applyAlignment="1">
      <alignment horizontal="center" vertical="top"/>
    </xf>
    <xf numFmtId="3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9" fontId="7" fillId="4" borderId="1" xfId="0" applyNumberFormat="1" applyFont="1" applyFill="1" applyBorder="1" applyAlignment="1">
      <alignment horizontal="right" wrapText="1"/>
    </xf>
    <xf numFmtId="9" fontId="7" fillId="5" borderId="1" xfId="0" applyNumberFormat="1" applyFont="1" applyFill="1" applyBorder="1" applyAlignment="1">
      <alignment horizontal="right" wrapText="1"/>
    </xf>
    <xf numFmtId="9" fontId="4" fillId="4" borderId="0" xfId="0" applyNumberFormat="1" applyFont="1" applyFill="1" applyAlignment="1">
      <alignment horizontal="right" wrapText="1"/>
    </xf>
    <xf numFmtId="9" fontId="4" fillId="5" borderId="0" xfId="0" applyNumberFormat="1" applyFont="1" applyFill="1" applyAlignment="1">
      <alignment horizontal="right" wrapText="1"/>
    </xf>
    <xf numFmtId="3" fontId="4" fillId="7" borderId="5" xfId="0" applyNumberFormat="1" applyFont="1" applyFill="1" applyBorder="1" applyAlignment="1">
      <alignment horizontal="right" vertical="top"/>
    </xf>
    <xf numFmtId="3" fontId="4" fillId="7" borderId="0" xfId="0" applyNumberFormat="1" applyFont="1" applyFill="1" applyAlignment="1">
      <alignment horizontal="right" vertical="top"/>
    </xf>
    <xf numFmtId="165" fontId="7" fillId="4" borderId="4" xfId="0" applyNumberFormat="1" applyFont="1" applyFill="1" applyBorder="1" applyAlignment="1">
      <alignment horizontal="right" vertical="center"/>
    </xf>
    <xf numFmtId="2" fontId="6" fillId="0" borderId="5" xfId="0" applyNumberFormat="1" applyFont="1" applyBorder="1"/>
    <xf numFmtId="164" fontId="7" fillId="5" borderId="0" xfId="0" applyNumberFormat="1" applyFont="1" applyFill="1" applyAlignment="1">
      <alignment horizontal="left" vertical="center"/>
    </xf>
    <xf numFmtId="165" fontId="7" fillId="5" borderId="3" xfId="0" applyNumberFormat="1" applyFont="1" applyFill="1" applyBorder="1" applyAlignment="1">
      <alignment vertical="center"/>
    </xf>
    <xf numFmtId="165" fontId="7" fillId="4" borderId="3" xfId="0" applyNumberFormat="1" applyFont="1" applyFill="1" applyBorder="1" applyAlignment="1">
      <alignment vertical="center"/>
    </xf>
    <xf numFmtId="0" fontId="4" fillId="4" borderId="0" xfId="0" applyFont="1" applyFill="1" applyAlignment="1">
      <alignment horizontal="left"/>
    </xf>
    <xf numFmtId="3" fontId="4" fillId="4" borderId="0" xfId="0" applyNumberFormat="1" applyFont="1" applyFill="1" applyAlignment="1">
      <alignment horizontal="left"/>
    </xf>
    <xf numFmtId="164" fontId="4" fillId="5" borderId="0" xfId="0" applyNumberFormat="1" applyFont="1" applyFill="1" applyAlignment="1">
      <alignment horizontal="left"/>
    </xf>
    <xf numFmtId="3" fontId="4" fillId="4" borderId="0" xfId="0" applyNumberFormat="1" applyFont="1" applyFill="1"/>
    <xf numFmtId="166" fontId="4" fillId="4" borderId="3" xfId="0" quotePrefix="1" applyNumberFormat="1" applyFont="1" applyFill="1" applyBorder="1" applyAlignment="1">
      <alignment horizontal="right"/>
    </xf>
    <xf numFmtId="166" fontId="4" fillId="5" borderId="3" xfId="0" applyNumberFormat="1" applyFont="1" applyFill="1" applyBorder="1" applyAlignment="1">
      <alignment horizontal="right"/>
    </xf>
    <xf numFmtId="166" fontId="4" fillId="4" borderId="3" xfId="0" applyNumberFormat="1" applyFont="1" applyFill="1" applyBorder="1" applyAlignment="1">
      <alignment horizontal="right"/>
    </xf>
    <xf numFmtId="166" fontId="4" fillId="4" borderId="4" xfId="0" quotePrefix="1" applyNumberFormat="1" applyFont="1" applyFill="1" applyBorder="1" applyAlignment="1">
      <alignment horizontal="right"/>
    </xf>
    <xf numFmtId="166" fontId="7" fillId="4" borderId="4" xfId="0" quotePrefix="1" applyNumberFormat="1" applyFont="1" applyFill="1" applyBorder="1" applyAlignment="1">
      <alignment horizontal="right"/>
    </xf>
    <xf numFmtId="165" fontId="7" fillId="4" borderId="4" xfId="0" applyNumberFormat="1" applyFont="1" applyFill="1" applyBorder="1" applyAlignment="1">
      <alignment horizontal="right"/>
    </xf>
    <xf numFmtId="166" fontId="7" fillId="5" borderId="4" xfId="0" applyNumberFormat="1" applyFont="1" applyFill="1" applyBorder="1" applyAlignment="1">
      <alignment horizontal="right"/>
    </xf>
    <xf numFmtId="0" fontId="4" fillId="5" borderId="0" xfId="0" quotePrefix="1" applyFont="1" applyFill="1" applyAlignment="1">
      <alignment horizontal="left" vertical="center"/>
    </xf>
    <xf numFmtId="166" fontId="4" fillId="4" borderId="0" xfId="0" quotePrefix="1" applyNumberFormat="1" applyFont="1" applyFill="1" applyAlignment="1">
      <alignment horizontal="right" vertical="center"/>
    </xf>
    <xf numFmtId="165" fontId="4" fillId="5" borderId="4" xfId="0" applyNumberFormat="1" applyFont="1" applyFill="1" applyBorder="1" applyAlignment="1">
      <alignment horizontal="right" vertical="center"/>
    </xf>
    <xf numFmtId="165" fontId="4" fillId="4" borderId="0" xfId="0" applyNumberFormat="1" applyFont="1" applyFill="1" applyAlignment="1">
      <alignment horizontal="right" vertical="center"/>
    </xf>
    <xf numFmtId="164" fontId="6" fillId="0" borderId="5" xfId="0" applyNumberFormat="1" applyFont="1" applyBorder="1"/>
    <xf numFmtId="165" fontId="7" fillId="5" borderId="0" xfId="0" applyNumberFormat="1" applyFont="1" applyFill="1" applyAlignment="1">
      <alignment horizontal="center" vertical="center"/>
    </xf>
    <xf numFmtId="3" fontId="4" fillId="4" borderId="1" xfId="0" applyNumberFormat="1" applyFont="1" applyFill="1" applyBorder="1" applyAlignment="1">
      <alignment horizontal="center"/>
    </xf>
    <xf numFmtId="165" fontId="4" fillId="4" borderId="3" xfId="0" applyNumberFormat="1" applyFont="1" applyFill="1" applyBorder="1" applyAlignment="1">
      <alignment horizontal="center"/>
    </xf>
    <xf numFmtId="3" fontId="4" fillId="4" borderId="3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165" fontId="7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7" fillId="4" borderId="3" xfId="0" applyNumberFormat="1" applyFont="1" applyFill="1" applyBorder="1" applyAlignment="1">
      <alignment horizontal="center" vertical="center"/>
    </xf>
    <xf numFmtId="3" fontId="4" fillId="5" borderId="3" xfId="0" applyNumberFormat="1" applyFont="1" applyFill="1" applyBorder="1" applyAlignment="1">
      <alignment horizontal="center"/>
    </xf>
    <xf numFmtId="3" fontId="7" fillId="5" borderId="3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/>
    </xf>
    <xf numFmtId="3" fontId="1" fillId="7" borderId="0" xfId="0" applyNumberFormat="1" applyFont="1" applyFill="1"/>
    <xf numFmtId="0" fontId="2" fillId="7" borderId="0" xfId="0" applyFont="1" applyFill="1" applyAlignment="1">
      <alignment horizontal="left" vertical="top"/>
    </xf>
    <xf numFmtId="0" fontId="6" fillId="5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3" fontId="6" fillId="5" borderId="1" xfId="0" applyNumberFormat="1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0" fontId="6" fillId="5" borderId="0" xfId="0" applyFont="1" applyFill="1" applyAlignment="1">
      <alignment horizontal="left"/>
    </xf>
    <xf numFmtId="0" fontId="6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3" fontId="6" fillId="5" borderId="0" xfId="0" applyNumberFormat="1" applyFont="1" applyFill="1" applyAlignment="1">
      <alignment horizontal="center"/>
    </xf>
    <xf numFmtId="3" fontId="6" fillId="4" borderId="0" xfId="0" applyNumberFormat="1" applyFont="1" applyFill="1" applyAlignment="1">
      <alignment horizontal="center"/>
    </xf>
    <xf numFmtId="0" fontId="6" fillId="5" borderId="2" xfId="0" applyFont="1" applyFill="1" applyBorder="1" applyAlignment="1">
      <alignment horizontal="left"/>
    </xf>
    <xf numFmtId="0" fontId="6" fillId="5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top"/>
    </xf>
    <xf numFmtId="0" fontId="6" fillId="5" borderId="2" xfId="0" applyFont="1" applyFill="1" applyBorder="1" applyAlignment="1">
      <alignment horizontal="center" vertical="top"/>
    </xf>
    <xf numFmtId="3" fontId="6" fillId="5" borderId="2" xfId="0" applyNumberFormat="1" applyFont="1" applyFill="1" applyBorder="1" applyAlignment="1">
      <alignment horizontal="center" vertical="top"/>
    </xf>
    <xf numFmtId="3" fontId="6" fillId="4" borderId="2" xfId="0" applyNumberFormat="1" applyFont="1" applyFill="1" applyBorder="1" applyAlignment="1">
      <alignment horizontal="center" vertical="top"/>
    </xf>
    <xf numFmtId="1" fontId="6" fillId="5" borderId="8" xfId="0" applyNumberFormat="1" applyFont="1" applyFill="1" applyBorder="1" applyAlignment="1">
      <alignment horizontal="center" vertical="center"/>
    </xf>
    <xf numFmtId="1" fontId="6" fillId="5" borderId="8" xfId="0" applyNumberFormat="1" applyFont="1" applyFill="1" applyBorder="1" applyAlignment="1">
      <alignment horizontal="left" vertical="center"/>
    </xf>
    <xf numFmtId="3" fontId="6" fillId="4" borderId="8" xfId="0" applyNumberFormat="1" applyFont="1" applyFill="1" applyBorder="1" applyAlignment="1">
      <alignment vertical="center"/>
    </xf>
    <xf numFmtId="166" fontId="6" fillId="5" borderId="8" xfId="0" applyNumberFormat="1" applyFont="1" applyFill="1" applyBorder="1" applyAlignment="1">
      <alignment horizontal="right" vertical="center"/>
    </xf>
    <xf numFmtId="166" fontId="6" fillId="4" borderId="8" xfId="0" applyNumberFormat="1" applyFont="1" applyFill="1" applyBorder="1" applyAlignment="1">
      <alignment horizontal="right" vertical="center"/>
    </xf>
    <xf numFmtId="165" fontId="6" fillId="5" borderId="8" xfId="0" applyNumberFormat="1" applyFont="1" applyFill="1" applyBorder="1" applyAlignment="1">
      <alignment horizontal="right" vertical="center"/>
    </xf>
    <xf numFmtId="166" fontId="6" fillId="4" borderId="8" xfId="0" applyNumberFormat="1" applyFont="1" applyFill="1" applyBorder="1" applyAlignment="1">
      <alignment vertical="center"/>
    </xf>
    <xf numFmtId="3" fontId="6" fillId="4" borderId="8" xfId="0" applyNumberFormat="1" applyFont="1" applyFill="1" applyBorder="1" applyAlignment="1">
      <alignment horizontal="right" vertical="center"/>
    </xf>
    <xf numFmtId="165" fontId="6" fillId="5" borderId="8" xfId="0" applyNumberFormat="1" applyFont="1" applyFill="1" applyBorder="1" applyAlignment="1">
      <alignment vertical="center"/>
    </xf>
    <xf numFmtId="3" fontId="6" fillId="5" borderId="8" xfId="0" applyNumberFormat="1" applyFont="1" applyFill="1" applyBorder="1" applyAlignment="1">
      <alignment horizontal="right" vertical="center"/>
    </xf>
    <xf numFmtId="165" fontId="6" fillId="4" borderId="8" xfId="0" applyNumberFormat="1" applyFont="1" applyFill="1" applyBorder="1" applyAlignment="1">
      <alignment horizontal="right" vertical="center"/>
    </xf>
    <xf numFmtId="1" fontId="8" fillId="5" borderId="7" xfId="0" applyNumberFormat="1" applyFont="1" applyFill="1" applyBorder="1" applyAlignment="1">
      <alignment horizontal="center" vertical="center"/>
    </xf>
    <xf numFmtId="1" fontId="8" fillId="5" borderId="7" xfId="0" applyNumberFormat="1" applyFont="1" applyFill="1" applyBorder="1" applyAlignment="1">
      <alignment horizontal="left" vertical="center"/>
    </xf>
    <xf numFmtId="3" fontId="8" fillId="4" borderId="7" xfId="0" applyNumberFormat="1" applyFont="1" applyFill="1" applyBorder="1" applyAlignment="1">
      <alignment vertical="center"/>
    </xf>
    <xf numFmtId="166" fontId="8" fillId="5" borderId="7" xfId="0" applyNumberFormat="1" applyFont="1" applyFill="1" applyBorder="1" applyAlignment="1">
      <alignment horizontal="right" vertical="center"/>
    </xf>
    <xf numFmtId="166" fontId="8" fillId="4" borderId="7" xfId="0" applyNumberFormat="1" applyFont="1" applyFill="1" applyBorder="1" applyAlignment="1">
      <alignment horizontal="right" vertical="center"/>
    </xf>
    <xf numFmtId="165" fontId="8" fillId="5" borderId="7" xfId="0" applyNumberFormat="1" applyFont="1" applyFill="1" applyBorder="1" applyAlignment="1">
      <alignment horizontal="right" vertical="center"/>
    </xf>
    <xf numFmtId="166" fontId="8" fillId="4" borderId="7" xfId="0" applyNumberFormat="1" applyFont="1" applyFill="1" applyBorder="1" applyAlignment="1">
      <alignment vertical="center"/>
    </xf>
    <xf numFmtId="3" fontId="8" fillId="4" borderId="7" xfId="0" applyNumberFormat="1" applyFont="1" applyFill="1" applyBorder="1" applyAlignment="1">
      <alignment horizontal="right" vertical="center"/>
    </xf>
    <xf numFmtId="165" fontId="8" fillId="5" borderId="7" xfId="0" applyNumberFormat="1" applyFont="1" applyFill="1" applyBorder="1" applyAlignment="1">
      <alignment vertical="center"/>
    </xf>
    <xf numFmtId="3" fontId="8" fillId="5" borderId="7" xfId="0" applyNumberFormat="1" applyFont="1" applyFill="1" applyBorder="1" applyAlignment="1">
      <alignment horizontal="right" vertical="center"/>
    </xf>
    <xf numFmtId="165" fontId="8" fillId="4" borderId="7" xfId="0" applyNumberFormat="1" applyFont="1" applyFill="1" applyBorder="1" applyAlignment="1">
      <alignment horizontal="right" vertical="center"/>
    </xf>
    <xf numFmtId="0" fontId="6" fillId="8" borderId="0" xfId="0" applyFont="1" applyFill="1" applyAlignment="1">
      <alignment horizontal="left"/>
    </xf>
    <xf numFmtId="0" fontId="6" fillId="9" borderId="0" xfId="0" applyFont="1" applyFill="1"/>
    <xf numFmtId="0" fontId="6" fillId="9" borderId="0" xfId="0" applyFont="1" applyFill="1" applyAlignment="1">
      <alignment horizontal="center"/>
    </xf>
    <xf numFmtId="3" fontId="6" fillId="9" borderId="0" xfId="0" applyNumberFormat="1" applyFont="1" applyFill="1"/>
    <xf numFmtId="0" fontId="6" fillId="6" borderId="0" xfId="0" applyFont="1" applyFill="1" applyAlignment="1">
      <alignment horizontal="left"/>
    </xf>
    <xf numFmtId="3" fontId="6" fillId="0" borderId="0" xfId="0" applyNumberFormat="1" applyFont="1" applyAlignment="1">
      <alignment horizontal="left"/>
    </xf>
    <xf numFmtId="1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center"/>
    </xf>
    <xf numFmtId="0" fontId="2" fillId="6" borderId="0" xfId="0" applyFont="1" applyFill="1" applyAlignment="1">
      <alignment horizontal="left"/>
    </xf>
    <xf numFmtId="0" fontId="7" fillId="5" borderId="4" xfId="0" quotePrefix="1" applyFont="1" applyFill="1" applyBorder="1" applyAlignment="1">
      <alignment horizontal="left" vertical="center"/>
    </xf>
    <xf numFmtId="165" fontId="1" fillId="0" borderId="0" xfId="0" applyNumberFormat="1" applyFont="1" applyAlignment="1">
      <alignment horizontal="center"/>
    </xf>
    <xf numFmtId="165" fontId="4" fillId="5" borderId="1" xfId="0" applyNumberFormat="1" applyFont="1" applyFill="1" applyBorder="1" applyAlignment="1">
      <alignment horizontal="center"/>
    </xf>
    <xf numFmtId="165" fontId="4" fillId="5" borderId="0" xfId="0" applyNumberFormat="1" applyFont="1" applyFill="1" applyAlignment="1">
      <alignment horizontal="center"/>
    </xf>
    <xf numFmtId="165" fontId="4" fillId="5" borderId="2" xfId="0" applyNumberFormat="1" applyFont="1" applyFill="1" applyBorder="1" applyAlignment="1">
      <alignment horizontal="center" vertical="top"/>
    </xf>
    <xf numFmtId="0" fontId="4" fillId="0" borderId="0" xfId="0" applyFont="1" applyAlignment="1">
      <alignment horizontal="right"/>
    </xf>
    <xf numFmtId="0" fontId="7" fillId="5" borderId="3" xfId="0" quotePrefix="1" applyFont="1" applyFill="1" applyBorder="1"/>
    <xf numFmtId="3" fontId="7" fillId="4" borderId="8" xfId="0" applyNumberFormat="1" applyFont="1" applyFill="1" applyBorder="1" applyAlignment="1">
      <alignment horizontal="right"/>
    </xf>
    <xf numFmtId="0" fontId="4" fillId="5" borderId="4" xfId="0" quotePrefix="1" applyFont="1" applyFill="1" applyBorder="1"/>
    <xf numFmtId="0" fontId="7" fillId="5" borderId="4" xfId="0" quotePrefix="1" applyFont="1" applyFill="1" applyBorder="1"/>
    <xf numFmtId="0" fontId="4" fillId="5" borderId="0" xfId="0" quotePrefix="1" applyFont="1" applyFill="1" applyAlignment="1">
      <alignment vertical="center"/>
    </xf>
    <xf numFmtId="165" fontId="4" fillId="5" borderId="4" xfId="0" applyNumberFormat="1" applyFont="1" applyFill="1" applyBorder="1" applyAlignment="1">
      <alignment horizontal="center" vertical="center"/>
    </xf>
    <xf numFmtId="3" fontId="4" fillId="4" borderId="0" xfId="0" applyNumberFormat="1" applyFont="1" applyFill="1" applyAlignment="1">
      <alignment horizontal="right" vertical="center"/>
    </xf>
    <xf numFmtId="165" fontId="6" fillId="0" borderId="5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3" fontId="2" fillId="0" borderId="0" xfId="0" applyNumberFormat="1" applyFont="1"/>
    <xf numFmtId="0" fontId="7" fillId="5" borderId="1" xfId="0" applyFont="1" applyFill="1" applyBorder="1" applyAlignment="1">
      <alignment horizontal="left"/>
    </xf>
    <xf numFmtId="3" fontId="8" fillId="0" borderId="5" xfId="0" applyNumberFormat="1" applyFont="1" applyBorder="1"/>
    <xf numFmtId="3" fontId="8" fillId="0" borderId="0" xfId="0" applyNumberFormat="1" applyFont="1"/>
    <xf numFmtId="0" fontId="4" fillId="5" borderId="3" xfId="0" applyFont="1" applyFill="1" applyBorder="1" applyAlignment="1">
      <alignment horizontal="left" vertical="center"/>
    </xf>
    <xf numFmtId="3" fontId="4" fillId="4" borderId="8" xfId="0" applyNumberFormat="1" applyFont="1" applyFill="1" applyBorder="1" applyAlignment="1">
      <alignment horizontal="right" vertical="center"/>
    </xf>
    <xf numFmtId="3" fontId="4" fillId="5" borderId="8" xfId="0" applyNumberFormat="1" applyFont="1" applyFill="1" applyBorder="1" applyAlignment="1">
      <alignment horizontal="right" vertical="center"/>
    </xf>
    <xf numFmtId="0" fontId="5" fillId="4" borderId="0" xfId="0" applyFont="1" applyFill="1" applyAlignment="1">
      <alignment horizontal="right"/>
    </xf>
    <xf numFmtId="0" fontId="7" fillId="5" borderId="2" xfId="0" applyFont="1" applyFill="1" applyBorder="1" applyAlignment="1">
      <alignment horizontal="right" vertical="top"/>
    </xf>
    <xf numFmtId="0" fontId="4" fillId="5" borderId="3" xfId="0" quotePrefix="1" applyFont="1" applyFill="1" applyBorder="1" applyAlignment="1">
      <alignment horizontal="left" vertical="center"/>
    </xf>
    <xf numFmtId="165" fontId="4" fillId="4" borderId="8" xfId="0" applyNumberFormat="1" applyFont="1" applyFill="1" applyBorder="1" applyAlignment="1">
      <alignment horizontal="right" vertical="center"/>
    </xf>
    <xf numFmtId="3" fontId="4" fillId="4" borderId="3" xfId="0" applyNumberFormat="1" applyFont="1" applyFill="1" applyBorder="1" applyAlignment="1">
      <alignment horizontal="right" vertical="center"/>
    </xf>
    <xf numFmtId="3" fontId="4" fillId="5" borderId="3" xfId="0" quotePrefix="1" applyNumberFormat="1" applyFont="1" applyFill="1" applyBorder="1" applyAlignment="1">
      <alignment horizontal="right" vertical="center"/>
    </xf>
    <xf numFmtId="3" fontId="4" fillId="4" borderId="3" xfId="0" quotePrefix="1" applyNumberFormat="1" applyFont="1" applyFill="1" applyBorder="1" applyAlignment="1">
      <alignment horizontal="right" vertical="center"/>
    </xf>
    <xf numFmtId="0" fontId="4" fillId="5" borderId="10" xfId="0" applyFont="1" applyFill="1" applyBorder="1" applyAlignment="1">
      <alignment horizontal="left"/>
    </xf>
    <xf numFmtId="3" fontId="4" fillId="4" borderId="10" xfId="0" applyNumberFormat="1" applyFont="1" applyFill="1" applyBorder="1" applyAlignment="1">
      <alignment horizontal="right" vertical="center"/>
    </xf>
    <xf numFmtId="3" fontId="4" fillId="5" borderId="10" xfId="0" applyNumberFormat="1" applyFont="1" applyFill="1" applyBorder="1" applyAlignment="1">
      <alignment horizontal="right" vertical="center"/>
    </xf>
    <xf numFmtId="3" fontId="4" fillId="5" borderId="10" xfId="0" quotePrefix="1" applyNumberFormat="1" applyFont="1" applyFill="1" applyBorder="1" applyAlignment="1">
      <alignment horizontal="right" vertical="center"/>
    </xf>
    <xf numFmtId="3" fontId="4" fillId="4" borderId="10" xfId="0" quotePrefix="1" applyNumberFormat="1" applyFont="1" applyFill="1" applyBorder="1" applyAlignment="1">
      <alignment horizontal="right" vertical="center"/>
    </xf>
    <xf numFmtId="3" fontId="4" fillId="5" borderId="8" xfId="0" quotePrefix="1" applyNumberFormat="1" applyFont="1" applyFill="1" applyBorder="1" applyAlignment="1">
      <alignment horizontal="right" vertical="center"/>
    </xf>
    <xf numFmtId="3" fontId="4" fillId="4" borderId="8" xfId="0" quotePrefix="1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wrapText="1"/>
    </xf>
    <xf numFmtId="0" fontId="4" fillId="4" borderId="0" xfId="0" applyFont="1" applyFill="1" applyAlignment="1">
      <alignment horizontal="center" vertical="top"/>
    </xf>
    <xf numFmtId="0" fontId="4" fillId="5" borderId="8" xfId="0" applyFont="1" applyFill="1" applyBorder="1" applyAlignment="1">
      <alignment horizontal="left" vertical="center"/>
    </xf>
    <xf numFmtId="165" fontId="4" fillId="5" borderId="8" xfId="0" applyNumberFormat="1" applyFont="1" applyFill="1" applyBorder="1" applyAlignment="1">
      <alignment horizontal="right" vertical="center"/>
    </xf>
    <xf numFmtId="0" fontId="4" fillId="5" borderId="10" xfId="0" applyFont="1" applyFill="1" applyBorder="1" applyAlignment="1">
      <alignment horizontal="left" vertical="center"/>
    </xf>
    <xf numFmtId="165" fontId="4" fillId="5" borderId="10" xfId="0" applyNumberFormat="1" applyFont="1" applyFill="1" applyBorder="1" applyAlignment="1">
      <alignment horizontal="right" vertical="center"/>
    </xf>
    <xf numFmtId="0" fontId="7" fillId="5" borderId="8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center"/>
    </xf>
    <xf numFmtId="165" fontId="4" fillId="4" borderId="0" xfId="0" applyNumberFormat="1" applyFont="1" applyFill="1" applyAlignment="1">
      <alignment horizontal="center"/>
    </xf>
    <xf numFmtId="0" fontId="4" fillId="4" borderId="2" xfId="0" applyFont="1" applyFill="1" applyBorder="1" applyAlignment="1">
      <alignment horizontal="left" vertical="top"/>
    </xf>
    <xf numFmtId="165" fontId="4" fillId="4" borderId="2" xfId="0" applyNumberFormat="1" applyFont="1" applyFill="1" applyBorder="1" applyAlignment="1">
      <alignment horizontal="center" vertical="top"/>
    </xf>
    <xf numFmtId="3" fontId="4" fillId="4" borderId="8" xfId="0" quotePrefix="1" applyNumberFormat="1" applyFont="1" applyFill="1" applyBorder="1" applyAlignment="1">
      <alignment horizontal="right"/>
    </xf>
    <xf numFmtId="3" fontId="4" fillId="4" borderId="4" xfId="0" quotePrefix="1" applyNumberFormat="1" applyFont="1" applyFill="1" applyBorder="1" applyAlignment="1">
      <alignment horizontal="right"/>
    </xf>
    <xf numFmtId="3" fontId="7" fillId="4" borderId="4" xfId="0" quotePrefix="1" applyNumberFormat="1" applyFont="1" applyFill="1" applyBorder="1" applyAlignment="1">
      <alignment horizontal="right"/>
    </xf>
    <xf numFmtId="165" fontId="7" fillId="4" borderId="4" xfId="0" applyNumberFormat="1" applyFont="1" applyFill="1" applyBorder="1" applyAlignment="1">
      <alignment horizontal="center"/>
    </xf>
    <xf numFmtId="165" fontId="7" fillId="5" borderId="4" xfId="0" applyNumberFormat="1" applyFont="1" applyFill="1" applyBorder="1" applyAlignment="1">
      <alignment horizontal="center"/>
    </xf>
    <xf numFmtId="0" fontId="7" fillId="5" borderId="4" xfId="0" applyFont="1" applyFill="1" applyBorder="1" applyAlignment="1">
      <alignment horizontal="left" vertical="center"/>
    </xf>
    <xf numFmtId="3" fontId="1" fillId="0" borderId="0" xfId="0" applyNumberFormat="1" applyFont="1" applyAlignment="1">
      <alignment horizontal="center"/>
    </xf>
    <xf numFmtId="3" fontId="4" fillId="5" borderId="1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left" vertical="center" wrapText="1"/>
    </xf>
    <xf numFmtId="165" fontId="7" fillId="5" borderId="8" xfId="0" applyNumberFormat="1" applyFont="1" applyFill="1" applyBorder="1" applyAlignment="1">
      <alignment horizontal="center"/>
    </xf>
    <xf numFmtId="166" fontId="4" fillId="5" borderId="4" xfId="0" applyNumberFormat="1" applyFont="1" applyFill="1" applyBorder="1" applyAlignment="1">
      <alignment horizontal="center" vertical="center"/>
    </xf>
    <xf numFmtId="166" fontId="4" fillId="5" borderId="0" xfId="0" applyNumberFormat="1" applyFont="1" applyFill="1" applyAlignment="1">
      <alignment horizontal="center" vertical="center"/>
    </xf>
    <xf numFmtId="3" fontId="6" fillId="0" borderId="5" xfId="0" applyNumberFormat="1" applyFont="1" applyBorder="1" applyAlignment="1">
      <alignment horizontal="center"/>
    </xf>
    <xf numFmtId="0" fontId="4" fillId="5" borderId="4" xfId="0" applyFont="1" applyFill="1" applyBorder="1" applyAlignment="1">
      <alignment horizontal="left" wrapText="1"/>
    </xf>
    <xf numFmtId="0" fontId="6" fillId="0" borderId="0" xfId="0" applyFont="1" applyAlignment="1">
      <alignment wrapText="1"/>
    </xf>
    <xf numFmtId="0" fontId="4" fillId="5" borderId="11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right" vertical="center"/>
    </xf>
    <xf numFmtId="0" fontId="4" fillId="5" borderId="11" xfId="0" applyFont="1" applyFill="1" applyBorder="1" applyAlignment="1">
      <alignment vertical="center"/>
    </xf>
    <xf numFmtId="0" fontId="4" fillId="4" borderId="11" xfId="0" applyFont="1" applyFill="1" applyBorder="1" applyAlignment="1">
      <alignment vertical="center"/>
    </xf>
    <xf numFmtId="1" fontId="7" fillId="5" borderId="4" xfId="0" applyNumberFormat="1" applyFont="1" applyFill="1" applyBorder="1" applyAlignment="1">
      <alignment horizontal="left" vertical="center"/>
    </xf>
    <xf numFmtId="1" fontId="4" fillId="7" borderId="5" xfId="0" applyNumberFormat="1" applyFont="1" applyFill="1" applyBorder="1" applyAlignment="1">
      <alignment horizontal="left"/>
    </xf>
    <xf numFmtId="1" fontId="4" fillId="7" borderId="0" xfId="0" applyNumberFormat="1" applyFont="1" applyFill="1" applyAlignment="1">
      <alignment horizontal="left"/>
    </xf>
    <xf numFmtId="166" fontId="7" fillId="5" borderId="0" xfId="0" applyNumberFormat="1" applyFont="1" applyFill="1" applyAlignment="1">
      <alignment horizontal="right" vertical="center"/>
    </xf>
    <xf numFmtId="0" fontId="4" fillId="5" borderId="0" xfId="0" applyFont="1" applyFill="1" applyAlignment="1">
      <alignment horizontal="left" vertical="top"/>
    </xf>
    <xf numFmtId="0" fontId="4" fillId="0" borderId="0" xfId="0" applyFont="1" applyAlignment="1">
      <alignment horizontal="right" vertical="top"/>
    </xf>
    <xf numFmtId="166" fontId="4" fillId="4" borderId="8" xfId="0" applyNumberFormat="1" applyFont="1" applyFill="1" applyBorder="1" applyAlignment="1">
      <alignment horizontal="right"/>
    </xf>
    <xf numFmtId="166" fontId="4" fillId="5" borderId="8" xfId="0" applyNumberFormat="1" applyFont="1" applyFill="1" applyBorder="1" applyAlignment="1">
      <alignment horizontal="right"/>
    </xf>
    <xf numFmtId="166" fontId="7" fillId="4" borderId="4" xfId="0" applyNumberFormat="1" applyFont="1" applyFill="1" applyBorder="1" applyAlignment="1">
      <alignment horizontal="right" vertical="center"/>
    </xf>
    <xf numFmtId="166" fontId="7" fillId="5" borderId="4" xfId="0" applyNumberFormat="1" applyFont="1" applyFill="1" applyBorder="1" applyAlignment="1">
      <alignment horizontal="right" vertical="center"/>
    </xf>
    <xf numFmtId="165" fontId="4" fillId="4" borderId="8" xfId="0" applyNumberFormat="1" applyFont="1" applyFill="1" applyBorder="1" applyAlignment="1">
      <alignment horizontal="right"/>
    </xf>
    <xf numFmtId="166" fontId="25" fillId="0" borderId="0" xfId="2" applyNumberFormat="1"/>
    <xf numFmtId="0" fontId="27" fillId="0" borderId="0" xfId="1" applyFont="1"/>
    <xf numFmtId="0" fontId="25" fillId="0" borderId="0" xfId="1"/>
    <xf numFmtId="0" fontId="28" fillId="0" borderId="0" xfId="1" applyFont="1"/>
    <xf numFmtId="0" fontId="25" fillId="0" borderId="6" xfId="1" applyBorder="1"/>
    <xf numFmtId="0" fontId="25" fillId="4" borderId="0" xfId="1" applyFill="1" applyAlignment="1">
      <alignment horizontal="right"/>
    </xf>
    <xf numFmtId="0" fontId="25" fillId="5" borderId="0" xfId="1" applyFill="1" applyAlignment="1">
      <alignment horizontal="right"/>
    </xf>
    <xf numFmtId="165" fontId="16" fillId="4" borderId="0" xfId="1" applyNumberFormat="1" applyFont="1" applyFill="1" applyAlignment="1">
      <alignment horizontal="center"/>
    </xf>
    <xf numFmtId="0" fontId="25" fillId="0" borderId="0" xfId="1" applyAlignment="1">
      <alignment horizontal="right"/>
    </xf>
    <xf numFmtId="2" fontId="25" fillId="0" borderId="0" xfId="1" applyNumberFormat="1"/>
    <xf numFmtId="166" fontId="25" fillId="0" borderId="0" xfId="1" applyNumberFormat="1" applyAlignment="1">
      <alignment horizontal="right"/>
    </xf>
    <xf numFmtId="2" fontId="25" fillId="0" borderId="0" xfId="1" applyNumberFormat="1" applyAlignment="1">
      <alignment horizontal="right"/>
    </xf>
    <xf numFmtId="0" fontId="29" fillId="4" borderId="0" xfId="1" applyFont="1" applyFill="1" applyAlignment="1">
      <alignment horizontal="left"/>
    </xf>
    <xf numFmtId="0" fontId="25" fillId="5" borderId="0" xfId="1" applyFill="1" applyAlignment="1">
      <alignment horizontal="center"/>
    </xf>
    <xf numFmtId="0" fontId="25" fillId="4" borderId="0" xfId="1" applyFill="1" applyAlignment="1">
      <alignment horizontal="center"/>
    </xf>
    <xf numFmtId="166" fontId="25" fillId="0" borderId="0" xfId="1" applyNumberFormat="1"/>
    <xf numFmtId="0" fontId="25" fillId="4" borderId="0" xfId="1" applyFill="1"/>
    <xf numFmtId="0" fontId="28" fillId="4" borderId="0" xfId="1" applyFont="1" applyFill="1"/>
    <xf numFmtId="165" fontId="16" fillId="4" borderId="0" xfId="1" applyNumberFormat="1" applyFont="1" applyFill="1" applyAlignment="1">
      <alignment horizontal="center" vertical="top"/>
    </xf>
    <xf numFmtId="166" fontId="28" fillId="0" borderId="0" xfId="1" applyNumberFormat="1" applyFont="1"/>
    <xf numFmtId="0" fontId="28" fillId="4" borderId="2" xfId="1" applyFont="1" applyFill="1" applyBorder="1"/>
    <xf numFmtId="0" fontId="25" fillId="4" borderId="2" xfId="1" applyFill="1" applyBorder="1"/>
    <xf numFmtId="0" fontId="25" fillId="5" borderId="2" xfId="1" applyFill="1" applyBorder="1"/>
    <xf numFmtId="0" fontId="28" fillId="4" borderId="3" xfId="1" applyFont="1" applyFill="1" applyBorder="1"/>
    <xf numFmtId="0" fontId="25" fillId="4" borderId="3" xfId="1" applyFill="1" applyBorder="1"/>
    <xf numFmtId="166" fontId="28" fillId="5" borderId="3" xfId="1" applyNumberFormat="1" applyFont="1" applyFill="1" applyBorder="1" applyAlignment="1">
      <alignment horizontal="left"/>
    </xf>
    <xf numFmtId="166" fontId="28" fillId="4" borderId="3" xfId="1" applyNumberFormat="1" applyFont="1" applyFill="1" applyBorder="1" applyAlignment="1">
      <alignment horizontal="left"/>
    </xf>
    <xf numFmtId="165" fontId="28" fillId="4" borderId="3" xfId="1" applyNumberFormat="1" applyFont="1" applyFill="1" applyBorder="1" applyAlignment="1">
      <alignment horizontal="left"/>
    </xf>
    <xf numFmtId="0" fontId="25" fillId="4" borderId="4" xfId="1" applyFill="1" applyBorder="1"/>
    <xf numFmtId="166" fontId="25" fillId="5" borderId="4" xfId="1" applyNumberFormat="1" applyFill="1" applyBorder="1" applyAlignment="1">
      <alignment horizontal="center"/>
    </xf>
    <xf numFmtId="166" fontId="25" fillId="4" borderId="4" xfId="1" applyNumberFormat="1" applyFill="1" applyBorder="1" applyAlignment="1">
      <alignment horizontal="center"/>
    </xf>
    <xf numFmtId="165" fontId="25" fillId="4" borderId="4" xfId="1" applyNumberFormat="1" applyFill="1" applyBorder="1" applyAlignment="1">
      <alignment horizontal="center"/>
    </xf>
    <xf numFmtId="0" fontId="28" fillId="4" borderId="4" xfId="1" applyFont="1" applyFill="1" applyBorder="1"/>
    <xf numFmtId="0" fontId="26" fillId="4" borderId="4" xfId="1" applyFont="1" applyFill="1" applyBorder="1"/>
    <xf numFmtId="166" fontId="30" fillId="5" borderId="4" xfId="1" applyNumberFormat="1" applyFont="1" applyFill="1" applyBorder="1"/>
    <xf numFmtId="166" fontId="30" fillId="4" borderId="4" xfId="1" applyNumberFormat="1" applyFont="1" applyFill="1" applyBorder="1"/>
    <xf numFmtId="165" fontId="30" fillId="4" borderId="4" xfId="1" applyNumberFormat="1" applyFont="1" applyFill="1" applyBorder="1" applyAlignment="1">
      <alignment horizontal="right"/>
    </xf>
    <xf numFmtId="165" fontId="30" fillId="4" borderId="4" xfId="1" applyNumberFormat="1" applyFont="1" applyFill="1" applyBorder="1"/>
    <xf numFmtId="0" fontId="26" fillId="0" borderId="0" xfId="1" applyFont="1"/>
    <xf numFmtId="0" fontId="31" fillId="4" borderId="4" xfId="1" applyFont="1" applyFill="1" applyBorder="1"/>
    <xf numFmtId="166" fontId="32" fillId="5" borderId="4" xfId="1" applyNumberFormat="1" applyFont="1" applyFill="1" applyBorder="1"/>
    <xf numFmtId="166" fontId="32" fillId="4" borderId="4" xfId="1" applyNumberFormat="1" applyFont="1" applyFill="1" applyBorder="1"/>
    <xf numFmtId="165" fontId="32" fillId="4" borderId="4" xfId="1" applyNumberFormat="1" applyFont="1" applyFill="1" applyBorder="1"/>
    <xf numFmtId="2" fontId="26" fillId="0" borderId="0" xfId="1" applyNumberFormat="1" applyFont="1"/>
    <xf numFmtId="166" fontId="28" fillId="5" borderId="4" xfId="1" applyNumberFormat="1" applyFont="1" applyFill="1" applyBorder="1" applyAlignment="1">
      <alignment horizontal="left"/>
    </xf>
    <xf numFmtId="166" fontId="28" fillId="4" borderId="4" xfId="1" applyNumberFormat="1" applyFont="1" applyFill="1" applyBorder="1" applyAlignment="1">
      <alignment horizontal="left"/>
    </xf>
    <xf numFmtId="165" fontId="28" fillId="4" borderId="4" xfId="1" applyNumberFormat="1" applyFont="1" applyFill="1" applyBorder="1" applyAlignment="1">
      <alignment horizontal="left"/>
    </xf>
    <xf numFmtId="166" fontId="30" fillId="5" borderId="4" xfId="1" applyNumberFormat="1" applyFont="1" applyFill="1" applyBorder="1" applyAlignment="1">
      <alignment horizontal="right"/>
    </xf>
    <xf numFmtId="166" fontId="30" fillId="4" borderId="4" xfId="1" applyNumberFormat="1" applyFont="1" applyFill="1" applyBorder="1" applyAlignment="1">
      <alignment horizontal="right"/>
    </xf>
    <xf numFmtId="166" fontId="25" fillId="5" borderId="4" xfId="1" applyNumberFormat="1" applyFill="1" applyBorder="1"/>
    <xf numFmtId="166" fontId="25" fillId="4" borderId="4" xfId="1" applyNumberFormat="1" applyFill="1" applyBorder="1"/>
    <xf numFmtId="165" fontId="25" fillId="4" borderId="4" xfId="1" applyNumberFormat="1" applyFill="1" applyBorder="1"/>
    <xf numFmtId="166" fontId="33" fillId="5" borderId="4" xfId="1" applyNumberFormat="1" applyFont="1" applyFill="1" applyBorder="1" applyAlignment="1">
      <alignment horizontal="right"/>
    </xf>
    <xf numFmtId="166" fontId="33" fillId="4" borderId="4" xfId="1" applyNumberFormat="1" applyFont="1" applyFill="1" applyBorder="1" applyAlignment="1">
      <alignment horizontal="right"/>
    </xf>
    <xf numFmtId="165" fontId="33" fillId="4" borderId="4" xfId="1" applyNumberFormat="1" applyFont="1" applyFill="1" applyBorder="1" applyAlignment="1">
      <alignment horizontal="right"/>
    </xf>
    <xf numFmtId="166" fontId="34" fillId="5" borderId="4" xfId="1" applyNumberFormat="1" applyFont="1" applyFill="1" applyBorder="1" applyAlignment="1">
      <alignment horizontal="right"/>
    </xf>
    <xf numFmtId="166" fontId="34" fillId="4" borderId="4" xfId="1" applyNumberFormat="1" applyFont="1" applyFill="1" applyBorder="1" applyAlignment="1">
      <alignment horizontal="right"/>
    </xf>
    <xf numFmtId="165" fontId="34" fillId="4" borderId="4" xfId="1" applyNumberFormat="1" applyFont="1" applyFill="1" applyBorder="1" applyAlignment="1">
      <alignment horizontal="right"/>
    </xf>
    <xf numFmtId="166" fontId="35" fillId="5" borderId="4" xfId="1" applyNumberFormat="1" applyFont="1" applyFill="1" applyBorder="1" applyAlignment="1">
      <alignment horizontal="right"/>
    </xf>
    <xf numFmtId="166" fontId="35" fillId="4" borderId="4" xfId="1" applyNumberFormat="1" applyFont="1" applyFill="1" applyBorder="1" applyAlignment="1">
      <alignment horizontal="right"/>
    </xf>
    <xf numFmtId="165" fontId="35" fillId="4" borderId="4" xfId="1" applyNumberFormat="1" applyFont="1" applyFill="1" applyBorder="1" applyAlignment="1">
      <alignment horizontal="right"/>
    </xf>
    <xf numFmtId="166" fontId="26" fillId="0" borderId="0" xfId="1" applyNumberFormat="1" applyFont="1"/>
    <xf numFmtId="166" fontId="36" fillId="5" borderId="4" xfId="1" applyNumberFormat="1" applyFont="1" applyFill="1" applyBorder="1" applyAlignment="1">
      <alignment horizontal="right"/>
    </xf>
    <xf numFmtId="166" fontId="36" fillId="4" borderId="4" xfId="1" applyNumberFormat="1" applyFont="1" applyFill="1" applyBorder="1" applyAlignment="1">
      <alignment horizontal="right"/>
    </xf>
    <xf numFmtId="165" fontId="36" fillId="4" borderId="4" xfId="1" applyNumberFormat="1" applyFont="1" applyFill="1" applyBorder="1" applyAlignment="1">
      <alignment horizontal="right"/>
    </xf>
    <xf numFmtId="0" fontId="25" fillId="8" borderId="0" xfId="1" applyFill="1"/>
    <xf numFmtId="166" fontId="37" fillId="5" borderId="4" xfId="1" applyNumberFormat="1" applyFont="1" applyFill="1" applyBorder="1" applyAlignment="1">
      <alignment horizontal="left"/>
    </xf>
    <xf numFmtId="166" fontId="37" fillId="4" borderId="4" xfId="1" applyNumberFormat="1" applyFont="1" applyFill="1" applyBorder="1" applyAlignment="1">
      <alignment horizontal="left"/>
    </xf>
    <xf numFmtId="165" fontId="37" fillId="4" borderId="4" xfId="1" applyNumberFormat="1" applyFont="1" applyFill="1" applyBorder="1" applyAlignment="1">
      <alignment horizontal="left"/>
    </xf>
    <xf numFmtId="166" fontId="28" fillId="5" borderId="4" xfId="1" applyNumberFormat="1" applyFont="1" applyFill="1" applyBorder="1"/>
    <xf numFmtId="166" fontId="28" fillId="4" borderId="4" xfId="1" applyNumberFormat="1" applyFont="1" applyFill="1" applyBorder="1"/>
    <xf numFmtId="0" fontId="28" fillId="4" borderId="7" xfId="1" applyFont="1" applyFill="1" applyBorder="1"/>
    <xf numFmtId="0" fontId="26" fillId="4" borderId="7" xfId="1" applyFont="1" applyFill="1" applyBorder="1"/>
    <xf numFmtId="166" fontId="37" fillId="5" borderId="7" xfId="1" applyNumberFormat="1" applyFont="1" applyFill="1" applyBorder="1" applyAlignment="1">
      <alignment horizontal="left"/>
    </xf>
    <xf numFmtId="166" fontId="37" fillId="4" borderId="7" xfId="1" applyNumberFormat="1" applyFont="1" applyFill="1" applyBorder="1" applyAlignment="1">
      <alignment horizontal="left"/>
    </xf>
    <xf numFmtId="165" fontId="37" fillId="4" borderId="7" xfId="1" applyNumberFormat="1" applyFont="1" applyFill="1" applyBorder="1" applyAlignment="1">
      <alignment horizontal="left"/>
    </xf>
    <xf numFmtId="0" fontId="38" fillId="0" borderId="0" xfId="1" applyFont="1"/>
    <xf numFmtId="0" fontId="39" fillId="0" borderId="0" xfId="1" applyFont="1"/>
    <xf numFmtId="10" fontId="25" fillId="0" borderId="0" xfId="1" applyNumberFormat="1"/>
    <xf numFmtId="49" fontId="39" fillId="0" borderId="0" xfId="1" applyNumberFormat="1" applyFont="1"/>
    <xf numFmtId="0" fontId="40" fillId="0" borderId="0" xfId="1" applyFont="1"/>
    <xf numFmtId="0" fontId="41" fillId="0" borderId="0" xfId="1" applyFont="1"/>
    <xf numFmtId="0" fontId="42" fillId="0" borderId="0" xfId="1" applyFont="1"/>
    <xf numFmtId="0" fontId="43" fillId="0" borderId="0" xfId="1" applyFont="1"/>
    <xf numFmtId="0" fontId="44" fillId="0" borderId="0" xfId="1" applyFont="1"/>
    <xf numFmtId="0" fontId="27" fillId="0" borderId="0" xfId="2" applyFont="1"/>
    <xf numFmtId="0" fontId="25" fillId="0" borderId="0" xfId="2"/>
    <xf numFmtId="0" fontId="28" fillId="0" borderId="0" xfId="2" applyFont="1"/>
    <xf numFmtId="0" fontId="25" fillId="0" borderId="6" xfId="2" applyBorder="1"/>
    <xf numFmtId="0" fontId="25" fillId="4" borderId="0" xfId="2" applyFill="1" applyAlignment="1">
      <alignment horizontal="right"/>
    </xf>
    <xf numFmtId="0" fontId="25" fillId="5" borderId="0" xfId="2" applyFill="1" applyAlignment="1">
      <alignment horizontal="right"/>
    </xf>
    <xf numFmtId="0" fontId="25" fillId="0" borderId="0" xfId="2" applyAlignment="1">
      <alignment horizontal="right"/>
    </xf>
    <xf numFmtId="2" fontId="25" fillId="0" borderId="0" xfId="2" applyNumberFormat="1"/>
    <xf numFmtId="166" fontId="25" fillId="0" borderId="0" xfId="2" applyNumberFormat="1" applyAlignment="1">
      <alignment horizontal="right"/>
    </xf>
    <xf numFmtId="2" fontId="25" fillId="0" borderId="0" xfId="2" applyNumberFormat="1" applyAlignment="1">
      <alignment horizontal="right"/>
    </xf>
    <xf numFmtId="0" fontId="29" fillId="4" borderId="0" xfId="2" applyFont="1" applyFill="1" applyAlignment="1">
      <alignment horizontal="left"/>
    </xf>
    <xf numFmtId="0" fontId="25" fillId="5" borderId="0" xfId="2" applyFill="1" applyAlignment="1">
      <alignment horizontal="center"/>
    </xf>
    <xf numFmtId="0" fontId="25" fillId="4" borderId="0" xfId="2" applyFill="1" applyAlignment="1">
      <alignment horizontal="center"/>
    </xf>
    <xf numFmtId="0" fontId="25" fillId="4" borderId="0" xfId="2" applyFill="1"/>
    <xf numFmtId="0" fontId="28" fillId="4" borderId="0" xfId="2" applyFont="1" applyFill="1"/>
    <xf numFmtId="166" fontId="28" fillId="0" borderId="0" xfId="2" applyNumberFormat="1" applyFont="1"/>
    <xf numFmtId="0" fontId="28" fillId="4" borderId="2" xfId="2" applyFont="1" applyFill="1" applyBorder="1"/>
    <xf numFmtId="0" fontId="25" fillId="4" borderId="2" xfId="2" applyFill="1" applyBorder="1"/>
    <xf numFmtId="0" fontId="25" fillId="5" borderId="2" xfId="2" applyFill="1" applyBorder="1"/>
    <xf numFmtId="0" fontId="28" fillId="4" borderId="3" xfId="2" applyFont="1" applyFill="1" applyBorder="1"/>
    <xf numFmtId="0" fontId="25" fillId="4" borderId="3" xfId="2" applyFill="1" applyBorder="1"/>
    <xf numFmtId="165" fontId="28" fillId="5" borderId="3" xfId="2" applyNumberFormat="1" applyFont="1" applyFill="1" applyBorder="1" applyAlignment="1">
      <alignment horizontal="left"/>
    </xf>
    <xf numFmtId="165" fontId="28" fillId="4" borderId="3" xfId="2" applyNumberFormat="1" applyFont="1" applyFill="1" applyBorder="1" applyAlignment="1">
      <alignment horizontal="left"/>
    </xf>
    <xf numFmtId="0" fontId="25" fillId="4" borderId="4" xfId="2" applyFill="1" applyBorder="1"/>
    <xf numFmtId="165" fontId="25" fillId="5" borderId="4" xfId="2" applyNumberFormat="1" applyFill="1" applyBorder="1" applyAlignment="1">
      <alignment horizontal="center"/>
    </xf>
    <xf numFmtId="165" fontId="25" fillId="4" borderId="4" xfId="2" applyNumberFormat="1" applyFill="1" applyBorder="1" applyAlignment="1">
      <alignment horizontal="center"/>
    </xf>
    <xf numFmtId="0" fontId="28" fillId="4" borderId="4" xfId="2" applyFont="1" applyFill="1" applyBorder="1"/>
    <xf numFmtId="0" fontId="26" fillId="4" borderId="4" xfId="2" applyFont="1" applyFill="1" applyBorder="1"/>
    <xf numFmtId="165" fontId="30" fillId="5" borderId="4" xfId="2" applyNumberFormat="1" applyFont="1" applyFill="1" applyBorder="1"/>
    <xf numFmtId="165" fontId="30" fillId="4" borderId="4" xfId="2" applyNumberFormat="1" applyFont="1" applyFill="1" applyBorder="1"/>
    <xf numFmtId="0" fontId="26" fillId="0" borderId="0" xfId="2" applyFont="1"/>
    <xf numFmtId="0" fontId="31" fillId="4" borderId="4" xfId="2" applyFont="1" applyFill="1" applyBorder="1"/>
    <xf numFmtId="165" fontId="32" fillId="5" borderId="4" xfId="2" applyNumberFormat="1" applyFont="1" applyFill="1" applyBorder="1"/>
    <xf numFmtId="165" fontId="32" fillId="4" borderId="4" xfId="2" applyNumberFormat="1" applyFont="1" applyFill="1" applyBorder="1"/>
    <xf numFmtId="2" fontId="26" fillId="0" borderId="0" xfId="2" applyNumberFormat="1" applyFont="1"/>
    <xf numFmtId="165" fontId="28" fillId="5" borderId="4" xfId="2" applyNumberFormat="1" applyFont="1" applyFill="1" applyBorder="1" applyAlignment="1">
      <alignment horizontal="left"/>
    </xf>
    <xf numFmtId="165" fontId="28" fillId="4" borderId="4" xfId="2" applyNumberFormat="1" applyFont="1" applyFill="1" applyBorder="1" applyAlignment="1">
      <alignment horizontal="left"/>
    </xf>
    <xf numFmtId="165" fontId="30" fillId="5" borderId="4" xfId="2" applyNumberFormat="1" applyFont="1" applyFill="1" applyBorder="1" applyAlignment="1">
      <alignment horizontal="right"/>
    </xf>
    <xf numFmtId="165" fontId="30" fillId="4" borderId="4" xfId="2" applyNumberFormat="1" applyFont="1" applyFill="1" applyBorder="1" applyAlignment="1">
      <alignment horizontal="right"/>
    </xf>
    <xf numFmtId="165" fontId="25" fillId="5" borderId="4" xfId="2" applyNumberFormat="1" applyFill="1" applyBorder="1"/>
    <xf numFmtId="165" fontId="25" fillId="4" borderId="4" xfId="2" applyNumberFormat="1" applyFill="1" applyBorder="1"/>
    <xf numFmtId="165" fontId="33" fillId="5" borderId="4" xfId="2" applyNumberFormat="1" applyFont="1" applyFill="1" applyBorder="1" applyAlignment="1">
      <alignment horizontal="right"/>
    </xf>
    <xf numFmtId="165" fontId="33" fillId="4" borderId="4" xfId="2" applyNumberFormat="1" applyFont="1" applyFill="1" applyBorder="1" applyAlignment="1">
      <alignment horizontal="right"/>
    </xf>
    <xf numFmtId="165" fontId="34" fillId="5" borderId="4" xfId="2" applyNumberFormat="1" applyFont="1" applyFill="1" applyBorder="1" applyAlignment="1">
      <alignment horizontal="right"/>
    </xf>
    <xf numFmtId="165" fontId="34" fillId="4" borderId="4" xfId="2" applyNumberFormat="1" applyFont="1" applyFill="1" applyBorder="1" applyAlignment="1">
      <alignment horizontal="right"/>
    </xf>
    <xf numFmtId="165" fontId="35" fillId="5" borderId="4" xfId="2" applyNumberFormat="1" applyFont="1" applyFill="1" applyBorder="1" applyAlignment="1">
      <alignment horizontal="right"/>
    </xf>
    <xf numFmtId="165" fontId="35" fillId="4" borderId="4" xfId="2" applyNumberFormat="1" applyFont="1" applyFill="1" applyBorder="1" applyAlignment="1">
      <alignment horizontal="right"/>
    </xf>
    <xf numFmtId="166" fontId="26" fillId="0" borderId="0" xfId="2" applyNumberFormat="1" applyFont="1"/>
    <xf numFmtId="165" fontId="36" fillId="5" borderId="4" xfId="2" applyNumberFormat="1" applyFont="1" applyFill="1" applyBorder="1" applyAlignment="1">
      <alignment horizontal="right"/>
    </xf>
    <xf numFmtId="165" fontId="36" fillId="4" borderId="4" xfId="2" applyNumberFormat="1" applyFont="1" applyFill="1" applyBorder="1" applyAlignment="1">
      <alignment horizontal="right"/>
    </xf>
    <xf numFmtId="0" fontId="25" fillId="8" borderId="0" xfId="2" applyFill="1"/>
    <xf numFmtId="165" fontId="37" fillId="5" borderId="4" xfId="2" applyNumberFormat="1" applyFont="1" applyFill="1" applyBorder="1" applyAlignment="1">
      <alignment horizontal="left"/>
    </xf>
    <xf numFmtId="165" fontId="37" fillId="4" borderId="4" xfId="2" applyNumberFormat="1" applyFont="1" applyFill="1" applyBorder="1" applyAlignment="1">
      <alignment horizontal="left"/>
    </xf>
    <xf numFmtId="0" fontId="28" fillId="4" borderId="7" xfId="2" applyFont="1" applyFill="1" applyBorder="1"/>
    <xf numFmtId="0" fontId="26" fillId="4" borderId="7" xfId="2" applyFont="1" applyFill="1" applyBorder="1"/>
    <xf numFmtId="165" fontId="37" fillId="5" borderId="7" xfId="2" applyNumberFormat="1" applyFont="1" applyFill="1" applyBorder="1" applyAlignment="1">
      <alignment horizontal="left"/>
    </xf>
    <xf numFmtId="165" fontId="37" fillId="4" borderId="7" xfId="2" applyNumberFormat="1" applyFont="1" applyFill="1" applyBorder="1" applyAlignment="1">
      <alignment horizontal="left"/>
    </xf>
    <xf numFmtId="0" fontId="38" fillId="0" borderId="0" xfId="2" applyFont="1"/>
    <xf numFmtId="0" fontId="39" fillId="0" borderId="0" xfId="2" applyFont="1"/>
    <xf numFmtId="10" fontId="25" fillId="0" borderId="0" xfId="2" applyNumberFormat="1"/>
    <xf numFmtId="49" fontId="39" fillId="0" borderId="0" xfId="2" applyNumberFormat="1" applyFont="1"/>
    <xf numFmtId="0" fontId="40" fillId="0" borderId="0" xfId="2" applyFont="1"/>
    <xf numFmtId="0" fontId="41" fillId="0" borderId="0" xfId="2" applyFont="1"/>
    <xf numFmtId="0" fontId="42" fillId="0" borderId="0" xfId="2" applyFont="1"/>
    <xf numFmtId="0" fontId="43" fillId="0" borderId="0" xfId="2" applyFont="1"/>
    <xf numFmtId="0" fontId="44" fillId="0" borderId="0" xfId="2" applyFont="1"/>
    <xf numFmtId="0" fontId="25" fillId="0" borderId="0" xfId="3"/>
    <xf numFmtId="0" fontId="27" fillId="0" borderId="0" xfId="3" applyFont="1"/>
    <xf numFmtId="0" fontId="25" fillId="0" borderId="6" xfId="3" applyBorder="1"/>
    <xf numFmtId="0" fontId="25" fillId="4" borderId="5" xfId="3" applyFill="1" applyBorder="1" applyAlignment="1">
      <alignment horizontal="right"/>
    </xf>
    <xf numFmtId="0" fontId="25" fillId="5" borderId="5" xfId="3" applyFill="1" applyBorder="1" applyAlignment="1">
      <alignment horizontal="right"/>
    </xf>
    <xf numFmtId="165" fontId="16" fillId="4" borderId="0" xfId="3" applyNumberFormat="1" applyFont="1" applyFill="1" applyAlignment="1">
      <alignment horizontal="center"/>
    </xf>
    <xf numFmtId="165" fontId="16" fillId="0" borderId="0" xfId="3" applyNumberFormat="1" applyFont="1" applyAlignment="1">
      <alignment horizontal="center"/>
    </xf>
    <xf numFmtId="0" fontId="29" fillId="4" borderId="0" xfId="3" applyFont="1" applyFill="1" applyAlignment="1">
      <alignment horizontal="left"/>
    </xf>
    <xf numFmtId="0" fontId="25" fillId="4" borderId="0" xfId="3" applyFill="1" applyAlignment="1">
      <alignment horizontal="right"/>
    </xf>
    <xf numFmtId="0" fontId="25" fillId="5" borderId="0" xfId="3" applyFill="1" applyAlignment="1">
      <alignment horizontal="center"/>
    </xf>
    <xf numFmtId="0" fontId="25" fillId="4" borderId="0" xfId="3" applyFill="1" applyAlignment="1">
      <alignment horizontal="center"/>
    </xf>
    <xf numFmtId="165" fontId="16" fillId="4" borderId="0" xfId="3" applyNumberFormat="1" applyFont="1" applyFill="1" applyAlignment="1">
      <alignment horizontal="center" vertical="top"/>
    </xf>
    <xf numFmtId="0" fontId="29" fillId="4" borderId="2" xfId="3" applyFont="1" applyFill="1" applyBorder="1" applyAlignment="1">
      <alignment horizontal="left"/>
    </xf>
    <xf numFmtId="0" fontId="25" fillId="4" borderId="2" xfId="3" applyFill="1" applyBorder="1"/>
    <xf numFmtId="0" fontId="25" fillId="5" borderId="2" xfId="3" applyFill="1" applyBorder="1" applyAlignment="1">
      <alignment horizontal="center"/>
    </xf>
    <xf numFmtId="0" fontId="25" fillId="4" borderId="2" xfId="3" applyFill="1" applyBorder="1" applyAlignment="1">
      <alignment horizontal="center"/>
    </xf>
    <xf numFmtId="165" fontId="16" fillId="4" borderId="2" xfId="3" applyNumberFormat="1" applyFont="1" applyFill="1" applyBorder="1" applyAlignment="1">
      <alignment horizontal="center" vertical="top"/>
    </xf>
    <xf numFmtId="165" fontId="16" fillId="0" borderId="0" xfId="3" applyNumberFormat="1" applyFont="1" applyAlignment="1">
      <alignment horizontal="center" vertical="top"/>
    </xf>
    <xf numFmtId="0" fontId="25" fillId="4" borderId="8" xfId="3" applyFill="1" applyBorder="1"/>
    <xf numFmtId="166" fontId="32" fillId="5" borderId="8" xfId="3" applyNumberFormat="1" applyFont="1" applyFill="1" applyBorder="1" applyAlignment="1">
      <alignment horizontal="center"/>
    </xf>
    <xf numFmtId="166" fontId="32" fillId="4" borderId="8" xfId="3" applyNumberFormat="1" applyFont="1" applyFill="1" applyBorder="1" applyAlignment="1">
      <alignment horizontal="center"/>
    </xf>
    <xf numFmtId="165" fontId="32" fillId="4" borderId="8" xfId="3" applyNumberFormat="1" applyFont="1" applyFill="1" applyBorder="1" applyAlignment="1">
      <alignment horizontal="center"/>
    </xf>
    <xf numFmtId="165" fontId="25" fillId="0" borderId="0" xfId="3" applyNumberFormat="1" applyAlignment="1">
      <alignment horizontal="center"/>
    </xf>
    <xf numFmtId="0" fontId="25" fillId="4" borderId="4" xfId="3" applyFill="1" applyBorder="1"/>
    <xf numFmtId="0" fontId="26" fillId="4" borderId="4" xfId="3" applyFont="1" applyFill="1" applyBorder="1"/>
    <xf numFmtId="166" fontId="36" fillId="5" borderId="4" xfId="3" applyNumberFormat="1" applyFont="1" applyFill="1" applyBorder="1" applyAlignment="1">
      <alignment horizontal="right"/>
    </xf>
    <xf numFmtId="166" fontId="36" fillId="4" borderId="4" xfId="3" applyNumberFormat="1" applyFont="1" applyFill="1" applyBorder="1" applyAlignment="1">
      <alignment horizontal="right"/>
    </xf>
    <xf numFmtId="165" fontId="36" fillId="4" borderId="4" xfId="3" applyNumberFormat="1" applyFont="1" applyFill="1" applyBorder="1" applyAlignment="1">
      <alignment horizontal="right"/>
    </xf>
    <xf numFmtId="166" fontId="45" fillId="5" borderId="4" xfId="3" applyNumberFormat="1" applyFont="1" applyFill="1" applyBorder="1" applyAlignment="1">
      <alignment horizontal="right"/>
    </xf>
    <xf numFmtId="166" fontId="45" fillId="4" borderId="4" xfId="3" applyNumberFormat="1" applyFont="1" applyFill="1" applyBorder="1" applyAlignment="1">
      <alignment horizontal="right"/>
    </xf>
    <xf numFmtId="165" fontId="45" fillId="4" borderId="4" xfId="3" applyNumberFormat="1" applyFont="1" applyFill="1" applyBorder="1" applyAlignment="1">
      <alignment horizontal="right"/>
    </xf>
    <xf numFmtId="166" fontId="25" fillId="5" borderId="4" xfId="3" applyNumberFormat="1" applyFill="1" applyBorder="1"/>
    <xf numFmtId="166" fontId="25" fillId="4" borderId="4" xfId="3" applyNumberFormat="1" applyFill="1" applyBorder="1"/>
    <xf numFmtId="165" fontId="25" fillId="4" borderId="4" xfId="3" applyNumberFormat="1" applyFill="1" applyBorder="1"/>
    <xf numFmtId="166" fontId="32" fillId="5" borderId="4" xfId="3" applyNumberFormat="1" applyFont="1" applyFill="1" applyBorder="1" applyAlignment="1">
      <alignment horizontal="center"/>
    </xf>
    <xf numFmtId="166" fontId="32" fillId="4" borderId="4" xfId="3" applyNumberFormat="1" applyFont="1" applyFill="1" applyBorder="1" applyAlignment="1">
      <alignment horizontal="center"/>
    </xf>
    <xf numFmtId="165" fontId="32" fillId="4" borderId="4" xfId="3" applyNumberFormat="1" applyFont="1" applyFill="1" applyBorder="1" applyAlignment="1">
      <alignment horizontal="center"/>
    </xf>
    <xf numFmtId="166" fontId="31" fillId="5" borderId="4" xfId="3" applyNumberFormat="1" applyFont="1" applyFill="1" applyBorder="1"/>
    <xf numFmtId="166" fontId="31" fillId="4" borderId="4" xfId="3" applyNumberFormat="1" applyFont="1" applyFill="1" applyBorder="1"/>
    <xf numFmtId="165" fontId="31" fillId="4" borderId="4" xfId="3" applyNumberFormat="1" applyFont="1" applyFill="1" applyBorder="1"/>
    <xf numFmtId="165" fontId="31" fillId="4" borderId="4" xfId="3" applyNumberFormat="1" applyFont="1" applyFill="1" applyBorder="1" applyAlignment="1">
      <alignment horizontal="right"/>
    </xf>
    <xf numFmtId="165" fontId="25" fillId="0" borderId="0" xfId="3" quotePrefix="1" applyNumberFormat="1" applyAlignment="1">
      <alignment horizontal="center"/>
    </xf>
    <xf numFmtId="0" fontId="25" fillId="6" borderId="0" xfId="3" applyFill="1"/>
    <xf numFmtId="166" fontId="31" fillId="5" borderId="4" xfId="3" applyNumberFormat="1" applyFont="1" applyFill="1" applyBorder="1" applyAlignment="1">
      <alignment horizontal="right"/>
    </xf>
    <xf numFmtId="166" fontId="31" fillId="4" borderId="4" xfId="3" applyNumberFormat="1" applyFont="1" applyFill="1" applyBorder="1" applyAlignment="1">
      <alignment horizontal="right"/>
    </xf>
    <xf numFmtId="166" fontId="30" fillId="5" borderId="4" xfId="3" applyNumberFormat="1" applyFont="1" applyFill="1" applyBorder="1"/>
    <xf numFmtId="166" fontId="30" fillId="4" borderId="4" xfId="3" applyNumberFormat="1" applyFont="1" applyFill="1" applyBorder="1"/>
    <xf numFmtId="165" fontId="30" fillId="4" borderId="4" xfId="3" applyNumberFormat="1" applyFont="1" applyFill="1" applyBorder="1"/>
    <xf numFmtId="0" fontId="25" fillId="5" borderId="4" xfId="3" applyFill="1" applyBorder="1"/>
    <xf numFmtId="0" fontId="28" fillId="4" borderId="4" xfId="3" applyFont="1" applyFill="1" applyBorder="1"/>
    <xf numFmtId="166" fontId="30" fillId="5" borderId="4" xfId="3" applyNumberFormat="1" applyFont="1" applyFill="1" applyBorder="1" applyAlignment="1">
      <alignment horizontal="right"/>
    </xf>
    <xf numFmtId="166" fontId="30" fillId="4" borderId="4" xfId="3" applyNumberFormat="1" applyFont="1" applyFill="1" applyBorder="1" applyAlignment="1">
      <alignment horizontal="right"/>
    </xf>
    <xf numFmtId="165" fontId="30" fillId="4" borderId="4" xfId="3" applyNumberFormat="1" applyFont="1" applyFill="1" applyBorder="1" applyAlignment="1">
      <alignment horizontal="right"/>
    </xf>
    <xf numFmtId="166" fontId="37" fillId="5" borderId="4" xfId="3" applyNumberFormat="1" applyFont="1" applyFill="1" applyBorder="1"/>
    <xf numFmtId="166" fontId="37" fillId="4" borderId="4" xfId="3" applyNumberFormat="1" applyFont="1" applyFill="1" applyBorder="1"/>
    <xf numFmtId="165" fontId="37" fillId="4" borderId="4" xfId="3" applyNumberFormat="1" applyFont="1" applyFill="1" applyBorder="1"/>
    <xf numFmtId="166" fontId="46" fillId="5" borderId="4" xfId="3" applyNumberFormat="1" applyFont="1" applyFill="1" applyBorder="1" applyAlignment="1">
      <alignment horizontal="center"/>
    </xf>
    <xf numFmtId="166" fontId="46" fillId="4" borderId="4" xfId="3" applyNumberFormat="1" applyFont="1" applyFill="1" applyBorder="1" applyAlignment="1">
      <alignment horizontal="center"/>
    </xf>
    <xf numFmtId="165" fontId="46" fillId="4" borderId="4" xfId="3" applyNumberFormat="1" applyFont="1" applyFill="1" applyBorder="1" applyAlignment="1">
      <alignment horizontal="center"/>
    </xf>
    <xf numFmtId="166" fontId="47" fillId="5" borderId="4" xfId="3" applyNumberFormat="1" applyFont="1" applyFill="1" applyBorder="1" applyAlignment="1">
      <alignment horizontal="right"/>
    </xf>
    <xf numFmtId="166" fontId="47" fillId="4" borderId="4" xfId="3" applyNumberFormat="1" applyFont="1" applyFill="1" applyBorder="1" applyAlignment="1">
      <alignment horizontal="right"/>
    </xf>
    <xf numFmtId="165" fontId="47" fillId="4" borderId="4" xfId="3" applyNumberFormat="1" applyFont="1" applyFill="1" applyBorder="1" applyAlignment="1">
      <alignment horizontal="right"/>
    </xf>
    <xf numFmtId="166" fontId="48" fillId="5" borderId="4" xfId="3" applyNumberFormat="1" applyFont="1" applyFill="1" applyBorder="1" applyAlignment="1">
      <alignment horizontal="left"/>
    </xf>
    <xf numFmtId="166" fontId="48" fillId="4" borderId="4" xfId="3" applyNumberFormat="1" applyFont="1" applyFill="1" applyBorder="1" applyAlignment="1">
      <alignment horizontal="left"/>
    </xf>
    <xf numFmtId="165" fontId="48" fillId="4" borderId="4" xfId="3" applyNumberFormat="1" applyFont="1" applyFill="1" applyBorder="1" applyAlignment="1">
      <alignment horizontal="left"/>
    </xf>
    <xf numFmtId="166" fontId="49" fillId="5" borderId="4" xfId="3" applyNumberFormat="1" applyFont="1" applyFill="1" applyBorder="1" applyAlignment="1">
      <alignment horizontal="center"/>
    </xf>
    <xf numFmtId="166" fontId="49" fillId="4" borderId="4" xfId="3" applyNumberFormat="1" applyFont="1" applyFill="1" applyBorder="1" applyAlignment="1">
      <alignment horizontal="center"/>
    </xf>
    <xf numFmtId="165" fontId="49" fillId="4" borderId="4" xfId="3" applyNumberFormat="1" applyFont="1" applyFill="1" applyBorder="1" applyAlignment="1">
      <alignment horizontal="center"/>
    </xf>
    <xf numFmtId="0" fontId="25" fillId="4" borderId="9" xfId="3" applyFill="1" applyBorder="1"/>
    <xf numFmtId="0" fontId="26" fillId="4" borderId="9" xfId="3" applyFont="1" applyFill="1" applyBorder="1"/>
    <xf numFmtId="166" fontId="49" fillId="5" borderId="9" xfId="3" applyNumberFormat="1" applyFont="1" applyFill="1" applyBorder="1" applyAlignment="1">
      <alignment horizontal="center"/>
    </xf>
    <xf numFmtId="166" fontId="49" fillId="4" borderId="9" xfId="3" applyNumberFormat="1" applyFont="1" applyFill="1" applyBorder="1" applyAlignment="1">
      <alignment horizontal="center"/>
    </xf>
    <xf numFmtId="165" fontId="49" fillId="4" borderId="9" xfId="3" applyNumberFormat="1" applyFont="1" applyFill="1" applyBorder="1" applyAlignment="1">
      <alignment horizontal="center"/>
    </xf>
    <xf numFmtId="0" fontId="25" fillId="0" borderId="2" xfId="3" applyBorder="1"/>
    <xf numFmtId="0" fontId="26" fillId="0" borderId="2" xfId="3" applyFont="1" applyBorder="1"/>
    <xf numFmtId="166" fontId="31" fillId="0" borderId="2" xfId="3" applyNumberFormat="1" applyFont="1" applyBorder="1" applyAlignment="1">
      <alignment horizontal="right"/>
    </xf>
    <xf numFmtId="165" fontId="31" fillId="0" borderId="2" xfId="3" applyNumberFormat="1" applyFont="1" applyBorder="1" applyAlignment="1">
      <alignment horizontal="right"/>
    </xf>
    <xf numFmtId="0" fontId="26" fillId="0" borderId="0" xfId="3" applyFont="1"/>
    <xf numFmtId="166" fontId="31" fillId="0" borderId="0" xfId="3" applyNumberFormat="1" applyFont="1" applyAlignment="1">
      <alignment horizontal="right"/>
    </xf>
    <xf numFmtId="165" fontId="31" fillId="0" borderId="0" xfId="3" applyNumberFormat="1" applyFont="1" applyAlignment="1">
      <alignment horizontal="right"/>
    </xf>
    <xf numFmtId="0" fontId="28" fillId="4" borderId="8" xfId="3" applyFont="1" applyFill="1" applyBorder="1"/>
    <xf numFmtId="166" fontId="46" fillId="5" borderId="8" xfId="3" applyNumberFormat="1" applyFont="1" applyFill="1" applyBorder="1" applyAlignment="1">
      <alignment horizontal="center"/>
    </xf>
    <xf numFmtId="166" fontId="46" fillId="4" borderId="8" xfId="3" applyNumberFormat="1" applyFont="1" applyFill="1" applyBorder="1" applyAlignment="1">
      <alignment horizontal="center"/>
    </xf>
    <xf numFmtId="165" fontId="46" fillId="4" borderId="8" xfId="3" applyNumberFormat="1" applyFont="1" applyFill="1" applyBorder="1" applyAlignment="1">
      <alignment horizontal="center"/>
    </xf>
    <xf numFmtId="0" fontId="25" fillId="8" borderId="0" xfId="3" applyFill="1"/>
    <xf numFmtId="166" fontId="25" fillId="0" borderId="0" xfId="3" applyNumberFormat="1"/>
    <xf numFmtId="165" fontId="25" fillId="0" borderId="0" xfId="3" applyNumberFormat="1"/>
    <xf numFmtId="166" fontId="48" fillId="5" borderId="8" xfId="3" applyNumberFormat="1" applyFont="1" applyFill="1" applyBorder="1" applyAlignment="1">
      <alignment horizontal="left"/>
    </xf>
    <xf numFmtId="166" fontId="48" fillId="4" borderId="8" xfId="3" applyNumberFormat="1" applyFont="1" applyFill="1" applyBorder="1" applyAlignment="1">
      <alignment horizontal="left"/>
    </xf>
    <xf numFmtId="165" fontId="48" fillId="4" borderId="8" xfId="3" applyNumberFormat="1" applyFont="1" applyFill="1" applyBorder="1" applyAlignment="1">
      <alignment horizontal="left"/>
    </xf>
    <xf numFmtId="166" fontId="32" fillId="5" borderId="9" xfId="3" applyNumberFormat="1" applyFont="1" applyFill="1" applyBorder="1" applyAlignment="1">
      <alignment horizontal="center"/>
    </xf>
    <xf numFmtId="166" fontId="32" fillId="4" borderId="9" xfId="3" applyNumberFormat="1" applyFont="1" applyFill="1" applyBorder="1" applyAlignment="1">
      <alignment horizontal="center"/>
    </xf>
    <xf numFmtId="165" fontId="32" fillId="4" borderId="9" xfId="3" applyNumberFormat="1" applyFont="1" applyFill="1" applyBorder="1" applyAlignment="1">
      <alignment horizontal="center"/>
    </xf>
    <xf numFmtId="166" fontId="25" fillId="0" borderId="6" xfId="3" applyNumberFormat="1" applyBorder="1"/>
    <xf numFmtId="0" fontId="39" fillId="0" borderId="0" xfId="3" applyFont="1"/>
    <xf numFmtId="49" fontId="39" fillId="0" borderId="0" xfId="3" applyNumberFormat="1" applyFont="1"/>
    <xf numFmtId="0" fontId="32" fillId="0" borderId="0" xfId="3" applyFont="1"/>
    <xf numFmtId="0" fontId="41" fillId="0" borderId="0" xfId="3" applyFont="1"/>
    <xf numFmtId="0" fontId="50" fillId="0" borderId="0" xfId="3" applyFont="1"/>
    <xf numFmtId="0" fontId="46" fillId="0" borderId="0" xfId="3" applyFont="1"/>
    <xf numFmtId="4" fontId="4" fillId="4" borderId="3" xfId="0" applyNumberFormat="1" applyFont="1" applyFill="1" applyBorder="1" applyAlignment="1">
      <alignment horizontal="right"/>
    </xf>
    <xf numFmtId="4" fontId="4" fillId="5" borderId="3" xfId="0" applyNumberFormat="1" applyFont="1" applyFill="1" applyBorder="1" applyAlignment="1">
      <alignment horizontal="right"/>
    </xf>
    <xf numFmtId="4" fontId="7" fillId="4" borderId="3" xfId="0" applyNumberFormat="1" applyFont="1" applyFill="1" applyBorder="1" applyAlignment="1">
      <alignment horizontal="right" vertical="center"/>
    </xf>
    <xf numFmtId="4" fontId="7" fillId="5" borderId="3" xfId="0" applyNumberFormat="1" applyFont="1" applyFill="1" applyBorder="1" applyAlignment="1">
      <alignment horizontal="right" vertical="center"/>
    </xf>
    <xf numFmtId="1" fontId="4" fillId="5" borderId="0" xfId="0" applyNumberFormat="1" applyFont="1" applyFill="1" applyAlignment="1">
      <alignment horizontal="left" vertical="center"/>
    </xf>
    <xf numFmtId="3" fontId="4" fillId="5" borderId="0" xfId="0" applyNumberFormat="1" applyFont="1" applyFill="1" applyAlignment="1">
      <alignment horizontal="right" vertical="center"/>
    </xf>
    <xf numFmtId="1" fontId="6" fillId="0" borderId="5" xfId="0" applyNumberFormat="1" applyFont="1" applyBorder="1" applyAlignment="1">
      <alignment horizontal="left"/>
    </xf>
    <xf numFmtId="166" fontId="4" fillId="0" borderId="5" xfId="0" applyNumberFormat="1" applyFont="1" applyBorder="1" applyAlignment="1">
      <alignment horizontal="right"/>
    </xf>
    <xf numFmtId="1" fontId="6" fillId="0" borderId="0" xfId="0" applyNumberFormat="1" applyFont="1" applyAlignment="1">
      <alignment horizontal="left"/>
    </xf>
    <xf numFmtId="166" fontId="4" fillId="0" borderId="0" xfId="0" applyNumberFormat="1" applyFont="1" applyAlignment="1">
      <alignment horizontal="right"/>
    </xf>
    <xf numFmtId="165" fontId="4" fillId="5" borderId="3" xfId="0" quotePrefix="1" applyNumberFormat="1" applyFont="1" applyFill="1" applyBorder="1" applyAlignment="1">
      <alignment horizontal="right"/>
    </xf>
    <xf numFmtId="4" fontId="4" fillId="4" borderId="3" xfId="0" quotePrefix="1" applyNumberFormat="1" applyFont="1" applyFill="1" applyBorder="1" applyAlignment="1">
      <alignment horizontal="right"/>
    </xf>
    <xf numFmtId="4" fontId="4" fillId="5" borderId="4" xfId="0" applyNumberFormat="1" applyFont="1" applyFill="1" applyBorder="1" applyAlignment="1">
      <alignment horizontal="right"/>
    </xf>
    <xf numFmtId="2" fontId="7" fillId="5" borderId="0" xfId="0" applyNumberFormat="1" applyFont="1" applyFill="1" applyAlignment="1">
      <alignment horizontal="right" vertical="center"/>
    </xf>
    <xf numFmtId="2" fontId="7" fillId="4" borderId="0" xfId="0" applyNumberFormat="1" applyFont="1" applyFill="1" applyAlignment="1">
      <alignment horizontal="right" vertical="center"/>
    </xf>
    <xf numFmtId="0" fontId="7" fillId="4" borderId="1" xfId="0" applyFont="1" applyFill="1" applyBorder="1" applyAlignment="1">
      <alignment horizontal="left"/>
    </xf>
    <xf numFmtId="0" fontId="7" fillId="5" borderId="12" xfId="0" applyFont="1" applyFill="1" applyBorder="1" applyAlignment="1">
      <alignment horizontal="left"/>
    </xf>
    <xf numFmtId="0" fontId="4" fillId="5" borderId="12" xfId="0" applyFont="1" applyFill="1" applyBorder="1" applyAlignment="1">
      <alignment horizontal="right" vertical="center"/>
    </xf>
    <xf numFmtId="0" fontId="7" fillId="5" borderId="13" xfId="0" applyFont="1" applyFill="1" applyBorder="1" applyAlignment="1">
      <alignment horizontal="left" vertical="top"/>
    </xf>
    <xf numFmtId="0" fontId="4" fillId="5" borderId="13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1" fontId="4" fillId="5" borderId="14" xfId="0" applyNumberFormat="1" applyFont="1" applyFill="1" applyBorder="1" applyAlignment="1">
      <alignment horizontal="left"/>
    </xf>
    <xf numFmtId="165" fontId="4" fillId="4" borderId="14" xfId="0" applyNumberFormat="1" applyFont="1" applyFill="1" applyBorder="1" applyAlignment="1">
      <alignment horizontal="right"/>
    </xf>
    <xf numFmtId="165" fontId="4" fillId="5" borderId="14" xfId="0" applyNumberFormat="1" applyFont="1" applyFill="1" applyBorder="1" applyAlignment="1">
      <alignment horizontal="right"/>
    </xf>
    <xf numFmtId="3" fontId="4" fillId="4" borderId="14" xfId="0" applyNumberFormat="1" applyFont="1" applyFill="1" applyBorder="1" applyAlignment="1">
      <alignment horizontal="right"/>
    </xf>
    <xf numFmtId="165" fontId="4" fillId="5" borderId="15" xfId="0" applyNumberFormat="1" applyFont="1" applyFill="1" applyBorder="1" applyAlignment="1">
      <alignment horizontal="right"/>
    </xf>
    <xf numFmtId="3" fontId="4" fillId="5" borderId="15" xfId="0" applyNumberFormat="1" applyFont="1" applyFill="1" applyBorder="1" applyAlignment="1">
      <alignment horizontal="right"/>
    </xf>
    <xf numFmtId="165" fontId="7" fillId="4" borderId="14" xfId="0" applyNumberFormat="1" applyFont="1" applyFill="1" applyBorder="1" applyAlignment="1">
      <alignment horizontal="right" vertical="center"/>
    </xf>
    <xf numFmtId="165" fontId="7" fillId="5" borderId="14" xfId="0" applyNumberFormat="1" applyFont="1" applyFill="1" applyBorder="1" applyAlignment="1">
      <alignment horizontal="right" vertical="center"/>
    </xf>
    <xf numFmtId="3" fontId="7" fillId="4" borderId="14" xfId="0" applyNumberFormat="1" applyFont="1" applyFill="1" applyBorder="1" applyAlignment="1">
      <alignment horizontal="right" vertical="center"/>
    </xf>
    <xf numFmtId="165" fontId="7" fillId="5" borderId="16" xfId="0" applyNumberFormat="1" applyFont="1" applyFill="1" applyBorder="1" applyAlignment="1">
      <alignment horizontal="right" vertical="center"/>
    </xf>
    <xf numFmtId="3" fontId="7" fillId="5" borderId="17" xfId="0" applyNumberFormat="1" applyFont="1" applyFill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4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right" vertical="top" wrapText="1"/>
    </xf>
    <xf numFmtId="0" fontId="4" fillId="5" borderId="1" xfId="0" applyFont="1" applyFill="1" applyBorder="1" applyAlignment="1">
      <alignment horizontal="right" vertical="top" wrapText="1"/>
    </xf>
    <xf numFmtId="0" fontId="6" fillId="0" borderId="0" xfId="0" applyFont="1" applyAlignment="1">
      <alignment vertical="top" wrapText="1"/>
    </xf>
    <xf numFmtId="0" fontId="4" fillId="5" borderId="0" xfId="0" applyFont="1" applyFill="1" applyAlignment="1">
      <alignment horizontal="right" vertical="top" wrapText="1"/>
    </xf>
    <xf numFmtId="0" fontId="51" fillId="0" borderId="0" xfId="0" applyFont="1"/>
    <xf numFmtId="0" fontId="39" fillId="0" borderId="0" xfId="0" quotePrefix="1" applyFont="1"/>
    <xf numFmtId="0" fontId="39" fillId="0" borderId="0" xfId="0" applyFont="1"/>
    <xf numFmtId="1" fontId="11" fillId="7" borderId="5" xfId="0" applyNumberFormat="1" applyFont="1" applyFill="1" applyBorder="1" applyAlignment="1">
      <alignment horizontal="left"/>
    </xf>
    <xf numFmtId="1" fontId="11" fillId="7" borderId="0" xfId="0" applyNumberFormat="1" applyFont="1" applyFill="1" applyAlignment="1">
      <alignment horizontal="left"/>
    </xf>
    <xf numFmtId="0" fontId="7" fillId="4" borderId="12" xfId="0" applyFont="1" applyFill="1" applyBorder="1" applyAlignment="1">
      <alignment horizontal="left"/>
    </xf>
    <xf numFmtId="0" fontId="6" fillId="4" borderId="0" xfId="0" applyFont="1" applyFill="1"/>
    <xf numFmtId="0" fontId="6" fillId="5" borderId="0" xfId="0" applyFont="1" applyFill="1"/>
    <xf numFmtId="0" fontId="7" fillId="4" borderId="13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right"/>
    </xf>
    <xf numFmtId="0" fontId="4" fillId="4" borderId="13" xfId="0" applyFont="1" applyFill="1" applyBorder="1" applyAlignment="1">
      <alignment horizontal="right" vertical="top"/>
    </xf>
    <xf numFmtId="0" fontId="4" fillId="5" borderId="18" xfId="0" applyFont="1" applyFill="1" applyBorder="1" applyAlignment="1">
      <alignment horizontal="right" vertical="top"/>
    </xf>
    <xf numFmtId="166" fontId="4" fillId="4" borderId="19" xfId="0" applyNumberFormat="1" applyFont="1" applyFill="1" applyBorder="1" applyAlignment="1">
      <alignment horizontal="right"/>
    </xf>
    <xf numFmtId="166" fontId="4" fillId="5" borderId="20" xfId="0" applyNumberFormat="1" applyFont="1" applyFill="1" applyBorder="1" applyAlignment="1">
      <alignment horizontal="right"/>
    </xf>
    <xf numFmtId="1" fontId="4" fillId="5" borderId="9" xfId="0" applyNumberFormat="1" applyFont="1" applyFill="1" applyBorder="1" applyAlignment="1">
      <alignment horizontal="left"/>
    </xf>
    <xf numFmtId="166" fontId="4" fillId="5" borderId="9" xfId="0" applyNumberFormat="1" applyFont="1" applyFill="1" applyBorder="1" applyAlignment="1">
      <alignment horizontal="right"/>
    </xf>
    <xf numFmtId="166" fontId="4" fillId="4" borderId="9" xfId="0" applyNumberFormat="1" applyFont="1" applyFill="1" applyBorder="1" applyAlignment="1">
      <alignment horizontal="right"/>
    </xf>
    <xf numFmtId="166" fontId="4" fillId="4" borderId="21" xfId="0" applyNumberFormat="1" applyFont="1" applyFill="1" applyBorder="1" applyAlignment="1">
      <alignment horizontal="right"/>
    </xf>
    <xf numFmtId="1" fontId="4" fillId="5" borderId="8" xfId="0" applyNumberFormat="1" applyFont="1" applyFill="1" applyBorder="1" applyAlignment="1">
      <alignment horizontal="left"/>
    </xf>
    <xf numFmtId="166" fontId="4" fillId="4" borderId="22" xfId="0" applyNumberFormat="1" applyFont="1" applyFill="1" applyBorder="1" applyAlignment="1">
      <alignment horizontal="right"/>
    </xf>
    <xf numFmtId="166" fontId="4" fillId="4" borderId="23" xfId="0" applyNumberFormat="1" applyFont="1" applyFill="1" applyBorder="1" applyAlignment="1">
      <alignment horizontal="right"/>
    </xf>
    <xf numFmtId="1" fontId="4" fillId="5" borderId="7" xfId="0" applyNumberFormat="1" applyFont="1" applyFill="1" applyBorder="1" applyAlignment="1">
      <alignment horizontal="left"/>
    </xf>
    <xf numFmtId="166" fontId="4" fillId="4" borderId="7" xfId="0" applyNumberFormat="1" applyFont="1" applyFill="1" applyBorder="1" applyAlignment="1">
      <alignment horizontal="right"/>
    </xf>
    <xf numFmtId="166" fontId="4" fillId="5" borderId="7" xfId="0" applyNumberFormat="1" applyFont="1" applyFill="1" applyBorder="1" applyAlignment="1">
      <alignment horizontal="right"/>
    </xf>
    <xf numFmtId="166" fontId="4" fillId="4" borderId="17" xfId="0" applyNumberFormat="1" applyFont="1" applyFill="1" applyBorder="1" applyAlignment="1">
      <alignment horizontal="right"/>
    </xf>
    <xf numFmtId="1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left"/>
    </xf>
    <xf numFmtId="1" fontId="4" fillId="0" borderId="2" xfId="0" applyNumberFormat="1" applyFont="1" applyBorder="1" applyAlignment="1">
      <alignment horizontal="left"/>
    </xf>
    <xf numFmtId="166" fontId="4" fillId="0" borderId="2" xfId="0" applyNumberFormat="1" applyFont="1" applyBorder="1" applyAlignment="1">
      <alignment horizontal="right"/>
    </xf>
    <xf numFmtId="165" fontId="4" fillId="0" borderId="2" xfId="0" applyNumberFormat="1" applyFont="1" applyBorder="1" applyAlignment="1">
      <alignment horizontal="right"/>
    </xf>
    <xf numFmtId="0" fontId="4" fillId="4" borderId="24" xfId="0" applyFont="1" applyFill="1" applyBorder="1" applyAlignment="1">
      <alignment horizontal="right" vertical="top"/>
    </xf>
    <xf numFmtId="165" fontId="4" fillId="4" borderId="22" xfId="0" applyNumberFormat="1" applyFont="1" applyFill="1" applyBorder="1" applyAlignment="1">
      <alignment horizontal="right"/>
    </xf>
    <xf numFmtId="165" fontId="4" fillId="4" borderId="21" xfId="0" applyNumberFormat="1" applyFont="1" applyFill="1" applyBorder="1" applyAlignment="1">
      <alignment horizontal="right"/>
    </xf>
    <xf numFmtId="165" fontId="4" fillId="4" borderId="7" xfId="0" applyNumberFormat="1" applyFont="1" applyFill="1" applyBorder="1" applyAlignment="1">
      <alignment horizontal="right"/>
    </xf>
    <xf numFmtId="165" fontId="4" fillId="5" borderId="7" xfId="0" applyNumberFormat="1" applyFont="1" applyFill="1" applyBorder="1" applyAlignment="1">
      <alignment horizontal="right"/>
    </xf>
    <xf numFmtId="165" fontId="4" fillId="4" borderId="17" xfId="0" applyNumberFormat="1" applyFont="1" applyFill="1" applyBorder="1" applyAlignment="1">
      <alignment horizontal="right"/>
    </xf>
    <xf numFmtId="0" fontId="7" fillId="4" borderId="2" xfId="0" applyFont="1" applyFill="1" applyBorder="1" applyAlignment="1">
      <alignment horizontal="left"/>
    </xf>
    <xf numFmtId="166" fontId="7" fillId="4" borderId="8" xfId="0" quotePrefix="1" applyNumberFormat="1" applyFont="1" applyFill="1" applyBorder="1" applyAlignment="1">
      <alignment horizontal="right" vertical="center"/>
    </xf>
    <xf numFmtId="0" fontId="7" fillId="4" borderId="24" xfId="0" applyFont="1" applyFill="1" applyBorder="1" applyAlignment="1">
      <alignment horizontal="left"/>
    </xf>
    <xf numFmtId="166" fontId="52" fillId="4" borderId="4" xfId="0" applyNumberFormat="1" applyFont="1" applyFill="1" applyBorder="1" applyAlignment="1">
      <alignment horizontal="right"/>
    </xf>
    <xf numFmtId="166" fontId="7" fillId="4" borderId="25" xfId="0" applyNumberFormat="1" applyFont="1" applyFill="1" applyBorder="1" applyAlignment="1">
      <alignment horizontal="right" vertical="center"/>
    </xf>
    <xf numFmtId="0" fontId="2" fillId="7" borderId="2" xfId="0" applyFont="1" applyFill="1" applyBorder="1" applyAlignment="1">
      <alignment vertical="top"/>
    </xf>
    <xf numFmtId="0" fontId="1" fillId="7" borderId="2" xfId="0" applyFont="1" applyFill="1" applyBorder="1" applyAlignment="1">
      <alignment horizontal="right"/>
    </xf>
    <xf numFmtId="0" fontId="7" fillId="4" borderId="0" xfId="0" applyFont="1" applyFill="1" applyAlignment="1">
      <alignment horizontal="left"/>
    </xf>
    <xf numFmtId="0" fontId="7" fillId="5" borderId="0" xfId="0" applyFont="1" applyFill="1" applyAlignment="1">
      <alignment horizontal="right" wrapText="1"/>
    </xf>
    <xf numFmtId="0" fontId="7" fillId="5" borderId="13" xfId="0" applyFont="1" applyFill="1" applyBorder="1" applyAlignment="1">
      <alignment horizontal="left"/>
    </xf>
    <xf numFmtId="0" fontId="7" fillId="4" borderId="0" xfId="0" applyFont="1" applyFill="1" applyAlignment="1">
      <alignment horizontal="right" wrapText="1"/>
    </xf>
    <xf numFmtId="0" fontId="4" fillId="5" borderId="13" xfId="0" applyFont="1" applyFill="1" applyBorder="1" applyAlignment="1">
      <alignment horizontal="right"/>
    </xf>
    <xf numFmtId="0" fontId="4" fillId="5" borderId="13" xfId="0" applyFont="1" applyFill="1" applyBorder="1" applyAlignment="1">
      <alignment horizontal="right" vertical="top"/>
    </xf>
    <xf numFmtId="0" fontId="4" fillId="5" borderId="24" xfId="0" applyFont="1" applyFill="1" applyBorder="1" applyAlignment="1">
      <alignment horizontal="right" vertical="top"/>
    </xf>
    <xf numFmtId="166" fontId="4" fillId="4" borderId="8" xfId="0" quotePrefix="1" applyNumberFormat="1" applyFont="1" applyFill="1" applyBorder="1" applyAlignment="1">
      <alignment horizontal="right"/>
    </xf>
    <xf numFmtId="166" fontId="4" fillId="5" borderId="8" xfId="0" quotePrefix="1" applyNumberFormat="1" applyFont="1" applyFill="1" applyBorder="1" applyAlignment="1">
      <alignment horizontal="right"/>
    </xf>
    <xf numFmtId="166" fontId="4" fillId="5" borderId="22" xfId="0" quotePrefix="1" applyNumberFormat="1" applyFont="1" applyFill="1" applyBorder="1" applyAlignment="1">
      <alignment horizontal="right"/>
    </xf>
    <xf numFmtId="166" fontId="52" fillId="5" borderId="3" xfId="0" quotePrefix="1" applyNumberFormat="1" applyFont="1" applyFill="1" applyBorder="1" applyAlignment="1">
      <alignment horizontal="right"/>
    </xf>
    <xf numFmtId="166" fontId="52" fillId="4" borderId="8" xfId="0" quotePrefix="1" applyNumberFormat="1" applyFont="1" applyFill="1" applyBorder="1" applyAlignment="1">
      <alignment horizontal="right"/>
    </xf>
    <xf numFmtId="166" fontId="4" fillId="5" borderId="19" xfId="0" quotePrefix="1" applyNumberFormat="1" applyFont="1" applyFill="1" applyBorder="1" applyAlignment="1">
      <alignment horizontal="right"/>
    </xf>
    <xf numFmtId="166" fontId="52" fillId="5" borderId="8" xfId="0" applyNumberFormat="1" applyFont="1" applyFill="1" applyBorder="1" applyAlignment="1">
      <alignment horizontal="right"/>
    </xf>
    <xf numFmtId="166" fontId="52" fillId="4" borderId="3" xfId="0" quotePrefix="1" applyNumberFormat="1" applyFont="1" applyFill="1" applyBorder="1" applyAlignment="1">
      <alignment horizontal="right"/>
    </xf>
    <xf numFmtId="166" fontId="52" fillId="5" borderId="8" xfId="0" quotePrefix="1" applyNumberFormat="1" applyFont="1" applyFill="1" applyBorder="1" applyAlignment="1">
      <alignment horizontal="right"/>
    </xf>
    <xf numFmtId="166" fontId="7" fillId="4" borderId="3" xfId="0" quotePrefix="1" applyNumberFormat="1" applyFont="1" applyFill="1" applyBorder="1" applyAlignment="1">
      <alignment horizontal="right" vertical="center"/>
    </xf>
    <xf numFmtId="166" fontId="7" fillId="5" borderId="26" xfId="0" quotePrefix="1" applyNumberFormat="1" applyFont="1" applyFill="1" applyBorder="1" applyAlignment="1">
      <alignment horizontal="right" vertical="center"/>
    </xf>
    <xf numFmtId="166" fontId="7" fillId="5" borderId="8" xfId="0" quotePrefix="1" applyNumberFormat="1" applyFont="1" applyFill="1" applyBorder="1" applyAlignment="1">
      <alignment horizontal="right" vertical="center"/>
    </xf>
    <xf numFmtId="166" fontId="7" fillId="5" borderId="8" xfId="0" applyNumberFormat="1" applyFont="1" applyFill="1" applyBorder="1" applyAlignment="1">
      <alignment horizontal="right" vertical="center"/>
    </xf>
    <xf numFmtId="0" fontId="7" fillId="5" borderId="0" xfId="0" applyFont="1" applyFill="1" applyAlignment="1">
      <alignment horizontal="left"/>
    </xf>
    <xf numFmtId="0" fontId="7" fillId="4" borderId="13" xfId="0" applyFont="1" applyFill="1" applyBorder="1" applyAlignment="1">
      <alignment horizontal="left"/>
    </xf>
    <xf numFmtId="166" fontId="4" fillId="4" borderId="22" xfId="0" quotePrefix="1" applyNumberFormat="1" applyFont="1" applyFill="1" applyBorder="1" applyAlignment="1">
      <alignment horizontal="right"/>
    </xf>
    <xf numFmtId="166" fontId="4" fillId="5" borderId="3" xfId="0" quotePrefix="1" applyNumberFormat="1" applyFont="1" applyFill="1" applyBorder="1" applyAlignment="1">
      <alignment horizontal="right"/>
    </xf>
    <xf numFmtId="166" fontId="4" fillId="4" borderId="19" xfId="0" quotePrefix="1" applyNumberFormat="1" applyFont="1" applyFill="1" applyBorder="1" applyAlignment="1">
      <alignment horizontal="righ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21" fillId="6" borderId="0" xfId="0" applyFont="1" applyFill="1"/>
    <xf numFmtId="0" fontId="0" fillId="6" borderId="0" xfId="0" applyFill="1"/>
    <xf numFmtId="0" fontId="9" fillId="6" borderId="0" xfId="0" applyFont="1" applyFill="1"/>
    <xf numFmtId="0" fontId="22" fillId="0" borderId="0" xfId="0" applyFont="1" applyAlignment="1">
      <alignment horizontal="left"/>
    </xf>
    <xf numFmtId="2" fontId="2" fillId="0" borderId="0" xfId="0" applyNumberFormat="1" applyFont="1"/>
    <xf numFmtId="0" fontId="15" fillId="0" borderId="0" xfId="0" applyFont="1"/>
    <xf numFmtId="2" fontId="15" fillId="0" borderId="0" xfId="0" applyNumberFormat="1" applyFont="1"/>
    <xf numFmtId="0" fontId="23" fillId="0" borderId="0" xfId="0" applyFont="1"/>
    <xf numFmtId="2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53" fillId="0" borderId="0" xfId="0" applyFont="1"/>
    <xf numFmtId="0" fontId="4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8" fillId="6" borderId="0" xfId="3" applyFont="1" applyFill="1" applyAlignment="1">
      <alignment horizontal="center" textRotation="180" wrapText="1"/>
    </xf>
    <xf numFmtId="0" fontId="25" fillId="6" borderId="0" xfId="3" applyFill="1" applyAlignment="1">
      <alignment horizontal="center"/>
    </xf>
    <xf numFmtId="0" fontId="28" fillId="8" borderId="0" xfId="3" applyFont="1" applyFill="1" applyAlignment="1">
      <alignment horizontal="center" textRotation="180" wrapText="1"/>
    </xf>
    <xf numFmtId="0" fontId="25" fillId="8" borderId="0" xfId="3" applyFill="1" applyAlignment="1">
      <alignment horizontal="center"/>
    </xf>
  </cellXfs>
  <cellStyles count="4">
    <cellStyle name="Standard" xfId="0" builtinId="0"/>
    <cellStyle name="Standard_KV906" xfId="1" xr:uid="{8F325F29-9C86-2C49-AB65-6993B0B293C4}"/>
    <cellStyle name="Standard_KV907" xfId="2" xr:uid="{E5624564-69DB-2246-8530-D215A387EAC8}"/>
    <cellStyle name="Standard_KV908" xfId="3" xr:uid="{0F5D11F4-A30E-CF48-A8BA-E90E6DC63DB3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3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externalLink" Target="externalLinks/externalLink24.xml"/><Relationship Id="rId159" Type="http://schemas.openxmlformats.org/officeDocument/2006/relationships/externalLink" Target="externalLinks/externalLink45.xml"/><Relationship Id="rId170" Type="http://schemas.openxmlformats.org/officeDocument/2006/relationships/externalLink" Target="externalLinks/externalLink56.xml"/><Relationship Id="rId191" Type="http://schemas.openxmlformats.org/officeDocument/2006/relationships/externalLink" Target="externalLinks/externalLink77.xml"/><Relationship Id="rId205" Type="http://schemas.openxmlformats.org/officeDocument/2006/relationships/externalLink" Target="externalLinks/externalLink91.xml"/><Relationship Id="rId226" Type="http://schemas.openxmlformats.org/officeDocument/2006/relationships/externalLink" Target="externalLinks/externalLink112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externalLink" Target="externalLinks/externalLink14.xml"/><Relationship Id="rId149" Type="http://schemas.openxmlformats.org/officeDocument/2006/relationships/externalLink" Target="externalLinks/externalLink35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externalLink" Target="externalLinks/externalLink46.xml"/><Relationship Id="rId181" Type="http://schemas.openxmlformats.org/officeDocument/2006/relationships/externalLink" Target="externalLinks/externalLink67.xml"/><Relationship Id="rId216" Type="http://schemas.openxmlformats.org/officeDocument/2006/relationships/externalLink" Target="externalLinks/externalLink102.xml"/><Relationship Id="rId237" Type="http://schemas.openxmlformats.org/officeDocument/2006/relationships/externalLink" Target="externalLinks/externalLink123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externalLink" Target="externalLinks/externalLink4.xml"/><Relationship Id="rId139" Type="http://schemas.openxmlformats.org/officeDocument/2006/relationships/externalLink" Target="externalLinks/externalLink25.xml"/><Relationship Id="rId85" Type="http://schemas.openxmlformats.org/officeDocument/2006/relationships/worksheet" Target="worksheets/sheet85.xml"/><Relationship Id="rId150" Type="http://schemas.openxmlformats.org/officeDocument/2006/relationships/externalLink" Target="externalLinks/externalLink36.xml"/><Relationship Id="rId171" Type="http://schemas.openxmlformats.org/officeDocument/2006/relationships/externalLink" Target="externalLinks/externalLink57.xml"/><Relationship Id="rId192" Type="http://schemas.openxmlformats.org/officeDocument/2006/relationships/externalLink" Target="externalLinks/externalLink78.xml"/><Relationship Id="rId206" Type="http://schemas.openxmlformats.org/officeDocument/2006/relationships/externalLink" Target="externalLinks/externalLink92.xml"/><Relationship Id="rId227" Type="http://schemas.openxmlformats.org/officeDocument/2006/relationships/externalLink" Target="externalLinks/externalLink113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externalLink" Target="externalLinks/externalLink15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externalLink" Target="externalLinks/externalLink26.xml"/><Relationship Id="rId161" Type="http://schemas.openxmlformats.org/officeDocument/2006/relationships/externalLink" Target="externalLinks/externalLink47.xml"/><Relationship Id="rId182" Type="http://schemas.openxmlformats.org/officeDocument/2006/relationships/externalLink" Target="externalLinks/externalLink68.xml"/><Relationship Id="rId217" Type="http://schemas.openxmlformats.org/officeDocument/2006/relationships/externalLink" Target="externalLinks/externalLink103.xml"/><Relationship Id="rId6" Type="http://schemas.openxmlformats.org/officeDocument/2006/relationships/worksheet" Target="worksheets/sheet6.xml"/><Relationship Id="rId238" Type="http://schemas.openxmlformats.org/officeDocument/2006/relationships/theme" Target="theme/theme1.xml"/><Relationship Id="rId23" Type="http://schemas.openxmlformats.org/officeDocument/2006/relationships/worksheet" Target="worksheets/sheet23.xml"/><Relationship Id="rId119" Type="http://schemas.openxmlformats.org/officeDocument/2006/relationships/externalLink" Target="externalLinks/externalLink5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externalLink" Target="externalLinks/externalLink16.xml"/><Relationship Id="rId151" Type="http://schemas.openxmlformats.org/officeDocument/2006/relationships/externalLink" Target="externalLinks/externalLink37.xml"/><Relationship Id="rId172" Type="http://schemas.openxmlformats.org/officeDocument/2006/relationships/externalLink" Target="externalLinks/externalLink58.xml"/><Relationship Id="rId193" Type="http://schemas.openxmlformats.org/officeDocument/2006/relationships/externalLink" Target="externalLinks/externalLink79.xml"/><Relationship Id="rId207" Type="http://schemas.openxmlformats.org/officeDocument/2006/relationships/externalLink" Target="externalLinks/externalLink93.xml"/><Relationship Id="rId228" Type="http://schemas.openxmlformats.org/officeDocument/2006/relationships/externalLink" Target="externalLinks/externalLink114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externalLink" Target="externalLinks/externalLink6.xml"/><Relationship Id="rId141" Type="http://schemas.openxmlformats.org/officeDocument/2006/relationships/externalLink" Target="externalLinks/externalLink27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48.xml"/><Relationship Id="rId183" Type="http://schemas.openxmlformats.org/officeDocument/2006/relationships/externalLink" Target="externalLinks/externalLink69.xml"/><Relationship Id="rId218" Type="http://schemas.openxmlformats.org/officeDocument/2006/relationships/externalLink" Target="externalLinks/externalLink104.xml"/><Relationship Id="rId239" Type="http://schemas.openxmlformats.org/officeDocument/2006/relationships/styles" Target="styles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externalLink" Target="externalLinks/externalLink17.xml"/><Relationship Id="rId152" Type="http://schemas.openxmlformats.org/officeDocument/2006/relationships/externalLink" Target="externalLinks/externalLink38.xml"/><Relationship Id="rId173" Type="http://schemas.openxmlformats.org/officeDocument/2006/relationships/externalLink" Target="externalLinks/externalLink59.xml"/><Relationship Id="rId194" Type="http://schemas.openxmlformats.org/officeDocument/2006/relationships/externalLink" Target="externalLinks/externalLink80.xml"/><Relationship Id="rId208" Type="http://schemas.openxmlformats.org/officeDocument/2006/relationships/externalLink" Target="externalLinks/externalLink94.xml"/><Relationship Id="rId229" Type="http://schemas.openxmlformats.org/officeDocument/2006/relationships/externalLink" Target="externalLinks/externalLink115.xml"/><Relationship Id="rId240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externalLink" Target="externalLinks/externalLink7.xml"/><Relationship Id="rId142" Type="http://schemas.openxmlformats.org/officeDocument/2006/relationships/externalLink" Target="externalLinks/externalLink28.xml"/><Relationship Id="rId163" Type="http://schemas.openxmlformats.org/officeDocument/2006/relationships/externalLink" Target="externalLinks/externalLink49.xml"/><Relationship Id="rId184" Type="http://schemas.openxmlformats.org/officeDocument/2006/relationships/externalLink" Target="externalLinks/externalLink70.xml"/><Relationship Id="rId219" Type="http://schemas.openxmlformats.org/officeDocument/2006/relationships/externalLink" Target="externalLinks/externalLink105.xml"/><Relationship Id="rId230" Type="http://schemas.openxmlformats.org/officeDocument/2006/relationships/externalLink" Target="externalLinks/externalLink116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externalLink" Target="externalLinks/externalLink18.xml"/><Relationship Id="rId153" Type="http://schemas.openxmlformats.org/officeDocument/2006/relationships/externalLink" Target="externalLinks/externalLink39.xml"/><Relationship Id="rId174" Type="http://schemas.openxmlformats.org/officeDocument/2006/relationships/externalLink" Target="externalLinks/externalLink60.xml"/><Relationship Id="rId195" Type="http://schemas.openxmlformats.org/officeDocument/2006/relationships/externalLink" Target="externalLinks/externalLink81.xml"/><Relationship Id="rId209" Type="http://schemas.openxmlformats.org/officeDocument/2006/relationships/externalLink" Target="externalLinks/externalLink95.xml"/><Relationship Id="rId220" Type="http://schemas.openxmlformats.org/officeDocument/2006/relationships/externalLink" Target="externalLinks/externalLink106.xml"/><Relationship Id="rId241" Type="http://schemas.openxmlformats.org/officeDocument/2006/relationships/calcChain" Target="calcChain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externalLink" Target="externalLinks/externalLink8.xml"/><Relationship Id="rId143" Type="http://schemas.openxmlformats.org/officeDocument/2006/relationships/externalLink" Target="externalLinks/externalLink29.xml"/><Relationship Id="rId148" Type="http://schemas.openxmlformats.org/officeDocument/2006/relationships/externalLink" Target="externalLinks/externalLink34.xml"/><Relationship Id="rId164" Type="http://schemas.openxmlformats.org/officeDocument/2006/relationships/externalLink" Target="externalLinks/externalLink50.xml"/><Relationship Id="rId169" Type="http://schemas.openxmlformats.org/officeDocument/2006/relationships/externalLink" Target="externalLinks/externalLink55.xml"/><Relationship Id="rId185" Type="http://schemas.openxmlformats.org/officeDocument/2006/relationships/externalLink" Target="externalLinks/externalLink7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66.xml"/><Relationship Id="rId210" Type="http://schemas.openxmlformats.org/officeDocument/2006/relationships/externalLink" Target="externalLinks/externalLink96.xml"/><Relationship Id="rId215" Type="http://schemas.openxmlformats.org/officeDocument/2006/relationships/externalLink" Target="externalLinks/externalLink101.xml"/><Relationship Id="rId236" Type="http://schemas.openxmlformats.org/officeDocument/2006/relationships/externalLink" Target="externalLinks/externalLink122.xml"/><Relationship Id="rId26" Type="http://schemas.openxmlformats.org/officeDocument/2006/relationships/worksheet" Target="worksheets/sheet26.xml"/><Relationship Id="rId231" Type="http://schemas.openxmlformats.org/officeDocument/2006/relationships/externalLink" Target="externalLinks/externalLink117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externalLink" Target="externalLinks/externalLink19.xml"/><Relationship Id="rId154" Type="http://schemas.openxmlformats.org/officeDocument/2006/relationships/externalLink" Target="externalLinks/externalLink40.xml"/><Relationship Id="rId175" Type="http://schemas.openxmlformats.org/officeDocument/2006/relationships/externalLink" Target="externalLinks/externalLink61.xml"/><Relationship Id="rId196" Type="http://schemas.openxmlformats.org/officeDocument/2006/relationships/externalLink" Target="externalLinks/externalLink82.xml"/><Relationship Id="rId200" Type="http://schemas.openxmlformats.org/officeDocument/2006/relationships/externalLink" Target="externalLinks/externalLink86.xml"/><Relationship Id="rId16" Type="http://schemas.openxmlformats.org/officeDocument/2006/relationships/worksheet" Target="worksheets/sheet16.xml"/><Relationship Id="rId221" Type="http://schemas.openxmlformats.org/officeDocument/2006/relationships/externalLink" Target="externalLinks/externalLink107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externalLink" Target="externalLinks/externalLink9.xml"/><Relationship Id="rId144" Type="http://schemas.openxmlformats.org/officeDocument/2006/relationships/externalLink" Target="externalLinks/externalLink30.xml"/><Relationship Id="rId90" Type="http://schemas.openxmlformats.org/officeDocument/2006/relationships/worksheet" Target="worksheets/sheet90.xml"/><Relationship Id="rId165" Type="http://schemas.openxmlformats.org/officeDocument/2006/relationships/externalLink" Target="externalLinks/externalLink51.xml"/><Relationship Id="rId186" Type="http://schemas.openxmlformats.org/officeDocument/2006/relationships/externalLink" Target="externalLinks/externalLink72.xml"/><Relationship Id="rId211" Type="http://schemas.openxmlformats.org/officeDocument/2006/relationships/externalLink" Target="externalLinks/externalLink97.xml"/><Relationship Id="rId232" Type="http://schemas.openxmlformats.org/officeDocument/2006/relationships/externalLink" Target="externalLinks/externalLink118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externalLink" Target="externalLinks/externalLink20.xml"/><Relationship Id="rId80" Type="http://schemas.openxmlformats.org/officeDocument/2006/relationships/worksheet" Target="worksheets/sheet80.xml"/><Relationship Id="rId155" Type="http://schemas.openxmlformats.org/officeDocument/2006/relationships/externalLink" Target="externalLinks/externalLink41.xml"/><Relationship Id="rId176" Type="http://schemas.openxmlformats.org/officeDocument/2006/relationships/externalLink" Target="externalLinks/externalLink62.xml"/><Relationship Id="rId197" Type="http://schemas.openxmlformats.org/officeDocument/2006/relationships/externalLink" Target="externalLinks/externalLink83.xml"/><Relationship Id="rId201" Type="http://schemas.openxmlformats.org/officeDocument/2006/relationships/externalLink" Target="externalLinks/externalLink87.xml"/><Relationship Id="rId222" Type="http://schemas.openxmlformats.org/officeDocument/2006/relationships/externalLink" Target="externalLinks/externalLink108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externalLink" Target="externalLinks/externalLink10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externalLink" Target="externalLinks/externalLink31.xml"/><Relationship Id="rId166" Type="http://schemas.openxmlformats.org/officeDocument/2006/relationships/externalLink" Target="externalLinks/externalLink52.xml"/><Relationship Id="rId187" Type="http://schemas.openxmlformats.org/officeDocument/2006/relationships/externalLink" Target="externalLinks/externalLink73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98.xml"/><Relationship Id="rId233" Type="http://schemas.openxmlformats.org/officeDocument/2006/relationships/externalLink" Target="externalLinks/externalLink119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externalLink" Target="externalLinks/externalLink21.xml"/><Relationship Id="rId156" Type="http://schemas.openxmlformats.org/officeDocument/2006/relationships/externalLink" Target="externalLinks/externalLink42.xml"/><Relationship Id="rId177" Type="http://schemas.openxmlformats.org/officeDocument/2006/relationships/externalLink" Target="externalLinks/externalLink63.xml"/><Relationship Id="rId198" Type="http://schemas.openxmlformats.org/officeDocument/2006/relationships/externalLink" Target="externalLinks/externalLink84.xml"/><Relationship Id="rId202" Type="http://schemas.openxmlformats.org/officeDocument/2006/relationships/externalLink" Target="externalLinks/externalLink88.xml"/><Relationship Id="rId223" Type="http://schemas.openxmlformats.org/officeDocument/2006/relationships/externalLink" Target="externalLinks/externalLink109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externalLink" Target="externalLinks/externalLink11.xml"/><Relationship Id="rId146" Type="http://schemas.openxmlformats.org/officeDocument/2006/relationships/externalLink" Target="externalLinks/externalLink32.xml"/><Relationship Id="rId167" Type="http://schemas.openxmlformats.org/officeDocument/2006/relationships/externalLink" Target="externalLinks/externalLink53.xml"/><Relationship Id="rId188" Type="http://schemas.openxmlformats.org/officeDocument/2006/relationships/externalLink" Target="externalLinks/externalLink74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externalLink" Target="externalLinks/externalLink99.xml"/><Relationship Id="rId234" Type="http://schemas.openxmlformats.org/officeDocument/2006/relationships/externalLink" Target="externalLinks/externalLink12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externalLink" Target="externalLinks/externalLink1.xml"/><Relationship Id="rId136" Type="http://schemas.openxmlformats.org/officeDocument/2006/relationships/externalLink" Target="externalLinks/externalLink22.xml"/><Relationship Id="rId157" Type="http://schemas.openxmlformats.org/officeDocument/2006/relationships/externalLink" Target="externalLinks/externalLink43.xml"/><Relationship Id="rId178" Type="http://schemas.openxmlformats.org/officeDocument/2006/relationships/externalLink" Target="externalLinks/externalLink64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externalLink" Target="externalLinks/externalLink85.xml"/><Relationship Id="rId203" Type="http://schemas.openxmlformats.org/officeDocument/2006/relationships/externalLink" Target="externalLinks/externalLink89.xml"/><Relationship Id="rId19" Type="http://schemas.openxmlformats.org/officeDocument/2006/relationships/worksheet" Target="worksheets/sheet19.xml"/><Relationship Id="rId224" Type="http://schemas.openxmlformats.org/officeDocument/2006/relationships/externalLink" Target="externalLinks/externalLink110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externalLink" Target="externalLinks/externalLink12.xml"/><Relationship Id="rId147" Type="http://schemas.openxmlformats.org/officeDocument/2006/relationships/externalLink" Target="externalLinks/externalLink33.xml"/><Relationship Id="rId168" Type="http://schemas.openxmlformats.org/officeDocument/2006/relationships/externalLink" Target="externalLinks/externalLink54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externalLink" Target="externalLinks/externalLink75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100.xml"/><Relationship Id="rId235" Type="http://schemas.openxmlformats.org/officeDocument/2006/relationships/externalLink" Target="externalLinks/externalLink121.xml"/><Relationship Id="rId116" Type="http://schemas.openxmlformats.org/officeDocument/2006/relationships/externalLink" Target="externalLinks/externalLink2.xml"/><Relationship Id="rId137" Type="http://schemas.openxmlformats.org/officeDocument/2006/relationships/externalLink" Target="externalLinks/externalLink23.xml"/><Relationship Id="rId158" Type="http://schemas.openxmlformats.org/officeDocument/2006/relationships/externalLink" Target="externalLinks/externalLink4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externalLink" Target="externalLinks/externalLink65.xml"/><Relationship Id="rId190" Type="http://schemas.openxmlformats.org/officeDocument/2006/relationships/externalLink" Target="externalLinks/externalLink76.xml"/><Relationship Id="rId204" Type="http://schemas.openxmlformats.org/officeDocument/2006/relationships/externalLink" Target="externalLinks/externalLink90.xml"/><Relationship Id="rId225" Type="http://schemas.openxmlformats.org/officeDocument/2006/relationships/externalLink" Target="externalLinks/externalLink1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'502'!$B$229</c:f>
          <c:strCache>
            <c:ptCount val="1"/>
            <c:pt idx="0">
              <c:v>G 5a Prestations par personne assurée en francs en 2001</c:v>
            </c:pt>
          </c:strCache>
        </c:strRef>
      </c:tx>
      <c:layout>
        <c:manualLayout>
          <c:xMode val="edge"/>
          <c:yMode val="edge"/>
          <c:x val="0.15108379162950958"/>
          <c:y val="2.957085919020353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5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1271330486645953"/>
          <c:y val="0.15591907573016411"/>
          <c:w val="0.85614148590055428"/>
          <c:h val="0.731206699975942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'502'!$C$125</c:f>
              <c:strCache>
                <c:ptCount val="1"/>
                <c:pt idx="0">
                  <c:v>Prestations par personne assurée en francs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99"/>
            <c:invertIfNegative val="0"/>
            <c:bubble3D val="0"/>
            <c:spPr>
              <a:solidFill>
                <a:srgbClr val="DD080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CFC1-514B-B4D4-6AA91586647C}"/>
              </c:ext>
            </c:extLst>
          </c:dPt>
          <c:dLbls>
            <c:dLbl>
              <c:idx val="99"/>
              <c:spPr>
                <a:noFill/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sz="85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FC1-514B-B4D4-6AA91586647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'502'!$B$126:$B$225</c:f>
              <c:strCache>
                <c:ptCount val="100"/>
                <c:pt idx="0">
                  <c:v>8</c:v>
                </c:pt>
                <c:pt idx="1">
                  <c:v>32</c:v>
                </c:pt>
                <c:pt idx="2">
                  <c:v>57</c:v>
                </c:pt>
                <c:pt idx="3">
                  <c:v>62</c:v>
                </c:pt>
                <c:pt idx="4">
                  <c:v>97</c:v>
                </c:pt>
                <c:pt idx="5">
                  <c:v>109</c:v>
                </c:pt>
                <c:pt idx="6">
                  <c:v>134</c:v>
                </c:pt>
                <c:pt idx="7">
                  <c:v>160</c:v>
                </c:pt>
                <c:pt idx="8">
                  <c:v>178</c:v>
                </c:pt>
                <c:pt idx="9">
                  <c:v>182</c:v>
                </c:pt>
                <c:pt idx="10">
                  <c:v>194</c:v>
                </c:pt>
                <c:pt idx="11">
                  <c:v>216</c:v>
                </c:pt>
                <c:pt idx="12">
                  <c:v>240</c:v>
                </c:pt>
                <c:pt idx="13">
                  <c:v>246</c:v>
                </c:pt>
                <c:pt idx="14">
                  <c:v>261</c:v>
                </c:pt>
                <c:pt idx="15">
                  <c:v>263</c:v>
                </c:pt>
                <c:pt idx="16">
                  <c:v>290</c:v>
                </c:pt>
                <c:pt idx="17">
                  <c:v>294</c:v>
                </c:pt>
                <c:pt idx="18">
                  <c:v>312</c:v>
                </c:pt>
                <c:pt idx="19">
                  <c:v>343</c:v>
                </c:pt>
                <c:pt idx="20">
                  <c:v>354</c:v>
                </c:pt>
                <c:pt idx="21">
                  <c:v>360</c:v>
                </c:pt>
                <c:pt idx="22">
                  <c:v>376</c:v>
                </c:pt>
                <c:pt idx="23">
                  <c:v>411</c:v>
                </c:pt>
                <c:pt idx="24">
                  <c:v>445</c:v>
                </c:pt>
                <c:pt idx="25">
                  <c:v>455</c:v>
                </c:pt>
                <c:pt idx="26">
                  <c:v>484</c:v>
                </c:pt>
                <c:pt idx="27">
                  <c:v>509</c:v>
                </c:pt>
                <c:pt idx="28">
                  <c:v>556</c:v>
                </c:pt>
                <c:pt idx="29">
                  <c:v>558</c:v>
                </c:pt>
                <c:pt idx="30">
                  <c:v>591</c:v>
                </c:pt>
                <c:pt idx="31">
                  <c:v>623</c:v>
                </c:pt>
                <c:pt idx="32">
                  <c:v>627</c:v>
                </c:pt>
                <c:pt idx="33">
                  <c:v>743</c:v>
                </c:pt>
                <c:pt idx="34">
                  <c:v>749</c:v>
                </c:pt>
                <c:pt idx="35">
                  <c:v>758</c:v>
                </c:pt>
                <c:pt idx="36">
                  <c:v>762</c:v>
                </c:pt>
                <c:pt idx="37">
                  <c:v>774</c:v>
                </c:pt>
                <c:pt idx="38">
                  <c:v>780</c:v>
                </c:pt>
                <c:pt idx="39">
                  <c:v>790</c:v>
                </c:pt>
                <c:pt idx="40">
                  <c:v>809</c:v>
                </c:pt>
                <c:pt idx="41">
                  <c:v>820</c:v>
                </c:pt>
                <c:pt idx="42">
                  <c:v>829</c:v>
                </c:pt>
                <c:pt idx="43">
                  <c:v>880</c:v>
                </c:pt>
                <c:pt idx="44">
                  <c:v>881</c:v>
                </c:pt>
                <c:pt idx="45">
                  <c:v>895</c:v>
                </c:pt>
                <c:pt idx="46">
                  <c:v>901</c:v>
                </c:pt>
                <c:pt idx="47">
                  <c:v>923</c:v>
                </c:pt>
                <c:pt idx="48">
                  <c:v>941</c:v>
                </c:pt>
                <c:pt idx="49">
                  <c:v>966</c:v>
                </c:pt>
                <c:pt idx="50">
                  <c:v>979</c:v>
                </c:pt>
                <c:pt idx="51">
                  <c:v>992</c:v>
                </c:pt>
                <c:pt idx="52">
                  <c:v>994</c:v>
                </c:pt>
                <c:pt idx="53">
                  <c:v>1003</c:v>
                </c:pt>
                <c:pt idx="54">
                  <c:v>1007</c:v>
                </c:pt>
                <c:pt idx="55">
                  <c:v>1040</c:v>
                </c:pt>
                <c:pt idx="56">
                  <c:v>1058</c:v>
                </c:pt>
                <c:pt idx="57">
                  <c:v>1060</c:v>
                </c:pt>
                <c:pt idx="58">
                  <c:v>1063</c:v>
                </c:pt>
                <c:pt idx="59">
                  <c:v>1065</c:v>
                </c:pt>
                <c:pt idx="60">
                  <c:v>1079</c:v>
                </c:pt>
                <c:pt idx="61">
                  <c:v>1093</c:v>
                </c:pt>
                <c:pt idx="62">
                  <c:v>1097</c:v>
                </c:pt>
                <c:pt idx="63">
                  <c:v>1113</c:v>
                </c:pt>
                <c:pt idx="64">
                  <c:v>1131</c:v>
                </c:pt>
                <c:pt idx="65">
                  <c:v>1142</c:v>
                </c:pt>
                <c:pt idx="66">
                  <c:v>1147</c:v>
                </c:pt>
                <c:pt idx="67">
                  <c:v>1159</c:v>
                </c:pt>
                <c:pt idx="68">
                  <c:v>1215</c:v>
                </c:pt>
                <c:pt idx="69">
                  <c:v>1305</c:v>
                </c:pt>
                <c:pt idx="70">
                  <c:v>1318</c:v>
                </c:pt>
                <c:pt idx="71">
                  <c:v>1322</c:v>
                </c:pt>
                <c:pt idx="72">
                  <c:v>1328</c:v>
                </c:pt>
                <c:pt idx="73">
                  <c:v>1331</c:v>
                </c:pt>
                <c:pt idx="74">
                  <c:v>1362</c:v>
                </c:pt>
                <c:pt idx="75">
                  <c:v>1384</c:v>
                </c:pt>
                <c:pt idx="76">
                  <c:v>1386</c:v>
                </c:pt>
                <c:pt idx="77">
                  <c:v>1395</c:v>
                </c:pt>
                <c:pt idx="78">
                  <c:v>1401</c:v>
                </c:pt>
                <c:pt idx="79">
                  <c:v>1423</c:v>
                </c:pt>
                <c:pt idx="80">
                  <c:v>1442</c:v>
                </c:pt>
                <c:pt idx="81">
                  <c:v>1448</c:v>
                </c:pt>
                <c:pt idx="82">
                  <c:v>1454</c:v>
                </c:pt>
                <c:pt idx="83">
                  <c:v>1479</c:v>
                </c:pt>
                <c:pt idx="84">
                  <c:v>1507</c:v>
                </c:pt>
                <c:pt idx="85">
                  <c:v>1509</c:v>
                </c:pt>
                <c:pt idx="86">
                  <c:v>1519</c:v>
                </c:pt>
                <c:pt idx="87">
                  <c:v>1520</c:v>
                </c:pt>
                <c:pt idx="88">
                  <c:v>1529</c:v>
                </c:pt>
                <c:pt idx="89">
                  <c:v>1535</c:v>
                </c:pt>
                <c:pt idx="90">
                  <c:v>1542</c:v>
                </c:pt>
                <c:pt idx="91">
                  <c:v>1549</c:v>
                </c:pt>
                <c:pt idx="92">
                  <c:v>1551</c:v>
                </c:pt>
                <c:pt idx="93">
                  <c:v>1552</c:v>
                </c:pt>
                <c:pt idx="94">
                  <c:v>1555</c:v>
                </c:pt>
                <c:pt idx="95">
                  <c:v>1560</c:v>
                </c:pt>
                <c:pt idx="96">
                  <c:v>1562</c:v>
                </c:pt>
                <c:pt idx="97">
                  <c:v>1563</c:v>
                </c:pt>
                <c:pt idx="98">
                  <c:v>1564</c:v>
                </c:pt>
                <c:pt idx="99">
                  <c:v>Moyenne</c:v>
                </c:pt>
              </c:strCache>
            </c:strRef>
          </c:cat>
          <c:val>
            <c:numRef>
              <c:f>'502'!$C$126:$C$225</c:f>
              <c:numCache>
                <c:formatCode>#,##0</c:formatCode>
                <c:ptCount val="100"/>
                <c:pt idx="0">
                  <c:v>1923.2261763568315</c:v>
                </c:pt>
                <c:pt idx="1">
                  <c:v>1872.0767316966242</c:v>
                </c:pt>
                <c:pt idx="2">
                  <c:v>2035.0512432594371</c:v>
                </c:pt>
                <c:pt idx="3">
                  <c:v>2545.4859220012581</c:v>
                </c:pt>
                <c:pt idx="4">
                  <c:v>1903.8576518691589</c:v>
                </c:pt>
                <c:pt idx="5">
                  <c:v>1735.3089147286819</c:v>
                </c:pt>
                <c:pt idx="6">
                  <c:v>1694.7843457943925</c:v>
                </c:pt>
                <c:pt idx="7">
                  <c:v>1643.4307107087827</c:v>
                </c:pt>
                <c:pt idx="8">
                  <c:v>1402.2848060344832</c:v>
                </c:pt>
                <c:pt idx="9">
                  <c:v>1880.4491510422733</c:v>
                </c:pt>
                <c:pt idx="10">
                  <c:v>1088.5343082958348</c:v>
                </c:pt>
                <c:pt idx="11">
                  <c:v>2037.6793623639189</c:v>
                </c:pt>
                <c:pt idx="12">
                  <c:v>1485.4610367892976</c:v>
                </c:pt>
                <c:pt idx="13">
                  <c:v>1185.6173771558738</c:v>
                </c:pt>
                <c:pt idx="14">
                  <c:v>1195.0984994316029</c:v>
                </c:pt>
                <c:pt idx="15">
                  <c:v>2215.3294849848526</c:v>
                </c:pt>
                <c:pt idx="16">
                  <c:v>1920.9573823713445</c:v>
                </c:pt>
                <c:pt idx="17">
                  <c:v>1145.1024754683322</c:v>
                </c:pt>
                <c:pt idx="18">
                  <c:v>1776.5501370461127</c:v>
                </c:pt>
                <c:pt idx="19">
                  <c:v>2122.5749412335085</c:v>
                </c:pt>
                <c:pt idx="20">
                  <c:v>1653.2998776259435</c:v>
                </c:pt>
                <c:pt idx="21">
                  <c:v>957.52938368782441</c:v>
                </c:pt>
                <c:pt idx="22">
                  <c:v>1658.1926488519712</c:v>
                </c:pt>
                <c:pt idx="23">
                  <c:v>1403.7160106057515</c:v>
                </c:pt>
                <c:pt idx="24">
                  <c:v>1504.4232044162698</c:v>
                </c:pt>
                <c:pt idx="25">
                  <c:v>1523.137734516182</c:v>
                </c:pt>
                <c:pt idx="26">
                  <c:v>1575.7277776147866</c:v>
                </c:pt>
                <c:pt idx="27">
                  <c:v>2634.0829673333747</c:v>
                </c:pt>
                <c:pt idx="28">
                  <c:v>1421.1207814930017</c:v>
                </c:pt>
                <c:pt idx="29">
                  <c:v>983.43362831858406</c:v>
                </c:pt>
                <c:pt idx="30">
                  <c:v>1232.7981188623901</c:v>
                </c:pt>
                <c:pt idx="31">
                  <c:v>949.74147339699869</c:v>
                </c:pt>
                <c:pt idx="32">
                  <c:v>1139.0628605425984</c:v>
                </c:pt>
                <c:pt idx="33">
                  <c:v>1653.4374161073827</c:v>
                </c:pt>
                <c:pt idx="34">
                  <c:v>2073.2781710752483</c:v>
                </c:pt>
                <c:pt idx="35">
                  <c:v>1238.4586956521739</c:v>
                </c:pt>
                <c:pt idx="36">
                  <c:v>1412.4894268250848</c:v>
                </c:pt>
                <c:pt idx="37">
                  <c:v>2276.2493824027074</c:v>
                </c:pt>
                <c:pt idx="38">
                  <c:v>1074.5882894736842</c:v>
                </c:pt>
                <c:pt idx="39">
                  <c:v>1377.6989348752284</c:v>
                </c:pt>
                <c:pt idx="40">
                  <c:v>1026.6561074918566</c:v>
                </c:pt>
                <c:pt idx="41">
                  <c:v>1437.4535996670829</c:v>
                </c:pt>
                <c:pt idx="42">
                  <c:v>1446.0077963860731</c:v>
                </c:pt>
                <c:pt idx="43">
                  <c:v>1334.7878402107112</c:v>
                </c:pt>
                <c:pt idx="44">
                  <c:v>1397.9669276345392</c:v>
                </c:pt>
                <c:pt idx="45">
                  <c:v>1023.1180884676147</c:v>
                </c:pt>
                <c:pt idx="46">
                  <c:v>1186.0802580645161</c:v>
                </c:pt>
                <c:pt idx="47">
                  <c:v>1866.9416751348394</c:v>
                </c:pt>
                <c:pt idx="48">
                  <c:v>1162.6157797731571</c:v>
                </c:pt>
                <c:pt idx="49">
                  <c:v>1300.4528096394545</c:v>
                </c:pt>
                <c:pt idx="50">
                  <c:v>1305.2479857819906</c:v>
                </c:pt>
                <c:pt idx="51">
                  <c:v>1055.662342632527</c:v>
                </c:pt>
                <c:pt idx="52">
                  <c:v>1459.6625952837949</c:v>
                </c:pt>
                <c:pt idx="53">
                  <c:v>1454.3997395833333</c:v>
                </c:pt>
                <c:pt idx="54">
                  <c:v>1139.6242891715794</c:v>
                </c:pt>
                <c:pt idx="55">
                  <c:v>886.05881787602118</c:v>
                </c:pt>
                <c:pt idx="56">
                  <c:v>1599.539534883721</c:v>
                </c:pt>
                <c:pt idx="57">
                  <c:v>2368.382265145271</c:v>
                </c:pt>
                <c:pt idx="58">
                  <c:v>1063.6944358578053</c:v>
                </c:pt>
                <c:pt idx="59">
                  <c:v>2532.0765412070086</c:v>
                </c:pt>
                <c:pt idx="60">
                  <c:v>1011.9967106625259</c:v>
                </c:pt>
                <c:pt idx="61">
                  <c:v>1085.7464446260731</c:v>
                </c:pt>
                <c:pt idx="62">
                  <c:v>1630.3745610085546</c:v>
                </c:pt>
                <c:pt idx="63">
                  <c:v>1424.866247139588</c:v>
                </c:pt>
                <c:pt idx="64">
                  <c:v>1531.9881318681319</c:v>
                </c:pt>
                <c:pt idx="65">
                  <c:v>3360.0721278317155</c:v>
                </c:pt>
                <c:pt idx="66">
                  <c:v>1823.957928388747</c:v>
                </c:pt>
                <c:pt idx="67">
                  <c:v>1041.029283762241</c:v>
                </c:pt>
                <c:pt idx="68">
                  <c:v>1264.3091652950857</c:v>
                </c:pt>
                <c:pt idx="69">
                  <c:v>2141.9290680400118</c:v>
                </c:pt>
                <c:pt idx="70">
                  <c:v>1421.0518440979959</c:v>
                </c:pt>
                <c:pt idx="71">
                  <c:v>885.81163682864462</c:v>
                </c:pt>
                <c:pt idx="72">
                  <c:v>1581.5023310810814</c:v>
                </c:pt>
                <c:pt idx="73">
                  <c:v>1641.7283882783881</c:v>
                </c:pt>
                <c:pt idx="74">
                  <c:v>1086.4683198380567</c:v>
                </c:pt>
                <c:pt idx="75">
                  <c:v>1876.7263565185146</c:v>
                </c:pt>
                <c:pt idx="76">
                  <c:v>1790.6360022477613</c:v>
                </c:pt>
                <c:pt idx="77">
                  <c:v>1385.2274361022367</c:v>
                </c:pt>
                <c:pt idx="78">
                  <c:v>1122.8089300911854</c:v>
                </c:pt>
                <c:pt idx="79">
                  <c:v>1158.0113031293788</c:v>
                </c:pt>
                <c:pt idx="80">
                  <c:v>1697.074509803921</c:v>
                </c:pt>
                <c:pt idx="81">
                  <c:v>1155.2668952007834</c:v>
                </c:pt>
                <c:pt idx="82">
                  <c:v>1171.5877810007253</c:v>
                </c:pt>
                <c:pt idx="83">
                  <c:v>1818.1645346863397</c:v>
                </c:pt>
                <c:pt idx="84">
                  <c:v>1397.1989247311831</c:v>
                </c:pt>
                <c:pt idx="85">
                  <c:v>1294.898347032447</c:v>
                </c:pt>
                <c:pt idx="86">
                  <c:v>1475.0031716331362</c:v>
                </c:pt>
                <c:pt idx="87">
                  <c:v>1862.1987143170843</c:v>
                </c:pt>
                <c:pt idx="88">
                  <c:v>1587.9137963215483</c:v>
                </c:pt>
                <c:pt idx="89">
                  <c:v>2225.5073235003701</c:v>
                </c:pt>
                <c:pt idx="90">
                  <c:v>947.83693335088287</c:v>
                </c:pt>
                <c:pt idx="91">
                  <c:v>1746.9697122888149</c:v>
                </c:pt>
                <c:pt idx="92">
                  <c:v>1482.6647980392429</c:v>
                </c:pt>
                <c:pt idx="93">
                  <c:v>1150.5500615308883</c:v>
                </c:pt>
                <c:pt idx="94">
                  <c:v>2740.0994704386676</c:v>
                </c:pt>
                <c:pt idx="95">
                  <c:v>710.37421395626768</c:v>
                </c:pt>
                <c:pt idx="96">
                  <c:v>2319.336159290629</c:v>
                </c:pt>
                <c:pt idx="97">
                  <c:v>1478.6215084783496</c:v>
                </c:pt>
                <c:pt idx="98">
                  <c:v>1393.8387873134327</c:v>
                </c:pt>
                <c:pt idx="99">
                  <c:v>1915.6520340540053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C1-514B-B4D4-6AA915866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4437808"/>
        <c:axId val="1"/>
      </c:barChart>
      <c:catAx>
        <c:axId val="1624437808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850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 sz="850" b="0" i="1" u="none" strike="noStrike" baseline="0">
                    <a:solidFill>
                      <a:srgbClr val="000000"/>
                    </a:solidFill>
                    <a:latin typeface="Arial" pitchFamily="2" charset="0"/>
                    <a:cs typeface="Arial" pitchFamily="2" charset="0"/>
                  </a:rPr>
                  <a:t>Source: T 5.02                               </a:t>
                </a:r>
                <a:r>
                  <a:rPr lang="de-DE" sz="850" b="1" i="1" u="none" strike="noStrike" baseline="0">
                    <a:solidFill>
                      <a:srgbClr val="000000"/>
                    </a:solidFill>
                    <a:latin typeface="Arial" pitchFamily="2" charset="0"/>
                    <a:cs typeface="Arial" pitchFamily="2" charset="0"/>
                  </a:rPr>
                  <a:t> Assureurs LAMal</a:t>
                </a:r>
              </a:p>
            </c:rich>
          </c:tx>
          <c:layout>
            <c:manualLayout>
              <c:xMode val="edge"/>
              <c:yMode val="edge"/>
              <c:x val="0.13669485909336582"/>
              <c:y val="0.9113201150435453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3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624437808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'502'!$G$229</c:f>
          <c:strCache>
            <c:ptCount val="1"/>
            <c:pt idx="0">
              <c:v>G 5b Provisions et réserves par personne assurée en francs en 2001</c:v>
            </c:pt>
          </c:strCache>
        </c:strRef>
      </c:tx>
      <c:layout>
        <c:manualLayout>
          <c:xMode val="edge"/>
          <c:yMode val="edge"/>
          <c:x val="0.18575111514685558"/>
          <c:y val="2.910150061475192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2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058349376999526"/>
          <c:y val="0.23281200491801537"/>
          <c:w val="0.77540291090373437"/>
          <c:h val="0.5529285116802865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'502'!$D$125</c:f>
              <c:strCache>
                <c:ptCount val="1"/>
                <c:pt idx="0">
                  <c:v>Provisions par personne assurée en francs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99"/>
            <c:invertIfNegative val="0"/>
            <c:bubble3D val="0"/>
            <c:spPr>
              <a:solidFill>
                <a:srgbClr val="F20884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FB69-B54C-B533-DE5904EBB8CF}"/>
              </c:ext>
            </c:extLst>
          </c:dPt>
          <c:dLbls>
            <c:dLbl>
              <c:idx val="99"/>
              <c:layout>
                <c:manualLayout>
                  <c:x val="-2.5051215001099525E-3"/>
                  <c:y val="-7.3666440555267942E-2"/>
                </c:manualLayout>
              </c:layout>
              <c:spPr>
                <a:solidFill>
                  <a:srgbClr val="FFFFFF"/>
                </a:solidFill>
                <a:ln w="25400">
                  <a:noFill/>
                </a:ln>
              </c:spPr>
              <c:txPr>
                <a:bodyPr rot="-5400000" vert="horz"/>
                <a:lstStyle/>
                <a:p>
                  <a:pPr algn="ctr"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de-DE"/>
                </a:p>
              </c:txPr>
              <c:dLblPos val="ctr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B69-B54C-B533-DE5904EBB8C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'502'!$B$126:$B$225</c:f>
              <c:strCache>
                <c:ptCount val="100"/>
                <c:pt idx="0">
                  <c:v>8</c:v>
                </c:pt>
                <c:pt idx="1">
                  <c:v>32</c:v>
                </c:pt>
                <c:pt idx="2">
                  <c:v>57</c:v>
                </c:pt>
                <c:pt idx="3">
                  <c:v>62</c:v>
                </c:pt>
                <c:pt idx="4">
                  <c:v>97</c:v>
                </c:pt>
                <c:pt idx="5">
                  <c:v>109</c:v>
                </c:pt>
                <c:pt idx="6">
                  <c:v>134</c:v>
                </c:pt>
                <c:pt idx="7">
                  <c:v>160</c:v>
                </c:pt>
                <c:pt idx="8">
                  <c:v>178</c:v>
                </c:pt>
                <c:pt idx="9">
                  <c:v>182</c:v>
                </c:pt>
                <c:pt idx="10">
                  <c:v>194</c:v>
                </c:pt>
                <c:pt idx="11">
                  <c:v>216</c:v>
                </c:pt>
                <c:pt idx="12">
                  <c:v>240</c:v>
                </c:pt>
                <c:pt idx="13">
                  <c:v>246</c:v>
                </c:pt>
                <c:pt idx="14">
                  <c:v>261</c:v>
                </c:pt>
                <c:pt idx="15">
                  <c:v>263</c:v>
                </c:pt>
                <c:pt idx="16">
                  <c:v>290</c:v>
                </c:pt>
                <c:pt idx="17">
                  <c:v>294</c:v>
                </c:pt>
                <c:pt idx="18">
                  <c:v>312</c:v>
                </c:pt>
                <c:pt idx="19">
                  <c:v>343</c:v>
                </c:pt>
                <c:pt idx="20">
                  <c:v>354</c:v>
                </c:pt>
                <c:pt idx="21">
                  <c:v>360</c:v>
                </c:pt>
                <c:pt idx="22">
                  <c:v>376</c:v>
                </c:pt>
                <c:pt idx="23">
                  <c:v>411</c:v>
                </c:pt>
                <c:pt idx="24">
                  <c:v>445</c:v>
                </c:pt>
                <c:pt idx="25">
                  <c:v>455</c:v>
                </c:pt>
                <c:pt idx="26">
                  <c:v>484</c:v>
                </c:pt>
                <c:pt idx="27">
                  <c:v>509</c:v>
                </c:pt>
                <c:pt idx="28">
                  <c:v>556</c:v>
                </c:pt>
                <c:pt idx="29">
                  <c:v>558</c:v>
                </c:pt>
                <c:pt idx="30">
                  <c:v>591</c:v>
                </c:pt>
                <c:pt idx="31">
                  <c:v>623</c:v>
                </c:pt>
                <c:pt idx="32">
                  <c:v>627</c:v>
                </c:pt>
                <c:pt idx="33">
                  <c:v>743</c:v>
                </c:pt>
                <c:pt idx="34">
                  <c:v>749</c:v>
                </c:pt>
                <c:pt idx="35">
                  <c:v>758</c:v>
                </c:pt>
                <c:pt idx="36">
                  <c:v>762</c:v>
                </c:pt>
                <c:pt idx="37">
                  <c:v>774</c:v>
                </c:pt>
                <c:pt idx="38">
                  <c:v>780</c:v>
                </c:pt>
                <c:pt idx="39">
                  <c:v>790</c:v>
                </c:pt>
                <c:pt idx="40">
                  <c:v>809</c:v>
                </c:pt>
                <c:pt idx="41">
                  <c:v>820</c:v>
                </c:pt>
                <c:pt idx="42">
                  <c:v>829</c:v>
                </c:pt>
                <c:pt idx="43">
                  <c:v>880</c:v>
                </c:pt>
                <c:pt idx="44">
                  <c:v>881</c:v>
                </c:pt>
                <c:pt idx="45">
                  <c:v>895</c:v>
                </c:pt>
                <c:pt idx="46">
                  <c:v>901</c:v>
                </c:pt>
                <c:pt idx="47">
                  <c:v>923</c:v>
                </c:pt>
                <c:pt idx="48">
                  <c:v>941</c:v>
                </c:pt>
                <c:pt idx="49">
                  <c:v>966</c:v>
                </c:pt>
                <c:pt idx="50">
                  <c:v>979</c:v>
                </c:pt>
                <c:pt idx="51">
                  <c:v>992</c:v>
                </c:pt>
                <c:pt idx="52">
                  <c:v>994</c:v>
                </c:pt>
                <c:pt idx="53">
                  <c:v>1003</c:v>
                </c:pt>
                <c:pt idx="54">
                  <c:v>1007</c:v>
                </c:pt>
                <c:pt idx="55">
                  <c:v>1040</c:v>
                </c:pt>
                <c:pt idx="56">
                  <c:v>1058</c:v>
                </c:pt>
                <c:pt idx="57">
                  <c:v>1060</c:v>
                </c:pt>
                <c:pt idx="58">
                  <c:v>1063</c:v>
                </c:pt>
                <c:pt idx="59">
                  <c:v>1065</c:v>
                </c:pt>
                <c:pt idx="60">
                  <c:v>1079</c:v>
                </c:pt>
                <c:pt idx="61">
                  <c:v>1093</c:v>
                </c:pt>
                <c:pt idx="62">
                  <c:v>1097</c:v>
                </c:pt>
                <c:pt idx="63">
                  <c:v>1113</c:v>
                </c:pt>
                <c:pt idx="64">
                  <c:v>1131</c:v>
                </c:pt>
                <c:pt idx="65">
                  <c:v>1142</c:v>
                </c:pt>
                <c:pt idx="66">
                  <c:v>1147</c:v>
                </c:pt>
                <c:pt idx="67">
                  <c:v>1159</c:v>
                </c:pt>
                <c:pt idx="68">
                  <c:v>1215</c:v>
                </c:pt>
                <c:pt idx="69">
                  <c:v>1305</c:v>
                </c:pt>
                <c:pt idx="70">
                  <c:v>1318</c:v>
                </c:pt>
                <c:pt idx="71">
                  <c:v>1322</c:v>
                </c:pt>
                <c:pt idx="72">
                  <c:v>1328</c:v>
                </c:pt>
                <c:pt idx="73">
                  <c:v>1331</c:v>
                </c:pt>
                <c:pt idx="74">
                  <c:v>1362</c:v>
                </c:pt>
                <c:pt idx="75">
                  <c:v>1384</c:v>
                </c:pt>
                <c:pt idx="76">
                  <c:v>1386</c:v>
                </c:pt>
                <c:pt idx="77">
                  <c:v>1395</c:v>
                </c:pt>
                <c:pt idx="78">
                  <c:v>1401</c:v>
                </c:pt>
                <c:pt idx="79">
                  <c:v>1423</c:v>
                </c:pt>
                <c:pt idx="80">
                  <c:v>1442</c:v>
                </c:pt>
                <c:pt idx="81">
                  <c:v>1448</c:v>
                </c:pt>
                <c:pt idx="82">
                  <c:v>1454</c:v>
                </c:pt>
                <c:pt idx="83">
                  <c:v>1479</c:v>
                </c:pt>
                <c:pt idx="84">
                  <c:v>1507</c:v>
                </c:pt>
                <c:pt idx="85">
                  <c:v>1509</c:v>
                </c:pt>
                <c:pt idx="86">
                  <c:v>1519</c:v>
                </c:pt>
                <c:pt idx="87">
                  <c:v>1520</c:v>
                </c:pt>
                <c:pt idx="88">
                  <c:v>1529</c:v>
                </c:pt>
                <c:pt idx="89">
                  <c:v>1535</c:v>
                </c:pt>
                <c:pt idx="90">
                  <c:v>1542</c:v>
                </c:pt>
                <c:pt idx="91">
                  <c:v>1549</c:v>
                </c:pt>
                <c:pt idx="92">
                  <c:v>1551</c:v>
                </c:pt>
                <c:pt idx="93">
                  <c:v>1552</c:v>
                </c:pt>
                <c:pt idx="94">
                  <c:v>1555</c:v>
                </c:pt>
                <c:pt idx="95">
                  <c:v>1560</c:v>
                </c:pt>
                <c:pt idx="96">
                  <c:v>1562</c:v>
                </c:pt>
                <c:pt idx="97">
                  <c:v>1563</c:v>
                </c:pt>
                <c:pt idx="98">
                  <c:v>1564</c:v>
                </c:pt>
                <c:pt idx="99">
                  <c:v>Moyenne</c:v>
                </c:pt>
              </c:strCache>
            </c:strRef>
          </c:cat>
          <c:val>
            <c:numRef>
              <c:f>'502'!$D$126:$D$225</c:f>
              <c:numCache>
                <c:formatCode>#,##0</c:formatCode>
                <c:ptCount val="100"/>
                <c:pt idx="0">
                  <c:v>499.0936225406698</c:v>
                </c:pt>
                <c:pt idx="1">
                  <c:v>513.55921588275817</c:v>
                </c:pt>
                <c:pt idx="2">
                  <c:v>1056.6956261234272</c:v>
                </c:pt>
                <c:pt idx="3">
                  <c:v>883.61540160642573</c:v>
                </c:pt>
                <c:pt idx="4">
                  <c:v>292.05607476635515</c:v>
                </c:pt>
                <c:pt idx="5">
                  <c:v>387.59689922480618</c:v>
                </c:pt>
                <c:pt idx="6">
                  <c:v>545.17133956386294</c:v>
                </c:pt>
                <c:pt idx="7">
                  <c:v>471.87981510015408</c:v>
                </c:pt>
                <c:pt idx="8">
                  <c:v>431.0344827586207</c:v>
                </c:pt>
                <c:pt idx="9">
                  <c:v>531.81165327432939</c:v>
                </c:pt>
                <c:pt idx="10">
                  <c:v>288.45044421368408</c:v>
                </c:pt>
                <c:pt idx="11">
                  <c:v>824.2612752721617</c:v>
                </c:pt>
                <c:pt idx="12">
                  <c:v>351.17056856187293</c:v>
                </c:pt>
                <c:pt idx="13">
                  <c:v>390.49788480312401</c:v>
                </c:pt>
                <c:pt idx="14">
                  <c:v>344.82758620689657</c:v>
                </c:pt>
                <c:pt idx="15">
                  <c:v>570.60501779464107</c:v>
                </c:pt>
                <c:pt idx="16">
                  <c:v>545.97153299084141</c:v>
                </c:pt>
                <c:pt idx="17">
                  <c:v>379.12578055307762</c:v>
                </c:pt>
                <c:pt idx="18">
                  <c:v>586.77656493651148</c:v>
                </c:pt>
                <c:pt idx="19">
                  <c:v>559.75083007669025</c:v>
                </c:pt>
                <c:pt idx="20">
                  <c:v>496.29478550547282</c:v>
                </c:pt>
                <c:pt idx="21">
                  <c:v>272.24041617819461</c:v>
                </c:pt>
                <c:pt idx="22">
                  <c:v>546.08015045842808</c:v>
                </c:pt>
                <c:pt idx="23">
                  <c:v>468.0967687421695</c:v>
                </c:pt>
                <c:pt idx="24">
                  <c:v>430.81560109423884</c:v>
                </c:pt>
                <c:pt idx="25">
                  <c:v>393.35184585416226</c:v>
                </c:pt>
                <c:pt idx="26">
                  <c:v>586.7683731846854</c:v>
                </c:pt>
                <c:pt idx="27">
                  <c:v>816.8111369762313</c:v>
                </c:pt>
                <c:pt idx="28">
                  <c:v>342.14618973561431</c:v>
                </c:pt>
                <c:pt idx="29">
                  <c:v>313.13818924438391</c:v>
                </c:pt>
                <c:pt idx="30">
                  <c:v>438.71955107766865</c:v>
                </c:pt>
                <c:pt idx="31">
                  <c:v>472.03274215552523</c:v>
                </c:pt>
                <c:pt idx="32">
                  <c:v>404.56925273679201</c:v>
                </c:pt>
                <c:pt idx="33">
                  <c:v>677.85234899328862</c:v>
                </c:pt>
                <c:pt idx="34">
                  <c:v>555.05156608097786</c:v>
                </c:pt>
                <c:pt idx="35">
                  <c:v>395.25691699604744</c:v>
                </c:pt>
                <c:pt idx="36">
                  <c:v>358.62413072629181</c:v>
                </c:pt>
                <c:pt idx="37">
                  <c:v>617.59729272419622</c:v>
                </c:pt>
                <c:pt idx="38">
                  <c:v>241.2280701754386</c:v>
                </c:pt>
                <c:pt idx="39">
                  <c:v>401.70419963481436</c:v>
                </c:pt>
                <c:pt idx="40">
                  <c:v>390.87947882736154</c:v>
                </c:pt>
                <c:pt idx="41">
                  <c:v>174.78152309612983</c:v>
                </c:pt>
                <c:pt idx="42">
                  <c:v>395.76906126046714</c:v>
                </c:pt>
                <c:pt idx="43">
                  <c:v>442.05443371378402</c:v>
                </c:pt>
                <c:pt idx="44">
                  <c:v>417.99184988583522</c:v>
                </c:pt>
                <c:pt idx="45">
                  <c:v>631.91153238546599</c:v>
                </c:pt>
                <c:pt idx="46">
                  <c:v>344.08602150537632</c:v>
                </c:pt>
                <c:pt idx="47">
                  <c:v>609.70843430000787</c:v>
                </c:pt>
                <c:pt idx="48">
                  <c:v>422.16209829867677</c:v>
                </c:pt>
                <c:pt idx="49">
                  <c:v>259.48066504763682</c:v>
                </c:pt>
                <c:pt idx="50">
                  <c:v>717.52007109004728</c:v>
                </c:pt>
                <c:pt idx="51">
                  <c:v>411.63946061036194</c:v>
                </c:pt>
                <c:pt idx="52">
                  <c:v>454.07183986838498</c:v>
                </c:pt>
                <c:pt idx="53">
                  <c:v>1078.125</c:v>
                </c:pt>
                <c:pt idx="54">
                  <c:v>310.89047471300029</c:v>
                </c:pt>
                <c:pt idx="55">
                  <c:v>377.15766458433444</c:v>
                </c:pt>
                <c:pt idx="56">
                  <c:v>465.11627906976742</c:v>
                </c:pt>
                <c:pt idx="57">
                  <c:v>617.32121640281298</c:v>
                </c:pt>
                <c:pt idx="58">
                  <c:v>418.08346213292117</c:v>
                </c:pt>
                <c:pt idx="59">
                  <c:v>635.95068137573003</c:v>
                </c:pt>
                <c:pt idx="60">
                  <c:v>357.14285714285717</c:v>
                </c:pt>
                <c:pt idx="61">
                  <c:v>408.66366979975481</c:v>
                </c:pt>
                <c:pt idx="62">
                  <c:v>445.74515983791088</c:v>
                </c:pt>
                <c:pt idx="63">
                  <c:v>202.68061457992809</c:v>
                </c:pt>
                <c:pt idx="64">
                  <c:v>364.83516483516485</c:v>
                </c:pt>
                <c:pt idx="65">
                  <c:v>1351.1326860841425</c:v>
                </c:pt>
                <c:pt idx="66">
                  <c:v>1445.0127877237851</c:v>
                </c:pt>
                <c:pt idx="67">
                  <c:v>212.93554998861308</c:v>
                </c:pt>
                <c:pt idx="68">
                  <c:v>330.35504349870678</c:v>
                </c:pt>
                <c:pt idx="69">
                  <c:v>559.96464296325644</c:v>
                </c:pt>
                <c:pt idx="70">
                  <c:v>503.34075723830733</c:v>
                </c:pt>
                <c:pt idx="71">
                  <c:v>120.88549190110828</c:v>
                </c:pt>
                <c:pt idx="72">
                  <c:v>587.65566528066529</c:v>
                </c:pt>
                <c:pt idx="73">
                  <c:v>448.71794871794873</c:v>
                </c:pt>
                <c:pt idx="74">
                  <c:v>366.39676113360326</c:v>
                </c:pt>
                <c:pt idx="75">
                  <c:v>477.40211448853103</c:v>
                </c:pt>
                <c:pt idx="76">
                  <c:v>502.84595584236666</c:v>
                </c:pt>
                <c:pt idx="77">
                  <c:v>344.28740681576147</c:v>
                </c:pt>
                <c:pt idx="78">
                  <c:v>270.17899358324888</c:v>
                </c:pt>
                <c:pt idx="79">
                  <c:v>326.9500233535731</c:v>
                </c:pt>
                <c:pt idx="80">
                  <c:v>620.9150326797386</c:v>
                </c:pt>
                <c:pt idx="81">
                  <c:v>587.65915768854063</c:v>
                </c:pt>
                <c:pt idx="82">
                  <c:v>353.51704133430025</c:v>
                </c:pt>
                <c:pt idx="83">
                  <c:v>517.17062433546607</c:v>
                </c:pt>
                <c:pt idx="84">
                  <c:v>223.53184449958644</c:v>
                </c:pt>
                <c:pt idx="85">
                  <c:v>395.97621622166605</c:v>
                </c:pt>
                <c:pt idx="86">
                  <c:v>417.52362101226282</c:v>
                </c:pt>
                <c:pt idx="87">
                  <c:v>603.86473429951695</c:v>
                </c:pt>
                <c:pt idx="88">
                  <c:v>439.79451634937038</c:v>
                </c:pt>
                <c:pt idx="89">
                  <c:v>511.10836830412245</c:v>
                </c:pt>
                <c:pt idx="90">
                  <c:v>341.87027633648069</c:v>
                </c:pt>
                <c:pt idx="91">
                  <c:v>514.98988412727613</c:v>
                </c:pt>
                <c:pt idx="92">
                  <c:v>429.26180816151322</c:v>
                </c:pt>
                <c:pt idx="93">
                  <c:v>311.34629584051191</c:v>
                </c:pt>
                <c:pt idx="94">
                  <c:v>916.10232467510139</c:v>
                </c:pt>
                <c:pt idx="95">
                  <c:v>267.46031594868634</c:v>
                </c:pt>
                <c:pt idx="96">
                  <c:v>601.00709791209408</c:v>
                </c:pt>
                <c:pt idx="97">
                  <c:v>414.01061185113724</c:v>
                </c:pt>
                <c:pt idx="98">
                  <c:v>391.79104477611941</c:v>
                </c:pt>
                <c:pt idx="99">
                  <c:v>547.36768550824866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69-B54C-B533-DE5904EBB8CF}"/>
            </c:ext>
          </c:extLst>
        </c:ser>
        <c:ser>
          <c:idx val="1"/>
          <c:order val="1"/>
          <c:tx>
            <c:strRef>
              <c:f>'502'!$E$125</c:f>
              <c:strCache>
                <c:ptCount val="1"/>
                <c:pt idx="0">
                  <c:v>réserves par personne assurée en francs</c:v>
                </c:pt>
              </c:strCache>
            </c:strRef>
          </c:tx>
          <c:spPr>
            <a:solidFill>
              <a:srgbClr val="FFFF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99"/>
            <c:invertIfNegative val="0"/>
            <c:bubble3D val="0"/>
            <c:spPr>
              <a:solidFill>
                <a:srgbClr val="DD080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B69-B54C-B533-DE5904EBB8CF}"/>
              </c:ext>
            </c:extLst>
          </c:dPt>
          <c:dLbls>
            <c:dLbl>
              <c:idx val="20"/>
              <c:layout>
                <c:manualLayout>
                  <c:x val="-8.6928492270710311E-4"/>
                  <c:y val="-2.6553327724370468E-2"/>
                </c:manualLayout>
              </c:layout>
              <c:tx>
                <c:rich>
                  <a:bodyPr/>
                  <a:lstStyle/>
                  <a:p>
                    <a:pPr>
                      <a:defRPr sz="1150" b="1" i="0" u="none" strike="noStrike" baseline="0">
                        <a:solidFill>
                          <a:srgbClr val="DD0806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de-DE"/>
                      <a:t>*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B69-B54C-B533-DE5904EBB8C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'502'!$B$126:$B$225</c:f>
              <c:strCache>
                <c:ptCount val="100"/>
                <c:pt idx="0">
                  <c:v>8</c:v>
                </c:pt>
                <c:pt idx="1">
                  <c:v>32</c:v>
                </c:pt>
                <c:pt idx="2">
                  <c:v>57</c:v>
                </c:pt>
                <c:pt idx="3">
                  <c:v>62</c:v>
                </c:pt>
                <c:pt idx="4">
                  <c:v>97</c:v>
                </c:pt>
                <c:pt idx="5">
                  <c:v>109</c:v>
                </c:pt>
                <c:pt idx="6">
                  <c:v>134</c:v>
                </c:pt>
                <c:pt idx="7">
                  <c:v>160</c:v>
                </c:pt>
                <c:pt idx="8">
                  <c:v>178</c:v>
                </c:pt>
                <c:pt idx="9">
                  <c:v>182</c:v>
                </c:pt>
                <c:pt idx="10">
                  <c:v>194</c:v>
                </c:pt>
                <c:pt idx="11">
                  <c:v>216</c:v>
                </c:pt>
                <c:pt idx="12">
                  <c:v>240</c:v>
                </c:pt>
                <c:pt idx="13">
                  <c:v>246</c:v>
                </c:pt>
                <c:pt idx="14">
                  <c:v>261</c:v>
                </c:pt>
                <c:pt idx="15">
                  <c:v>263</c:v>
                </c:pt>
                <c:pt idx="16">
                  <c:v>290</c:v>
                </c:pt>
                <c:pt idx="17">
                  <c:v>294</c:v>
                </c:pt>
                <c:pt idx="18">
                  <c:v>312</c:v>
                </c:pt>
                <c:pt idx="19">
                  <c:v>343</c:v>
                </c:pt>
                <c:pt idx="20">
                  <c:v>354</c:v>
                </c:pt>
                <c:pt idx="21">
                  <c:v>360</c:v>
                </c:pt>
                <c:pt idx="22">
                  <c:v>376</c:v>
                </c:pt>
                <c:pt idx="23">
                  <c:v>411</c:v>
                </c:pt>
                <c:pt idx="24">
                  <c:v>445</c:v>
                </c:pt>
                <c:pt idx="25">
                  <c:v>455</c:v>
                </c:pt>
                <c:pt idx="26">
                  <c:v>484</c:v>
                </c:pt>
                <c:pt idx="27">
                  <c:v>509</c:v>
                </c:pt>
                <c:pt idx="28">
                  <c:v>556</c:v>
                </c:pt>
                <c:pt idx="29">
                  <c:v>558</c:v>
                </c:pt>
                <c:pt idx="30">
                  <c:v>591</c:v>
                </c:pt>
                <c:pt idx="31">
                  <c:v>623</c:v>
                </c:pt>
                <c:pt idx="32">
                  <c:v>627</c:v>
                </c:pt>
                <c:pt idx="33">
                  <c:v>743</c:v>
                </c:pt>
                <c:pt idx="34">
                  <c:v>749</c:v>
                </c:pt>
                <c:pt idx="35">
                  <c:v>758</c:v>
                </c:pt>
                <c:pt idx="36">
                  <c:v>762</c:v>
                </c:pt>
                <c:pt idx="37">
                  <c:v>774</c:v>
                </c:pt>
                <c:pt idx="38">
                  <c:v>780</c:v>
                </c:pt>
                <c:pt idx="39">
                  <c:v>790</c:v>
                </c:pt>
                <c:pt idx="40">
                  <c:v>809</c:v>
                </c:pt>
                <c:pt idx="41">
                  <c:v>820</c:v>
                </c:pt>
                <c:pt idx="42">
                  <c:v>829</c:v>
                </c:pt>
                <c:pt idx="43">
                  <c:v>880</c:v>
                </c:pt>
                <c:pt idx="44">
                  <c:v>881</c:v>
                </c:pt>
                <c:pt idx="45">
                  <c:v>895</c:v>
                </c:pt>
                <c:pt idx="46">
                  <c:v>901</c:v>
                </c:pt>
                <c:pt idx="47">
                  <c:v>923</c:v>
                </c:pt>
                <c:pt idx="48">
                  <c:v>941</c:v>
                </c:pt>
                <c:pt idx="49">
                  <c:v>966</c:v>
                </c:pt>
                <c:pt idx="50">
                  <c:v>979</c:v>
                </c:pt>
                <c:pt idx="51">
                  <c:v>992</c:v>
                </c:pt>
                <c:pt idx="52">
                  <c:v>994</c:v>
                </c:pt>
                <c:pt idx="53">
                  <c:v>1003</c:v>
                </c:pt>
                <c:pt idx="54">
                  <c:v>1007</c:v>
                </c:pt>
                <c:pt idx="55">
                  <c:v>1040</c:v>
                </c:pt>
                <c:pt idx="56">
                  <c:v>1058</c:v>
                </c:pt>
                <c:pt idx="57">
                  <c:v>1060</c:v>
                </c:pt>
                <c:pt idx="58">
                  <c:v>1063</c:v>
                </c:pt>
                <c:pt idx="59">
                  <c:v>1065</c:v>
                </c:pt>
                <c:pt idx="60">
                  <c:v>1079</c:v>
                </c:pt>
                <c:pt idx="61">
                  <c:v>1093</c:v>
                </c:pt>
                <c:pt idx="62">
                  <c:v>1097</c:v>
                </c:pt>
                <c:pt idx="63">
                  <c:v>1113</c:v>
                </c:pt>
                <c:pt idx="64">
                  <c:v>1131</c:v>
                </c:pt>
                <c:pt idx="65">
                  <c:v>1142</c:v>
                </c:pt>
                <c:pt idx="66">
                  <c:v>1147</c:v>
                </c:pt>
                <c:pt idx="67">
                  <c:v>1159</c:v>
                </c:pt>
                <c:pt idx="68">
                  <c:v>1215</c:v>
                </c:pt>
                <c:pt idx="69">
                  <c:v>1305</c:v>
                </c:pt>
                <c:pt idx="70">
                  <c:v>1318</c:v>
                </c:pt>
                <c:pt idx="71">
                  <c:v>1322</c:v>
                </c:pt>
                <c:pt idx="72">
                  <c:v>1328</c:v>
                </c:pt>
                <c:pt idx="73">
                  <c:v>1331</c:v>
                </c:pt>
                <c:pt idx="74">
                  <c:v>1362</c:v>
                </c:pt>
                <c:pt idx="75">
                  <c:v>1384</c:v>
                </c:pt>
                <c:pt idx="76">
                  <c:v>1386</c:v>
                </c:pt>
                <c:pt idx="77">
                  <c:v>1395</c:v>
                </c:pt>
                <c:pt idx="78">
                  <c:v>1401</c:v>
                </c:pt>
                <c:pt idx="79">
                  <c:v>1423</c:v>
                </c:pt>
                <c:pt idx="80">
                  <c:v>1442</c:v>
                </c:pt>
                <c:pt idx="81">
                  <c:v>1448</c:v>
                </c:pt>
                <c:pt idx="82">
                  <c:v>1454</c:v>
                </c:pt>
                <c:pt idx="83">
                  <c:v>1479</c:v>
                </c:pt>
                <c:pt idx="84">
                  <c:v>1507</c:v>
                </c:pt>
                <c:pt idx="85">
                  <c:v>1509</c:v>
                </c:pt>
                <c:pt idx="86">
                  <c:v>1519</c:v>
                </c:pt>
                <c:pt idx="87">
                  <c:v>1520</c:v>
                </c:pt>
                <c:pt idx="88">
                  <c:v>1529</c:v>
                </c:pt>
                <c:pt idx="89">
                  <c:v>1535</c:v>
                </c:pt>
                <c:pt idx="90">
                  <c:v>1542</c:v>
                </c:pt>
                <c:pt idx="91">
                  <c:v>1549</c:v>
                </c:pt>
                <c:pt idx="92">
                  <c:v>1551</c:v>
                </c:pt>
                <c:pt idx="93">
                  <c:v>1552</c:v>
                </c:pt>
                <c:pt idx="94">
                  <c:v>1555</c:v>
                </c:pt>
                <c:pt idx="95">
                  <c:v>1560</c:v>
                </c:pt>
                <c:pt idx="96">
                  <c:v>1562</c:v>
                </c:pt>
                <c:pt idx="97">
                  <c:v>1563</c:v>
                </c:pt>
                <c:pt idx="98">
                  <c:v>1564</c:v>
                </c:pt>
                <c:pt idx="99">
                  <c:v>Moyenne</c:v>
                </c:pt>
              </c:strCache>
            </c:strRef>
          </c:cat>
          <c:val>
            <c:numRef>
              <c:f>'502'!$E$126:$E$225</c:f>
              <c:numCache>
                <c:formatCode>#,##0</c:formatCode>
                <c:ptCount val="100"/>
                <c:pt idx="0">
                  <c:v>270.77234226297446</c:v>
                </c:pt>
                <c:pt idx="1">
                  <c:v>506.24608786872926</c:v>
                </c:pt>
                <c:pt idx="2">
                  <c:v>1513.5772848012782</c:v>
                </c:pt>
                <c:pt idx="3">
                  <c:v>5.6521945129917261</c:v>
                </c:pt>
                <c:pt idx="4">
                  <c:v>528.35592289719625</c:v>
                </c:pt>
                <c:pt idx="5">
                  <c:v>1700.6436046511628</c:v>
                </c:pt>
                <c:pt idx="6">
                  <c:v>766.79562305295951</c:v>
                </c:pt>
                <c:pt idx="7">
                  <c:v>291.558095146379</c:v>
                </c:pt>
                <c:pt idx="8">
                  <c:v>860.52219827586202</c:v>
                </c:pt>
                <c:pt idx="9">
                  <c:v>441.94753813904737</c:v>
                </c:pt>
                <c:pt idx="10">
                  <c:v>727.81473404869041</c:v>
                </c:pt>
                <c:pt idx="11">
                  <c:v>2147.6871539657855</c:v>
                </c:pt>
                <c:pt idx="12">
                  <c:v>2079.8330434782606</c:v>
                </c:pt>
                <c:pt idx="13">
                  <c:v>809.38093068662545</c:v>
                </c:pt>
                <c:pt idx="14">
                  <c:v>341.57957408109138</c:v>
                </c:pt>
                <c:pt idx="15">
                  <c:v>363.47498014647488</c:v>
                </c:pt>
                <c:pt idx="16">
                  <c:v>297.11187569311335</c:v>
                </c:pt>
                <c:pt idx="17">
                  <c:v>874.62284567350582</c:v>
                </c:pt>
                <c:pt idx="18">
                  <c:v>349.8135218534195</c:v>
                </c:pt>
                <c:pt idx="19">
                  <c:v>332.13178150618518</c:v>
                </c:pt>
                <c:pt idx="20">
                  <c:v>-607.16458936705419</c:v>
                </c:pt>
                <c:pt idx="21">
                  <c:v>507.77502679618158</c:v>
                </c:pt>
                <c:pt idx="22">
                  <c:v>386.23193837473553</c:v>
                </c:pt>
                <c:pt idx="23">
                  <c:v>220.80150316132978</c:v>
                </c:pt>
                <c:pt idx="24">
                  <c:v>240.50620620177895</c:v>
                </c:pt>
                <c:pt idx="25">
                  <c:v>249.74800769790417</c:v>
                </c:pt>
                <c:pt idx="26">
                  <c:v>326.46757840692385</c:v>
                </c:pt>
                <c:pt idx="27">
                  <c:v>533.58312538287191</c:v>
                </c:pt>
                <c:pt idx="28">
                  <c:v>815.18599922239503</c:v>
                </c:pt>
                <c:pt idx="29">
                  <c:v>686.98426140231447</c:v>
                </c:pt>
                <c:pt idx="30">
                  <c:v>460.71120902946052</c:v>
                </c:pt>
                <c:pt idx="31">
                  <c:v>1089.8367667121418</c:v>
                </c:pt>
                <c:pt idx="32">
                  <c:v>1426.5898334126607</c:v>
                </c:pt>
                <c:pt idx="33">
                  <c:v>1890.2419798657718</c:v>
                </c:pt>
                <c:pt idx="34">
                  <c:v>249.71680182868602</c:v>
                </c:pt>
                <c:pt idx="35">
                  <c:v>1174.3166403162054</c:v>
                </c:pt>
                <c:pt idx="36">
                  <c:v>244.20953721894784</c:v>
                </c:pt>
                <c:pt idx="37">
                  <c:v>1937.1834010152284</c:v>
                </c:pt>
                <c:pt idx="38">
                  <c:v>540.65559210526317</c:v>
                </c:pt>
                <c:pt idx="39">
                  <c:v>747.80211199026178</c:v>
                </c:pt>
                <c:pt idx="40">
                  <c:v>2758.3109120521171</c:v>
                </c:pt>
                <c:pt idx="41">
                  <c:v>424.7137494798169</c:v>
                </c:pt>
                <c:pt idx="42">
                  <c:v>295.28426619656238</c:v>
                </c:pt>
                <c:pt idx="43">
                  <c:v>654.57745390693583</c:v>
                </c:pt>
                <c:pt idx="44">
                  <c:v>447.38542307628205</c:v>
                </c:pt>
                <c:pt idx="45">
                  <c:v>1830.5840600315955</c:v>
                </c:pt>
                <c:pt idx="46">
                  <c:v>888.64032258064515</c:v>
                </c:pt>
                <c:pt idx="47">
                  <c:v>1618.6317165637458</c:v>
                </c:pt>
                <c:pt idx="48">
                  <c:v>855.43587744171396</c:v>
                </c:pt>
                <c:pt idx="49">
                  <c:v>425.64731552400525</c:v>
                </c:pt>
                <c:pt idx="50">
                  <c:v>2741.6547867298582</c:v>
                </c:pt>
                <c:pt idx="51">
                  <c:v>128.37684828301579</c:v>
                </c:pt>
                <c:pt idx="52">
                  <c:v>329.6381875514121</c:v>
                </c:pt>
                <c:pt idx="53">
                  <c:v>3746.3406770833335</c:v>
                </c:pt>
                <c:pt idx="54">
                  <c:v>308.51938504498912</c:v>
                </c:pt>
                <c:pt idx="55">
                  <c:v>1287.2253099471409</c:v>
                </c:pt>
                <c:pt idx="56">
                  <c:v>5192.5240310077515</c:v>
                </c:pt>
                <c:pt idx="57">
                  <c:v>345.49729952295831</c:v>
                </c:pt>
                <c:pt idx="58">
                  <c:v>1408.0261514683154</c:v>
                </c:pt>
                <c:pt idx="59">
                  <c:v>704.87656067488649</c:v>
                </c:pt>
                <c:pt idx="60">
                  <c:v>782.30642080745338</c:v>
                </c:pt>
                <c:pt idx="61">
                  <c:v>923.01169595422971</c:v>
                </c:pt>
                <c:pt idx="62">
                  <c:v>1109.7511886537595</c:v>
                </c:pt>
                <c:pt idx="63">
                  <c:v>719.78117031709712</c:v>
                </c:pt>
                <c:pt idx="64">
                  <c:v>181.65934945054946</c:v>
                </c:pt>
                <c:pt idx="65">
                  <c:v>9325.626982200647</c:v>
                </c:pt>
                <c:pt idx="66">
                  <c:v>2435.6882352941175</c:v>
                </c:pt>
                <c:pt idx="67">
                  <c:v>216.45074470507856</c:v>
                </c:pt>
                <c:pt idx="68">
                  <c:v>572.52693628027271</c:v>
                </c:pt>
                <c:pt idx="69">
                  <c:v>716.10597009012588</c:v>
                </c:pt>
                <c:pt idx="70">
                  <c:v>980.0471314031181</c:v>
                </c:pt>
                <c:pt idx="71">
                  <c:v>0</c:v>
                </c:pt>
                <c:pt idx="72">
                  <c:v>945.81884485446983</c:v>
                </c:pt>
                <c:pt idx="73">
                  <c:v>2660.4155677655676</c:v>
                </c:pt>
                <c:pt idx="74">
                  <c:v>1433.6734817813765</c:v>
                </c:pt>
                <c:pt idx="75">
                  <c:v>323.74410586427928</c:v>
                </c:pt>
                <c:pt idx="76">
                  <c:v>18.782373200884603</c:v>
                </c:pt>
                <c:pt idx="77">
                  <c:v>335.71727014554494</c:v>
                </c:pt>
                <c:pt idx="78">
                  <c:v>191.45997973657549</c:v>
                </c:pt>
                <c:pt idx="79">
                  <c:v>3.1308547407753387</c:v>
                </c:pt>
                <c:pt idx="80">
                  <c:v>2559.293267973856</c:v>
                </c:pt>
                <c:pt idx="81">
                  <c:v>1187.7625367286973</c:v>
                </c:pt>
                <c:pt idx="82">
                  <c:v>509.87869651921687</c:v>
                </c:pt>
                <c:pt idx="83">
                  <c:v>459.70881307243189</c:v>
                </c:pt>
                <c:pt idx="84">
                  <c:v>622.1528825475599</c:v>
                </c:pt>
                <c:pt idx="85">
                  <c:v>297.64643031599962</c:v>
                </c:pt>
                <c:pt idx="86">
                  <c:v>328.35167442435863</c:v>
                </c:pt>
                <c:pt idx="87">
                  <c:v>604.14439119455426</c:v>
                </c:pt>
                <c:pt idx="88">
                  <c:v>123.65174209803368</c:v>
                </c:pt>
                <c:pt idx="89">
                  <c:v>623.81794075536902</c:v>
                </c:pt>
                <c:pt idx="90">
                  <c:v>136.23411238422477</c:v>
                </c:pt>
                <c:pt idx="91">
                  <c:v>358.82611130087497</c:v>
                </c:pt>
                <c:pt idx="92">
                  <c:v>159.5789898500353</c:v>
                </c:pt>
                <c:pt idx="93">
                  <c:v>529.61416441053416</c:v>
                </c:pt>
                <c:pt idx="94">
                  <c:v>489.70027361592145</c:v>
                </c:pt>
                <c:pt idx="95">
                  <c:v>412.79158497189701</c:v>
                </c:pt>
                <c:pt idx="96">
                  <c:v>95.903188059505169</c:v>
                </c:pt>
                <c:pt idx="97">
                  <c:v>693.43629345849877</c:v>
                </c:pt>
                <c:pt idx="98">
                  <c:v>657.42927798507469</c:v>
                </c:pt>
                <c:pt idx="99">
                  <c:v>287.99135331904307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69-B54C-B533-DE5904EBB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4362128"/>
        <c:axId val="1"/>
      </c:barChart>
      <c:catAx>
        <c:axId val="1844362128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850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 sz="850" b="0" i="1" u="none" strike="noStrike" baseline="0">
                    <a:solidFill>
                      <a:srgbClr val="000000"/>
                    </a:solidFill>
                    <a:latin typeface="Arial" pitchFamily="2" charset="0"/>
                    <a:cs typeface="Arial" pitchFamily="2" charset="0"/>
                  </a:rPr>
                  <a:t>Source: T 5.02      </a:t>
                </a:r>
                <a:r>
                  <a:rPr lang="de-DE" sz="850" b="0" i="0" u="none" strike="noStrike" baseline="0">
                    <a:solidFill>
                      <a:srgbClr val="000000"/>
                    </a:solidFill>
                    <a:latin typeface="Arial" pitchFamily="2" charset="0"/>
                    <a:cs typeface="Arial" pitchFamily="2" charset="0"/>
                  </a:rPr>
                  <a:t>                                </a:t>
                </a:r>
                <a:r>
                  <a:rPr lang="de-DE" sz="850" b="1" i="0" u="none" strike="noStrike" baseline="0">
                    <a:solidFill>
                      <a:srgbClr val="000000"/>
                    </a:solidFill>
                    <a:latin typeface="Arial" pitchFamily="2" charset="0"/>
                    <a:cs typeface="Arial" pitchFamily="2" charset="0"/>
                  </a:rPr>
                  <a:t>Assureurs LAMal</a:t>
                </a:r>
              </a:p>
            </c:rich>
          </c:tx>
          <c:layout>
            <c:manualLayout>
              <c:xMode val="edge"/>
              <c:yMode val="edge"/>
              <c:x val="0.10799483438770673"/>
              <c:y val="0.812196426248076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crossAx val="1"/>
        <c:crossesAt val="0"/>
        <c:auto val="1"/>
        <c:lblAlgn val="ctr"/>
        <c:lblOffset val="100"/>
        <c:noMultiLvlLbl val="0"/>
      </c:catAx>
      <c:valAx>
        <c:axId val="1"/>
        <c:scaling>
          <c:orientation val="minMax"/>
          <c:max val="11000"/>
          <c:min val="-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844362128"/>
        <c:crosses val="autoZero"/>
        <c:crossBetween val="between"/>
        <c:majorUnit val="10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8.6395867510165383E-3"/>
          <c:y val="0.88627297326744492"/>
          <c:w val="0.73004508046089744"/>
          <c:h val="4.762063736959405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'502'!$B$228</c:f>
          <c:strCache>
            <c:ptCount val="1"/>
            <c:pt idx="0">
              <c:v>G 5a Leistungen pro Versicherte Person 2001</c:v>
            </c:pt>
          </c:strCache>
        </c:strRef>
      </c:tx>
      <c:layout>
        <c:manualLayout>
          <c:xMode val="edge"/>
          <c:yMode val="edge"/>
          <c:x val="0.19676538221224074"/>
          <c:y val="3.144755339752435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1111456877867713"/>
          <c:y val="0.1918300757248986"/>
          <c:w val="0.85419324748608039"/>
          <c:h val="0.666688132027516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'502'!$C$125</c:f>
              <c:strCache>
                <c:ptCount val="1"/>
                <c:pt idx="0">
                  <c:v>Prestations par personne assurée en francs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99"/>
            <c:invertIfNegative val="0"/>
            <c:bubble3D val="0"/>
            <c:spPr>
              <a:solidFill>
                <a:srgbClr val="DD080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B5E5-C14E-A716-ECCB8743F3F0}"/>
              </c:ext>
            </c:extLst>
          </c:dPt>
          <c:dLbls>
            <c:dLbl>
              <c:idx val="99"/>
              <c:tx>
                <c:rich>
                  <a:bodyPr rot="-5400000" vert="horz"/>
                  <a:lstStyle/>
                  <a:p>
                    <a:pPr algn="ctr">
                      <a:defRPr sz="9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de-DE"/>
                      <a:t>Mittelwert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B5E5-C14E-A716-ECCB8743F3F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'502'!$B$126:$B$225</c:f>
              <c:strCache>
                <c:ptCount val="100"/>
                <c:pt idx="0">
                  <c:v>8</c:v>
                </c:pt>
                <c:pt idx="1">
                  <c:v>32</c:v>
                </c:pt>
                <c:pt idx="2">
                  <c:v>57</c:v>
                </c:pt>
                <c:pt idx="3">
                  <c:v>62</c:v>
                </c:pt>
                <c:pt idx="4">
                  <c:v>97</c:v>
                </c:pt>
                <c:pt idx="5">
                  <c:v>109</c:v>
                </c:pt>
                <c:pt idx="6">
                  <c:v>134</c:v>
                </c:pt>
                <c:pt idx="7">
                  <c:v>160</c:v>
                </c:pt>
                <c:pt idx="8">
                  <c:v>178</c:v>
                </c:pt>
                <c:pt idx="9">
                  <c:v>182</c:v>
                </c:pt>
                <c:pt idx="10">
                  <c:v>194</c:v>
                </c:pt>
                <c:pt idx="11">
                  <c:v>216</c:v>
                </c:pt>
                <c:pt idx="12">
                  <c:v>240</c:v>
                </c:pt>
                <c:pt idx="13">
                  <c:v>246</c:v>
                </c:pt>
                <c:pt idx="14">
                  <c:v>261</c:v>
                </c:pt>
                <c:pt idx="15">
                  <c:v>263</c:v>
                </c:pt>
                <c:pt idx="16">
                  <c:v>290</c:v>
                </c:pt>
                <c:pt idx="17">
                  <c:v>294</c:v>
                </c:pt>
                <c:pt idx="18">
                  <c:v>312</c:v>
                </c:pt>
                <c:pt idx="19">
                  <c:v>343</c:v>
                </c:pt>
                <c:pt idx="20">
                  <c:v>354</c:v>
                </c:pt>
                <c:pt idx="21">
                  <c:v>360</c:v>
                </c:pt>
                <c:pt idx="22">
                  <c:v>376</c:v>
                </c:pt>
                <c:pt idx="23">
                  <c:v>411</c:v>
                </c:pt>
                <c:pt idx="24">
                  <c:v>445</c:v>
                </c:pt>
                <c:pt idx="25">
                  <c:v>455</c:v>
                </c:pt>
                <c:pt idx="26">
                  <c:v>484</c:v>
                </c:pt>
                <c:pt idx="27">
                  <c:v>509</c:v>
                </c:pt>
                <c:pt idx="28">
                  <c:v>556</c:v>
                </c:pt>
                <c:pt idx="29">
                  <c:v>558</c:v>
                </c:pt>
                <c:pt idx="30">
                  <c:v>591</c:v>
                </c:pt>
                <c:pt idx="31">
                  <c:v>623</c:v>
                </c:pt>
                <c:pt idx="32">
                  <c:v>627</c:v>
                </c:pt>
                <c:pt idx="33">
                  <c:v>743</c:v>
                </c:pt>
                <c:pt idx="34">
                  <c:v>749</c:v>
                </c:pt>
                <c:pt idx="35">
                  <c:v>758</c:v>
                </c:pt>
                <c:pt idx="36">
                  <c:v>762</c:v>
                </c:pt>
                <c:pt idx="37">
                  <c:v>774</c:v>
                </c:pt>
                <c:pt idx="38">
                  <c:v>780</c:v>
                </c:pt>
                <c:pt idx="39">
                  <c:v>790</c:v>
                </c:pt>
                <c:pt idx="40">
                  <c:v>809</c:v>
                </c:pt>
                <c:pt idx="41">
                  <c:v>820</c:v>
                </c:pt>
                <c:pt idx="42">
                  <c:v>829</c:v>
                </c:pt>
                <c:pt idx="43">
                  <c:v>880</c:v>
                </c:pt>
                <c:pt idx="44">
                  <c:v>881</c:v>
                </c:pt>
                <c:pt idx="45">
                  <c:v>895</c:v>
                </c:pt>
                <c:pt idx="46">
                  <c:v>901</c:v>
                </c:pt>
                <c:pt idx="47">
                  <c:v>923</c:v>
                </c:pt>
                <c:pt idx="48">
                  <c:v>941</c:v>
                </c:pt>
                <c:pt idx="49">
                  <c:v>966</c:v>
                </c:pt>
                <c:pt idx="50">
                  <c:v>979</c:v>
                </c:pt>
                <c:pt idx="51">
                  <c:v>992</c:v>
                </c:pt>
                <c:pt idx="52">
                  <c:v>994</c:v>
                </c:pt>
                <c:pt idx="53">
                  <c:v>1003</c:v>
                </c:pt>
                <c:pt idx="54">
                  <c:v>1007</c:v>
                </c:pt>
                <c:pt idx="55">
                  <c:v>1040</c:v>
                </c:pt>
                <c:pt idx="56">
                  <c:v>1058</c:v>
                </c:pt>
                <c:pt idx="57">
                  <c:v>1060</c:v>
                </c:pt>
                <c:pt idx="58">
                  <c:v>1063</c:v>
                </c:pt>
                <c:pt idx="59">
                  <c:v>1065</c:v>
                </c:pt>
                <c:pt idx="60">
                  <c:v>1079</c:v>
                </c:pt>
                <c:pt idx="61">
                  <c:v>1093</c:v>
                </c:pt>
                <c:pt idx="62">
                  <c:v>1097</c:v>
                </c:pt>
                <c:pt idx="63">
                  <c:v>1113</c:v>
                </c:pt>
                <c:pt idx="64">
                  <c:v>1131</c:v>
                </c:pt>
                <c:pt idx="65">
                  <c:v>1142</c:v>
                </c:pt>
                <c:pt idx="66">
                  <c:v>1147</c:v>
                </c:pt>
                <c:pt idx="67">
                  <c:v>1159</c:v>
                </c:pt>
                <c:pt idx="68">
                  <c:v>1215</c:v>
                </c:pt>
                <c:pt idx="69">
                  <c:v>1305</c:v>
                </c:pt>
                <c:pt idx="70">
                  <c:v>1318</c:v>
                </c:pt>
                <c:pt idx="71">
                  <c:v>1322</c:v>
                </c:pt>
                <c:pt idx="72">
                  <c:v>1328</c:v>
                </c:pt>
                <c:pt idx="73">
                  <c:v>1331</c:v>
                </c:pt>
                <c:pt idx="74">
                  <c:v>1362</c:v>
                </c:pt>
                <c:pt idx="75">
                  <c:v>1384</c:v>
                </c:pt>
                <c:pt idx="76">
                  <c:v>1386</c:v>
                </c:pt>
                <c:pt idx="77">
                  <c:v>1395</c:v>
                </c:pt>
                <c:pt idx="78">
                  <c:v>1401</c:v>
                </c:pt>
                <c:pt idx="79">
                  <c:v>1423</c:v>
                </c:pt>
                <c:pt idx="80">
                  <c:v>1442</c:v>
                </c:pt>
                <c:pt idx="81">
                  <c:v>1448</c:v>
                </c:pt>
                <c:pt idx="82">
                  <c:v>1454</c:v>
                </c:pt>
                <c:pt idx="83">
                  <c:v>1479</c:v>
                </c:pt>
                <c:pt idx="84">
                  <c:v>1507</c:v>
                </c:pt>
                <c:pt idx="85">
                  <c:v>1509</c:v>
                </c:pt>
                <c:pt idx="86">
                  <c:v>1519</c:v>
                </c:pt>
                <c:pt idx="87">
                  <c:v>1520</c:v>
                </c:pt>
                <c:pt idx="88">
                  <c:v>1529</c:v>
                </c:pt>
                <c:pt idx="89">
                  <c:v>1535</c:v>
                </c:pt>
                <c:pt idx="90">
                  <c:v>1542</c:v>
                </c:pt>
                <c:pt idx="91">
                  <c:v>1549</c:v>
                </c:pt>
                <c:pt idx="92">
                  <c:v>1551</c:v>
                </c:pt>
                <c:pt idx="93">
                  <c:v>1552</c:v>
                </c:pt>
                <c:pt idx="94">
                  <c:v>1555</c:v>
                </c:pt>
                <c:pt idx="95">
                  <c:v>1560</c:v>
                </c:pt>
                <c:pt idx="96">
                  <c:v>1562</c:v>
                </c:pt>
                <c:pt idx="97">
                  <c:v>1563</c:v>
                </c:pt>
                <c:pt idx="98">
                  <c:v>1564</c:v>
                </c:pt>
                <c:pt idx="99">
                  <c:v>Moyenne</c:v>
                </c:pt>
              </c:strCache>
            </c:strRef>
          </c:cat>
          <c:val>
            <c:numRef>
              <c:f>'502'!$C$126:$C$225</c:f>
              <c:numCache>
                <c:formatCode>#,##0</c:formatCode>
                <c:ptCount val="100"/>
                <c:pt idx="0">
                  <c:v>1923.2261763568315</c:v>
                </c:pt>
                <c:pt idx="1">
                  <c:v>1872.0767316966242</c:v>
                </c:pt>
                <c:pt idx="2">
                  <c:v>2035.0512432594371</c:v>
                </c:pt>
                <c:pt idx="3">
                  <c:v>2545.4859220012581</c:v>
                </c:pt>
                <c:pt idx="4">
                  <c:v>1903.8576518691589</c:v>
                </c:pt>
                <c:pt idx="5">
                  <c:v>1735.3089147286819</c:v>
                </c:pt>
                <c:pt idx="6">
                  <c:v>1694.7843457943925</c:v>
                </c:pt>
                <c:pt idx="7">
                  <c:v>1643.4307107087827</c:v>
                </c:pt>
                <c:pt idx="8">
                  <c:v>1402.2848060344832</c:v>
                </c:pt>
                <c:pt idx="9">
                  <c:v>1880.4491510422733</c:v>
                </c:pt>
                <c:pt idx="10">
                  <c:v>1088.5343082958348</c:v>
                </c:pt>
                <c:pt idx="11">
                  <c:v>2037.6793623639189</c:v>
                </c:pt>
                <c:pt idx="12">
                  <c:v>1485.4610367892976</c:v>
                </c:pt>
                <c:pt idx="13">
                  <c:v>1185.6173771558738</c:v>
                </c:pt>
                <c:pt idx="14">
                  <c:v>1195.0984994316029</c:v>
                </c:pt>
                <c:pt idx="15">
                  <c:v>2215.3294849848526</c:v>
                </c:pt>
                <c:pt idx="16">
                  <c:v>1920.9573823713445</c:v>
                </c:pt>
                <c:pt idx="17">
                  <c:v>1145.1024754683322</c:v>
                </c:pt>
                <c:pt idx="18">
                  <c:v>1776.5501370461127</c:v>
                </c:pt>
                <c:pt idx="19">
                  <c:v>2122.5749412335085</c:v>
                </c:pt>
                <c:pt idx="20">
                  <c:v>1653.2998776259435</c:v>
                </c:pt>
                <c:pt idx="21">
                  <c:v>957.52938368782441</c:v>
                </c:pt>
                <c:pt idx="22">
                  <c:v>1658.1926488519712</c:v>
                </c:pt>
                <c:pt idx="23">
                  <c:v>1403.7160106057515</c:v>
                </c:pt>
                <c:pt idx="24">
                  <c:v>1504.4232044162698</c:v>
                </c:pt>
                <c:pt idx="25">
                  <c:v>1523.137734516182</c:v>
                </c:pt>
                <c:pt idx="26">
                  <c:v>1575.7277776147866</c:v>
                </c:pt>
                <c:pt idx="27">
                  <c:v>2634.0829673333747</c:v>
                </c:pt>
                <c:pt idx="28">
                  <c:v>1421.1207814930017</c:v>
                </c:pt>
                <c:pt idx="29">
                  <c:v>983.43362831858406</c:v>
                </c:pt>
                <c:pt idx="30">
                  <c:v>1232.7981188623901</c:v>
                </c:pt>
                <c:pt idx="31">
                  <c:v>949.74147339699869</c:v>
                </c:pt>
                <c:pt idx="32">
                  <c:v>1139.0628605425984</c:v>
                </c:pt>
                <c:pt idx="33">
                  <c:v>1653.4374161073827</c:v>
                </c:pt>
                <c:pt idx="34">
                  <c:v>2073.2781710752483</c:v>
                </c:pt>
                <c:pt idx="35">
                  <c:v>1238.4586956521739</c:v>
                </c:pt>
                <c:pt idx="36">
                  <c:v>1412.4894268250848</c:v>
                </c:pt>
                <c:pt idx="37">
                  <c:v>2276.2493824027074</c:v>
                </c:pt>
                <c:pt idx="38">
                  <c:v>1074.5882894736842</c:v>
                </c:pt>
                <c:pt idx="39">
                  <c:v>1377.6989348752284</c:v>
                </c:pt>
                <c:pt idx="40">
                  <c:v>1026.6561074918566</c:v>
                </c:pt>
                <c:pt idx="41">
                  <c:v>1437.4535996670829</c:v>
                </c:pt>
                <c:pt idx="42">
                  <c:v>1446.0077963860731</c:v>
                </c:pt>
                <c:pt idx="43">
                  <c:v>1334.7878402107112</c:v>
                </c:pt>
                <c:pt idx="44">
                  <c:v>1397.9669276345392</c:v>
                </c:pt>
                <c:pt idx="45">
                  <c:v>1023.1180884676147</c:v>
                </c:pt>
                <c:pt idx="46">
                  <c:v>1186.0802580645161</c:v>
                </c:pt>
                <c:pt idx="47">
                  <c:v>1866.9416751348394</c:v>
                </c:pt>
                <c:pt idx="48">
                  <c:v>1162.6157797731571</c:v>
                </c:pt>
                <c:pt idx="49">
                  <c:v>1300.4528096394545</c:v>
                </c:pt>
                <c:pt idx="50">
                  <c:v>1305.2479857819906</c:v>
                </c:pt>
                <c:pt idx="51">
                  <c:v>1055.662342632527</c:v>
                </c:pt>
                <c:pt idx="52">
                  <c:v>1459.6625952837949</c:v>
                </c:pt>
                <c:pt idx="53">
                  <c:v>1454.3997395833333</c:v>
                </c:pt>
                <c:pt idx="54">
                  <c:v>1139.6242891715794</c:v>
                </c:pt>
                <c:pt idx="55">
                  <c:v>886.05881787602118</c:v>
                </c:pt>
                <c:pt idx="56">
                  <c:v>1599.539534883721</c:v>
                </c:pt>
                <c:pt idx="57">
                  <c:v>2368.382265145271</c:v>
                </c:pt>
                <c:pt idx="58">
                  <c:v>1063.6944358578053</c:v>
                </c:pt>
                <c:pt idx="59">
                  <c:v>2532.0765412070086</c:v>
                </c:pt>
                <c:pt idx="60">
                  <c:v>1011.9967106625259</c:v>
                </c:pt>
                <c:pt idx="61">
                  <c:v>1085.7464446260731</c:v>
                </c:pt>
                <c:pt idx="62">
                  <c:v>1630.3745610085546</c:v>
                </c:pt>
                <c:pt idx="63">
                  <c:v>1424.866247139588</c:v>
                </c:pt>
                <c:pt idx="64">
                  <c:v>1531.9881318681319</c:v>
                </c:pt>
                <c:pt idx="65">
                  <c:v>3360.0721278317155</c:v>
                </c:pt>
                <c:pt idx="66">
                  <c:v>1823.957928388747</c:v>
                </c:pt>
                <c:pt idx="67">
                  <c:v>1041.029283762241</c:v>
                </c:pt>
                <c:pt idx="68">
                  <c:v>1264.3091652950857</c:v>
                </c:pt>
                <c:pt idx="69">
                  <c:v>2141.9290680400118</c:v>
                </c:pt>
                <c:pt idx="70">
                  <c:v>1421.0518440979959</c:v>
                </c:pt>
                <c:pt idx="71">
                  <c:v>885.81163682864462</c:v>
                </c:pt>
                <c:pt idx="72">
                  <c:v>1581.5023310810814</c:v>
                </c:pt>
                <c:pt idx="73">
                  <c:v>1641.7283882783881</c:v>
                </c:pt>
                <c:pt idx="74">
                  <c:v>1086.4683198380567</c:v>
                </c:pt>
                <c:pt idx="75">
                  <c:v>1876.7263565185146</c:v>
                </c:pt>
                <c:pt idx="76">
                  <c:v>1790.6360022477613</c:v>
                </c:pt>
                <c:pt idx="77">
                  <c:v>1385.2274361022367</c:v>
                </c:pt>
                <c:pt idx="78">
                  <c:v>1122.8089300911854</c:v>
                </c:pt>
                <c:pt idx="79">
                  <c:v>1158.0113031293788</c:v>
                </c:pt>
                <c:pt idx="80">
                  <c:v>1697.074509803921</c:v>
                </c:pt>
                <c:pt idx="81">
                  <c:v>1155.2668952007834</c:v>
                </c:pt>
                <c:pt idx="82">
                  <c:v>1171.5877810007253</c:v>
                </c:pt>
                <c:pt idx="83">
                  <c:v>1818.1645346863397</c:v>
                </c:pt>
                <c:pt idx="84">
                  <c:v>1397.1989247311831</c:v>
                </c:pt>
                <c:pt idx="85">
                  <c:v>1294.898347032447</c:v>
                </c:pt>
                <c:pt idx="86">
                  <c:v>1475.0031716331362</c:v>
                </c:pt>
                <c:pt idx="87">
                  <c:v>1862.1987143170843</c:v>
                </c:pt>
                <c:pt idx="88">
                  <c:v>1587.9137963215483</c:v>
                </c:pt>
                <c:pt idx="89">
                  <c:v>2225.5073235003701</c:v>
                </c:pt>
                <c:pt idx="90">
                  <c:v>947.83693335088287</c:v>
                </c:pt>
                <c:pt idx="91">
                  <c:v>1746.9697122888149</c:v>
                </c:pt>
                <c:pt idx="92">
                  <c:v>1482.6647980392429</c:v>
                </c:pt>
                <c:pt idx="93">
                  <c:v>1150.5500615308883</c:v>
                </c:pt>
                <c:pt idx="94">
                  <c:v>2740.0994704386676</c:v>
                </c:pt>
                <c:pt idx="95">
                  <c:v>710.37421395626768</c:v>
                </c:pt>
                <c:pt idx="96">
                  <c:v>2319.336159290629</c:v>
                </c:pt>
                <c:pt idx="97">
                  <c:v>1478.6215084783496</c:v>
                </c:pt>
                <c:pt idx="98">
                  <c:v>1393.8387873134327</c:v>
                </c:pt>
                <c:pt idx="99">
                  <c:v>1915.6520340540053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E5-C14E-A716-ECCB8743F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4237600"/>
        <c:axId val="1"/>
      </c:barChart>
      <c:catAx>
        <c:axId val="18442376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900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 sz="900" b="0" i="1" u="none" strike="noStrike" baseline="0">
                    <a:solidFill>
                      <a:srgbClr val="000000"/>
                    </a:solidFill>
                    <a:latin typeface="Arial" pitchFamily="2" charset="0"/>
                    <a:cs typeface="Arial" pitchFamily="2" charset="0"/>
                  </a:rPr>
                  <a:t>Quelle: T 5.02                               </a:t>
                </a:r>
                <a:r>
                  <a:rPr lang="de-DE" sz="900" b="1" i="1" u="none" strike="noStrike" baseline="0">
                    <a:solidFill>
                      <a:srgbClr val="000000"/>
                    </a:solidFill>
                    <a:latin typeface="Arial" pitchFamily="2" charset="0"/>
                    <a:cs typeface="Arial" pitchFamily="2" charset="0"/>
                  </a:rPr>
                  <a:t> KVG - Versicherer</a:t>
                </a:r>
              </a:p>
            </c:rich>
          </c:tx>
          <c:layout>
            <c:manualLayout>
              <c:xMode val="edge"/>
              <c:yMode val="edge"/>
              <c:x val="0.1412080978229022"/>
              <c:y val="0.886821005810186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3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84423760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'502'!$G$228</c:f>
          <c:strCache>
            <c:ptCount val="1"/>
            <c:pt idx="0">
              <c:v>G 5b Rückstellungen und Reserven pro Versicherte Person 2001</c:v>
            </c:pt>
          </c:strCache>
        </c:strRef>
      </c:tx>
      <c:layout>
        <c:manualLayout>
          <c:xMode val="edge"/>
          <c:yMode val="edge"/>
          <c:x val="0.17263692504869149"/>
          <c:y val="3.134899405394690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073717460668691"/>
          <c:y val="0.25706175124236463"/>
          <c:w val="0.7705501776563547"/>
          <c:h val="0.4827745084307823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'502'!$D$124</c:f>
              <c:strCache>
                <c:ptCount val="1"/>
                <c:pt idx="0">
                  <c:v>Rückstellungen pro Versicherte Person in Fr.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99"/>
            <c:invertIfNegative val="0"/>
            <c:bubble3D val="0"/>
            <c:spPr>
              <a:solidFill>
                <a:srgbClr val="F20884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AECE-4D4D-94E9-6BD695788D01}"/>
              </c:ext>
            </c:extLst>
          </c:dPt>
          <c:dLbls>
            <c:dLbl>
              <c:idx val="99"/>
              <c:layout>
                <c:manualLayout>
                  <c:x val="-2.3656004489868154E-3"/>
                  <c:y val="-6.5933600717863139E-2"/>
                </c:manualLayout>
              </c:layout>
              <c:tx>
                <c:rich>
                  <a:bodyPr rot="-5400000" vert="horz"/>
                  <a:lstStyle/>
                  <a:p>
                    <a:pPr algn="ctr"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de-DE"/>
                      <a:t>Mittelwert</a:t>
                    </a:r>
                  </a:p>
                </c:rich>
              </c:tx>
              <c:spPr>
                <a:solidFill>
                  <a:srgbClr val="FFFFFF"/>
                </a:solidFill>
                <a:ln w="25400">
                  <a:noFill/>
                </a:ln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ECE-4D4D-94E9-6BD695788D0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'502'!$B$126:$B$225</c:f>
              <c:strCache>
                <c:ptCount val="100"/>
                <c:pt idx="0">
                  <c:v>8</c:v>
                </c:pt>
                <c:pt idx="1">
                  <c:v>32</c:v>
                </c:pt>
                <c:pt idx="2">
                  <c:v>57</c:v>
                </c:pt>
                <c:pt idx="3">
                  <c:v>62</c:v>
                </c:pt>
                <c:pt idx="4">
                  <c:v>97</c:v>
                </c:pt>
                <c:pt idx="5">
                  <c:v>109</c:v>
                </c:pt>
                <c:pt idx="6">
                  <c:v>134</c:v>
                </c:pt>
                <c:pt idx="7">
                  <c:v>160</c:v>
                </c:pt>
                <c:pt idx="8">
                  <c:v>178</c:v>
                </c:pt>
                <c:pt idx="9">
                  <c:v>182</c:v>
                </c:pt>
                <c:pt idx="10">
                  <c:v>194</c:v>
                </c:pt>
                <c:pt idx="11">
                  <c:v>216</c:v>
                </c:pt>
                <c:pt idx="12">
                  <c:v>240</c:v>
                </c:pt>
                <c:pt idx="13">
                  <c:v>246</c:v>
                </c:pt>
                <c:pt idx="14">
                  <c:v>261</c:v>
                </c:pt>
                <c:pt idx="15">
                  <c:v>263</c:v>
                </c:pt>
                <c:pt idx="16">
                  <c:v>290</c:v>
                </c:pt>
                <c:pt idx="17">
                  <c:v>294</c:v>
                </c:pt>
                <c:pt idx="18">
                  <c:v>312</c:v>
                </c:pt>
                <c:pt idx="19">
                  <c:v>343</c:v>
                </c:pt>
                <c:pt idx="20">
                  <c:v>354</c:v>
                </c:pt>
                <c:pt idx="21">
                  <c:v>360</c:v>
                </c:pt>
                <c:pt idx="22">
                  <c:v>376</c:v>
                </c:pt>
                <c:pt idx="23">
                  <c:v>411</c:v>
                </c:pt>
                <c:pt idx="24">
                  <c:v>445</c:v>
                </c:pt>
                <c:pt idx="25">
                  <c:v>455</c:v>
                </c:pt>
                <c:pt idx="26">
                  <c:v>484</c:v>
                </c:pt>
                <c:pt idx="27">
                  <c:v>509</c:v>
                </c:pt>
                <c:pt idx="28">
                  <c:v>556</c:v>
                </c:pt>
                <c:pt idx="29">
                  <c:v>558</c:v>
                </c:pt>
                <c:pt idx="30">
                  <c:v>591</c:v>
                </c:pt>
                <c:pt idx="31">
                  <c:v>623</c:v>
                </c:pt>
                <c:pt idx="32">
                  <c:v>627</c:v>
                </c:pt>
                <c:pt idx="33">
                  <c:v>743</c:v>
                </c:pt>
                <c:pt idx="34">
                  <c:v>749</c:v>
                </c:pt>
                <c:pt idx="35">
                  <c:v>758</c:v>
                </c:pt>
                <c:pt idx="36">
                  <c:v>762</c:v>
                </c:pt>
                <c:pt idx="37">
                  <c:v>774</c:v>
                </c:pt>
                <c:pt idx="38">
                  <c:v>780</c:v>
                </c:pt>
                <c:pt idx="39">
                  <c:v>790</c:v>
                </c:pt>
                <c:pt idx="40">
                  <c:v>809</c:v>
                </c:pt>
                <c:pt idx="41">
                  <c:v>820</c:v>
                </c:pt>
                <c:pt idx="42">
                  <c:v>829</c:v>
                </c:pt>
                <c:pt idx="43">
                  <c:v>880</c:v>
                </c:pt>
                <c:pt idx="44">
                  <c:v>881</c:v>
                </c:pt>
                <c:pt idx="45">
                  <c:v>895</c:v>
                </c:pt>
                <c:pt idx="46">
                  <c:v>901</c:v>
                </c:pt>
                <c:pt idx="47">
                  <c:v>923</c:v>
                </c:pt>
                <c:pt idx="48">
                  <c:v>941</c:v>
                </c:pt>
                <c:pt idx="49">
                  <c:v>966</c:v>
                </c:pt>
                <c:pt idx="50">
                  <c:v>979</c:v>
                </c:pt>
                <c:pt idx="51">
                  <c:v>992</c:v>
                </c:pt>
                <c:pt idx="52">
                  <c:v>994</c:v>
                </c:pt>
                <c:pt idx="53">
                  <c:v>1003</c:v>
                </c:pt>
                <c:pt idx="54">
                  <c:v>1007</c:v>
                </c:pt>
                <c:pt idx="55">
                  <c:v>1040</c:v>
                </c:pt>
                <c:pt idx="56">
                  <c:v>1058</c:v>
                </c:pt>
                <c:pt idx="57">
                  <c:v>1060</c:v>
                </c:pt>
                <c:pt idx="58">
                  <c:v>1063</c:v>
                </c:pt>
                <c:pt idx="59">
                  <c:v>1065</c:v>
                </c:pt>
                <c:pt idx="60">
                  <c:v>1079</c:v>
                </c:pt>
                <c:pt idx="61">
                  <c:v>1093</c:v>
                </c:pt>
                <c:pt idx="62">
                  <c:v>1097</c:v>
                </c:pt>
                <c:pt idx="63">
                  <c:v>1113</c:v>
                </c:pt>
                <c:pt idx="64">
                  <c:v>1131</c:v>
                </c:pt>
                <c:pt idx="65">
                  <c:v>1142</c:v>
                </c:pt>
                <c:pt idx="66">
                  <c:v>1147</c:v>
                </c:pt>
                <c:pt idx="67">
                  <c:v>1159</c:v>
                </c:pt>
                <c:pt idx="68">
                  <c:v>1215</c:v>
                </c:pt>
                <c:pt idx="69">
                  <c:v>1305</c:v>
                </c:pt>
                <c:pt idx="70">
                  <c:v>1318</c:v>
                </c:pt>
                <c:pt idx="71">
                  <c:v>1322</c:v>
                </c:pt>
                <c:pt idx="72">
                  <c:v>1328</c:v>
                </c:pt>
                <c:pt idx="73">
                  <c:v>1331</c:v>
                </c:pt>
                <c:pt idx="74">
                  <c:v>1362</c:v>
                </c:pt>
                <c:pt idx="75">
                  <c:v>1384</c:v>
                </c:pt>
                <c:pt idx="76">
                  <c:v>1386</c:v>
                </c:pt>
                <c:pt idx="77">
                  <c:v>1395</c:v>
                </c:pt>
                <c:pt idx="78">
                  <c:v>1401</c:v>
                </c:pt>
                <c:pt idx="79">
                  <c:v>1423</c:v>
                </c:pt>
                <c:pt idx="80">
                  <c:v>1442</c:v>
                </c:pt>
                <c:pt idx="81">
                  <c:v>1448</c:v>
                </c:pt>
                <c:pt idx="82">
                  <c:v>1454</c:v>
                </c:pt>
                <c:pt idx="83">
                  <c:v>1479</c:v>
                </c:pt>
                <c:pt idx="84">
                  <c:v>1507</c:v>
                </c:pt>
                <c:pt idx="85">
                  <c:v>1509</c:v>
                </c:pt>
                <c:pt idx="86">
                  <c:v>1519</c:v>
                </c:pt>
                <c:pt idx="87">
                  <c:v>1520</c:v>
                </c:pt>
                <c:pt idx="88">
                  <c:v>1529</c:v>
                </c:pt>
                <c:pt idx="89">
                  <c:v>1535</c:v>
                </c:pt>
                <c:pt idx="90">
                  <c:v>1542</c:v>
                </c:pt>
                <c:pt idx="91">
                  <c:v>1549</c:v>
                </c:pt>
                <c:pt idx="92">
                  <c:v>1551</c:v>
                </c:pt>
                <c:pt idx="93">
                  <c:v>1552</c:v>
                </c:pt>
                <c:pt idx="94">
                  <c:v>1555</c:v>
                </c:pt>
                <c:pt idx="95">
                  <c:v>1560</c:v>
                </c:pt>
                <c:pt idx="96">
                  <c:v>1562</c:v>
                </c:pt>
                <c:pt idx="97">
                  <c:v>1563</c:v>
                </c:pt>
                <c:pt idx="98">
                  <c:v>1564</c:v>
                </c:pt>
                <c:pt idx="99">
                  <c:v>Moyenne</c:v>
                </c:pt>
              </c:strCache>
            </c:strRef>
          </c:cat>
          <c:val>
            <c:numRef>
              <c:f>'502'!$D$126:$D$225</c:f>
              <c:numCache>
                <c:formatCode>#,##0</c:formatCode>
                <c:ptCount val="100"/>
                <c:pt idx="0">
                  <c:v>499.0936225406698</c:v>
                </c:pt>
                <c:pt idx="1">
                  <c:v>513.55921588275817</c:v>
                </c:pt>
                <c:pt idx="2">
                  <c:v>1056.6956261234272</c:v>
                </c:pt>
                <c:pt idx="3">
                  <c:v>883.61540160642573</c:v>
                </c:pt>
                <c:pt idx="4">
                  <c:v>292.05607476635515</c:v>
                </c:pt>
                <c:pt idx="5">
                  <c:v>387.59689922480618</c:v>
                </c:pt>
                <c:pt idx="6">
                  <c:v>545.17133956386294</c:v>
                </c:pt>
                <c:pt idx="7">
                  <c:v>471.87981510015408</c:v>
                </c:pt>
                <c:pt idx="8">
                  <c:v>431.0344827586207</c:v>
                </c:pt>
                <c:pt idx="9">
                  <c:v>531.81165327432939</c:v>
                </c:pt>
                <c:pt idx="10">
                  <c:v>288.45044421368408</c:v>
                </c:pt>
                <c:pt idx="11">
                  <c:v>824.2612752721617</c:v>
                </c:pt>
                <c:pt idx="12">
                  <c:v>351.17056856187293</c:v>
                </c:pt>
                <c:pt idx="13">
                  <c:v>390.49788480312401</c:v>
                </c:pt>
                <c:pt idx="14">
                  <c:v>344.82758620689657</c:v>
                </c:pt>
                <c:pt idx="15">
                  <c:v>570.60501779464107</c:v>
                </c:pt>
                <c:pt idx="16">
                  <c:v>545.97153299084141</c:v>
                </c:pt>
                <c:pt idx="17">
                  <c:v>379.12578055307762</c:v>
                </c:pt>
                <c:pt idx="18">
                  <c:v>586.77656493651148</c:v>
                </c:pt>
                <c:pt idx="19">
                  <c:v>559.75083007669025</c:v>
                </c:pt>
                <c:pt idx="20">
                  <c:v>496.29478550547282</c:v>
                </c:pt>
                <c:pt idx="21">
                  <c:v>272.24041617819461</c:v>
                </c:pt>
                <c:pt idx="22">
                  <c:v>546.08015045842808</c:v>
                </c:pt>
                <c:pt idx="23">
                  <c:v>468.0967687421695</c:v>
                </c:pt>
                <c:pt idx="24">
                  <c:v>430.81560109423884</c:v>
                </c:pt>
                <c:pt idx="25">
                  <c:v>393.35184585416226</c:v>
                </c:pt>
                <c:pt idx="26">
                  <c:v>586.7683731846854</c:v>
                </c:pt>
                <c:pt idx="27">
                  <c:v>816.8111369762313</c:v>
                </c:pt>
                <c:pt idx="28">
                  <c:v>342.14618973561431</c:v>
                </c:pt>
                <c:pt idx="29">
                  <c:v>313.13818924438391</c:v>
                </c:pt>
                <c:pt idx="30">
                  <c:v>438.71955107766865</c:v>
                </c:pt>
                <c:pt idx="31">
                  <c:v>472.03274215552523</c:v>
                </c:pt>
                <c:pt idx="32">
                  <c:v>404.56925273679201</c:v>
                </c:pt>
                <c:pt idx="33">
                  <c:v>677.85234899328862</c:v>
                </c:pt>
                <c:pt idx="34">
                  <c:v>555.05156608097786</c:v>
                </c:pt>
                <c:pt idx="35">
                  <c:v>395.25691699604744</c:v>
                </c:pt>
                <c:pt idx="36">
                  <c:v>358.62413072629181</c:v>
                </c:pt>
                <c:pt idx="37">
                  <c:v>617.59729272419622</c:v>
                </c:pt>
                <c:pt idx="38">
                  <c:v>241.2280701754386</c:v>
                </c:pt>
                <c:pt idx="39">
                  <c:v>401.70419963481436</c:v>
                </c:pt>
                <c:pt idx="40">
                  <c:v>390.87947882736154</c:v>
                </c:pt>
                <c:pt idx="41">
                  <c:v>174.78152309612983</c:v>
                </c:pt>
                <c:pt idx="42">
                  <c:v>395.76906126046714</c:v>
                </c:pt>
                <c:pt idx="43">
                  <c:v>442.05443371378402</c:v>
                </c:pt>
                <c:pt idx="44">
                  <c:v>417.99184988583522</c:v>
                </c:pt>
                <c:pt idx="45">
                  <c:v>631.91153238546599</c:v>
                </c:pt>
                <c:pt idx="46">
                  <c:v>344.08602150537632</c:v>
                </c:pt>
                <c:pt idx="47">
                  <c:v>609.70843430000787</c:v>
                </c:pt>
                <c:pt idx="48">
                  <c:v>422.16209829867677</c:v>
                </c:pt>
                <c:pt idx="49">
                  <c:v>259.48066504763682</c:v>
                </c:pt>
                <c:pt idx="50">
                  <c:v>717.52007109004728</c:v>
                </c:pt>
                <c:pt idx="51">
                  <c:v>411.63946061036194</c:v>
                </c:pt>
                <c:pt idx="52">
                  <c:v>454.07183986838498</c:v>
                </c:pt>
                <c:pt idx="53">
                  <c:v>1078.125</c:v>
                </c:pt>
                <c:pt idx="54">
                  <c:v>310.89047471300029</c:v>
                </c:pt>
                <c:pt idx="55">
                  <c:v>377.15766458433444</c:v>
                </c:pt>
                <c:pt idx="56">
                  <c:v>465.11627906976742</c:v>
                </c:pt>
                <c:pt idx="57">
                  <c:v>617.32121640281298</c:v>
                </c:pt>
                <c:pt idx="58">
                  <c:v>418.08346213292117</c:v>
                </c:pt>
                <c:pt idx="59">
                  <c:v>635.95068137573003</c:v>
                </c:pt>
                <c:pt idx="60">
                  <c:v>357.14285714285717</c:v>
                </c:pt>
                <c:pt idx="61">
                  <c:v>408.66366979975481</c:v>
                </c:pt>
                <c:pt idx="62">
                  <c:v>445.74515983791088</c:v>
                </c:pt>
                <c:pt idx="63">
                  <c:v>202.68061457992809</c:v>
                </c:pt>
                <c:pt idx="64">
                  <c:v>364.83516483516485</c:v>
                </c:pt>
                <c:pt idx="65">
                  <c:v>1351.1326860841425</c:v>
                </c:pt>
                <c:pt idx="66">
                  <c:v>1445.0127877237851</c:v>
                </c:pt>
                <c:pt idx="67">
                  <c:v>212.93554998861308</c:v>
                </c:pt>
                <c:pt idx="68">
                  <c:v>330.35504349870678</c:v>
                </c:pt>
                <c:pt idx="69">
                  <c:v>559.96464296325644</c:v>
                </c:pt>
                <c:pt idx="70">
                  <c:v>503.34075723830733</c:v>
                </c:pt>
                <c:pt idx="71">
                  <c:v>120.88549190110828</c:v>
                </c:pt>
                <c:pt idx="72">
                  <c:v>587.65566528066529</c:v>
                </c:pt>
                <c:pt idx="73">
                  <c:v>448.71794871794873</c:v>
                </c:pt>
                <c:pt idx="74">
                  <c:v>366.39676113360326</c:v>
                </c:pt>
                <c:pt idx="75">
                  <c:v>477.40211448853103</c:v>
                </c:pt>
                <c:pt idx="76">
                  <c:v>502.84595584236666</c:v>
                </c:pt>
                <c:pt idx="77">
                  <c:v>344.28740681576147</c:v>
                </c:pt>
                <c:pt idx="78">
                  <c:v>270.17899358324888</c:v>
                </c:pt>
                <c:pt idx="79">
                  <c:v>326.9500233535731</c:v>
                </c:pt>
                <c:pt idx="80">
                  <c:v>620.9150326797386</c:v>
                </c:pt>
                <c:pt idx="81">
                  <c:v>587.65915768854063</c:v>
                </c:pt>
                <c:pt idx="82">
                  <c:v>353.51704133430025</c:v>
                </c:pt>
                <c:pt idx="83">
                  <c:v>517.17062433546607</c:v>
                </c:pt>
                <c:pt idx="84">
                  <c:v>223.53184449958644</c:v>
                </c:pt>
                <c:pt idx="85">
                  <c:v>395.97621622166605</c:v>
                </c:pt>
                <c:pt idx="86">
                  <c:v>417.52362101226282</c:v>
                </c:pt>
                <c:pt idx="87">
                  <c:v>603.86473429951695</c:v>
                </c:pt>
                <c:pt idx="88">
                  <c:v>439.79451634937038</c:v>
                </c:pt>
                <c:pt idx="89">
                  <c:v>511.10836830412245</c:v>
                </c:pt>
                <c:pt idx="90">
                  <c:v>341.87027633648069</c:v>
                </c:pt>
                <c:pt idx="91">
                  <c:v>514.98988412727613</c:v>
                </c:pt>
                <c:pt idx="92">
                  <c:v>429.26180816151322</c:v>
                </c:pt>
                <c:pt idx="93">
                  <c:v>311.34629584051191</c:v>
                </c:pt>
                <c:pt idx="94">
                  <c:v>916.10232467510139</c:v>
                </c:pt>
                <c:pt idx="95">
                  <c:v>267.46031594868634</c:v>
                </c:pt>
                <c:pt idx="96">
                  <c:v>601.00709791209408</c:v>
                </c:pt>
                <c:pt idx="97">
                  <c:v>414.01061185113724</c:v>
                </c:pt>
                <c:pt idx="98">
                  <c:v>391.79104477611941</c:v>
                </c:pt>
                <c:pt idx="99">
                  <c:v>547.36768550824866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CE-4D4D-94E9-6BD695788D01}"/>
            </c:ext>
          </c:extLst>
        </c:ser>
        <c:ser>
          <c:idx val="1"/>
          <c:order val="1"/>
          <c:tx>
            <c:strRef>
              <c:f>'502'!$E$124</c:f>
              <c:strCache>
                <c:ptCount val="1"/>
                <c:pt idx="0">
                  <c:v>Reserven pro Versicherte Person in Fr.</c:v>
                </c:pt>
              </c:strCache>
            </c:strRef>
          </c:tx>
          <c:spPr>
            <a:solidFill>
              <a:srgbClr val="FFFF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99"/>
            <c:invertIfNegative val="0"/>
            <c:bubble3D val="0"/>
            <c:spPr>
              <a:solidFill>
                <a:srgbClr val="DD080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ECE-4D4D-94E9-6BD695788D01}"/>
              </c:ext>
            </c:extLst>
          </c:dPt>
          <c:dLbls>
            <c:dLbl>
              <c:idx val="20"/>
              <c:layout>
                <c:manualLayout>
                  <c:x val="2.0426356164637838E-3"/>
                  <c:y val="-2.5988974661394049E-2"/>
                </c:manualLayout>
              </c:layout>
              <c:tx>
                <c:rich>
                  <a:bodyPr/>
                  <a:lstStyle/>
                  <a:p>
                    <a:pPr>
                      <a:defRPr sz="1050" b="1" i="0" u="none" strike="noStrike" baseline="0">
                        <a:solidFill>
                          <a:srgbClr val="DD0806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de-DE"/>
                      <a:t>*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ECE-4D4D-94E9-6BD695788D0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'502'!$B$126:$B$225</c:f>
              <c:strCache>
                <c:ptCount val="100"/>
                <c:pt idx="0">
                  <c:v>8</c:v>
                </c:pt>
                <c:pt idx="1">
                  <c:v>32</c:v>
                </c:pt>
                <c:pt idx="2">
                  <c:v>57</c:v>
                </c:pt>
                <c:pt idx="3">
                  <c:v>62</c:v>
                </c:pt>
                <c:pt idx="4">
                  <c:v>97</c:v>
                </c:pt>
                <c:pt idx="5">
                  <c:v>109</c:v>
                </c:pt>
                <c:pt idx="6">
                  <c:v>134</c:v>
                </c:pt>
                <c:pt idx="7">
                  <c:v>160</c:v>
                </c:pt>
                <c:pt idx="8">
                  <c:v>178</c:v>
                </c:pt>
                <c:pt idx="9">
                  <c:v>182</c:v>
                </c:pt>
                <c:pt idx="10">
                  <c:v>194</c:v>
                </c:pt>
                <c:pt idx="11">
                  <c:v>216</c:v>
                </c:pt>
                <c:pt idx="12">
                  <c:v>240</c:v>
                </c:pt>
                <c:pt idx="13">
                  <c:v>246</c:v>
                </c:pt>
                <c:pt idx="14">
                  <c:v>261</c:v>
                </c:pt>
                <c:pt idx="15">
                  <c:v>263</c:v>
                </c:pt>
                <c:pt idx="16">
                  <c:v>290</c:v>
                </c:pt>
                <c:pt idx="17">
                  <c:v>294</c:v>
                </c:pt>
                <c:pt idx="18">
                  <c:v>312</c:v>
                </c:pt>
                <c:pt idx="19">
                  <c:v>343</c:v>
                </c:pt>
                <c:pt idx="20">
                  <c:v>354</c:v>
                </c:pt>
                <c:pt idx="21">
                  <c:v>360</c:v>
                </c:pt>
                <c:pt idx="22">
                  <c:v>376</c:v>
                </c:pt>
                <c:pt idx="23">
                  <c:v>411</c:v>
                </c:pt>
                <c:pt idx="24">
                  <c:v>445</c:v>
                </c:pt>
                <c:pt idx="25">
                  <c:v>455</c:v>
                </c:pt>
                <c:pt idx="26">
                  <c:v>484</c:v>
                </c:pt>
                <c:pt idx="27">
                  <c:v>509</c:v>
                </c:pt>
                <c:pt idx="28">
                  <c:v>556</c:v>
                </c:pt>
                <c:pt idx="29">
                  <c:v>558</c:v>
                </c:pt>
                <c:pt idx="30">
                  <c:v>591</c:v>
                </c:pt>
                <c:pt idx="31">
                  <c:v>623</c:v>
                </c:pt>
                <c:pt idx="32">
                  <c:v>627</c:v>
                </c:pt>
                <c:pt idx="33">
                  <c:v>743</c:v>
                </c:pt>
                <c:pt idx="34">
                  <c:v>749</c:v>
                </c:pt>
                <c:pt idx="35">
                  <c:v>758</c:v>
                </c:pt>
                <c:pt idx="36">
                  <c:v>762</c:v>
                </c:pt>
                <c:pt idx="37">
                  <c:v>774</c:v>
                </c:pt>
                <c:pt idx="38">
                  <c:v>780</c:v>
                </c:pt>
                <c:pt idx="39">
                  <c:v>790</c:v>
                </c:pt>
                <c:pt idx="40">
                  <c:v>809</c:v>
                </c:pt>
                <c:pt idx="41">
                  <c:v>820</c:v>
                </c:pt>
                <c:pt idx="42">
                  <c:v>829</c:v>
                </c:pt>
                <c:pt idx="43">
                  <c:v>880</c:v>
                </c:pt>
                <c:pt idx="44">
                  <c:v>881</c:v>
                </c:pt>
                <c:pt idx="45">
                  <c:v>895</c:v>
                </c:pt>
                <c:pt idx="46">
                  <c:v>901</c:v>
                </c:pt>
                <c:pt idx="47">
                  <c:v>923</c:v>
                </c:pt>
                <c:pt idx="48">
                  <c:v>941</c:v>
                </c:pt>
                <c:pt idx="49">
                  <c:v>966</c:v>
                </c:pt>
                <c:pt idx="50">
                  <c:v>979</c:v>
                </c:pt>
                <c:pt idx="51">
                  <c:v>992</c:v>
                </c:pt>
                <c:pt idx="52">
                  <c:v>994</c:v>
                </c:pt>
                <c:pt idx="53">
                  <c:v>1003</c:v>
                </c:pt>
                <c:pt idx="54">
                  <c:v>1007</c:v>
                </c:pt>
                <c:pt idx="55">
                  <c:v>1040</c:v>
                </c:pt>
                <c:pt idx="56">
                  <c:v>1058</c:v>
                </c:pt>
                <c:pt idx="57">
                  <c:v>1060</c:v>
                </c:pt>
                <c:pt idx="58">
                  <c:v>1063</c:v>
                </c:pt>
                <c:pt idx="59">
                  <c:v>1065</c:v>
                </c:pt>
                <c:pt idx="60">
                  <c:v>1079</c:v>
                </c:pt>
                <c:pt idx="61">
                  <c:v>1093</c:v>
                </c:pt>
                <c:pt idx="62">
                  <c:v>1097</c:v>
                </c:pt>
                <c:pt idx="63">
                  <c:v>1113</c:v>
                </c:pt>
                <c:pt idx="64">
                  <c:v>1131</c:v>
                </c:pt>
                <c:pt idx="65">
                  <c:v>1142</c:v>
                </c:pt>
                <c:pt idx="66">
                  <c:v>1147</c:v>
                </c:pt>
                <c:pt idx="67">
                  <c:v>1159</c:v>
                </c:pt>
                <c:pt idx="68">
                  <c:v>1215</c:v>
                </c:pt>
                <c:pt idx="69">
                  <c:v>1305</c:v>
                </c:pt>
                <c:pt idx="70">
                  <c:v>1318</c:v>
                </c:pt>
                <c:pt idx="71">
                  <c:v>1322</c:v>
                </c:pt>
                <c:pt idx="72">
                  <c:v>1328</c:v>
                </c:pt>
                <c:pt idx="73">
                  <c:v>1331</c:v>
                </c:pt>
                <c:pt idx="74">
                  <c:v>1362</c:v>
                </c:pt>
                <c:pt idx="75">
                  <c:v>1384</c:v>
                </c:pt>
                <c:pt idx="76">
                  <c:v>1386</c:v>
                </c:pt>
                <c:pt idx="77">
                  <c:v>1395</c:v>
                </c:pt>
                <c:pt idx="78">
                  <c:v>1401</c:v>
                </c:pt>
                <c:pt idx="79">
                  <c:v>1423</c:v>
                </c:pt>
                <c:pt idx="80">
                  <c:v>1442</c:v>
                </c:pt>
                <c:pt idx="81">
                  <c:v>1448</c:v>
                </c:pt>
                <c:pt idx="82">
                  <c:v>1454</c:v>
                </c:pt>
                <c:pt idx="83">
                  <c:v>1479</c:v>
                </c:pt>
                <c:pt idx="84">
                  <c:v>1507</c:v>
                </c:pt>
                <c:pt idx="85">
                  <c:v>1509</c:v>
                </c:pt>
                <c:pt idx="86">
                  <c:v>1519</c:v>
                </c:pt>
                <c:pt idx="87">
                  <c:v>1520</c:v>
                </c:pt>
                <c:pt idx="88">
                  <c:v>1529</c:v>
                </c:pt>
                <c:pt idx="89">
                  <c:v>1535</c:v>
                </c:pt>
                <c:pt idx="90">
                  <c:v>1542</c:v>
                </c:pt>
                <c:pt idx="91">
                  <c:v>1549</c:v>
                </c:pt>
                <c:pt idx="92">
                  <c:v>1551</c:v>
                </c:pt>
                <c:pt idx="93">
                  <c:v>1552</c:v>
                </c:pt>
                <c:pt idx="94">
                  <c:v>1555</c:v>
                </c:pt>
                <c:pt idx="95">
                  <c:v>1560</c:v>
                </c:pt>
                <c:pt idx="96">
                  <c:v>1562</c:v>
                </c:pt>
                <c:pt idx="97">
                  <c:v>1563</c:v>
                </c:pt>
                <c:pt idx="98">
                  <c:v>1564</c:v>
                </c:pt>
                <c:pt idx="99">
                  <c:v>Moyenne</c:v>
                </c:pt>
              </c:strCache>
            </c:strRef>
          </c:cat>
          <c:val>
            <c:numRef>
              <c:f>'502'!$E$126:$E$225</c:f>
              <c:numCache>
                <c:formatCode>#,##0</c:formatCode>
                <c:ptCount val="100"/>
                <c:pt idx="0">
                  <c:v>270.77234226297446</c:v>
                </c:pt>
                <c:pt idx="1">
                  <c:v>506.24608786872926</c:v>
                </c:pt>
                <c:pt idx="2">
                  <c:v>1513.5772848012782</c:v>
                </c:pt>
                <c:pt idx="3">
                  <c:v>5.6521945129917261</c:v>
                </c:pt>
                <c:pt idx="4">
                  <c:v>528.35592289719625</c:v>
                </c:pt>
                <c:pt idx="5">
                  <c:v>1700.6436046511628</c:v>
                </c:pt>
                <c:pt idx="6">
                  <c:v>766.79562305295951</c:v>
                </c:pt>
                <c:pt idx="7">
                  <c:v>291.558095146379</c:v>
                </c:pt>
                <c:pt idx="8">
                  <c:v>860.52219827586202</c:v>
                </c:pt>
                <c:pt idx="9">
                  <c:v>441.94753813904737</c:v>
                </c:pt>
                <c:pt idx="10">
                  <c:v>727.81473404869041</c:v>
                </c:pt>
                <c:pt idx="11">
                  <c:v>2147.6871539657855</c:v>
                </c:pt>
                <c:pt idx="12">
                  <c:v>2079.8330434782606</c:v>
                </c:pt>
                <c:pt idx="13">
                  <c:v>809.38093068662545</c:v>
                </c:pt>
                <c:pt idx="14">
                  <c:v>341.57957408109138</c:v>
                </c:pt>
                <c:pt idx="15">
                  <c:v>363.47498014647488</c:v>
                </c:pt>
                <c:pt idx="16">
                  <c:v>297.11187569311335</c:v>
                </c:pt>
                <c:pt idx="17">
                  <c:v>874.62284567350582</c:v>
                </c:pt>
                <c:pt idx="18">
                  <c:v>349.8135218534195</c:v>
                </c:pt>
                <c:pt idx="19">
                  <c:v>332.13178150618518</c:v>
                </c:pt>
                <c:pt idx="20">
                  <c:v>-607.16458936705419</c:v>
                </c:pt>
                <c:pt idx="21">
                  <c:v>507.77502679618158</c:v>
                </c:pt>
                <c:pt idx="22">
                  <c:v>386.23193837473553</c:v>
                </c:pt>
                <c:pt idx="23">
                  <c:v>220.80150316132978</c:v>
                </c:pt>
                <c:pt idx="24">
                  <c:v>240.50620620177895</c:v>
                </c:pt>
                <c:pt idx="25">
                  <c:v>249.74800769790417</c:v>
                </c:pt>
                <c:pt idx="26">
                  <c:v>326.46757840692385</c:v>
                </c:pt>
                <c:pt idx="27">
                  <c:v>533.58312538287191</c:v>
                </c:pt>
                <c:pt idx="28">
                  <c:v>815.18599922239503</c:v>
                </c:pt>
                <c:pt idx="29">
                  <c:v>686.98426140231447</c:v>
                </c:pt>
                <c:pt idx="30">
                  <c:v>460.71120902946052</c:v>
                </c:pt>
                <c:pt idx="31">
                  <c:v>1089.8367667121418</c:v>
                </c:pt>
                <c:pt idx="32">
                  <c:v>1426.5898334126607</c:v>
                </c:pt>
                <c:pt idx="33">
                  <c:v>1890.2419798657718</c:v>
                </c:pt>
                <c:pt idx="34">
                  <c:v>249.71680182868602</c:v>
                </c:pt>
                <c:pt idx="35">
                  <c:v>1174.3166403162054</c:v>
                </c:pt>
                <c:pt idx="36">
                  <c:v>244.20953721894784</c:v>
                </c:pt>
                <c:pt idx="37">
                  <c:v>1937.1834010152284</c:v>
                </c:pt>
                <c:pt idx="38">
                  <c:v>540.65559210526317</c:v>
                </c:pt>
                <c:pt idx="39">
                  <c:v>747.80211199026178</c:v>
                </c:pt>
                <c:pt idx="40">
                  <c:v>2758.3109120521171</c:v>
                </c:pt>
                <c:pt idx="41">
                  <c:v>424.7137494798169</c:v>
                </c:pt>
                <c:pt idx="42">
                  <c:v>295.28426619656238</c:v>
                </c:pt>
                <c:pt idx="43">
                  <c:v>654.57745390693583</c:v>
                </c:pt>
                <c:pt idx="44">
                  <c:v>447.38542307628205</c:v>
                </c:pt>
                <c:pt idx="45">
                  <c:v>1830.5840600315955</c:v>
                </c:pt>
                <c:pt idx="46">
                  <c:v>888.64032258064515</c:v>
                </c:pt>
                <c:pt idx="47">
                  <c:v>1618.6317165637458</c:v>
                </c:pt>
                <c:pt idx="48">
                  <c:v>855.43587744171396</c:v>
                </c:pt>
                <c:pt idx="49">
                  <c:v>425.64731552400525</c:v>
                </c:pt>
                <c:pt idx="50">
                  <c:v>2741.6547867298582</c:v>
                </c:pt>
                <c:pt idx="51">
                  <c:v>128.37684828301579</c:v>
                </c:pt>
                <c:pt idx="52">
                  <c:v>329.6381875514121</c:v>
                </c:pt>
                <c:pt idx="53">
                  <c:v>3746.3406770833335</c:v>
                </c:pt>
                <c:pt idx="54">
                  <c:v>308.51938504498912</c:v>
                </c:pt>
                <c:pt idx="55">
                  <c:v>1287.2253099471409</c:v>
                </c:pt>
                <c:pt idx="56">
                  <c:v>5192.5240310077515</c:v>
                </c:pt>
                <c:pt idx="57">
                  <c:v>345.49729952295831</c:v>
                </c:pt>
                <c:pt idx="58">
                  <c:v>1408.0261514683154</c:v>
                </c:pt>
                <c:pt idx="59">
                  <c:v>704.87656067488649</c:v>
                </c:pt>
                <c:pt idx="60">
                  <c:v>782.30642080745338</c:v>
                </c:pt>
                <c:pt idx="61">
                  <c:v>923.01169595422971</c:v>
                </c:pt>
                <c:pt idx="62">
                  <c:v>1109.7511886537595</c:v>
                </c:pt>
                <c:pt idx="63">
                  <c:v>719.78117031709712</c:v>
                </c:pt>
                <c:pt idx="64">
                  <c:v>181.65934945054946</c:v>
                </c:pt>
                <c:pt idx="65">
                  <c:v>9325.626982200647</c:v>
                </c:pt>
                <c:pt idx="66">
                  <c:v>2435.6882352941175</c:v>
                </c:pt>
                <c:pt idx="67">
                  <c:v>216.45074470507856</c:v>
                </c:pt>
                <c:pt idx="68">
                  <c:v>572.52693628027271</c:v>
                </c:pt>
                <c:pt idx="69">
                  <c:v>716.10597009012588</c:v>
                </c:pt>
                <c:pt idx="70">
                  <c:v>980.0471314031181</c:v>
                </c:pt>
                <c:pt idx="71">
                  <c:v>0</c:v>
                </c:pt>
                <c:pt idx="72">
                  <c:v>945.81884485446983</c:v>
                </c:pt>
                <c:pt idx="73">
                  <c:v>2660.4155677655676</c:v>
                </c:pt>
                <c:pt idx="74">
                  <c:v>1433.6734817813765</c:v>
                </c:pt>
                <c:pt idx="75">
                  <c:v>323.74410586427928</c:v>
                </c:pt>
                <c:pt idx="76">
                  <c:v>18.782373200884603</c:v>
                </c:pt>
                <c:pt idx="77">
                  <c:v>335.71727014554494</c:v>
                </c:pt>
                <c:pt idx="78">
                  <c:v>191.45997973657549</c:v>
                </c:pt>
                <c:pt idx="79">
                  <c:v>3.1308547407753387</c:v>
                </c:pt>
                <c:pt idx="80">
                  <c:v>2559.293267973856</c:v>
                </c:pt>
                <c:pt idx="81">
                  <c:v>1187.7625367286973</c:v>
                </c:pt>
                <c:pt idx="82">
                  <c:v>509.87869651921687</c:v>
                </c:pt>
                <c:pt idx="83">
                  <c:v>459.70881307243189</c:v>
                </c:pt>
                <c:pt idx="84">
                  <c:v>622.1528825475599</c:v>
                </c:pt>
                <c:pt idx="85">
                  <c:v>297.64643031599962</c:v>
                </c:pt>
                <c:pt idx="86">
                  <c:v>328.35167442435863</c:v>
                </c:pt>
                <c:pt idx="87">
                  <c:v>604.14439119455426</c:v>
                </c:pt>
                <c:pt idx="88">
                  <c:v>123.65174209803368</c:v>
                </c:pt>
                <c:pt idx="89">
                  <c:v>623.81794075536902</c:v>
                </c:pt>
                <c:pt idx="90">
                  <c:v>136.23411238422477</c:v>
                </c:pt>
                <c:pt idx="91">
                  <c:v>358.82611130087497</c:v>
                </c:pt>
                <c:pt idx="92">
                  <c:v>159.5789898500353</c:v>
                </c:pt>
                <c:pt idx="93">
                  <c:v>529.61416441053416</c:v>
                </c:pt>
                <c:pt idx="94">
                  <c:v>489.70027361592145</c:v>
                </c:pt>
                <c:pt idx="95">
                  <c:v>412.79158497189701</c:v>
                </c:pt>
                <c:pt idx="96">
                  <c:v>95.903188059505169</c:v>
                </c:pt>
                <c:pt idx="97">
                  <c:v>693.43629345849877</c:v>
                </c:pt>
                <c:pt idx="98">
                  <c:v>657.42927798507469</c:v>
                </c:pt>
                <c:pt idx="99">
                  <c:v>287.99135331904307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CE-4D4D-94E9-6BD695788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4180912"/>
        <c:axId val="1"/>
      </c:barChart>
      <c:catAx>
        <c:axId val="184418091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875" b="0" i="1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 sz="875" b="0" i="1" u="none" strike="noStrike" baseline="0">
                    <a:solidFill>
                      <a:srgbClr val="000000"/>
                    </a:solidFill>
                    <a:latin typeface="Arial" pitchFamily="2" charset="0"/>
                    <a:cs typeface="Arial" pitchFamily="2" charset="0"/>
                  </a:rPr>
                  <a:t>Quelle: T 5.02      </a:t>
                </a:r>
                <a:r>
                  <a:rPr lang="de-DE" sz="875" b="0" i="0" u="none" strike="noStrike" baseline="0">
                    <a:solidFill>
                      <a:srgbClr val="000000"/>
                    </a:solidFill>
                    <a:latin typeface="Arial" pitchFamily="2" charset="0"/>
                    <a:cs typeface="Arial" pitchFamily="2" charset="0"/>
                  </a:rPr>
                  <a:t>                                </a:t>
                </a:r>
                <a:r>
                  <a:rPr lang="de-DE" sz="875" b="1" i="0" u="none" strike="noStrike" baseline="0">
                    <a:solidFill>
                      <a:srgbClr val="000000"/>
                    </a:solidFill>
                    <a:latin typeface="Arial" pitchFamily="2" charset="0"/>
                    <a:cs typeface="Arial" pitchFamily="2" charset="0"/>
                  </a:rPr>
                  <a:t>KVG - Versicherer</a:t>
                </a:r>
              </a:p>
            </c:rich>
          </c:tx>
          <c:layout>
            <c:manualLayout>
              <c:xMode val="edge"/>
              <c:yMode val="edge"/>
              <c:x val="6.3159850627570055E-2"/>
              <c:y val="0.768050354321699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crossAx val="1"/>
        <c:crossesAt val="0"/>
        <c:auto val="1"/>
        <c:lblAlgn val="ctr"/>
        <c:lblOffset val="100"/>
        <c:noMultiLvlLbl val="0"/>
      </c:catAx>
      <c:valAx>
        <c:axId val="1"/>
        <c:scaling>
          <c:orientation val="minMax"/>
          <c:max val="11000"/>
          <c:min val="-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844180912"/>
        <c:crosses val="autoZero"/>
        <c:crossBetween val="between"/>
        <c:majorUnit val="10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8.4213134170093417E-3"/>
          <c:y val="0.84015304064577701"/>
          <c:w val="0.71160098373728931"/>
          <c:h val="5.642818929710442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G 8 Evolution du solde de financement 
en millions de frs</a:t>
            </a:r>
          </a:p>
        </c:rich>
      </c:tx>
      <c:layout>
        <c:manualLayout>
          <c:xMode val="edge"/>
          <c:yMode val="edge"/>
          <c:x val="0.2500078548144184"/>
          <c:y val="3.50206404372070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58693345660845"/>
          <c:y val="0.15564729083203116"/>
          <c:w val="0.54515601674810688"/>
          <c:h val="0.778236454160155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'906'!$J$56</c:f>
              <c:strCache>
                <c:ptCount val="1"/>
              </c:strCache>
            </c:strRef>
          </c:tx>
          <c:spPr>
            <a:solidFill>
              <a:srgbClr val="9966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'906'!$K$55:$N$55</c:f>
              <c:numCache>
                <c:formatCode>General</c:formatCode>
                <c:ptCount val="4"/>
              </c:numCache>
            </c:numRef>
          </c:cat>
          <c:val>
            <c:numRef>
              <c:f>'906'!$K$56:$N$56</c:f>
              <c:numCache>
                <c:formatCode>#,##0.0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2D74-AD47-88F3-63921C244E8A}"/>
            </c:ext>
          </c:extLst>
        </c:ser>
        <c:ser>
          <c:idx val="1"/>
          <c:order val="1"/>
          <c:tx>
            <c:strRef>
              <c:f>'906'!$J$57</c:f>
              <c:strCache>
                <c:ptCount val="1"/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CCFFCC" mc:Ignorable="a14" a14:legacySpreadsheetColorIndex="42"/>
                </a:gs>
                <a:gs pos="100000">
                  <a:srgbClr xmlns:mc="http://schemas.openxmlformats.org/markup-compatibility/2006" xmlns:a14="http://schemas.microsoft.com/office/drawing/2010/main" val="94B994" mc:Ignorable="a14" a14:legacySpreadsheetColorIndex="42">
                    <a:gamma/>
                    <a:shade val="72549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'906'!$K$55:$N$55</c:f>
              <c:numCache>
                <c:formatCode>General</c:formatCode>
                <c:ptCount val="4"/>
              </c:numCache>
            </c:numRef>
          </c:cat>
          <c:val>
            <c:numRef>
              <c:f>'906'!$K$57:$N$57</c:f>
              <c:numCache>
                <c:formatCode>#,##0.0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2D74-AD47-88F3-63921C244E8A}"/>
            </c:ext>
          </c:extLst>
        </c:ser>
        <c:ser>
          <c:idx val="2"/>
          <c:order val="2"/>
          <c:tx>
            <c:strRef>
              <c:f>'906'!$J$58</c:f>
              <c:strCache>
                <c:ptCount val="1"/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'906'!$K$55:$N$55</c:f>
              <c:numCache>
                <c:formatCode>General</c:formatCode>
                <c:ptCount val="4"/>
              </c:numCache>
            </c:numRef>
          </c:cat>
          <c:val>
            <c:numRef>
              <c:f>'906'!$K$58:$N$58</c:f>
              <c:numCache>
                <c:formatCode>#,##0.0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2D74-AD47-88F3-63921C244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4162192"/>
        <c:axId val="1"/>
      </c:barChart>
      <c:catAx>
        <c:axId val="1844162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750"/>
          <c:min val="-7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844162192"/>
        <c:crosses val="autoZero"/>
        <c:crossBetween val="between"/>
        <c:majorUnit val="2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805769381059168"/>
          <c:y val="0.35409758664287083"/>
          <c:w val="0.30903748720115609"/>
          <c:h val="0.482506601579296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 G 13 Evolution des primes et 
des prestations dans 
l'assurance-maladie (LAMal + LCA)
en milliards de frs</a:t>
            </a:r>
          </a:p>
        </c:rich>
      </c:tx>
      <c:layout>
        <c:manualLayout>
          <c:xMode val="edge"/>
          <c:yMode val="edge"/>
          <c:x val="0.21305013551223265"/>
          <c:y val="3.47233131686692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78682042610637"/>
          <c:y val="0.18750589111081381"/>
          <c:w val="0.76958926501357505"/>
          <c:h val="0.52432202884690526"/>
        </c:manualLayout>
      </c:layout>
      <c:lineChart>
        <c:grouping val="standard"/>
        <c:varyColors val="0"/>
        <c:ser>
          <c:idx val="0"/>
          <c:order val="0"/>
          <c:tx>
            <c:strRef>
              <c:f>'906'!$J$4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'906'!$K$2:$N$2</c:f>
              <c:numCache>
                <c:formatCode>General</c:formatCode>
                <c:ptCount val="4"/>
              </c:numCache>
            </c:numRef>
          </c:cat>
          <c:val>
            <c:numRef>
              <c:f>'906'!$K$4:$N$4</c:f>
              <c:numCache>
                <c:formatCode>0.00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4A-9440-879B-0C982E3BC3CB}"/>
            </c:ext>
          </c:extLst>
        </c:ser>
        <c:ser>
          <c:idx val="3"/>
          <c:order val="1"/>
          <c:tx>
            <c:strRef>
              <c:f>'906'!$J$7</c:f>
              <c:strCache>
                <c:ptCount val="1"/>
              </c:strCache>
            </c:strRef>
          </c:tx>
          <c:spPr>
            <a:ln w="12700">
              <a:solidFill>
                <a:srgbClr val="DD080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DD0806"/>
              </a:solidFill>
              <a:ln>
                <a:solidFill>
                  <a:srgbClr val="DD0806"/>
                </a:solidFill>
                <a:prstDash val="solid"/>
              </a:ln>
            </c:spPr>
          </c:marker>
          <c:val>
            <c:numRef>
              <c:f>'906'!$K$7:$N$7</c:f>
              <c:numCache>
                <c:formatCode>0.00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4A-9440-879B-0C982E3BC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120416"/>
        <c:axId val="1"/>
      </c:lineChart>
      <c:catAx>
        <c:axId val="1844120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8"/>
          <c:min val="15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844120416"/>
        <c:crosses val="autoZero"/>
        <c:crossBetween val="between"/>
        <c:majorUnit val="0.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8696861348140216"/>
          <c:y val="0.92711246160346827"/>
          <c:w val="0.24348586915683731"/>
          <c:h val="5.208496975300383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G 8 Evolution du solde de financement 
en millions de frs</a:t>
            </a:r>
          </a:p>
        </c:rich>
      </c:tx>
      <c:layout>
        <c:manualLayout>
          <c:xMode val="edge"/>
          <c:yMode val="edge"/>
          <c:x val="0.2500078548144184"/>
          <c:y val="3.68863831183560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58693345660845"/>
          <c:y val="0.15984099351287603"/>
          <c:w val="0.54515601674810688"/>
          <c:h val="0.770515558472325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'907'!$J$56</c:f>
              <c:strCache>
                <c:ptCount val="1"/>
              </c:strCache>
            </c:strRef>
          </c:tx>
          <c:spPr>
            <a:solidFill>
              <a:srgbClr val="9966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'907'!$K$55:$N$55</c:f>
              <c:numCache>
                <c:formatCode>General</c:formatCode>
                <c:ptCount val="4"/>
              </c:numCache>
            </c:numRef>
          </c:cat>
          <c:val>
            <c:numRef>
              <c:f>'907'!$K$56:$N$56</c:f>
              <c:numCache>
                <c:formatCode>#,##0.0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4335-C44A-B39E-6F8609BEB9DE}"/>
            </c:ext>
          </c:extLst>
        </c:ser>
        <c:ser>
          <c:idx val="1"/>
          <c:order val="1"/>
          <c:tx>
            <c:strRef>
              <c:f>'907'!$J$57</c:f>
              <c:strCache>
                <c:ptCount val="1"/>
              </c:strCache>
            </c:strRef>
          </c:tx>
          <c:spPr>
            <a:gradFill rotWithShape="0">
              <a:gsLst>
                <a:gs pos="0">
                  <a:srgbClr xmlns:mc="http://schemas.openxmlformats.org/markup-compatibility/2006" xmlns:a14="http://schemas.microsoft.com/office/drawing/2010/main" val="CCFFCC" mc:Ignorable="a14" a14:legacySpreadsheetColorIndex="42"/>
                </a:gs>
                <a:gs pos="100000">
                  <a:srgbClr xmlns:mc="http://schemas.openxmlformats.org/markup-compatibility/2006" xmlns:a14="http://schemas.microsoft.com/office/drawing/2010/main" val="94B994" mc:Ignorable="a14" a14:legacySpreadsheetColorIndex="42">
                    <a:gamma/>
                    <a:shade val="72549"/>
                    <a:invGamma/>
                  </a:srgbClr>
                </a:gs>
              </a:gsLst>
              <a:lin ang="540000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'907'!$K$55:$N$55</c:f>
              <c:numCache>
                <c:formatCode>General</c:formatCode>
                <c:ptCount val="4"/>
              </c:numCache>
            </c:numRef>
          </c:cat>
          <c:val>
            <c:numRef>
              <c:f>'907'!$K$57:$N$57</c:f>
              <c:numCache>
                <c:formatCode>#,##0.0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4335-C44A-B39E-6F8609BEB9DE}"/>
            </c:ext>
          </c:extLst>
        </c:ser>
        <c:ser>
          <c:idx val="2"/>
          <c:order val="2"/>
          <c:tx>
            <c:strRef>
              <c:f>'907'!$J$58</c:f>
              <c:strCache>
                <c:ptCount val="1"/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'907'!$K$55:$N$55</c:f>
              <c:numCache>
                <c:formatCode>General</c:formatCode>
                <c:ptCount val="4"/>
              </c:numCache>
            </c:numRef>
          </c:cat>
          <c:val>
            <c:numRef>
              <c:f>'907'!$K$58:$N$58</c:f>
              <c:numCache>
                <c:formatCode>#,##0.0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2-4335-C44A-B39E-6F8609BEB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4113040"/>
        <c:axId val="1"/>
      </c:barChart>
      <c:catAx>
        <c:axId val="1844113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750"/>
          <c:min val="-7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844113040"/>
        <c:crosses val="autoZero"/>
        <c:crossBetween val="between"/>
        <c:majorUnit val="2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805769381059168"/>
          <c:y val="0.28689409092054674"/>
          <c:w val="0.30903748720115609"/>
          <c:h val="0.508212389630682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 G 13 Evolution des primes et 
des prestations dans 
l'assurance-maladie (LAMal + LCA)
en milliards de frs</a:t>
            </a:r>
          </a:p>
        </c:rich>
      </c:tx>
      <c:layout>
        <c:manualLayout>
          <c:xMode val="edge"/>
          <c:yMode val="edge"/>
          <c:x val="0.21305013551223265"/>
          <c:y val="3.47233131686692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78682042610637"/>
          <c:y val="0.18750589111081381"/>
          <c:w val="0.76958926501357505"/>
          <c:h val="0.52432202884690526"/>
        </c:manualLayout>
      </c:layout>
      <c:lineChart>
        <c:grouping val="standard"/>
        <c:varyColors val="0"/>
        <c:ser>
          <c:idx val="0"/>
          <c:order val="0"/>
          <c:tx>
            <c:strRef>
              <c:f>'907'!$J$4</c:f>
              <c:strCache>
                <c:ptCount val="1"/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'907'!$K$2:$N$2</c:f>
              <c:numCache>
                <c:formatCode>General</c:formatCode>
                <c:ptCount val="4"/>
              </c:numCache>
            </c:numRef>
          </c:cat>
          <c:val>
            <c:numRef>
              <c:f>'907'!$K$4:$N$4</c:f>
              <c:numCache>
                <c:formatCode>0.00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97-CB4D-9483-4C9FF4AD65BD}"/>
            </c:ext>
          </c:extLst>
        </c:ser>
        <c:ser>
          <c:idx val="3"/>
          <c:order val="1"/>
          <c:tx>
            <c:strRef>
              <c:f>'907'!$J$7</c:f>
              <c:strCache>
                <c:ptCount val="1"/>
              </c:strCache>
            </c:strRef>
          </c:tx>
          <c:spPr>
            <a:ln w="12700">
              <a:solidFill>
                <a:srgbClr val="DD080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DD0806"/>
              </a:solidFill>
              <a:ln>
                <a:solidFill>
                  <a:srgbClr val="DD0806"/>
                </a:solidFill>
                <a:prstDash val="solid"/>
              </a:ln>
            </c:spPr>
          </c:marker>
          <c:val>
            <c:numRef>
              <c:f>'907'!$K$7:$N$7</c:f>
              <c:numCache>
                <c:formatCode>0.00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97-CB4D-9483-4C9FF4AD6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070688"/>
        <c:axId val="1"/>
      </c:lineChart>
      <c:catAx>
        <c:axId val="1844070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8"/>
          <c:min val="15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844070688"/>
        <c:crosses val="autoZero"/>
        <c:crossBetween val="between"/>
        <c:majorUnit val="0.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8696861348140216"/>
          <c:y val="0.92711246160346827"/>
          <c:w val="0.24348586915683731"/>
          <c:h val="5.208496975300383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Anzahl Ärzte mit Praxistätigkeit und Apotheken 1985 – 2000 (Daten 1999)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'909'!$D$5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'909'!$A$8:$A$34</c:f>
              <c:strCache>
                <c:ptCount val="27"/>
                <c:pt idx="0">
                  <c:v>ZH</c:v>
                </c:pt>
                <c:pt idx="1">
                  <c:v>BE</c:v>
                </c:pt>
                <c:pt idx="2">
                  <c:v>LU</c:v>
                </c:pt>
                <c:pt idx="3">
                  <c:v>UR</c:v>
                </c:pt>
                <c:pt idx="4">
                  <c:v>SZ</c:v>
                </c:pt>
                <c:pt idx="5">
                  <c:v>OW</c:v>
                </c:pt>
                <c:pt idx="6">
                  <c:v>NW</c:v>
                </c:pt>
                <c:pt idx="7">
                  <c:v>GL</c:v>
                </c:pt>
                <c:pt idx="8">
                  <c:v>ZG</c:v>
                </c:pt>
                <c:pt idx="9">
                  <c:v>FR</c:v>
                </c:pt>
                <c:pt idx="10">
                  <c:v>SO</c:v>
                </c:pt>
                <c:pt idx="11">
                  <c:v>BS</c:v>
                </c:pt>
                <c:pt idx="12">
                  <c:v>BL</c:v>
                </c:pt>
                <c:pt idx="13">
                  <c:v>SH</c:v>
                </c:pt>
                <c:pt idx="14">
                  <c:v>AR</c:v>
                </c:pt>
                <c:pt idx="15">
                  <c:v>AI</c:v>
                </c:pt>
                <c:pt idx="16">
                  <c:v>SG</c:v>
                </c:pt>
                <c:pt idx="17">
                  <c:v>GR</c:v>
                </c:pt>
                <c:pt idx="18">
                  <c:v>AG</c:v>
                </c:pt>
                <c:pt idx="19">
                  <c:v>TG</c:v>
                </c:pt>
                <c:pt idx="20">
                  <c:v>TI</c:v>
                </c:pt>
                <c:pt idx="21">
                  <c:v>VD</c:v>
                </c:pt>
                <c:pt idx="22">
                  <c:v>VS</c:v>
                </c:pt>
                <c:pt idx="23">
                  <c:v>NE</c:v>
                </c:pt>
                <c:pt idx="24">
                  <c:v>GE</c:v>
                </c:pt>
                <c:pt idx="25">
                  <c:v>JU</c:v>
                </c:pt>
                <c:pt idx="26">
                  <c:v>CH</c:v>
                </c:pt>
              </c:strCache>
            </c:strRef>
          </c:cat>
          <c:val>
            <c:numRef>
              <c:f>'909'!$D$8:$D$34</c:f>
              <c:numCache>
                <c:formatCode>#,##0</c:formatCode>
                <c:ptCount val="27"/>
                <c:pt idx="0">
                  <c:v>1825</c:v>
                </c:pt>
                <c:pt idx="1">
                  <c:v>1254</c:v>
                </c:pt>
                <c:pt idx="2">
                  <c:v>300</c:v>
                </c:pt>
                <c:pt idx="3">
                  <c:v>23</c:v>
                </c:pt>
                <c:pt idx="4">
                  <c:v>79</c:v>
                </c:pt>
                <c:pt idx="5">
                  <c:v>14</c:v>
                </c:pt>
                <c:pt idx="6">
                  <c:v>24</c:v>
                </c:pt>
                <c:pt idx="7">
                  <c:v>22</c:v>
                </c:pt>
                <c:pt idx="8">
                  <c:v>102</c:v>
                </c:pt>
                <c:pt idx="9">
                  <c:v>220</c:v>
                </c:pt>
                <c:pt idx="10">
                  <c:v>220</c:v>
                </c:pt>
                <c:pt idx="11">
                  <c:v>545</c:v>
                </c:pt>
                <c:pt idx="12">
                  <c:v>321</c:v>
                </c:pt>
                <c:pt idx="13">
                  <c:v>77</c:v>
                </c:pt>
                <c:pt idx="14">
                  <c:v>37</c:v>
                </c:pt>
                <c:pt idx="15">
                  <c:v>8</c:v>
                </c:pt>
                <c:pt idx="16">
                  <c:v>399</c:v>
                </c:pt>
                <c:pt idx="17">
                  <c:v>172</c:v>
                </c:pt>
                <c:pt idx="18">
                  <c:v>472</c:v>
                </c:pt>
                <c:pt idx="19">
                  <c:v>139</c:v>
                </c:pt>
                <c:pt idx="20">
                  <c:v>401</c:v>
                </c:pt>
                <c:pt idx="21">
                  <c:v>1019</c:v>
                </c:pt>
                <c:pt idx="22">
                  <c:v>286</c:v>
                </c:pt>
                <c:pt idx="23">
                  <c:v>214</c:v>
                </c:pt>
                <c:pt idx="24">
                  <c:v>1071</c:v>
                </c:pt>
                <c:pt idx="25">
                  <c:v>59</c:v>
                </c:pt>
                <c:pt idx="26">
                  <c:v>9303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9B-6C4D-A922-ADADDCB7C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036016"/>
        <c:axId val="1"/>
      </c:lineChart>
      <c:lineChart>
        <c:grouping val="standard"/>
        <c:varyColors val="0"/>
        <c:ser>
          <c:idx val="0"/>
          <c:order val="1"/>
          <c:tx>
            <c:strRef>
              <c:f>'909'!$H$5</c:f>
              <c:strCache>
                <c:ptCount val="1"/>
                <c:pt idx="0">
                  <c:v>Anzahl Apotheken (rechte Skala)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'909'!$A$8:$A$34</c:f>
              <c:strCache>
                <c:ptCount val="27"/>
                <c:pt idx="0">
                  <c:v>ZH</c:v>
                </c:pt>
                <c:pt idx="1">
                  <c:v>BE</c:v>
                </c:pt>
                <c:pt idx="2">
                  <c:v>LU</c:v>
                </c:pt>
                <c:pt idx="3">
                  <c:v>UR</c:v>
                </c:pt>
                <c:pt idx="4">
                  <c:v>SZ</c:v>
                </c:pt>
                <c:pt idx="5">
                  <c:v>OW</c:v>
                </c:pt>
                <c:pt idx="6">
                  <c:v>NW</c:v>
                </c:pt>
                <c:pt idx="7">
                  <c:v>GL</c:v>
                </c:pt>
                <c:pt idx="8">
                  <c:v>ZG</c:v>
                </c:pt>
                <c:pt idx="9">
                  <c:v>FR</c:v>
                </c:pt>
                <c:pt idx="10">
                  <c:v>SO</c:v>
                </c:pt>
                <c:pt idx="11">
                  <c:v>BS</c:v>
                </c:pt>
                <c:pt idx="12">
                  <c:v>BL</c:v>
                </c:pt>
                <c:pt idx="13">
                  <c:v>SH</c:v>
                </c:pt>
                <c:pt idx="14">
                  <c:v>AR</c:v>
                </c:pt>
                <c:pt idx="15">
                  <c:v>AI</c:v>
                </c:pt>
                <c:pt idx="16">
                  <c:v>SG</c:v>
                </c:pt>
                <c:pt idx="17">
                  <c:v>GR</c:v>
                </c:pt>
                <c:pt idx="18">
                  <c:v>AG</c:v>
                </c:pt>
                <c:pt idx="19">
                  <c:v>TG</c:v>
                </c:pt>
                <c:pt idx="20">
                  <c:v>TI</c:v>
                </c:pt>
                <c:pt idx="21">
                  <c:v>VD</c:v>
                </c:pt>
                <c:pt idx="22">
                  <c:v>VS</c:v>
                </c:pt>
                <c:pt idx="23">
                  <c:v>NE</c:v>
                </c:pt>
                <c:pt idx="24">
                  <c:v>GE</c:v>
                </c:pt>
                <c:pt idx="25">
                  <c:v>JU</c:v>
                </c:pt>
                <c:pt idx="26">
                  <c:v>CH</c:v>
                </c:pt>
              </c:strCache>
            </c:strRef>
          </c:cat>
          <c:val>
            <c:numRef>
              <c:f>'909'!$H$8:$H$34</c:f>
              <c:numCache>
                <c:formatCode>#,##0</c:formatCode>
                <c:ptCount val="27"/>
                <c:pt idx="0">
                  <c:v>224</c:v>
                </c:pt>
                <c:pt idx="1">
                  <c:v>175</c:v>
                </c:pt>
                <c:pt idx="2">
                  <c:v>34</c:v>
                </c:pt>
                <c:pt idx="3">
                  <c:v>2</c:v>
                </c:pt>
                <c:pt idx="4">
                  <c:v>11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13</c:v>
                </c:pt>
                <c:pt idx="9">
                  <c:v>68</c:v>
                </c:pt>
                <c:pt idx="10">
                  <c:v>27</c:v>
                </c:pt>
                <c:pt idx="11">
                  <c:v>69</c:v>
                </c:pt>
                <c:pt idx="12">
                  <c:v>36</c:v>
                </c:pt>
                <c:pt idx="13">
                  <c:v>13</c:v>
                </c:pt>
                <c:pt idx="14">
                  <c:v>4</c:v>
                </c:pt>
                <c:pt idx="15">
                  <c:v>1</c:v>
                </c:pt>
                <c:pt idx="16">
                  <c:v>48</c:v>
                </c:pt>
                <c:pt idx="17">
                  <c:v>37</c:v>
                </c:pt>
                <c:pt idx="18">
                  <c:v>109</c:v>
                </c:pt>
                <c:pt idx="19">
                  <c:v>23</c:v>
                </c:pt>
                <c:pt idx="20">
                  <c:v>171</c:v>
                </c:pt>
                <c:pt idx="21">
                  <c:v>237</c:v>
                </c:pt>
                <c:pt idx="22">
                  <c:v>105</c:v>
                </c:pt>
                <c:pt idx="23">
                  <c:v>54</c:v>
                </c:pt>
                <c:pt idx="24">
                  <c:v>168</c:v>
                </c:pt>
                <c:pt idx="25">
                  <c:v>17</c:v>
                </c:pt>
                <c:pt idx="26">
                  <c:v>1653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9B-6C4D-A922-ADADDCB7C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84403601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1844036016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3"/>
        <c:crosses val="max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55 Helvetica Roman"/>
              <a:ea typeface="55 Helvetica Roman"/>
              <a:cs typeface="55 Helvetica Roman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>
      <c:oddHeader>&amp;B</c:oddHeader>
      <c:oddFooter>Page &amp;S</c:oddFooter>
    </c:headerFooter>
    <c:pageMargins b="0.984251969" l="0.78740157499999996" r="0.78740157499999996" t="0.984251969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Anzahl Ärzte mit Praxistätigkeit und Apotheken 1985 – 2000 (Daten 1999)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'909'!$D$5</c:f>
              <c:strCache>
                <c:ptCount val="1"/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'909'!$A$8:$A$34</c:f>
              <c:strCache>
                <c:ptCount val="27"/>
                <c:pt idx="0">
                  <c:v>ZH</c:v>
                </c:pt>
                <c:pt idx="1">
                  <c:v>BE</c:v>
                </c:pt>
                <c:pt idx="2">
                  <c:v>LU</c:v>
                </c:pt>
                <c:pt idx="3">
                  <c:v>UR</c:v>
                </c:pt>
                <c:pt idx="4">
                  <c:v>SZ</c:v>
                </c:pt>
                <c:pt idx="5">
                  <c:v>OW</c:v>
                </c:pt>
                <c:pt idx="6">
                  <c:v>NW</c:v>
                </c:pt>
                <c:pt idx="7">
                  <c:v>GL</c:v>
                </c:pt>
                <c:pt idx="8">
                  <c:v>ZG</c:v>
                </c:pt>
                <c:pt idx="9">
                  <c:v>FR</c:v>
                </c:pt>
                <c:pt idx="10">
                  <c:v>SO</c:v>
                </c:pt>
                <c:pt idx="11">
                  <c:v>BS</c:v>
                </c:pt>
                <c:pt idx="12">
                  <c:v>BL</c:v>
                </c:pt>
                <c:pt idx="13">
                  <c:v>SH</c:v>
                </c:pt>
                <c:pt idx="14">
                  <c:v>AR</c:v>
                </c:pt>
                <c:pt idx="15">
                  <c:v>AI</c:v>
                </c:pt>
                <c:pt idx="16">
                  <c:v>SG</c:v>
                </c:pt>
                <c:pt idx="17">
                  <c:v>GR</c:v>
                </c:pt>
                <c:pt idx="18">
                  <c:v>AG</c:v>
                </c:pt>
                <c:pt idx="19">
                  <c:v>TG</c:v>
                </c:pt>
                <c:pt idx="20">
                  <c:v>TI</c:v>
                </c:pt>
                <c:pt idx="21">
                  <c:v>VD</c:v>
                </c:pt>
                <c:pt idx="22">
                  <c:v>VS</c:v>
                </c:pt>
                <c:pt idx="23">
                  <c:v>NE</c:v>
                </c:pt>
                <c:pt idx="24">
                  <c:v>GE</c:v>
                </c:pt>
                <c:pt idx="25">
                  <c:v>JU</c:v>
                </c:pt>
                <c:pt idx="26">
                  <c:v>CH</c:v>
                </c:pt>
              </c:strCache>
            </c:strRef>
          </c:cat>
          <c:val>
            <c:numRef>
              <c:f>'909'!$D$8:$D$34</c:f>
              <c:numCache>
                <c:formatCode>#,##0</c:formatCode>
                <c:ptCount val="27"/>
                <c:pt idx="0">
                  <c:v>1825</c:v>
                </c:pt>
                <c:pt idx="1">
                  <c:v>1254</c:v>
                </c:pt>
                <c:pt idx="2">
                  <c:v>300</c:v>
                </c:pt>
                <c:pt idx="3">
                  <c:v>23</c:v>
                </c:pt>
                <c:pt idx="4">
                  <c:v>79</c:v>
                </c:pt>
                <c:pt idx="5">
                  <c:v>14</c:v>
                </c:pt>
                <c:pt idx="6">
                  <c:v>24</c:v>
                </c:pt>
                <c:pt idx="7">
                  <c:v>22</c:v>
                </c:pt>
                <c:pt idx="8">
                  <c:v>102</c:v>
                </c:pt>
                <c:pt idx="9">
                  <c:v>220</c:v>
                </c:pt>
                <c:pt idx="10">
                  <c:v>220</c:v>
                </c:pt>
                <c:pt idx="11">
                  <c:v>545</c:v>
                </c:pt>
                <c:pt idx="12">
                  <c:v>321</c:v>
                </c:pt>
                <c:pt idx="13">
                  <c:v>77</c:v>
                </c:pt>
                <c:pt idx="14">
                  <c:v>37</c:v>
                </c:pt>
                <c:pt idx="15">
                  <c:v>8</c:v>
                </c:pt>
                <c:pt idx="16">
                  <c:v>399</c:v>
                </c:pt>
                <c:pt idx="17">
                  <c:v>172</c:v>
                </c:pt>
                <c:pt idx="18">
                  <c:v>472</c:v>
                </c:pt>
                <c:pt idx="19">
                  <c:v>139</c:v>
                </c:pt>
                <c:pt idx="20">
                  <c:v>401</c:v>
                </c:pt>
                <c:pt idx="21">
                  <c:v>1019</c:v>
                </c:pt>
                <c:pt idx="22">
                  <c:v>286</c:v>
                </c:pt>
                <c:pt idx="23">
                  <c:v>214</c:v>
                </c:pt>
                <c:pt idx="24">
                  <c:v>1071</c:v>
                </c:pt>
                <c:pt idx="25">
                  <c:v>59</c:v>
                </c:pt>
                <c:pt idx="26">
                  <c:v>9303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D2-A647-97B9-AD14F20AD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3997104"/>
        <c:axId val="1"/>
      </c:lineChart>
      <c:lineChart>
        <c:grouping val="standard"/>
        <c:varyColors val="0"/>
        <c:ser>
          <c:idx val="0"/>
          <c:order val="1"/>
          <c:tx>
            <c:strRef>
              <c:f>'909'!$H$5</c:f>
              <c:strCache>
                <c:ptCount val="1"/>
                <c:pt idx="0">
                  <c:v>Anzahl Apotheken (rechte Skala)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'909'!$A$8:$A$34</c:f>
              <c:strCache>
                <c:ptCount val="27"/>
                <c:pt idx="0">
                  <c:v>ZH</c:v>
                </c:pt>
                <c:pt idx="1">
                  <c:v>BE</c:v>
                </c:pt>
                <c:pt idx="2">
                  <c:v>LU</c:v>
                </c:pt>
                <c:pt idx="3">
                  <c:v>UR</c:v>
                </c:pt>
                <c:pt idx="4">
                  <c:v>SZ</c:v>
                </c:pt>
                <c:pt idx="5">
                  <c:v>OW</c:v>
                </c:pt>
                <c:pt idx="6">
                  <c:v>NW</c:v>
                </c:pt>
                <c:pt idx="7">
                  <c:v>GL</c:v>
                </c:pt>
                <c:pt idx="8">
                  <c:v>ZG</c:v>
                </c:pt>
                <c:pt idx="9">
                  <c:v>FR</c:v>
                </c:pt>
                <c:pt idx="10">
                  <c:v>SO</c:v>
                </c:pt>
                <c:pt idx="11">
                  <c:v>BS</c:v>
                </c:pt>
                <c:pt idx="12">
                  <c:v>BL</c:v>
                </c:pt>
                <c:pt idx="13">
                  <c:v>SH</c:v>
                </c:pt>
                <c:pt idx="14">
                  <c:v>AR</c:v>
                </c:pt>
                <c:pt idx="15">
                  <c:v>AI</c:v>
                </c:pt>
                <c:pt idx="16">
                  <c:v>SG</c:v>
                </c:pt>
                <c:pt idx="17">
                  <c:v>GR</c:v>
                </c:pt>
                <c:pt idx="18">
                  <c:v>AG</c:v>
                </c:pt>
                <c:pt idx="19">
                  <c:v>TG</c:v>
                </c:pt>
                <c:pt idx="20">
                  <c:v>TI</c:v>
                </c:pt>
                <c:pt idx="21">
                  <c:v>VD</c:v>
                </c:pt>
                <c:pt idx="22">
                  <c:v>VS</c:v>
                </c:pt>
                <c:pt idx="23">
                  <c:v>NE</c:v>
                </c:pt>
                <c:pt idx="24">
                  <c:v>GE</c:v>
                </c:pt>
                <c:pt idx="25">
                  <c:v>JU</c:v>
                </c:pt>
                <c:pt idx="26">
                  <c:v>CH</c:v>
                </c:pt>
              </c:strCache>
            </c:strRef>
          </c:cat>
          <c:val>
            <c:numRef>
              <c:f>'909'!$H$8:$H$34</c:f>
              <c:numCache>
                <c:formatCode>#,##0</c:formatCode>
                <c:ptCount val="27"/>
                <c:pt idx="0">
                  <c:v>224</c:v>
                </c:pt>
                <c:pt idx="1">
                  <c:v>175</c:v>
                </c:pt>
                <c:pt idx="2">
                  <c:v>34</c:v>
                </c:pt>
                <c:pt idx="3">
                  <c:v>2</c:v>
                </c:pt>
                <c:pt idx="4">
                  <c:v>11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13</c:v>
                </c:pt>
                <c:pt idx="9">
                  <c:v>68</c:v>
                </c:pt>
                <c:pt idx="10">
                  <c:v>27</c:v>
                </c:pt>
                <c:pt idx="11">
                  <c:v>69</c:v>
                </c:pt>
                <c:pt idx="12">
                  <c:v>36</c:v>
                </c:pt>
                <c:pt idx="13">
                  <c:v>13</c:v>
                </c:pt>
                <c:pt idx="14">
                  <c:v>4</c:v>
                </c:pt>
                <c:pt idx="15">
                  <c:v>1</c:v>
                </c:pt>
                <c:pt idx="16">
                  <c:v>48</c:v>
                </c:pt>
                <c:pt idx="17">
                  <c:v>37</c:v>
                </c:pt>
                <c:pt idx="18">
                  <c:v>109</c:v>
                </c:pt>
                <c:pt idx="19">
                  <c:v>23</c:v>
                </c:pt>
                <c:pt idx="20">
                  <c:v>171</c:v>
                </c:pt>
                <c:pt idx="21">
                  <c:v>237</c:v>
                </c:pt>
                <c:pt idx="22">
                  <c:v>105</c:v>
                </c:pt>
                <c:pt idx="23">
                  <c:v>54</c:v>
                </c:pt>
                <c:pt idx="24">
                  <c:v>168</c:v>
                </c:pt>
                <c:pt idx="25">
                  <c:v>17</c:v>
                </c:pt>
                <c:pt idx="26">
                  <c:v>1653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D2-A647-97B9-AD14F20AD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8439971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1"/>
        <c:crosses val="autoZero"/>
        <c:auto val="0"/>
        <c:lblAlgn val="ctr"/>
        <c:lblOffset val="100"/>
        <c:tickLblSkip val="25"/>
        <c:tickMarkSkip val="1"/>
        <c:noMultiLvlLbl val="0"/>
      </c:catAx>
      <c:valAx>
        <c:axId val="1"/>
        <c:scaling>
          <c:orientation val="minMax"/>
          <c:max val="1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1843997104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  <c:min val="0"/>
        </c:scaling>
        <c:delete val="0"/>
        <c:axPos val="r"/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55 Helvetica Roman"/>
                <a:ea typeface="55 Helvetica Roman"/>
                <a:cs typeface="55 Helvetica Roman"/>
              </a:defRPr>
            </a:pPr>
            <a:endParaRPr lang="de-DE"/>
          </a:p>
        </c:txPr>
        <c:crossAx val="3"/>
        <c:crosses val="max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55 Helvetica Roman"/>
              <a:ea typeface="55 Helvetica Roman"/>
              <a:cs typeface="55 Helvetica Roman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232</xdr:row>
      <xdr:rowOff>0</xdr:rowOff>
    </xdr:from>
    <xdr:to>
      <xdr:col>5</xdr:col>
      <xdr:colOff>317500</xdr:colOff>
      <xdr:row>260</xdr:row>
      <xdr:rowOff>101600</xdr:rowOff>
    </xdr:to>
    <xdr:graphicFrame macro="">
      <xdr:nvGraphicFramePr>
        <xdr:cNvPr id="4097" name="Diagramm 1">
          <a:extLst>
            <a:ext uri="{FF2B5EF4-FFF2-40B4-BE49-F238E27FC236}">
              <a16:creationId xmlns:a16="http://schemas.microsoft.com/office/drawing/2014/main" id="{1E0C82BF-2898-F121-FFF7-BC0B3E71C9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101600</xdr:colOff>
      <xdr:row>232</xdr:row>
      <xdr:rowOff>12700</xdr:rowOff>
    </xdr:from>
    <xdr:to>
      <xdr:col>14</xdr:col>
      <xdr:colOff>393700</xdr:colOff>
      <xdr:row>261</xdr:row>
      <xdr:rowOff>25400</xdr:rowOff>
    </xdr:to>
    <xdr:graphicFrame macro="">
      <xdr:nvGraphicFramePr>
        <xdr:cNvPr id="4098" name="Diagramm 2">
          <a:extLst>
            <a:ext uri="{FF2B5EF4-FFF2-40B4-BE49-F238E27FC236}">
              <a16:creationId xmlns:a16="http://schemas.microsoft.com/office/drawing/2014/main" id="{C5B63E6D-2374-560F-12E3-0F151C7E7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263</xdr:row>
      <xdr:rowOff>0</xdr:rowOff>
    </xdr:from>
    <xdr:to>
      <xdr:col>5</xdr:col>
      <xdr:colOff>317500</xdr:colOff>
      <xdr:row>287</xdr:row>
      <xdr:rowOff>76200</xdr:rowOff>
    </xdr:to>
    <xdr:graphicFrame macro="">
      <xdr:nvGraphicFramePr>
        <xdr:cNvPr id="4099" name="Diagramm 3">
          <a:extLst>
            <a:ext uri="{FF2B5EF4-FFF2-40B4-BE49-F238E27FC236}">
              <a16:creationId xmlns:a16="http://schemas.microsoft.com/office/drawing/2014/main" id="{8E0F2137-667C-9548-FFE7-BD145B8A8A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263</xdr:row>
      <xdr:rowOff>0</xdr:rowOff>
    </xdr:from>
    <xdr:to>
      <xdr:col>14</xdr:col>
      <xdr:colOff>444500</xdr:colOff>
      <xdr:row>287</xdr:row>
      <xdr:rowOff>88900</xdr:rowOff>
    </xdr:to>
    <xdr:graphicFrame macro="">
      <xdr:nvGraphicFramePr>
        <xdr:cNvPr id="4100" name="Diagramm 4">
          <a:extLst>
            <a:ext uri="{FF2B5EF4-FFF2-40B4-BE49-F238E27FC236}">
              <a16:creationId xmlns:a16="http://schemas.microsoft.com/office/drawing/2014/main" id="{0BF9EDE5-8DF0-5E36-644D-7F1B86FB9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60</xdr:row>
      <xdr:rowOff>88900</xdr:rowOff>
    </xdr:from>
    <xdr:to>
      <xdr:col>14</xdr:col>
      <xdr:colOff>0</xdr:colOff>
      <xdr:row>80</xdr:row>
      <xdr:rowOff>50800</xdr:rowOff>
    </xdr:to>
    <xdr:graphicFrame macro="">
      <xdr:nvGraphicFramePr>
        <xdr:cNvPr id="14337" name="Diagramm 1">
          <a:extLst>
            <a:ext uri="{FF2B5EF4-FFF2-40B4-BE49-F238E27FC236}">
              <a16:creationId xmlns:a16="http://schemas.microsoft.com/office/drawing/2014/main" id="{4555284C-718B-10CB-9EC0-17382B08DE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393700</xdr:colOff>
      <xdr:row>24</xdr:row>
      <xdr:rowOff>152400</xdr:rowOff>
    </xdr:from>
    <xdr:to>
      <xdr:col>31</xdr:col>
      <xdr:colOff>76200</xdr:colOff>
      <xdr:row>45</xdr:row>
      <xdr:rowOff>139700</xdr:rowOff>
    </xdr:to>
    <xdr:graphicFrame macro="">
      <xdr:nvGraphicFramePr>
        <xdr:cNvPr id="14338" name="Diagramm 2">
          <a:extLst>
            <a:ext uri="{FF2B5EF4-FFF2-40B4-BE49-F238E27FC236}">
              <a16:creationId xmlns:a16="http://schemas.microsoft.com/office/drawing/2014/main" id="{A8DE5A4D-1674-DD77-954B-B19B9D437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61</xdr:row>
      <xdr:rowOff>88900</xdr:rowOff>
    </xdr:from>
    <xdr:to>
      <xdr:col>14</xdr:col>
      <xdr:colOff>0</xdr:colOff>
      <xdr:row>80</xdr:row>
      <xdr:rowOff>50800</xdr:rowOff>
    </xdr:to>
    <xdr:graphicFrame macro="">
      <xdr:nvGraphicFramePr>
        <xdr:cNvPr id="16385" name="Diagramm 1">
          <a:extLst>
            <a:ext uri="{FF2B5EF4-FFF2-40B4-BE49-F238E27FC236}">
              <a16:creationId xmlns:a16="http://schemas.microsoft.com/office/drawing/2014/main" id="{89EBD4EE-48E2-51F7-5900-5ECE878A1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393700</xdr:colOff>
      <xdr:row>24</xdr:row>
      <xdr:rowOff>152400</xdr:rowOff>
    </xdr:from>
    <xdr:to>
      <xdr:col>31</xdr:col>
      <xdr:colOff>76200</xdr:colOff>
      <xdr:row>45</xdr:row>
      <xdr:rowOff>139700</xdr:rowOff>
    </xdr:to>
    <xdr:graphicFrame macro="">
      <xdr:nvGraphicFramePr>
        <xdr:cNvPr id="16386" name="Diagramm 2">
          <a:extLst>
            <a:ext uri="{FF2B5EF4-FFF2-40B4-BE49-F238E27FC236}">
              <a16:creationId xmlns:a16="http://schemas.microsoft.com/office/drawing/2014/main" id="{03B5FA30-0408-6A86-3B17-1F7EDC56C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45</xdr:row>
      <xdr:rowOff>0</xdr:rowOff>
    </xdr:from>
    <xdr:to>
      <xdr:col>10</xdr:col>
      <xdr:colOff>0</xdr:colOff>
      <xdr:row>45</xdr:row>
      <xdr:rowOff>0</xdr:rowOff>
    </xdr:to>
    <xdr:graphicFrame macro="">
      <xdr:nvGraphicFramePr>
        <xdr:cNvPr id="18433" name="Diagramm 1">
          <a:extLst>
            <a:ext uri="{FF2B5EF4-FFF2-40B4-BE49-F238E27FC236}">
              <a16:creationId xmlns:a16="http://schemas.microsoft.com/office/drawing/2014/main" id="{C47FAE75-4E70-CCE7-0902-1DD64C251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12700</xdr:colOff>
      <xdr:row>45</xdr:row>
      <xdr:rowOff>0</xdr:rowOff>
    </xdr:from>
    <xdr:to>
      <xdr:col>21</xdr:col>
      <xdr:colOff>0</xdr:colOff>
      <xdr:row>45</xdr:row>
      <xdr:rowOff>0</xdr:rowOff>
    </xdr:to>
    <xdr:graphicFrame macro="">
      <xdr:nvGraphicFramePr>
        <xdr:cNvPr id="18434" name="Diagramm 2">
          <a:extLst>
            <a:ext uri="{FF2B5EF4-FFF2-40B4-BE49-F238E27FC236}">
              <a16:creationId xmlns:a16="http://schemas.microsoft.com/office/drawing/2014/main" id="{B1CBD94A-9A37-E09C-BA38-A42C8C048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_1_inpu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0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0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0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0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0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1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1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1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13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1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1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1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1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1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2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2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2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2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2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2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2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27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28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29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30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3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3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33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34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35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36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37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38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39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40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4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42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143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_2_input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20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20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203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204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2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206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20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208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209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210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21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3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302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303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304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305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306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_3_input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307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308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309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4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_4_inpu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402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403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Siffert/stat%20LAMal/_0-9%20Rapport%20final%20complet/2001_new%20method_160403/KV_4_input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Siffert/stat%20LAMal/_0-9%20Rapport%20final%20complet/2001_new%20method_160403/KV404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405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406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407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408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Siffert/stat%20LAMal/_0-9%20Rapport%20final%20complet/2001_new%20method_180303/KV_4_inpu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Siffert/stat%20LAMal/_0-9%20Rapport%20final%20complet/2001_new%20method_180303/KV409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410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_5_input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60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_6_input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60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603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604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605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606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70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_7_input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702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703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704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705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801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_8_input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802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803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804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805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806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807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808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809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810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901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_9_input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902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903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904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905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906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907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908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909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910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911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912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913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914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915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916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917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ag.admin.ch/kv/statistik/f/doc/KV9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>
            <v>118</v>
          </cell>
          <cell r="C7">
            <v>15</v>
          </cell>
          <cell r="D7">
            <v>22</v>
          </cell>
          <cell r="E7">
            <v>8</v>
          </cell>
          <cell r="F7">
            <v>13</v>
          </cell>
          <cell r="G7">
            <v>2</v>
          </cell>
          <cell r="H7">
            <v>178</v>
          </cell>
          <cell r="I7">
            <v>-2.7E-2</v>
          </cell>
        </row>
        <row r="8">
          <cell r="A8">
            <v>1995</v>
          </cell>
          <cell r="B8">
            <v>106</v>
          </cell>
          <cell r="C8">
            <v>15</v>
          </cell>
          <cell r="D8">
            <v>20</v>
          </cell>
          <cell r="E8">
            <v>8</v>
          </cell>
          <cell r="F8">
            <v>15</v>
          </cell>
          <cell r="G8">
            <v>2</v>
          </cell>
          <cell r="H8">
            <v>166</v>
          </cell>
          <cell r="I8">
            <v>-6.741573033707865E-2</v>
          </cell>
        </row>
        <row r="9">
          <cell r="A9">
            <v>1996</v>
          </cell>
          <cell r="B9">
            <v>90</v>
          </cell>
          <cell r="C9">
            <v>14</v>
          </cell>
          <cell r="D9">
            <v>20</v>
          </cell>
          <cell r="E9">
            <v>6</v>
          </cell>
          <cell r="F9">
            <v>12</v>
          </cell>
          <cell r="G9">
            <v>3</v>
          </cell>
          <cell r="H9">
            <v>145</v>
          </cell>
          <cell r="I9">
            <v>-0.12650602409638553</v>
          </cell>
        </row>
        <row r="10">
          <cell r="A10">
            <v>1997</v>
          </cell>
          <cell r="B10">
            <v>76</v>
          </cell>
          <cell r="C10">
            <v>14</v>
          </cell>
          <cell r="D10">
            <v>20</v>
          </cell>
          <cell r="E10">
            <v>4</v>
          </cell>
          <cell r="F10">
            <v>11</v>
          </cell>
          <cell r="G10">
            <v>4</v>
          </cell>
          <cell r="H10">
            <v>129</v>
          </cell>
          <cell r="I10">
            <v>-0.1103448275862069</v>
          </cell>
        </row>
        <row r="11">
          <cell r="A11">
            <v>1998</v>
          </cell>
          <cell r="B11">
            <v>64</v>
          </cell>
          <cell r="C11">
            <v>13</v>
          </cell>
          <cell r="D11">
            <v>21</v>
          </cell>
          <cell r="E11">
            <v>6</v>
          </cell>
          <cell r="F11">
            <v>10</v>
          </cell>
          <cell r="G11">
            <v>4</v>
          </cell>
          <cell r="H11">
            <v>118</v>
          </cell>
          <cell r="I11">
            <v>-8.5271317829457363E-2</v>
          </cell>
        </row>
        <row r="12">
          <cell r="A12">
            <v>1999</v>
          </cell>
          <cell r="B12">
            <v>56</v>
          </cell>
          <cell r="C12">
            <v>12</v>
          </cell>
          <cell r="D12">
            <v>19</v>
          </cell>
          <cell r="E12">
            <v>8</v>
          </cell>
          <cell r="F12">
            <v>10</v>
          </cell>
          <cell r="G12">
            <v>4</v>
          </cell>
          <cell r="H12">
            <v>109</v>
          </cell>
          <cell r="I12">
            <v>-7.6271186440677971E-2</v>
          </cell>
        </row>
        <row r="13">
          <cell r="A13">
            <v>2000</v>
          </cell>
          <cell r="B13">
            <v>48</v>
          </cell>
          <cell r="C13">
            <v>11</v>
          </cell>
          <cell r="D13">
            <v>19</v>
          </cell>
          <cell r="E13">
            <v>9</v>
          </cell>
          <cell r="F13">
            <v>10</v>
          </cell>
          <cell r="G13">
            <v>4</v>
          </cell>
          <cell r="H13">
            <v>101</v>
          </cell>
          <cell r="I13">
            <v>-7.3394495412844041E-2</v>
          </cell>
        </row>
        <row r="14">
          <cell r="A14">
            <v>2001</v>
          </cell>
          <cell r="B14">
            <v>43</v>
          </cell>
          <cell r="C14">
            <v>9</v>
          </cell>
          <cell r="D14">
            <v>23</v>
          </cell>
          <cell r="E14">
            <v>9</v>
          </cell>
          <cell r="F14">
            <v>11</v>
          </cell>
          <cell r="G14">
            <v>4</v>
          </cell>
          <cell r="H14">
            <v>99</v>
          </cell>
          <cell r="I14">
            <v>-1.9801980198019802E-2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an-1"/>
    </sheetNames>
    <sheetDataSet>
      <sheetData sheetId="0">
        <row r="2">
          <cell r="B2">
            <v>2001</v>
          </cell>
          <cell r="D2" t="str">
            <v>Datenstand: 6.11.02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>
            <v>2823406</v>
          </cell>
          <cell r="C7">
            <v>2989156</v>
          </cell>
          <cell r="D7">
            <v>5812562</v>
          </cell>
          <cell r="E7">
            <v>1318941</v>
          </cell>
          <cell r="F7">
            <v>7131503</v>
          </cell>
          <cell r="G7">
            <v>1.06143763063733E-2</v>
          </cell>
        </row>
        <row r="8">
          <cell r="A8">
            <v>1995</v>
          </cell>
          <cell r="B8">
            <v>2833617</v>
          </cell>
          <cell r="C8">
            <v>3003950</v>
          </cell>
          <cell r="D8">
            <v>5837567</v>
          </cell>
          <cell r="E8">
            <v>1325772</v>
          </cell>
          <cell r="F8">
            <v>7163339</v>
          </cell>
          <cell r="G8">
            <v>4.4641361014641657E-3</v>
          </cell>
        </row>
        <row r="9">
          <cell r="A9">
            <v>1996</v>
          </cell>
          <cell r="B9">
            <v>2760146</v>
          </cell>
          <cell r="C9">
            <v>2938608</v>
          </cell>
          <cell r="D9">
            <v>5698754</v>
          </cell>
          <cell r="E9">
            <v>1496000</v>
          </cell>
          <cell r="F9">
            <v>7194754</v>
          </cell>
          <cell r="G9">
            <v>4.3855246833913626E-3</v>
          </cell>
        </row>
        <row r="10">
          <cell r="A10">
            <v>1997</v>
          </cell>
          <cell r="B10">
            <v>2725064</v>
          </cell>
          <cell r="C10">
            <v>2902973</v>
          </cell>
          <cell r="D10">
            <v>5628037</v>
          </cell>
          <cell r="E10">
            <v>1586768</v>
          </cell>
          <cell r="F10">
            <v>7214805</v>
          </cell>
          <cell r="G10">
            <v>2.7868916713483186E-3</v>
          </cell>
        </row>
        <row r="11">
          <cell r="A11">
            <v>1998</v>
          </cell>
          <cell r="B11">
            <v>2736949</v>
          </cell>
          <cell r="C11">
            <v>2915969</v>
          </cell>
          <cell r="D11">
            <v>5652918</v>
          </cell>
          <cell r="E11">
            <v>1595685</v>
          </cell>
          <cell r="F11">
            <v>7248603</v>
          </cell>
          <cell r="G11">
            <v>4.6845340934370365E-3</v>
          </cell>
        </row>
        <row r="12">
          <cell r="A12">
            <v>1999</v>
          </cell>
          <cell r="B12">
            <v>2741177</v>
          </cell>
          <cell r="C12">
            <v>2926032</v>
          </cell>
          <cell r="D12">
            <v>5667209</v>
          </cell>
          <cell r="E12">
            <v>1599325</v>
          </cell>
          <cell r="F12">
            <v>7266534</v>
          </cell>
          <cell r="G12">
            <v>2.4737180391863093E-3</v>
          </cell>
        </row>
        <row r="13">
          <cell r="A13">
            <v>2000</v>
          </cell>
          <cell r="B13">
            <v>2746615</v>
          </cell>
          <cell r="C13">
            <v>2936748</v>
          </cell>
          <cell r="D13">
            <v>5683363</v>
          </cell>
          <cell r="E13">
            <v>1584748</v>
          </cell>
          <cell r="F13">
            <v>7268111</v>
          </cell>
          <cell r="G13">
            <v>2.1702231077429761E-4</v>
          </cell>
        </row>
        <row r="14">
          <cell r="A14">
            <v>2001</v>
          </cell>
          <cell r="B14">
            <v>2775829</v>
          </cell>
          <cell r="C14">
            <v>2962533</v>
          </cell>
          <cell r="D14">
            <v>5738362</v>
          </cell>
          <cell r="E14">
            <v>1582925</v>
          </cell>
          <cell r="F14">
            <v>7321287</v>
          </cell>
          <cell r="G14">
            <v>7.3163439578729601E-3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4">
          <cell r="B4">
            <v>481873</v>
          </cell>
          <cell r="C4">
            <v>514815</v>
          </cell>
          <cell r="D4">
            <v>245165</v>
          </cell>
          <cell r="E4">
            <v>1241853</v>
          </cell>
          <cell r="F4">
            <v>1.2426107380416385E-2</v>
          </cell>
        </row>
        <row r="5">
          <cell r="B5">
            <v>362543</v>
          </cell>
          <cell r="C5">
            <v>393538</v>
          </cell>
          <cell r="D5">
            <v>197732</v>
          </cell>
          <cell r="E5">
            <v>953813</v>
          </cell>
          <cell r="F5">
            <v>1.2828170746941314E-3</v>
          </cell>
        </row>
        <row r="6">
          <cell r="B6">
            <v>132297</v>
          </cell>
          <cell r="C6">
            <v>139322</v>
          </cell>
          <cell r="D6">
            <v>83420</v>
          </cell>
          <cell r="E6">
            <v>355039</v>
          </cell>
          <cell r="F6">
            <v>5.7220716165418128E-3</v>
          </cell>
        </row>
        <row r="7">
          <cell r="B7">
            <v>13595</v>
          </cell>
          <cell r="C7">
            <v>13696</v>
          </cell>
          <cell r="D7">
            <v>8251</v>
          </cell>
          <cell r="E7">
            <v>35542</v>
          </cell>
          <cell r="F7">
            <v>-3.2810791104630477E-3</v>
          </cell>
        </row>
        <row r="8">
          <cell r="B8">
            <v>50248</v>
          </cell>
          <cell r="C8">
            <v>49939</v>
          </cell>
          <cell r="D8">
            <v>31555</v>
          </cell>
          <cell r="E8">
            <v>131742</v>
          </cell>
          <cell r="F8">
            <v>1.3283082721224471E-2</v>
          </cell>
        </row>
        <row r="9">
          <cell r="B9">
            <v>12667</v>
          </cell>
          <cell r="C9">
            <v>12685</v>
          </cell>
          <cell r="D9">
            <v>8218</v>
          </cell>
          <cell r="E9">
            <v>33570</v>
          </cell>
          <cell r="F9">
            <v>9.0777924732474702E-3</v>
          </cell>
        </row>
        <row r="10">
          <cell r="B10">
            <v>14821</v>
          </cell>
          <cell r="C10">
            <v>14667</v>
          </cell>
          <cell r="D10">
            <v>8682</v>
          </cell>
          <cell r="E10">
            <v>38170</v>
          </cell>
          <cell r="F10">
            <v>1.2493700098145766E-2</v>
          </cell>
        </row>
        <row r="11">
          <cell r="B11">
            <v>14434</v>
          </cell>
          <cell r="C11">
            <v>15146</v>
          </cell>
          <cell r="D11">
            <v>9039</v>
          </cell>
          <cell r="E11">
            <v>38619</v>
          </cell>
          <cell r="F11">
            <v>-2.7887520334650695E-3</v>
          </cell>
        </row>
        <row r="12">
          <cell r="B12">
            <v>39226</v>
          </cell>
          <cell r="C12">
            <v>39706</v>
          </cell>
          <cell r="D12">
            <v>21572</v>
          </cell>
          <cell r="E12">
            <v>100504</v>
          </cell>
          <cell r="F12">
            <v>1.1798816091491249E-2</v>
          </cell>
        </row>
        <row r="13">
          <cell r="B13">
            <v>89670</v>
          </cell>
          <cell r="C13">
            <v>92762</v>
          </cell>
          <cell r="D13">
            <v>59175</v>
          </cell>
          <cell r="E13">
            <v>241607</v>
          </cell>
          <cell r="F13">
            <v>9.9951508260316402E-3</v>
          </cell>
        </row>
        <row r="14">
          <cell r="B14">
            <v>94022</v>
          </cell>
          <cell r="C14">
            <v>99075</v>
          </cell>
          <cell r="D14">
            <v>54269</v>
          </cell>
          <cell r="E14">
            <v>247366</v>
          </cell>
          <cell r="F14">
            <v>1.6602147751016982E-3</v>
          </cell>
        </row>
        <row r="15">
          <cell r="B15">
            <v>70530</v>
          </cell>
          <cell r="C15">
            <v>81460</v>
          </cell>
          <cell r="D15">
            <v>30364</v>
          </cell>
          <cell r="E15">
            <v>182354</v>
          </cell>
          <cell r="F15">
            <v>-9.6399806657289089E-3</v>
          </cell>
        </row>
        <row r="16">
          <cell r="B16">
            <v>101232</v>
          </cell>
          <cell r="C16">
            <v>107477</v>
          </cell>
          <cell r="D16">
            <v>53673</v>
          </cell>
          <cell r="E16">
            <v>262382</v>
          </cell>
          <cell r="F16">
            <v>4.6214224179190744E-3</v>
          </cell>
        </row>
        <row r="17">
          <cell r="B17">
            <v>27943</v>
          </cell>
          <cell r="C17">
            <v>30555</v>
          </cell>
          <cell r="D17">
            <v>15807</v>
          </cell>
          <cell r="E17">
            <v>74305</v>
          </cell>
          <cell r="F17">
            <v>-4.3047203949575508E-4</v>
          </cell>
        </row>
        <row r="18">
          <cell r="B18">
            <v>20010</v>
          </cell>
          <cell r="C18">
            <v>20967</v>
          </cell>
          <cell r="D18">
            <v>12996</v>
          </cell>
          <cell r="E18">
            <v>53973</v>
          </cell>
          <cell r="F18">
            <v>-4.0411868910540383E-3</v>
          </cell>
        </row>
        <row r="19">
          <cell r="B19">
            <v>5482</v>
          </cell>
          <cell r="C19">
            <v>5388</v>
          </cell>
          <cell r="D19">
            <v>4058</v>
          </cell>
          <cell r="E19">
            <v>14928</v>
          </cell>
          <cell r="F19">
            <v>1.0058338362501917E-3</v>
          </cell>
        </row>
        <row r="20">
          <cell r="B20">
            <v>169437</v>
          </cell>
          <cell r="C20">
            <v>177816</v>
          </cell>
          <cell r="D20">
            <v>109864</v>
          </cell>
          <cell r="E20">
            <v>457117</v>
          </cell>
          <cell r="F20">
            <v>5.3001163386532379E-3</v>
          </cell>
        </row>
        <row r="21">
          <cell r="B21">
            <v>75928</v>
          </cell>
          <cell r="C21">
            <v>77182</v>
          </cell>
          <cell r="D21">
            <v>40811</v>
          </cell>
          <cell r="E21">
            <v>193921</v>
          </cell>
          <cell r="F21">
            <v>-2.2484281583469157E-3</v>
          </cell>
        </row>
        <row r="22">
          <cell r="B22">
            <v>212583</v>
          </cell>
          <cell r="C22">
            <v>218692</v>
          </cell>
          <cell r="D22">
            <v>126849</v>
          </cell>
          <cell r="E22">
            <v>558124</v>
          </cell>
          <cell r="F22">
            <v>9.462969259819376E-3</v>
          </cell>
        </row>
        <row r="23">
          <cell r="B23">
            <v>84793</v>
          </cell>
          <cell r="C23">
            <v>87887</v>
          </cell>
          <cell r="D23">
            <v>57175</v>
          </cell>
          <cell r="E23">
            <v>229855</v>
          </cell>
          <cell r="F23">
            <v>2.8577661431063994E-3</v>
          </cell>
        </row>
        <row r="24">
          <cell r="B24">
            <v>119388</v>
          </cell>
          <cell r="C24">
            <v>134572</v>
          </cell>
          <cell r="D24">
            <v>58463</v>
          </cell>
          <cell r="E24">
            <v>312423</v>
          </cell>
          <cell r="F24">
            <v>5.0861852645396333E-3</v>
          </cell>
        </row>
        <row r="25">
          <cell r="B25">
            <v>232197</v>
          </cell>
          <cell r="C25">
            <v>256063</v>
          </cell>
          <cell r="D25">
            <v>140183</v>
          </cell>
          <cell r="E25">
            <v>628443</v>
          </cell>
          <cell r="F25">
            <v>1.0506360255278402E-2</v>
          </cell>
        </row>
        <row r="26">
          <cell r="B26">
            <v>107653</v>
          </cell>
          <cell r="C26">
            <v>112958</v>
          </cell>
          <cell r="D26">
            <v>63827</v>
          </cell>
          <cell r="E26">
            <v>284438</v>
          </cell>
          <cell r="F26">
            <v>5.9130164164007404E-3</v>
          </cell>
        </row>
        <row r="27">
          <cell r="B27">
            <v>62833</v>
          </cell>
          <cell r="C27">
            <v>68784</v>
          </cell>
          <cell r="D27">
            <v>36577</v>
          </cell>
          <cell r="E27">
            <v>168194</v>
          </cell>
          <cell r="F27">
            <v>3.1491178891367433E-3</v>
          </cell>
        </row>
        <row r="28">
          <cell r="B28">
            <v>144303</v>
          </cell>
          <cell r="C28">
            <v>162250</v>
          </cell>
          <cell r="D28">
            <v>83830</v>
          </cell>
          <cell r="E28">
            <v>390383</v>
          </cell>
          <cell r="F28">
            <v>1.255372293103485E-2</v>
          </cell>
        </row>
        <row r="29">
          <cell r="B29">
            <v>25906</v>
          </cell>
          <cell r="C29">
            <v>27485</v>
          </cell>
          <cell r="D29">
            <v>16442</v>
          </cell>
          <cell r="E29">
            <v>69833</v>
          </cell>
          <cell r="F29">
            <v>-3.6382833009930282E-3</v>
          </cell>
        </row>
        <row r="30">
          <cell r="B30">
            <v>2765614</v>
          </cell>
          <cell r="C30">
            <v>2954887</v>
          </cell>
          <cell r="D30">
            <v>1577997</v>
          </cell>
          <cell r="E30">
            <v>7298498</v>
          </cell>
          <cell r="F30">
            <v>6.4381168287641621E-3</v>
          </cell>
        </row>
        <row r="31">
          <cell r="B31">
            <v>10138</v>
          </cell>
          <cell r="C31">
            <v>7623</v>
          </cell>
          <cell r="D31">
            <v>4907</v>
          </cell>
          <cell r="E31">
            <v>22668</v>
          </cell>
          <cell r="F31">
            <v>0.40533168009919396</v>
          </cell>
        </row>
        <row r="32">
          <cell r="B32">
            <v>77</v>
          </cell>
          <cell r="C32">
            <v>23</v>
          </cell>
          <cell r="D32">
            <v>21</v>
          </cell>
          <cell r="E32">
            <v>121</v>
          </cell>
          <cell r="F32">
            <v>-0.29239766081871343</v>
          </cell>
        </row>
        <row r="33">
          <cell r="B33">
            <v>2775829</v>
          </cell>
          <cell r="C33">
            <v>2962533</v>
          </cell>
          <cell r="D33">
            <v>1582925</v>
          </cell>
          <cell r="E33">
            <v>7321287</v>
          </cell>
          <cell r="F33">
            <v>7.3163439578729506E-3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6">
          <cell r="B6">
            <v>240031</v>
          </cell>
          <cell r="C6">
            <v>3.2785355908052781E-2</v>
          </cell>
          <cell r="D6">
            <v>227249</v>
          </cell>
          <cell r="E6">
            <v>3.1039488002587524E-2</v>
          </cell>
          <cell r="F6">
            <v>467280</v>
          </cell>
          <cell r="G6">
            <v>6.3824843910640305E-2</v>
          </cell>
        </row>
        <row r="7">
          <cell r="B7">
            <v>220523</v>
          </cell>
          <cell r="C7">
            <v>3.0120797067510124E-2</v>
          </cell>
          <cell r="D7">
            <v>210438</v>
          </cell>
          <cell r="E7">
            <v>2.8743307016922025E-2</v>
          </cell>
          <cell r="F7">
            <v>430961</v>
          </cell>
          <cell r="G7">
            <v>5.8864104084432149E-2</v>
          </cell>
        </row>
        <row r="8">
          <cell r="B8">
            <v>221246</v>
          </cell>
          <cell r="C8">
            <v>3.0219550196570629E-2</v>
          </cell>
          <cell r="D8">
            <v>211549</v>
          </cell>
          <cell r="E8">
            <v>2.8895056292698264E-2</v>
          </cell>
          <cell r="F8">
            <v>432795</v>
          </cell>
          <cell r="G8">
            <v>5.9114606489268896E-2</v>
          </cell>
        </row>
        <row r="9">
          <cell r="B9">
            <v>129625</v>
          </cell>
          <cell r="C9">
            <v>1.7705220407286313E-2</v>
          </cell>
          <cell r="D9">
            <v>122264</v>
          </cell>
          <cell r="E9">
            <v>1.6699796087764351E-2</v>
          </cell>
          <cell r="F9">
            <v>251889</v>
          </cell>
          <cell r="G9">
            <v>3.4405016495050664E-2</v>
          </cell>
        </row>
        <row r="10">
          <cell r="B10">
            <v>811425</v>
          </cell>
          <cell r="C10">
            <v>0.11083092357941984</v>
          </cell>
          <cell r="D10">
            <v>771500</v>
          </cell>
          <cell r="E10">
            <v>0.10537764739997216</v>
          </cell>
          <cell r="F10">
            <v>1582925</v>
          </cell>
          <cell r="G10">
            <v>0.216208570979392</v>
          </cell>
        </row>
        <row r="11">
          <cell r="B11">
            <v>87803</v>
          </cell>
          <cell r="C11">
            <v>1.1992836778560927E-2</v>
          </cell>
          <cell r="D11">
            <v>83700</v>
          </cell>
          <cell r="E11">
            <v>1.1432416185842734E-2</v>
          </cell>
          <cell r="F11">
            <v>171503</v>
          </cell>
          <cell r="G11">
            <v>2.3425252964403662E-2</v>
          </cell>
        </row>
        <row r="12">
          <cell r="B12">
            <v>221409</v>
          </cell>
          <cell r="C12">
            <v>3.0241814041711518E-2</v>
          </cell>
          <cell r="D12">
            <v>216475</v>
          </cell>
          <cell r="E12">
            <v>2.9567888815176895E-2</v>
          </cell>
          <cell r="F12">
            <v>437884</v>
          </cell>
          <cell r="G12">
            <v>5.9809702856888414E-2</v>
          </cell>
        </row>
        <row r="13">
          <cell r="B13">
            <v>247965</v>
          </cell>
          <cell r="C13">
            <v>3.3869045155585351E-2</v>
          </cell>
          <cell r="D13">
            <v>247665</v>
          </cell>
          <cell r="E13">
            <v>3.3828068753485555E-2</v>
          </cell>
          <cell r="F13">
            <v>495630</v>
          </cell>
          <cell r="G13">
            <v>6.7697113909070905E-2</v>
          </cell>
        </row>
        <row r="14">
          <cell r="B14">
            <v>298179</v>
          </cell>
          <cell r="C14">
            <v>4.0727675339048995E-2</v>
          </cell>
          <cell r="D14">
            <v>299069</v>
          </cell>
          <cell r="E14">
            <v>4.0849238665278384E-2</v>
          </cell>
          <cell r="F14">
            <v>597248</v>
          </cell>
          <cell r="G14">
            <v>8.1576914004327386E-2</v>
          </cell>
        </row>
        <row r="15">
          <cell r="B15">
            <v>319749</v>
          </cell>
          <cell r="C15">
            <v>4.3673878650024235E-2</v>
          </cell>
          <cell r="D15">
            <v>312583</v>
          </cell>
          <cell r="E15">
            <v>4.2695088991867143E-2</v>
          </cell>
          <cell r="F15">
            <v>632332</v>
          </cell>
          <cell r="G15">
            <v>8.6368967641891378E-2</v>
          </cell>
        </row>
        <row r="16">
          <cell r="B16">
            <v>287281</v>
          </cell>
          <cell r="C16">
            <v>3.9239139238770454E-2</v>
          </cell>
          <cell r="D16">
            <v>278805</v>
          </cell>
          <cell r="E16">
            <v>3.8081419291444249E-2</v>
          </cell>
          <cell r="F16">
            <v>566086</v>
          </cell>
          <cell r="G16">
            <v>7.7320558530214703E-2</v>
          </cell>
        </row>
        <row r="17">
          <cell r="B17">
            <v>252968</v>
          </cell>
          <cell r="C17">
            <v>3.4552394954602925E-2</v>
          </cell>
          <cell r="D17">
            <v>249586</v>
          </cell>
          <cell r="E17">
            <v>3.409045431493124E-2</v>
          </cell>
          <cell r="F17">
            <v>502554</v>
          </cell>
          <cell r="G17">
            <v>6.8642849269534165E-2</v>
          </cell>
        </row>
        <row r="18">
          <cell r="B18">
            <v>246989</v>
          </cell>
          <cell r="C18">
            <v>3.3735735260754018E-2</v>
          </cell>
          <cell r="D18">
            <v>244836</v>
          </cell>
          <cell r="E18">
            <v>3.3441661281684493E-2</v>
          </cell>
          <cell r="F18">
            <v>491825</v>
          </cell>
          <cell r="G18">
            <v>6.7177396542438511E-2</v>
          </cell>
        </row>
        <row r="19">
          <cell r="B19">
            <v>218715</v>
          </cell>
          <cell r="C19">
            <v>2.9873845950855363E-2</v>
          </cell>
          <cell r="D19">
            <v>219774</v>
          </cell>
          <cell r="E19">
            <v>3.0018492650267636E-2</v>
          </cell>
          <cell r="F19">
            <v>438489</v>
          </cell>
          <cell r="G19">
            <v>5.9892338601123002E-2</v>
          </cell>
        </row>
        <row r="20">
          <cell r="B20">
            <v>166098</v>
          </cell>
          <cell r="C20">
            <v>2.2686994786572361E-2</v>
          </cell>
          <cell r="D20">
            <v>179287</v>
          </cell>
          <cell r="E20">
            <v>2.4488454010886337E-2</v>
          </cell>
          <cell r="F20">
            <v>345385</v>
          </cell>
          <cell r="G20">
            <v>4.7175448797458698E-2</v>
          </cell>
        </row>
        <row r="21">
          <cell r="B21">
            <v>2347156</v>
          </cell>
          <cell r="C21">
            <v>0.32059336015648615</v>
          </cell>
          <cell r="D21">
            <v>2331780</v>
          </cell>
          <cell r="E21">
            <v>0.31849318296086465</v>
          </cell>
          <cell r="F21">
            <v>4678936</v>
          </cell>
          <cell r="G21">
            <v>0.6390865431173508</v>
          </cell>
        </row>
        <row r="22">
          <cell r="B22">
            <v>142110</v>
          </cell>
          <cell r="C22">
            <v>1.9410521674672773E-2</v>
          </cell>
          <cell r="D22">
            <v>166458</v>
          </cell>
          <cell r="E22">
            <v>2.2736166469092114E-2</v>
          </cell>
          <cell r="F22">
            <v>308568</v>
          </cell>
          <cell r="G22">
            <v>4.214668814376489E-2</v>
          </cell>
        </row>
        <row r="23">
          <cell r="B23">
            <v>114636</v>
          </cell>
          <cell r="C23">
            <v>1.5657902770373568E-2</v>
          </cell>
          <cell r="D23">
            <v>153077</v>
          </cell>
          <cell r="E23">
            <v>2.0908482347434268E-2</v>
          </cell>
          <cell r="F23">
            <v>267713</v>
          </cell>
          <cell r="G23">
            <v>3.656638511780784E-2</v>
          </cell>
        </row>
        <row r="24">
          <cell r="B24">
            <v>86896</v>
          </cell>
          <cell r="C24">
            <v>1.1868951456212548E-2</v>
          </cell>
          <cell r="D24">
            <v>133731</v>
          </cell>
          <cell r="E24">
            <v>1.8266050764025505E-2</v>
          </cell>
          <cell r="F24">
            <v>220627</v>
          </cell>
          <cell r="G24">
            <v>3.0135002220238054E-2</v>
          </cell>
        </row>
        <row r="25">
          <cell r="B25">
            <v>50642</v>
          </cell>
          <cell r="C25">
            <v>6.9170898504593526E-3</v>
          </cell>
          <cell r="D25">
            <v>90063</v>
          </cell>
          <cell r="E25">
            <v>1.2301525674379381E-2</v>
          </cell>
          <cell r="F25">
            <v>140705</v>
          </cell>
          <cell r="G25">
            <v>1.9218615524838733E-2</v>
          </cell>
        </row>
        <row r="26">
          <cell r="B26">
            <v>25363</v>
          </cell>
          <cell r="C26">
            <v>3.4642816215236473E-3</v>
          </cell>
          <cell r="D26">
            <v>58932</v>
          </cell>
          <cell r="E26">
            <v>8.0494044284836804E-3</v>
          </cell>
          <cell r="F26">
            <v>84295</v>
          </cell>
          <cell r="G26">
            <v>1.1513686050007329E-2</v>
          </cell>
        </row>
        <row r="27">
          <cell r="B27">
            <v>7775</v>
          </cell>
          <cell r="C27">
            <v>1.0619717544196807E-3</v>
          </cell>
          <cell r="D27">
            <v>23533</v>
          </cell>
          <cell r="E27">
            <v>3.2143255687148995E-3</v>
          </cell>
          <cell r="F27">
            <v>31308</v>
          </cell>
          <cell r="G27">
            <v>4.2762973231345799E-3</v>
          </cell>
        </row>
        <row r="28">
          <cell r="B28">
            <v>1003</v>
          </cell>
          <cell r="C28">
            <v>1.3699777102031379E-4</v>
          </cell>
          <cell r="D28">
            <v>4420</v>
          </cell>
          <cell r="E28">
            <v>6.0371899093697597E-4</v>
          </cell>
          <cell r="F28">
            <v>5423</v>
          </cell>
          <cell r="G28">
            <v>7.4071676195728979E-4</v>
          </cell>
        </row>
        <row r="29">
          <cell r="B29">
            <v>69</v>
          </cell>
          <cell r="C29">
            <v>9.4245724829527921E-6</v>
          </cell>
          <cell r="D29">
            <v>415</v>
          </cell>
          <cell r="E29">
            <v>5.6684022904716069E-5</v>
          </cell>
          <cell r="F29">
            <v>484</v>
          </cell>
          <cell r="G29">
            <v>6.6108595387668866E-5</v>
          </cell>
        </row>
        <row r="30">
          <cell r="B30">
            <v>428494</v>
          </cell>
          <cell r="C30">
            <v>5.8527141471164834E-2</v>
          </cell>
          <cell r="D30">
            <v>630629</v>
          </cell>
          <cell r="E30">
            <v>8.6136358265971547E-2</v>
          </cell>
          <cell r="F30">
            <v>1059123</v>
          </cell>
          <cell r="G30">
            <v>0.14466349973713638</v>
          </cell>
        </row>
        <row r="31">
          <cell r="B31">
            <v>179</v>
          </cell>
          <cell r="C31">
            <v>2.4449253252877534E-5</v>
          </cell>
          <cell r="D31">
            <v>124</v>
          </cell>
          <cell r="E31">
            <v>1.6936912867915162E-5</v>
          </cell>
          <cell r="F31">
            <v>303</v>
          </cell>
          <cell r="G31">
            <v>4.1386166120792699E-5</v>
          </cell>
        </row>
        <row r="32">
          <cell r="B32">
            <v>3587254</v>
          </cell>
          <cell r="C32">
            <v>0.4899758744603237</v>
          </cell>
          <cell r="D32">
            <v>3734033</v>
          </cell>
          <cell r="E32">
            <v>0.51002412553967624</v>
          </cell>
          <cell r="F32">
            <v>7321287</v>
          </cell>
          <cell r="G32">
            <v>1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>
            <v>6447562</v>
          </cell>
          <cell r="C7">
            <v>643991</v>
          </cell>
          <cell r="D7">
            <v>15298</v>
          </cell>
          <cell r="E7">
            <v>24802</v>
          </cell>
          <cell r="F7">
            <v>7131653</v>
          </cell>
          <cell r="G7">
            <v>1.06143763063733E-2</v>
          </cell>
        </row>
        <row r="8">
          <cell r="A8">
            <v>1995</v>
          </cell>
          <cell r="B8">
            <v>6399482</v>
          </cell>
          <cell r="C8">
            <v>698747</v>
          </cell>
          <cell r="D8">
            <v>32705</v>
          </cell>
          <cell r="E8">
            <v>35383</v>
          </cell>
          <cell r="F8">
            <v>7166317</v>
          </cell>
          <cell r="G8">
            <v>4.8605842151882598E-3</v>
          </cell>
        </row>
        <row r="9">
          <cell r="A9">
            <v>1996</v>
          </cell>
          <cell r="B9">
            <v>4739640</v>
          </cell>
          <cell r="C9">
            <v>2305688</v>
          </cell>
          <cell r="D9">
            <v>27828</v>
          </cell>
          <cell r="E9">
            <v>121598</v>
          </cell>
          <cell r="F9">
            <v>7194754</v>
          </cell>
          <cell r="G9">
            <v>3.9681470970374319E-3</v>
          </cell>
        </row>
        <row r="10">
          <cell r="A10">
            <v>1997</v>
          </cell>
          <cell r="B10">
            <v>4083854</v>
          </cell>
          <cell r="C10">
            <v>2736364</v>
          </cell>
          <cell r="D10">
            <v>11494</v>
          </cell>
          <cell r="E10">
            <v>383093</v>
          </cell>
          <cell r="F10">
            <v>7214805</v>
          </cell>
          <cell r="G10">
            <v>2.7868916713483186E-3</v>
          </cell>
        </row>
        <row r="11">
          <cell r="A11">
            <v>1998</v>
          </cell>
          <cell r="B11">
            <v>4016267</v>
          </cell>
          <cell r="C11">
            <v>2726468</v>
          </cell>
          <cell r="D11">
            <v>11828</v>
          </cell>
          <cell r="E11">
            <v>494040</v>
          </cell>
          <cell r="F11">
            <v>7248603</v>
          </cell>
          <cell r="G11">
            <v>4.6845340934370365E-3</v>
          </cell>
        </row>
        <row r="12">
          <cell r="A12">
            <v>1999</v>
          </cell>
          <cell r="B12">
            <v>3998744</v>
          </cell>
          <cell r="C12">
            <v>2715642</v>
          </cell>
          <cell r="D12">
            <v>10258</v>
          </cell>
          <cell r="E12">
            <v>541890</v>
          </cell>
          <cell r="F12">
            <v>7266534</v>
          </cell>
          <cell r="G12">
            <v>2.4737180391863093E-3</v>
          </cell>
        </row>
        <row r="13">
          <cell r="A13">
            <v>2000</v>
          </cell>
          <cell r="B13">
            <v>3921920</v>
          </cell>
          <cell r="C13">
            <v>2758539</v>
          </cell>
          <cell r="D13">
            <v>9811</v>
          </cell>
          <cell r="E13">
            <v>577841</v>
          </cell>
          <cell r="F13">
            <v>7268111</v>
          </cell>
          <cell r="G13">
            <v>2.1702231077429761E-4</v>
          </cell>
        </row>
        <row r="14">
          <cell r="A14">
            <v>2001</v>
          </cell>
          <cell r="B14">
            <v>3882191</v>
          </cell>
          <cell r="C14">
            <v>2833816</v>
          </cell>
          <cell r="D14">
            <v>9341</v>
          </cell>
          <cell r="E14">
            <v>595939</v>
          </cell>
          <cell r="F14">
            <v>7321287</v>
          </cell>
          <cell r="G14">
            <v>7.3163439578729601E-3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1178148</v>
          </cell>
          <cell r="C7">
            <v>1425121</v>
          </cell>
          <cell r="D7">
            <v>1278922</v>
          </cell>
          <cell r="E7">
            <v>3882191</v>
          </cell>
          <cell r="F7">
            <v>0.53026073148068087</v>
          </cell>
          <cell r="G7">
            <v>-1.012998735313316E-2</v>
          </cell>
        </row>
        <row r="8">
          <cell r="B8">
            <v>1353209</v>
          </cell>
          <cell r="C8">
            <v>1298860</v>
          </cell>
          <cell r="D8">
            <v>181747</v>
          </cell>
          <cell r="E8">
            <v>2833816</v>
          </cell>
          <cell r="F8">
            <v>0.38706527964277321</v>
          </cell>
          <cell r="G8">
            <v>2.7288720587238389E-2</v>
          </cell>
        </row>
        <row r="9">
          <cell r="B9">
            <v>5727</v>
          </cell>
          <cell r="C9">
            <v>3124</v>
          </cell>
          <cell r="D9">
            <v>490</v>
          </cell>
          <cell r="E9">
            <v>9341</v>
          </cell>
          <cell r="F9">
            <v>1.2758685733806091E-3</v>
          </cell>
          <cell r="G9">
            <v>-4.7905412292324943E-2</v>
          </cell>
        </row>
        <row r="10">
          <cell r="B10">
            <v>238745</v>
          </cell>
          <cell r="C10">
            <v>235428</v>
          </cell>
          <cell r="D10">
            <v>121766</v>
          </cell>
          <cell r="E10">
            <v>595939</v>
          </cell>
          <cell r="F10">
            <v>8.1398120303165275E-2</v>
          </cell>
          <cell r="G10">
            <v>3.1320034403927721E-2</v>
          </cell>
        </row>
        <row r="11">
          <cell r="G11" t="str">
            <v/>
          </cell>
        </row>
        <row r="12">
          <cell r="B12">
            <v>2775829</v>
          </cell>
          <cell r="C12">
            <v>2962533</v>
          </cell>
          <cell r="D12">
            <v>1582925</v>
          </cell>
          <cell r="E12">
            <v>7321287</v>
          </cell>
          <cell r="F12">
            <v>1</v>
          </cell>
          <cell r="G12">
            <v>7.3163439578729601E-3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>
            <v>5454599</v>
          </cell>
          <cell r="C7" t="str">
            <v>–</v>
          </cell>
          <cell r="D7">
            <v>1155023</v>
          </cell>
          <cell r="E7" t="str">
            <v>–</v>
          </cell>
          <cell r="F7">
            <v>20875408</v>
          </cell>
          <cell r="G7" t="str">
            <v>–</v>
          </cell>
        </row>
        <row r="8">
          <cell r="A8">
            <v>1995</v>
          </cell>
          <cell r="B8">
            <v>5702352</v>
          </cell>
          <cell r="C8">
            <v>4.542093745113069E-2</v>
          </cell>
          <cell r="D8">
            <v>1201676</v>
          </cell>
          <cell r="E8">
            <v>4.0391403461229776E-2</v>
          </cell>
          <cell r="F8">
            <v>22276549</v>
          </cell>
          <cell r="G8">
            <v>6.711921510707719E-2</v>
          </cell>
        </row>
        <row r="9">
          <cell r="A9">
            <v>1996</v>
          </cell>
          <cell r="B9">
            <v>5599991</v>
          </cell>
          <cell r="C9">
            <v>-1.7950663164953688E-2</v>
          </cell>
          <cell r="D9">
            <v>1117084</v>
          </cell>
          <cell r="E9">
            <v>-7.0395014962435803E-2</v>
          </cell>
          <cell r="F9">
            <v>18812841</v>
          </cell>
          <cell r="G9">
            <v>-0.15548674078736344</v>
          </cell>
        </row>
        <row r="10">
          <cell r="A10">
            <v>1997</v>
          </cell>
          <cell r="B10">
            <v>5669325</v>
          </cell>
          <cell r="C10">
            <v>1.2381091326753918E-2</v>
          </cell>
          <cell r="D10">
            <v>1150122</v>
          </cell>
          <cell r="E10">
            <v>2.9575215471710273E-2</v>
          </cell>
          <cell r="F10">
            <v>18987651</v>
          </cell>
          <cell r="G10">
            <v>9.2920574835028899E-3</v>
          </cell>
        </row>
        <row r="11">
          <cell r="A11">
            <v>1998</v>
          </cell>
          <cell r="B11">
            <v>5768621</v>
          </cell>
          <cell r="C11">
            <v>1.7514607118131346E-2</v>
          </cell>
          <cell r="D11">
            <v>1154759</v>
          </cell>
          <cell r="E11">
            <v>4.0317461973599323E-3</v>
          </cell>
          <cell r="F11">
            <v>17067058</v>
          </cell>
          <cell r="G11">
            <v>-0.10114958401120813</v>
          </cell>
        </row>
        <row r="12">
          <cell r="A12">
            <v>1999</v>
          </cell>
          <cell r="B12">
            <v>5833167</v>
          </cell>
          <cell r="C12">
            <v>1.1189155952523141E-2</v>
          </cell>
          <cell r="D12">
            <v>1096033</v>
          </cell>
          <cell r="E12">
            <v>-5.085563308014919E-2</v>
          </cell>
          <cell r="F12">
            <v>12747160</v>
          </cell>
          <cell r="G12">
            <v>-0.25311321963047173</v>
          </cell>
        </row>
        <row r="13">
          <cell r="A13">
            <v>2000</v>
          </cell>
          <cell r="B13">
            <v>5947035</v>
          </cell>
          <cell r="C13">
            <v>1.9520785192674923E-2</v>
          </cell>
          <cell r="D13">
            <v>1097932</v>
          </cell>
          <cell r="E13">
            <v>1.7326120655126261E-3</v>
          </cell>
          <cell r="F13">
            <v>12447351</v>
          </cell>
          <cell r="G13">
            <v>-2.3519670263807781E-2</v>
          </cell>
        </row>
        <row r="14">
          <cell r="A14">
            <v>2001</v>
          </cell>
          <cell r="B14">
            <v>6043905</v>
          </cell>
          <cell r="C14">
            <v>1.6288789287434831E-2</v>
          </cell>
          <cell r="D14">
            <v>1193315</v>
          </cell>
          <cell r="E14">
            <v>8.6875143451507014E-2</v>
          </cell>
          <cell r="F14">
            <v>12514126</v>
          </cell>
          <cell r="G14">
            <v>5.3645952460085683E-3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2775829</v>
          </cell>
          <cell r="C7">
            <v>2962533</v>
          </cell>
          <cell r="D7">
            <v>5738362</v>
          </cell>
          <cell r="E7">
            <v>1582925</v>
          </cell>
          <cell r="F7">
            <v>7321287</v>
          </cell>
          <cell r="G7">
            <v>7.3163439578729601E-3</v>
          </cell>
        </row>
        <row r="8">
          <cell r="B8">
            <v>2020454</v>
          </cell>
          <cell r="C8">
            <v>2659085</v>
          </cell>
          <cell r="D8">
            <v>4679539</v>
          </cell>
          <cell r="E8">
            <v>1364366</v>
          </cell>
          <cell r="F8">
            <v>6043905</v>
          </cell>
          <cell r="G8">
            <v>1.6288789287434831E-2</v>
          </cell>
        </row>
        <row r="9">
          <cell r="B9">
            <v>72.8</v>
          </cell>
          <cell r="C9">
            <v>89.8</v>
          </cell>
          <cell r="D9">
            <v>81.548340798297488</v>
          </cell>
          <cell r="E9">
            <v>86.2</v>
          </cell>
          <cell r="F9">
            <v>82.6</v>
          </cell>
          <cell r="G9">
            <v>9.4878684924503947E-3</v>
          </cell>
        </row>
        <row r="10">
          <cell r="B10">
            <v>465088</v>
          </cell>
          <cell r="C10">
            <v>648063</v>
          </cell>
          <cell r="D10">
            <v>1113151</v>
          </cell>
          <cell r="E10">
            <v>80164</v>
          </cell>
          <cell r="F10">
            <v>1193315</v>
          </cell>
          <cell r="G10">
            <v>8.6875143451507014E-2</v>
          </cell>
        </row>
        <row r="11">
          <cell r="B11" t="str">
            <v>-</v>
          </cell>
          <cell r="C11">
            <v>86944</v>
          </cell>
          <cell r="D11">
            <v>86944</v>
          </cell>
          <cell r="E11">
            <v>708</v>
          </cell>
          <cell r="F11">
            <v>87652</v>
          </cell>
          <cell r="G11">
            <v>1.2276386146046264E-2</v>
          </cell>
        </row>
        <row r="12">
          <cell r="B12">
            <v>16.8</v>
          </cell>
          <cell r="C12">
            <v>21.9</v>
          </cell>
          <cell r="D12">
            <v>19.398410208348654</v>
          </cell>
          <cell r="E12">
            <v>5.0999999999999996</v>
          </cell>
          <cell r="F12">
            <v>16.3</v>
          </cell>
          <cell r="G12">
            <v>7.9030480029728664E-2</v>
          </cell>
        </row>
        <row r="13">
          <cell r="B13">
            <v>5057943</v>
          </cell>
          <cell r="C13">
            <v>7017089</v>
          </cell>
          <cell r="D13">
            <v>12075032</v>
          </cell>
          <cell r="E13">
            <v>439094</v>
          </cell>
          <cell r="F13">
            <v>12514126</v>
          </cell>
          <cell r="G13">
            <v>5.3645952460085683E-3</v>
          </cell>
        </row>
        <row r="14">
          <cell r="B14" t="str">
            <v>-</v>
          </cell>
          <cell r="C14">
            <v>533566</v>
          </cell>
          <cell r="D14">
            <v>533566</v>
          </cell>
          <cell r="E14">
            <v>3284</v>
          </cell>
          <cell r="F14">
            <v>536850</v>
          </cell>
          <cell r="G14">
            <v>-3.1203249714422863E-2</v>
          </cell>
        </row>
        <row r="15">
          <cell r="B15">
            <v>182.2</v>
          </cell>
          <cell r="C15">
            <v>236.9</v>
          </cell>
          <cell r="D15">
            <v>210.42645967612361</v>
          </cell>
          <cell r="E15">
            <v>27.7</v>
          </cell>
          <cell r="F15">
            <v>170.9</v>
          </cell>
          <cell r="G15">
            <v>-2.100792449734783E-3</v>
          </cell>
        </row>
        <row r="16">
          <cell r="B16">
            <v>10.875238664510801</v>
          </cell>
          <cell r="C16">
            <v>10.827788347737798</v>
          </cell>
          <cell r="D16">
            <v>10.847613666070462</v>
          </cell>
          <cell r="E16">
            <v>5.4774462352178039</v>
          </cell>
          <cell r="F16">
            <v>10.486858876323518</v>
          </cell>
          <cell r="G16">
            <v>-7.4995319100454885E-2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>
            <v>8110345000</v>
          </cell>
          <cell r="C7">
            <v>912525000</v>
          </cell>
          <cell r="D7">
            <v>17591000</v>
          </cell>
          <cell r="E7">
            <v>28416000</v>
          </cell>
          <cell r="F7">
            <v>9068877000</v>
          </cell>
          <cell r="G7" t="str">
            <v>–</v>
          </cell>
        </row>
        <row r="8">
          <cell r="A8">
            <v>1995</v>
          </cell>
          <cell r="B8">
            <v>8101065000</v>
          </cell>
          <cell r="C8">
            <v>984026000</v>
          </cell>
          <cell r="D8">
            <v>36207000</v>
          </cell>
          <cell r="E8">
            <v>38742000</v>
          </cell>
          <cell r="F8">
            <v>9160047000</v>
          </cell>
          <cell r="G8">
            <v>1.0053063901958313E-2</v>
          </cell>
        </row>
        <row r="9">
          <cell r="A9">
            <v>1996</v>
          </cell>
          <cell r="B9">
            <v>7263879193.6000004</v>
          </cell>
          <cell r="C9">
            <v>3689716942.5</v>
          </cell>
          <cell r="D9">
            <v>38020066.050000004</v>
          </cell>
          <cell r="E9">
            <v>139019617.94999999</v>
          </cell>
          <cell r="F9">
            <v>11130635820.099998</v>
          </cell>
          <cell r="G9">
            <v>0.21512868002751498</v>
          </cell>
        </row>
        <row r="10">
          <cell r="A10">
            <v>1997</v>
          </cell>
          <cell r="B10">
            <v>6540588878</v>
          </cell>
          <cell r="C10">
            <v>4995296573</v>
          </cell>
          <cell r="D10">
            <v>16474356</v>
          </cell>
          <cell r="E10">
            <v>488324321</v>
          </cell>
          <cell r="F10">
            <v>12040684128</v>
          </cell>
          <cell r="G10">
            <v>8.1760675904660546E-2</v>
          </cell>
        </row>
        <row r="11">
          <cell r="A11">
            <v>1998</v>
          </cell>
          <cell r="B11">
            <v>6687491385</v>
          </cell>
          <cell r="C11">
            <v>5281034163</v>
          </cell>
          <cell r="D11">
            <v>17124804</v>
          </cell>
          <cell r="E11">
            <v>722619796</v>
          </cell>
          <cell r="F11">
            <v>12708270148</v>
          </cell>
          <cell r="G11">
            <v>5.5444193444753077E-2</v>
          </cell>
        </row>
        <row r="12">
          <cell r="A12">
            <v>1999</v>
          </cell>
          <cell r="B12">
            <v>6794064715</v>
          </cell>
          <cell r="C12">
            <v>5396193285</v>
          </cell>
          <cell r="D12">
            <v>15330070</v>
          </cell>
          <cell r="E12">
            <v>828254703</v>
          </cell>
          <cell r="F12">
            <v>13033842773</v>
          </cell>
          <cell r="G12">
            <v>2.5618956884642392E-2</v>
          </cell>
        </row>
        <row r="13">
          <cell r="A13">
            <v>2000</v>
          </cell>
          <cell r="B13">
            <v>6892066397</v>
          </cell>
          <cell r="C13">
            <v>5620040093</v>
          </cell>
          <cell r="D13">
            <v>15057027</v>
          </cell>
          <cell r="E13">
            <v>914491167</v>
          </cell>
          <cell r="F13">
            <v>13441654684</v>
          </cell>
          <cell r="G13">
            <v>3.1288693450008058E-2</v>
          </cell>
        </row>
        <row r="14">
          <cell r="A14">
            <v>2001</v>
          </cell>
          <cell r="B14">
            <v>7135000924</v>
          </cell>
          <cell r="C14">
            <v>5862096902</v>
          </cell>
          <cell r="D14">
            <v>14859371</v>
          </cell>
          <cell r="E14">
            <v>985355210</v>
          </cell>
          <cell r="F14">
            <v>13997312407</v>
          </cell>
          <cell r="G14">
            <v>4.133849113542664E-2</v>
          </cell>
        </row>
      </sheetData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>
            <v>1257.8932936201311</v>
          </cell>
          <cell r="C7">
            <v>1416.984088286948</v>
          </cell>
          <cell r="D7">
            <v>1149.8888743626617</v>
          </cell>
          <cell r="E7">
            <v>1145.7140553181196</v>
          </cell>
          <cell r="F7">
            <v>1271.6374450635778</v>
          </cell>
          <cell r="G7" t="str">
            <v>–</v>
          </cell>
        </row>
        <row r="8">
          <cell r="A8">
            <v>1995</v>
          </cell>
          <cell r="B8">
            <v>1265.8938645346607</v>
          </cell>
          <cell r="C8">
            <v>1408.2722358736423</v>
          </cell>
          <cell r="D8">
            <v>1107.0784283748662</v>
          </cell>
          <cell r="E8">
            <v>1094.9325947488908</v>
          </cell>
          <cell r="F8">
            <v>1278.2084577056805</v>
          </cell>
          <cell r="G8">
            <v>5.1673632823655627E-3</v>
          </cell>
        </row>
        <row r="9">
          <cell r="A9">
            <v>1996</v>
          </cell>
          <cell r="B9">
            <v>1532.58</v>
          </cell>
          <cell r="C9">
            <v>1600.27</v>
          </cell>
          <cell r="D9">
            <v>1366.25</v>
          </cell>
          <cell r="E9">
            <v>1143.27</v>
          </cell>
          <cell r="F9">
            <v>1547.05</v>
          </cell>
          <cell r="G9">
            <v>0.21032683728042012</v>
          </cell>
        </row>
        <row r="10">
          <cell r="A10">
            <v>1997</v>
          </cell>
          <cell r="B10">
            <v>1601.57</v>
          </cell>
          <cell r="C10">
            <v>1825.52</v>
          </cell>
          <cell r="D10">
            <v>1433.3</v>
          </cell>
          <cell r="E10">
            <v>1274.69</v>
          </cell>
          <cell r="F10">
            <v>1668.89</v>
          </cell>
          <cell r="G10">
            <v>7.8756342716783653E-2</v>
          </cell>
        </row>
        <row r="11">
          <cell r="A11">
            <v>1998</v>
          </cell>
          <cell r="B11">
            <v>1665.1</v>
          </cell>
          <cell r="C11">
            <v>1936.95</v>
          </cell>
          <cell r="D11">
            <v>1447.82</v>
          </cell>
          <cell r="E11">
            <v>1462.67</v>
          </cell>
          <cell r="F11">
            <v>1753.2</v>
          </cell>
          <cell r="G11">
            <v>5.0518608176692258E-2</v>
          </cell>
        </row>
        <row r="12">
          <cell r="A12">
            <v>1999</v>
          </cell>
          <cell r="B12">
            <v>1699.05</v>
          </cell>
          <cell r="C12">
            <v>1987.08</v>
          </cell>
          <cell r="D12">
            <v>1494.45</v>
          </cell>
          <cell r="E12">
            <v>1528.46</v>
          </cell>
          <cell r="F12">
            <v>1793.68</v>
          </cell>
          <cell r="G12">
            <v>2.3089208304814063E-2</v>
          </cell>
        </row>
        <row r="13">
          <cell r="A13">
            <v>2000</v>
          </cell>
          <cell r="B13">
            <v>1757.32</v>
          </cell>
          <cell r="C13">
            <v>2037.32</v>
          </cell>
          <cell r="D13">
            <v>1534.71</v>
          </cell>
          <cell r="E13">
            <v>1582.6</v>
          </cell>
          <cell r="F13">
            <v>1849.4</v>
          </cell>
          <cell r="G13">
            <v>3.1064626912269761E-2</v>
          </cell>
        </row>
        <row r="14">
          <cell r="A14">
            <v>2001</v>
          </cell>
          <cell r="B14">
            <v>1837.88</v>
          </cell>
          <cell r="C14">
            <v>2068.62</v>
          </cell>
          <cell r="D14">
            <v>1590.77</v>
          </cell>
          <cell r="E14">
            <v>1653.45</v>
          </cell>
          <cell r="F14">
            <v>1911.87</v>
          </cell>
          <cell r="G14">
            <v>3.3778522764139611E-2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2799753125</v>
          </cell>
          <cell r="C7">
            <v>3503460734</v>
          </cell>
          <cell r="D7">
            <v>831787065</v>
          </cell>
          <cell r="E7">
            <v>7135000924</v>
          </cell>
          <cell r="F7">
            <v>0.50974077855344679</v>
          </cell>
          <cell r="G7">
            <v>3.5248431022914299E-2</v>
          </cell>
        </row>
        <row r="8">
          <cell r="B8">
            <v>2825053222</v>
          </cell>
          <cell r="C8">
            <v>2929656113</v>
          </cell>
          <cell r="D8">
            <v>107387567</v>
          </cell>
          <cell r="E8">
            <v>5862096902</v>
          </cell>
          <cell r="F8">
            <v>0.41880160501871694</v>
          </cell>
          <cell r="G8">
            <v>4.3070299320727638E-2</v>
          </cell>
        </row>
        <row r="9">
          <cell r="B9">
            <v>9160690</v>
          </cell>
          <cell r="C9">
            <v>5415681</v>
          </cell>
          <cell r="D9">
            <v>283000</v>
          </cell>
          <cell r="E9">
            <v>14859371</v>
          </cell>
          <cell r="F9">
            <v>1.0615874367831419E-3</v>
          </cell>
          <cell r="G9">
            <v>-1.3127159830423363E-2</v>
          </cell>
        </row>
        <row r="10">
          <cell r="B10">
            <v>447002083</v>
          </cell>
          <cell r="C10">
            <v>470562311</v>
          </cell>
          <cell r="D10">
            <v>67790816</v>
          </cell>
          <cell r="E10">
            <v>985355210</v>
          </cell>
          <cell r="F10">
            <v>7.0396028991053156E-2</v>
          </cell>
          <cell r="G10">
            <v>7.749013392056088E-2</v>
          </cell>
        </row>
        <row r="11">
          <cell r="B11">
            <v>6080969120</v>
          </cell>
          <cell r="C11">
            <v>6909094839</v>
          </cell>
          <cell r="D11">
            <v>1007248448</v>
          </cell>
          <cell r="E11">
            <v>13997312407</v>
          </cell>
          <cell r="F11">
            <v>1</v>
          </cell>
          <cell r="G11">
            <v>4.133849113542664E-2</v>
          </cell>
        </row>
      </sheetData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2376.4</v>
          </cell>
          <cell r="C7">
            <v>2458.36</v>
          </cell>
          <cell r="D7">
            <v>650.38</v>
          </cell>
          <cell r="E7">
            <v>1837.88</v>
          </cell>
          <cell r="F7">
            <v>-73.989999999999995</v>
          </cell>
          <cell r="G7">
            <v>4.6033010813887373E-2</v>
          </cell>
        </row>
        <row r="8">
          <cell r="B8">
            <v>2087.67</v>
          </cell>
          <cell r="C8">
            <v>2255.56</v>
          </cell>
          <cell r="D8">
            <v>590.86</v>
          </cell>
          <cell r="E8">
            <v>2068.62</v>
          </cell>
          <cell r="F8">
            <v>156.76</v>
          </cell>
          <cell r="G8">
            <v>1.5522827687776087E-2</v>
          </cell>
        </row>
        <row r="9">
          <cell r="B9">
            <v>1599.56</v>
          </cell>
          <cell r="C9">
            <v>1733.57</v>
          </cell>
          <cell r="D9">
            <v>577.54999999999995</v>
          </cell>
          <cell r="E9">
            <v>1590.77</v>
          </cell>
          <cell r="F9">
            <v>-321.10000000000002</v>
          </cell>
          <cell r="G9">
            <v>3.6332247557003247E-2</v>
          </cell>
        </row>
        <row r="10">
          <cell r="B10">
            <v>1872.3</v>
          </cell>
          <cell r="C10">
            <v>1998.75</v>
          </cell>
          <cell r="D10">
            <v>556.73</v>
          </cell>
          <cell r="E10">
            <v>1653.45</v>
          </cell>
          <cell r="F10">
            <v>-258.42</v>
          </cell>
          <cell r="G10">
            <v>4.4504106127605837E-2</v>
          </cell>
        </row>
        <row r="11">
          <cell r="B11">
            <v>2190.69</v>
          </cell>
          <cell r="C11">
            <v>2332.16</v>
          </cell>
          <cell r="D11">
            <v>636.32000000000005</v>
          </cell>
          <cell r="E11">
            <v>1911.87</v>
          </cell>
          <cell r="F11">
            <v>0</v>
          </cell>
          <cell r="G11">
            <v>3.4002163331530499E-2</v>
          </cell>
        </row>
      </sheetData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>
            <v>9991876000</v>
          </cell>
          <cell r="C7">
            <v>779608000</v>
          </cell>
          <cell r="D7">
            <v>8990000</v>
          </cell>
          <cell r="E7">
            <v>27812000</v>
          </cell>
          <cell r="F7">
            <v>10808399000</v>
          </cell>
          <cell r="G7" t="str">
            <v>–</v>
          </cell>
        </row>
        <row r="8">
          <cell r="A8">
            <v>1995</v>
          </cell>
          <cell r="B8">
            <v>10363923000</v>
          </cell>
          <cell r="C8">
            <v>874297000</v>
          </cell>
          <cell r="D8">
            <v>25543000</v>
          </cell>
          <cell r="E8">
            <v>43635000</v>
          </cell>
          <cell r="F8">
            <v>11307398000</v>
          </cell>
          <cell r="G8">
            <v>4.6167707169211647E-2</v>
          </cell>
        </row>
        <row r="9">
          <cell r="A9">
            <v>1996</v>
          </cell>
          <cell r="B9">
            <v>9158012632.5</v>
          </cell>
          <cell r="C9">
            <v>3158899160.8000002</v>
          </cell>
          <cell r="D9">
            <v>29792276.350000001</v>
          </cell>
          <cell r="E9">
            <v>112313176.95</v>
          </cell>
          <cell r="F9">
            <v>12459017246.6</v>
          </cell>
          <cell r="G9">
            <v>0.10184652973212761</v>
          </cell>
        </row>
        <row r="10">
          <cell r="A10">
            <v>1997</v>
          </cell>
          <cell r="B10">
            <v>8010294124</v>
          </cell>
          <cell r="C10">
            <v>4715093593</v>
          </cell>
          <cell r="D10">
            <v>15300134</v>
          </cell>
          <cell r="E10">
            <v>397789684</v>
          </cell>
          <cell r="F10">
            <v>13138477535</v>
          </cell>
          <cell r="G10">
            <v>5.453562467661089E-2</v>
          </cell>
        </row>
        <row r="11">
          <cell r="A11">
            <v>1998</v>
          </cell>
          <cell r="B11">
            <v>8034922538</v>
          </cell>
          <cell r="C11">
            <v>5294474912</v>
          </cell>
          <cell r="D11">
            <v>7713370</v>
          </cell>
          <cell r="E11">
            <v>686981832</v>
          </cell>
          <cell r="F11">
            <v>14024092652</v>
          </cell>
          <cell r="G11">
            <v>6.7406220746717593E-2</v>
          </cell>
        </row>
        <row r="12">
          <cell r="A12">
            <v>1999</v>
          </cell>
          <cell r="B12">
            <v>8789075476</v>
          </cell>
          <cell r="C12">
            <v>4984750851</v>
          </cell>
          <cell r="D12">
            <v>7272495</v>
          </cell>
          <cell r="E12">
            <v>839411696</v>
          </cell>
          <cell r="F12">
            <v>14620510518</v>
          </cell>
          <cell r="G12">
            <v>4.252808939585434E-2</v>
          </cell>
        </row>
        <row r="13">
          <cell r="A13">
            <v>2000</v>
          </cell>
          <cell r="B13">
            <v>9137162156</v>
          </cell>
          <cell r="C13">
            <v>5390943298</v>
          </cell>
          <cell r="D13">
            <v>7536068</v>
          </cell>
          <cell r="E13">
            <v>942685920</v>
          </cell>
          <cell r="F13">
            <v>15478327442</v>
          </cell>
          <cell r="G13">
            <v>5.8672159425890165E-2</v>
          </cell>
        </row>
        <row r="14">
          <cell r="A14">
            <v>2001</v>
          </cell>
          <cell r="B14">
            <v>9659774603</v>
          </cell>
          <cell r="C14">
            <v>5684101991</v>
          </cell>
          <cell r="D14">
            <v>8361556</v>
          </cell>
          <cell r="E14">
            <v>1034222666</v>
          </cell>
          <cell r="F14">
            <v>16386460817</v>
          </cell>
          <cell r="G14">
            <v>5.8671285925623075E-2</v>
          </cell>
        </row>
      </sheetData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>
            <v>1549.7138298166035</v>
          </cell>
          <cell r="C7">
            <v>1210.5883467315537</v>
          </cell>
          <cell r="D7">
            <v>587.65851745326188</v>
          </cell>
          <cell r="E7">
            <v>1121.3611805499556</v>
          </cell>
          <cell r="F7">
            <v>1515.5531263228875</v>
          </cell>
          <cell r="G7" t="str">
            <v>–</v>
          </cell>
        </row>
        <row r="8">
          <cell r="A8">
            <v>1995</v>
          </cell>
          <cell r="B8">
            <v>1619.4940465493926</v>
          </cell>
          <cell r="C8">
            <v>1251.2354256977133</v>
          </cell>
          <cell r="D8">
            <v>781.01207766396578</v>
          </cell>
          <cell r="E8">
            <v>1233.2193426221631</v>
          </cell>
          <cell r="F8">
            <v>1577.8534496869172</v>
          </cell>
          <cell r="G8">
            <v>4.11073173760566E-2</v>
          </cell>
        </row>
        <row r="9">
          <cell r="A9">
            <v>1996</v>
          </cell>
          <cell r="B9">
            <v>1932.22</v>
          </cell>
          <cell r="C9">
            <v>1370.05</v>
          </cell>
          <cell r="D9">
            <v>1070.5899999999999</v>
          </cell>
          <cell r="E9">
            <v>923.64</v>
          </cell>
          <cell r="F9">
            <v>1731.68</v>
          </cell>
          <cell r="G9">
            <v>9.7491025128858211E-2</v>
          </cell>
        </row>
        <row r="10">
          <cell r="A10">
            <v>1997</v>
          </cell>
          <cell r="B10">
            <v>1961.45</v>
          </cell>
          <cell r="C10">
            <v>1723.12</v>
          </cell>
          <cell r="D10">
            <v>1331.14</v>
          </cell>
          <cell r="E10">
            <v>1038.3599999999999</v>
          </cell>
          <cell r="F10">
            <v>1821.04</v>
          </cell>
          <cell r="G10">
            <v>5.1603067541347074E-2</v>
          </cell>
        </row>
        <row r="11">
          <cell r="A11">
            <v>1998</v>
          </cell>
          <cell r="B11">
            <v>2000.59</v>
          </cell>
          <cell r="C11">
            <v>1941.88</v>
          </cell>
          <cell r="D11">
            <v>652.13</v>
          </cell>
          <cell r="E11">
            <v>1390.54</v>
          </cell>
          <cell r="F11">
            <v>1934.73</v>
          </cell>
          <cell r="G11">
            <v>6.2431357905372784E-2</v>
          </cell>
        </row>
        <row r="12">
          <cell r="A12">
            <v>1999</v>
          </cell>
          <cell r="B12">
            <v>2197.96</v>
          </cell>
          <cell r="C12">
            <v>1835.57</v>
          </cell>
          <cell r="D12">
            <v>708.96</v>
          </cell>
          <cell r="E12">
            <v>1549.04</v>
          </cell>
          <cell r="F12">
            <v>2012.03</v>
          </cell>
          <cell r="G12">
            <v>3.9953895375582096E-2</v>
          </cell>
        </row>
        <row r="13">
          <cell r="A13">
            <v>2000</v>
          </cell>
          <cell r="B13">
            <v>2329.77</v>
          </cell>
          <cell r="C13">
            <v>1954.27</v>
          </cell>
          <cell r="D13">
            <v>768.12</v>
          </cell>
          <cell r="E13">
            <v>1631.39</v>
          </cell>
          <cell r="F13">
            <v>2129.62</v>
          </cell>
          <cell r="G13">
            <v>5.8443462572625615E-2</v>
          </cell>
        </row>
        <row r="14">
          <cell r="A14">
            <v>2001</v>
          </cell>
          <cell r="B14">
            <v>2488.227550627983</v>
          </cell>
          <cell r="C14">
            <v>2005.8119479175782</v>
          </cell>
          <cell r="D14">
            <v>895.14570174499522</v>
          </cell>
          <cell r="E14">
            <v>1735.4505511470134</v>
          </cell>
          <cell r="F14">
            <v>2238.1940247664106</v>
          </cell>
          <cell r="G14">
            <v>5.0982816073482935E-2</v>
          </cell>
        </row>
      </sheetData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>
            <v>7196786000</v>
          </cell>
          <cell r="C7" t="str">
            <v>–</v>
          </cell>
          <cell r="D7">
            <v>3611586000</v>
          </cell>
          <cell r="E7" t="str">
            <v>–</v>
          </cell>
          <cell r="F7">
            <v>10808372000</v>
          </cell>
          <cell r="G7" t="str">
            <v>–</v>
          </cell>
        </row>
        <row r="8">
          <cell r="A8">
            <v>1995</v>
          </cell>
          <cell r="B8">
            <v>7392432000</v>
          </cell>
          <cell r="C8">
            <v>2.7185190722636466E-2</v>
          </cell>
          <cell r="D8">
            <v>3914937000</v>
          </cell>
          <cell r="E8">
            <v>8.3993846470774888E-2</v>
          </cell>
          <cell r="F8">
            <v>11307369000</v>
          </cell>
          <cell r="G8">
            <v>4.6167637457334001E-2</v>
          </cell>
        </row>
        <row r="9">
          <cell r="A9">
            <v>1996</v>
          </cell>
          <cell r="B9">
            <v>8214622179.9674435</v>
          </cell>
          <cell r="C9">
            <v>0.11122052660984146</v>
          </cell>
          <cell r="D9">
            <v>4244395068.032557</v>
          </cell>
          <cell r="E9">
            <v>8.415411743089532E-2</v>
          </cell>
          <cell r="F9">
            <v>12459017248</v>
          </cell>
          <cell r="G9">
            <v>0.10184935576083172</v>
          </cell>
        </row>
        <row r="10">
          <cell r="A10">
            <v>1997</v>
          </cell>
          <cell r="B10">
            <v>8735654789.936554</v>
          </cell>
          <cell r="C10">
            <v>6.3427458811158063E-2</v>
          </cell>
          <cell r="D10">
            <v>4402822745.063446</v>
          </cell>
          <cell r="E10">
            <v>3.7326326718291676E-2</v>
          </cell>
          <cell r="F10">
            <v>13138477535</v>
          </cell>
          <cell r="G10">
            <v>5.4535624558114427E-2</v>
          </cell>
        </row>
        <row r="11">
          <cell r="A11">
            <v>1998</v>
          </cell>
          <cell r="B11">
            <v>9332686808</v>
          </cell>
          <cell r="C11">
            <v>6.8344277838362499E-2</v>
          </cell>
          <cell r="D11">
            <v>4691405844</v>
          </cell>
          <cell r="E11">
            <v>6.5545018649710685E-2</v>
          </cell>
          <cell r="F11">
            <v>14024092652</v>
          </cell>
          <cell r="G11">
            <v>6.7406220746717593E-2</v>
          </cell>
        </row>
        <row r="12">
          <cell r="A12">
            <v>1999</v>
          </cell>
          <cell r="B12">
            <v>9826707555</v>
          </cell>
          <cell r="C12">
            <v>5.293446112179874E-2</v>
          </cell>
          <cell r="D12">
            <v>4793802963</v>
          </cell>
          <cell r="E12">
            <v>2.1826531833940392E-2</v>
          </cell>
          <cell r="F12">
            <v>14620510518</v>
          </cell>
          <cell r="G12">
            <v>4.252808939585434E-2</v>
          </cell>
        </row>
        <row r="13">
          <cell r="A13">
            <v>2000</v>
          </cell>
          <cell r="B13">
            <v>10542816856</v>
          </cell>
          <cell r="C13">
            <v>7.2873777609839541E-2</v>
          </cell>
          <cell r="D13">
            <v>4935510586</v>
          </cell>
          <cell r="E13">
            <v>2.9560585633940668E-2</v>
          </cell>
          <cell r="F13">
            <v>15478327442</v>
          </cell>
          <cell r="G13">
            <v>5.8672159425890165E-2</v>
          </cell>
        </row>
        <row r="14">
          <cell r="A14">
            <v>2001</v>
          </cell>
          <cell r="B14">
            <v>11308048632</v>
          </cell>
          <cell r="C14">
            <v>7.2583237141646884E-2</v>
          </cell>
          <cell r="D14">
            <v>5078412185</v>
          </cell>
          <cell r="E14">
            <v>2.8953762029272648E-2</v>
          </cell>
          <cell r="F14">
            <v>16386460817</v>
          </cell>
          <cell r="G14">
            <v>5.8671285925623075E-2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1360269223</v>
          </cell>
          <cell r="C7">
            <v>2197536089</v>
          </cell>
          <cell r="D7">
            <v>453751058</v>
          </cell>
          <cell r="E7">
            <v>4011556370</v>
          </cell>
          <cell r="F7">
            <v>0.24480920040026236</v>
          </cell>
        </row>
        <row r="8">
          <cell r="B8">
            <v>1583718490</v>
          </cell>
          <cell r="C8">
            <v>2053132370</v>
          </cell>
          <cell r="D8">
            <v>161363129</v>
          </cell>
          <cell r="E8">
            <v>3798213989</v>
          </cell>
          <cell r="F8">
            <v>0.23178977031205994</v>
          </cell>
        </row>
        <row r="9">
          <cell r="B9">
            <v>770254855</v>
          </cell>
          <cell r="C9">
            <v>975599038</v>
          </cell>
          <cell r="D9">
            <v>179669243</v>
          </cell>
          <cell r="E9">
            <v>1925523136</v>
          </cell>
          <cell r="F9">
            <v>0.11750695635279472</v>
          </cell>
        </row>
        <row r="10">
          <cell r="B10">
            <v>512465950</v>
          </cell>
          <cell r="C10">
            <v>686268253</v>
          </cell>
          <cell r="D10">
            <v>72716520</v>
          </cell>
          <cell r="E10">
            <v>1271450723</v>
          </cell>
          <cell r="F10">
            <v>7.7591539576437635E-2</v>
          </cell>
        </row>
        <row r="11">
          <cell r="B11">
            <v>905563278</v>
          </cell>
          <cell r="C11">
            <v>1244691009</v>
          </cell>
          <cell r="D11">
            <v>92185569</v>
          </cell>
          <cell r="E11">
            <v>2242439856</v>
          </cell>
          <cell r="F11">
            <v>0.13684711305528519</v>
          </cell>
        </row>
        <row r="12">
          <cell r="B12">
            <v>308741949</v>
          </cell>
          <cell r="C12">
            <v>948775962</v>
          </cell>
          <cell r="D12">
            <v>334856</v>
          </cell>
          <cell r="E12">
            <v>1257852767</v>
          </cell>
          <cell r="F12">
            <v>7.6761710844543737E-2</v>
          </cell>
        </row>
        <row r="13">
          <cell r="B13">
            <v>86133864</v>
          </cell>
          <cell r="C13">
            <v>182633183</v>
          </cell>
          <cell r="D13">
            <v>1554571</v>
          </cell>
          <cell r="E13">
            <v>270321618</v>
          </cell>
          <cell r="F13">
            <v>1.6496644456596574E-2</v>
          </cell>
        </row>
        <row r="14">
          <cell r="B14">
            <v>159777549</v>
          </cell>
          <cell r="C14">
            <v>294435174</v>
          </cell>
          <cell r="D14">
            <v>25916560</v>
          </cell>
          <cell r="E14">
            <v>480129283</v>
          </cell>
          <cell r="F14">
            <v>2.9300365000225904E-2</v>
          </cell>
        </row>
        <row r="15">
          <cell r="B15">
            <v>151533405</v>
          </cell>
          <cell r="C15">
            <v>281170437</v>
          </cell>
          <cell r="D15">
            <v>30005913</v>
          </cell>
          <cell r="E15">
            <v>462709755</v>
          </cell>
          <cell r="F15">
            <v>2.8237321052265632E-2</v>
          </cell>
        </row>
        <row r="16">
          <cell r="B16">
            <v>25325132</v>
          </cell>
          <cell r="C16">
            <v>37217602</v>
          </cell>
          <cell r="D16">
            <v>2694067</v>
          </cell>
          <cell r="E16">
            <v>65236801</v>
          </cell>
          <cell r="F16">
            <v>3.9811403895294228E-3</v>
          </cell>
        </row>
        <row r="17">
          <cell r="B17">
            <v>71591165</v>
          </cell>
          <cell r="C17">
            <v>81698000</v>
          </cell>
          <cell r="D17">
            <v>19734527</v>
          </cell>
          <cell r="E17">
            <v>173023692</v>
          </cell>
          <cell r="F17">
            <v>1.0558942161598311E-2</v>
          </cell>
        </row>
        <row r="18">
          <cell r="B18">
            <v>43061181</v>
          </cell>
          <cell r="C18">
            <v>55985480</v>
          </cell>
          <cell r="D18">
            <v>7283173</v>
          </cell>
          <cell r="E18">
            <v>106329834</v>
          </cell>
          <cell r="F18">
            <v>6.488883425619825E-3</v>
          </cell>
        </row>
        <row r="19">
          <cell r="B19">
            <v>5523119</v>
          </cell>
          <cell r="C19">
            <v>11414585</v>
          </cell>
          <cell r="D19">
            <v>3228453</v>
          </cell>
          <cell r="E19">
            <v>20166157</v>
          </cell>
          <cell r="F19">
            <v>1.2306597028614492E-3</v>
          </cell>
        </row>
        <row r="20">
          <cell r="B20">
            <v>87620260</v>
          </cell>
          <cell r="C20">
            <v>145178160</v>
          </cell>
          <cell r="D20">
            <v>46362987</v>
          </cell>
          <cell r="E20">
            <v>279161407</v>
          </cell>
          <cell r="F20">
            <v>1.7036101334974438E-2</v>
          </cell>
        </row>
        <row r="21">
          <cell r="B21">
            <v>8414843</v>
          </cell>
          <cell r="C21">
            <v>11579020</v>
          </cell>
          <cell r="D21">
            <v>2351566</v>
          </cell>
          <cell r="E21">
            <v>22345429</v>
          </cell>
          <cell r="F21">
            <v>1.363651934944849E-3</v>
          </cell>
        </row>
        <row r="22">
          <cell r="B22">
            <v>6079994263</v>
          </cell>
          <cell r="C22">
            <v>9207314362</v>
          </cell>
          <cell r="D22">
            <v>1099152192</v>
          </cell>
          <cell r="E22">
            <v>16386460817</v>
          </cell>
          <cell r="F22">
            <v>1</v>
          </cell>
        </row>
        <row r="23">
          <cell r="B23" t="str">
            <v>-</v>
          </cell>
          <cell r="C23">
            <v>378686311</v>
          </cell>
          <cell r="D23">
            <v>2161046</v>
          </cell>
          <cell r="E23">
            <v>380847358</v>
          </cell>
          <cell r="F23">
            <v>2.3241587201361567E-2</v>
          </cell>
        </row>
      </sheetData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>
            <v>1009.132945756054</v>
          </cell>
          <cell r="C7" t="str">
            <v>–</v>
          </cell>
          <cell r="D7">
            <v>506.41639462828601</v>
          </cell>
          <cell r="E7" t="str">
            <v>–</v>
          </cell>
          <cell r="F7">
            <v>1515.54934038434</v>
          </cell>
          <cell r="G7" t="str">
            <v>–</v>
          </cell>
        </row>
        <row r="8">
          <cell r="A8">
            <v>1995</v>
          </cell>
          <cell r="B8">
            <v>1031.5524696995681</v>
          </cell>
          <cell r="C8">
            <v>2.2216620751309504E-2</v>
          </cell>
          <cell r="D8">
            <v>546.29693327827954</v>
          </cell>
          <cell r="E8">
            <v>7.8750488872435076E-2</v>
          </cell>
          <cell r="F8">
            <v>1577.8494029778476</v>
          </cell>
          <cell r="G8">
            <v>4.110724800138045E-2</v>
          </cell>
        </row>
        <row r="9">
          <cell r="A9">
            <v>1996</v>
          </cell>
          <cell r="B9">
            <v>1141.7516401488422</v>
          </cell>
          <cell r="C9">
            <v>0.10682846843589913</v>
          </cell>
          <cell r="D9">
            <v>589.92914393356</v>
          </cell>
          <cell r="E9">
            <v>7.9869038241616008E-2</v>
          </cell>
          <cell r="F9">
            <v>1731.6807840824022</v>
          </cell>
          <cell r="G9">
            <v>9.7494336794266487E-2</v>
          </cell>
        </row>
        <row r="10">
          <cell r="A10">
            <v>1997</v>
          </cell>
          <cell r="B10">
            <v>1210.7956888559779</v>
          </cell>
          <cell r="C10">
            <v>6.0472038120422539E-2</v>
          </cell>
          <cell r="D10">
            <v>610.24833589590401</v>
          </cell>
          <cell r="E10">
            <v>3.4443444897227234E-2</v>
          </cell>
          <cell r="F10">
            <v>1821.0440247518818</v>
          </cell>
          <cell r="G10">
            <v>5.1604915577343084E-2</v>
          </cell>
        </row>
        <row r="11">
          <cell r="A11">
            <v>1998</v>
          </cell>
          <cell r="B11">
            <v>1287.51</v>
          </cell>
          <cell r="C11">
            <v>6.335859290720279E-2</v>
          </cell>
          <cell r="D11">
            <v>647.22</v>
          </cell>
          <cell r="E11">
            <v>6.0584620931113262E-2</v>
          </cell>
          <cell r="F11">
            <v>1934.73</v>
          </cell>
          <cell r="G11">
            <v>6.2429009789375073E-2</v>
          </cell>
        </row>
        <row r="12">
          <cell r="A12">
            <v>1999</v>
          </cell>
          <cell r="B12">
            <v>1352.3238940325607</v>
          </cell>
          <cell r="C12">
            <v>5.034049757482327E-2</v>
          </cell>
          <cell r="D12">
            <v>659.70969970002204</v>
          </cell>
          <cell r="E12">
            <v>1.9297456351815481E-2</v>
          </cell>
          <cell r="F12">
            <v>2012.03</v>
          </cell>
          <cell r="G12">
            <v>3.9953895375582096E-2</v>
          </cell>
        </row>
        <row r="13">
          <cell r="A13">
            <v>2000</v>
          </cell>
          <cell r="B13">
            <v>1450.5580412847301</v>
          </cell>
          <cell r="C13">
            <v>7.2640990583432014E-2</v>
          </cell>
          <cell r="D13">
            <v>679.06373279109243</v>
          </cell>
          <cell r="E13">
            <v>2.9337196496990878E-2</v>
          </cell>
          <cell r="F13">
            <v>2129.6217740758225</v>
          </cell>
          <cell r="G13">
            <v>5.8444344306905226E-2</v>
          </cell>
        </row>
        <row r="14">
          <cell r="A14">
            <v>2001</v>
          </cell>
          <cell r="B14">
            <v>1544.5438256962198</v>
          </cell>
          <cell r="C14">
            <v>6.4792846433258458E-2</v>
          </cell>
          <cell r="D14">
            <v>693.65019907019075</v>
          </cell>
          <cell r="E14">
            <v>2.1480261092938838E-2</v>
          </cell>
          <cell r="F14">
            <v>2238.1940247664106</v>
          </cell>
          <cell r="G14">
            <v>5.0981940555009819E-2</v>
          </cell>
        </row>
      </sheetData>
      <sheetData sheetId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490.04</v>
          </cell>
          <cell r="C7">
            <v>741.78</v>
          </cell>
          <cell r="D7">
            <v>286.64999999999998</v>
          </cell>
          <cell r="E7">
            <v>547.92999999999995</v>
          </cell>
          <cell r="F7">
            <v>3.5373481226734116E-2</v>
          </cell>
        </row>
        <row r="8">
          <cell r="B8">
            <v>570.54</v>
          </cell>
          <cell r="C8">
            <v>693.03</v>
          </cell>
          <cell r="D8">
            <v>101.94</v>
          </cell>
          <cell r="E8">
            <v>518.79</v>
          </cell>
          <cell r="F8">
            <v>2.0055447413437122E-2</v>
          </cell>
        </row>
        <row r="9">
          <cell r="B9">
            <v>277.49</v>
          </cell>
          <cell r="C9">
            <v>329.31</v>
          </cell>
          <cell r="D9">
            <v>113.5</v>
          </cell>
          <cell r="E9">
            <v>263</v>
          </cell>
          <cell r="F9">
            <v>0.14741939705946505</v>
          </cell>
        </row>
        <row r="10">
          <cell r="B10">
            <v>184.62</v>
          </cell>
          <cell r="C10">
            <v>231.65</v>
          </cell>
          <cell r="D10">
            <v>45.94</v>
          </cell>
          <cell r="E10">
            <v>173.66</v>
          </cell>
          <cell r="F10">
            <v>0.10407527496980107</v>
          </cell>
        </row>
        <row r="11">
          <cell r="B11">
            <v>326.23</v>
          </cell>
          <cell r="C11">
            <v>420.14</v>
          </cell>
          <cell r="D11">
            <v>58.24</v>
          </cell>
          <cell r="E11">
            <v>306.29000000000002</v>
          </cell>
          <cell r="F11">
            <v>6.1185600942383012E-2</v>
          </cell>
        </row>
        <row r="12">
          <cell r="B12">
            <v>111.23</v>
          </cell>
          <cell r="C12">
            <v>320.26</v>
          </cell>
          <cell r="D12">
            <v>0.21</v>
          </cell>
          <cell r="E12">
            <v>171.81</v>
          </cell>
          <cell r="F12">
            <v>2.7817659727207511E-2</v>
          </cell>
        </row>
        <row r="13">
          <cell r="B13">
            <v>31.03</v>
          </cell>
          <cell r="C13">
            <v>61.65</v>
          </cell>
          <cell r="D13">
            <v>0.98</v>
          </cell>
          <cell r="E13">
            <v>36.92</v>
          </cell>
          <cell r="F13">
            <v>6.000574217628496E-2</v>
          </cell>
        </row>
        <row r="14">
          <cell r="B14">
            <v>57.56</v>
          </cell>
          <cell r="C14">
            <v>99.39</v>
          </cell>
          <cell r="D14">
            <v>16.37</v>
          </cell>
          <cell r="E14">
            <v>65.58</v>
          </cell>
          <cell r="F14">
            <v>6.6861883845778403E-2</v>
          </cell>
        </row>
        <row r="15">
          <cell r="B15">
            <v>54.59</v>
          </cell>
          <cell r="C15">
            <v>94.91</v>
          </cell>
          <cell r="D15">
            <v>18.96</v>
          </cell>
          <cell r="E15">
            <v>63.2</v>
          </cell>
          <cell r="F15">
            <v>3.742613263296124E-2</v>
          </cell>
        </row>
        <row r="16">
          <cell r="B16">
            <v>9.1199999999999992</v>
          </cell>
          <cell r="C16">
            <v>12.56</v>
          </cell>
          <cell r="D16">
            <v>1.7</v>
          </cell>
          <cell r="E16">
            <v>8.91</v>
          </cell>
          <cell r="F16">
            <v>3.9673278879813312E-2</v>
          </cell>
        </row>
        <row r="17">
          <cell r="B17">
            <v>25.79</v>
          </cell>
          <cell r="C17">
            <v>27.58</v>
          </cell>
          <cell r="D17">
            <v>12.47</v>
          </cell>
          <cell r="E17">
            <v>23.63</v>
          </cell>
          <cell r="F17">
            <v>-4.5252525252525322E-2</v>
          </cell>
        </row>
        <row r="18">
          <cell r="B18">
            <v>15.51</v>
          </cell>
          <cell r="C18">
            <v>18.899999999999999</v>
          </cell>
          <cell r="D18">
            <v>4.5999999999999996</v>
          </cell>
          <cell r="E18">
            <v>14.52</v>
          </cell>
          <cell r="F18">
            <v>-7.8680203045685349E-2</v>
          </cell>
        </row>
        <row r="19">
          <cell r="B19">
            <v>1.99</v>
          </cell>
          <cell r="C19">
            <v>3.85</v>
          </cell>
          <cell r="D19">
            <v>2.04</v>
          </cell>
          <cell r="E19">
            <v>2.75</v>
          </cell>
          <cell r="F19" t="str">
            <v>-</v>
          </cell>
        </row>
        <row r="20">
          <cell r="B20">
            <v>31.57</v>
          </cell>
          <cell r="C20">
            <v>49</v>
          </cell>
          <cell r="D20">
            <v>29.29</v>
          </cell>
          <cell r="E20">
            <v>38.130000000000003</v>
          </cell>
          <cell r="F20">
            <v>-4.5317976965448037E-2</v>
          </cell>
        </row>
        <row r="21">
          <cell r="B21">
            <v>3.03</v>
          </cell>
          <cell r="C21">
            <v>3.91</v>
          </cell>
          <cell r="D21">
            <v>1.49</v>
          </cell>
          <cell r="E21">
            <v>3.05</v>
          </cell>
          <cell r="F21">
            <v>-7.854984894259831E-2</v>
          </cell>
        </row>
        <row r="22">
          <cell r="B22">
            <v>2190.33</v>
          </cell>
          <cell r="C22">
            <v>3107.92</v>
          </cell>
          <cell r="D22">
            <v>694.38</v>
          </cell>
          <cell r="E22">
            <v>2238.19</v>
          </cell>
          <cell r="F22">
            <v>5.0980926174622798E-2</v>
          </cell>
        </row>
        <row r="23">
          <cell r="B23" t="str">
            <v>-</v>
          </cell>
          <cell r="C23">
            <v>127.83</v>
          </cell>
          <cell r="D23">
            <v>1.37</v>
          </cell>
          <cell r="E23" t="str">
            <v>-</v>
          </cell>
          <cell r="F23" t="str">
            <v>-</v>
          </cell>
        </row>
      </sheetData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>
            <v>1094583000</v>
          </cell>
          <cell r="C7">
            <v>161563000</v>
          </cell>
          <cell r="D7">
            <v>2653000</v>
          </cell>
          <cell r="E7">
            <v>552000</v>
          </cell>
          <cell r="F7">
            <v>1259274000</v>
          </cell>
          <cell r="G7" t="str">
            <v>–</v>
          </cell>
        </row>
        <row r="8">
          <cell r="A8">
            <v>1995</v>
          </cell>
          <cell r="B8">
            <v>1104144000</v>
          </cell>
          <cell r="C8">
            <v>182947000</v>
          </cell>
          <cell r="D8">
            <v>2520000</v>
          </cell>
          <cell r="E8">
            <v>560000</v>
          </cell>
          <cell r="F8">
            <v>1290196000</v>
          </cell>
          <cell r="G8">
            <v>2.4555418439513588E-2</v>
          </cell>
        </row>
        <row r="9">
          <cell r="A9">
            <v>1996</v>
          </cell>
          <cell r="B9">
            <v>1089264800.5</v>
          </cell>
          <cell r="C9">
            <v>580101661.80000019</v>
          </cell>
          <cell r="D9">
            <v>4375346.3499999996</v>
          </cell>
          <cell r="E9">
            <v>4789928.95</v>
          </cell>
          <cell r="F9">
            <v>1678531737.6000004</v>
          </cell>
          <cell r="G9">
            <v>0.30098972373189836</v>
          </cell>
        </row>
        <row r="10">
          <cell r="A10">
            <v>1997</v>
          </cell>
          <cell r="B10">
            <v>879950459</v>
          </cell>
          <cell r="C10">
            <v>850703379</v>
          </cell>
          <cell r="D10">
            <v>1704020</v>
          </cell>
          <cell r="E10">
            <v>45624484</v>
          </cell>
          <cell r="F10">
            <v>1777982343</v>
          </cell>
          <cell r="G10">
            <v>5.9248570147500512E-2</v>
          </cell>
        </row>
        <row r="11">
          <cell r="A11">
            <v>1998</v>
          </cell>
          <cell r="B11">
            <v>1013899968</v>
          </cell>
          <cell r="C11">
            <v>981741080</v>
          </cell>
          <cell r="D11">
            <v>1294283</v>
          </cell>
          <cell r="E11">
            <v>100297469</v>
          </cell>
          <cell r="F11">
            <v>2097232800</v>
          </cell>
          <cell r="G11">
            <v>0.17955772072591381</v>
          </cell>
        </row>
        <row r="12">
          <cell r="A12">
            <v>1999</v>
          </cell>
          <cell r="B12">
            <v>1011361150</v>
          </cell>
          <cell r="C12">
            <v>1055568640</v>
          </cell>
          <cell r="D12">
            <v>792455</v>
          </cell>
          <cell r="E12">
            <v>122178940</v>
          </cell>
          <cell r="F12">
            <v>2189901184</v>
          </cell>
          <cell r="G12">
            <v>4.4186026463061134E-2</v>
          </cell>
        </row>
        <row r="13">
          <cell r="A13">
            <v>2000</v>
          </cell>
          <cell r="B13">
            <v>1054450601</v>
          </cell>
          <cell r="C13">
            <v>1090720983</v>
          </cell>
          <cell r="D13">
            <v>1251221</v>
          </cell>
          <cell r="E13">
            <v>141594740</v>
          </cell>
          <cell r="F13">
            <v>2288017545</v>
          </cell>
          <cell r="G13">
            <v>4.4804012946732197E-2</v>
          </cell>
        </row>
        <row r="14">
          <cell r="A14">
            <v>2001</v>
          </cell>
          <cell r="B14">
            <v>1083514122</v>
          </cell>
          <cell r="C14">
            <v>1158413361</v>
          </cell>
          <cell r="D14">
            <v>1268100.93</v>
          </cell>
          <cell r="E14">
            <v>156993944.90000001</v>
          </cell>
          <cell r="F14">
            <v>2400189528.8299999</v>
          </cell>
          <cell r="G14">
            <v>4.9025840765569706E-2</v>
          </cell>
        </row>
      </sheetData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>
            <v>169.76695997649949</v>
          </cell>
          <cell r="C7">
            <v>250.87772965771251</v>
          </cell>
          <cell r="D7">
            <v>173.42136226957774</v>
          </cell>
          <cell r="E7">
            <v>22.256269655672895</v>
          </cell>
          <cell r="F7">
            <v>176.57533253510792</v>
          </cell>
          <cell r="G7" t="str">
            <v>–</v>
          </cell>
        </row>
        <row r="8">
          <cell r="A8">
            <v>1995</v>
          </cell>
          <cell r="B8">
            <v>172.53646467010913</v>
          </cell>
          <cell r="C8">
            <v>261.82151765946764</v>
          </cell>
          <cell r="D8">
            <v>77.05243846506653</v>
          </cell>
          <cell r="E8">
            <v>15.826809484780824</v>
          </cell>
          <cell r="F8">
            <v>179.45502124453856</v>
          </cell>
          <cell r="G8">
            <v>1.6308556059822621E-2</v>
          </cell>
        </row>
        <row r="9">
          <cell r="A9">
            <v>1996</v>
          </cell>
          <cell r="B9">
            <v>229.8232289372188</v>
          </cell>
          <cell r="C9">
            <v>251.5996723754472</v>
          </cell>
          <cell r="D9">
            <v>157.23187149633452</v>
          </cell>
          <cell r="E9">
            <v>39.388219543084574</v>
          </cell>
          <cell r="F9">
            <v>233.29860864179659</v>
          </cell>
          <cell r="G9">
            <v>0.30003945848852465</v>
          </cell>
        </row>
        <row r="10">
          <cell r="A10">
            <v>1997</v>
          </cell>
          <cell r="B10">
            <v>215.46601893701404</v>
          </cell>
          <cell r="C10">
            <v>310.88456129374595</v>
          </cell>
          <cell r="D10">
            <v>148.25205846528638</v>
          </cell>
          <cell r="E10">
            <v>119.09183274035274</v>
          </cell>
          <cell r="F10">
            <v>246.43123482893861</v>
          </cell>
          <cell r="G10">
            <v>5.629106090086311E-2</v>
          </cell>
        </row>
        <row r="11">
          <cell r="A11">
            <v>1998</v>
          </cell>
          <cell r="B11">
            <v>252.44363174310865</v>
          </cell>
          <cell r="C11">
            <v>360.0775244162046</v>
          </cell>
          <cell r="D11">
            <v>109.42734528238077</v>
          </cell>
          <cell r="E11">
            <v>203.01598777426921</v>
          </cell>
          <cell r="F11">
            <v>289.32883069882564</v>
          </cell>
          <cell r="G11">
            <v>0.1740753192251161</v>
          </cell>
        </row>
        <row r="12">
          <cell r="A12">
            <v>1999</v>
          </cell>
          <cell r="B12">
            <v>252.9206761523119</v>
          </cell>
          <cell r="C12">
            <v>388.69953216955696</v>
          </cell>
          <cell r="D12">
            <v>77.254014427763764</v>
          </cell>
          <cell r="E12">
            <v>225.46370960896115</v>
          </cell>
          <cell r="F12">
            <v>301.36445656484921</v>
          </cell>
          <cell r="G12">
            <v>4.1598432610236324E-2</v>
          </cell>
        </row>
        <row r="13">
          <cell r="A13">
            <v>2000</v>
          </cell>
          <cell r="B13">
            <v>268.86321064682579</v>
          </cell>
          <cell r="C13">
            <v>395.3932486834517</v>
          </cell>
          <cell r="D13">
            <v>127.52815615125883</v>
          </cell>
          <cell r="E13">
            <v>245.03773318265758</v>
          </cell>
          <cell r="F13">
            <v>314.8004551705385</v>
          </cell>
          <cell r="G13">
            <v>4.4583886098717995E-2</v>
          </cell>
        </row>
        <row r="14">
          <cell r="A14">
            <v>2001</v>
          </cell>
          <cell r="B14">
            <v>279.09861261334129</v>
          </cell>
          <cell r="C14">
            <v>408.78213723121047</v>
          </cell>
          <cell r="D14">
            <v>135.75644256503585</v>
          </cell>
          <cell r="E14">
            <v>263.43962200829282</v>
          </cell>
          <cell r="F14">
            <v>327.83710416351659</v>
          </cell>
          <cell r="G14">
            <v>4.1412421039593639E-2</v>
          </cell>
        </row>
      </sheetData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>
            <v>8897293000</v>
          </cell>
          <cell r="C7">
            <v>618045000</v>
          </cell>
          <cell r="D7">
            <v>6337000</v>
          </cell>
          <cell r="E7">
            <v>27260000</v>
          </cell>
          <cell r="F7">
            <v>9549125000</v>
          </cell>
          <cell r="G7" t="str">
            <v>–</v>
          </cell>
        </row>
        <row r="8">
          <cell r="A8">
            <v>1995</v>
          </cell>
          <cell r="B8">
            <v>9259779000</v>
          </cell>
          <cell r="C8">
            <v>691350000</v>
          </cell>
          <cell r="D8">
            <v>23023000</v>
          </cell>
          <cell r="E8">
            <v>43075000</v>
          </cell>
          <cell r="F8">
            <v>10017202000</v>
          </cell>
          <cell r="G8">
            <v>4.901778958805126E-2</v>
          </cell>
        </row>
        <row r="9">
          <cell r="A9">
            <v>1996</v>
          </cell>
          <cell r="B9">
            <v>8068747832</v>
          </cell>
          <cell r="C9">
            <v>2578797499</v>
          </cell>
          <cell r="D9">
            <v>25416930</v>
          </cell>
          <cell r="E9">
            <v>107523248</v>
          </cell>
          <cell r="F9">
            <v>10780485509</v>
          </cell>
          <cell r="G9">
            <v>7.6197276345230935E-2</v>
          </cell>
        </row>
        <row r="10">
          <cell r="A10">
            <v>1997</v>
          </cell>
          <cell r="B10">
            <v>7130343665</v>
          </cell>
          <cell r="C10">
            <v>3864390214</v>
          </cell>
          <cell r="D10">
            <v>13596114</v>
          </cell>
          <cell r="E10">
            <v>352165200</v>
          </cell>
          <cell r="F10">
            <v>11360495192</v>
          </cell>
          <cell r="G10">
            <v>5.3801814632168807E-2</v>
          </cell>
        </row>
        <row r="11">
          <cell r="A11">
            <v>1998</v>
          </cell>
          <cell r="B11">
            <v>7021022570</v>
          </cell>
          <cell r="C11">
            <v>4312733832</v>
          </cell>
          <cell r="D11">
            <v>6419087</v>
          </cell>
          <cell r="E11">
            <v>586684363</v>
          </cell>
          <cell r="F11">
            <v>11926859852</v>
          </cell>
          <cell r="G11">
            <v>4.9853870841724483E-2</v>
          </cell>
        </row>
        <row r="12">
          <cell r="A12">
            <v>1999</v>
          </cell>
          <cell r="B12">
            <v>7777714326</v>
          </cell>
          <cell r="C12">
            <v>3929182211</v>
          </cell>
          <cell r="D12">
            <v>6480040</v>
          </cell>
          <cell r="E12">
            <v>717232756</v>
          </cell>
          <cell r="F12">
            <v>12430609334</v>
          </cell>
          <cell r="G12">
            <v>4.2236555828693408E-2</v>
          </cell>
        </row>
        <row r="13">
          <cell r="A13">
            <v>2000</v>
          </cell>
          <cell r="B13">
            <v>8082711555.3000002</v>
          </cell>
          <cell r="C13">
            <v>4300222314.6999998</v>
          </cell>
          <cell r="D13">
            <v>6284846.5800000001</v>
          </cell>
          <cell r="E13">
            <v>801091180.21000004</v>
          </cell>
          <cell r="F13">
            <v>13190309896.790001</v>
          </cell>
          <cell r="G13">
            <v>6.1115311597162041E-2</v>
          </cell>
        </row>
        <row r="14">
          <cell r="A14">
            <v>2001</v>
          </cell>
          <cell r="B14">
            <v>8576260475.6000004</v>
          </cell>
          <cell r="C14">
            <v>4525688630.3999996</v>
          </cell>
          <cell r="D14">
            <v>7093455.9400000004</v>
          </cell>
          <cell r="E14">
            <v>877228721.29999995</v>
          </cell>
          <cell r="F14">
            <v>13986271283.24</v>
          </cell>
          <cell r="G14">
            <v>6.0344403784152512E-2</v>
          </cell>
        </row>
      </sheetData>
      <sheetData sheetId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>
            <v>1379.946869840104</v>
          </cell>
          <cell r="C7">
            <v>959.71061707384115</v>
          </cell>
          <cell r="D7">
            <v>414.23715518368414</v>
          </cell>
          <cell r="E7">
            <v>1099.1049108942827</v>
          </cell>
          <cell r="F7">
            <v>1338.9777937877795</v>
          </cell>
          <cell r="G7" t="str">
            <v>–</v>
          </cell>
        </row>
        <row r="8">
          <cell r="A8">
            <v>1995</v>
          </cell>
          <cell r="B8">
            <v>1446.9575818792835</v>
          </cell>
          <cell r="C8">
            <v>989.41390803824561</v>
          </cell>
          <cell r="D8">
            <v>703.95963919889925</v>
          </cell>
          <cell r="E8">
            <v>1217.3925331373823</v>
          </cell>
          <cell r="F8">
            <v>1398.3984284423786</v>
          </cell>
          <cell r="G8">
            <v>4.4377610241396533E-2</v>
          </cell>
        </row>
        <row r="9">
          <cell r="A9">
            <v>1996</v>
          </cell>
          <cell r="B9">
            <v>1702.3967710627812</v>
          </cell>
          <cell r="C9">
            <v>1118.4503276245528</v>
          </cell>
          <cell r="D9">
            <v>913.3581285036654</v>
          </cell>
          <cell r="E9">
            <v>884.25178045691541</v>
          </cell>
          <cell r="F9">
            <v>1498.3813913582035</v>
          </cell>
          <cell r="G9">
            <v>7.1498194564757866E-2</v>
          </cell>
        </row>
        <row r="10">
          <cell r="A10">
            <v>1997</v>
          </cell>
          <cell r="B10">
            <v>1745.983981062986</v>
          </cell>
          <cell r="C10">
            <v>1412.2354387062539</v>
          </cell>
          <cell r="D10">
            <v>1182.8879415347137</v>
          </cell>
          <cell r="E10">
            <v>919.26816725964716</v>
          </cell>
          <cell r="F10">
            <v>1574.6087651710613</v>
          </cell>
          <cell r="G10">
            <v>5.087314501667816E-2</v>
          </cell>
        </row>
        <row r="11">
          <cell r="A11">
            <v>1998</v>
          </cell>
          <cell r="B11">
            <v>1748.1463682568913</v>
          </cell>
          <cell r="C11">
            <v>1581.8024755837955</v>
          </cell>
          <cell r="D11">
            <v>542.70265471761923</v>
          </cell>
          <cell r="E11">
            <v>1187.5240122257308</v>
          </cell>
          <cell r="F11">
            <v>1645.4011693011744</v>
          </cell>
          <cell r="G11">
            <v>4.495872606324678E-2</v>
          </cell>
        </row>
        <row r="12">
          <cell r="A12">
            <v>1999</v>
          </cell>
          <cell r="B12">
            <v>1945.0393238476881</v>
          </cell>
          <cell r="C12">
            <v>1446.870467830443</v>
          </cell>
          <cell r="D12">
            <v>631.70598557223627</v>
          </cell>
          <cell r="E12">
            <v>1323.5762903910388</v>
          </cell>
          <cell r="F12">
            <v>1710.6655434351508</v>
          </cell>
          <cell r="G12">
            <v>3.9664718459933461E-2</v>
          </cell>
        </row>
        <row r="13">
          <cell r="A13">
            <v>2000</v>
          </cell>
          <cell r="B13">
            <v>2060.9067893531742</v>
          </cell>
          <cell r="C13">
            <v>1558.8767513165483</v>
          </cell>
          <cell r="D13">
            <v>640.59184384874118</v>
          </cell>
          <cell r="E13">
            <v>1386.3522668173425</v>
          </cell>
          <cell r="F13">
            <v>1814.8195448294614</v>
          </cell>
          <cell r="G13">
            <v>6.0885075866531579E-2</v>
          </cell>
        </row>
        <row r="14">
          <cell r="A14">
            <v>2001</v>
          </cell>
          <cell r="B14">
            <v>2209.1289366236747</v>
          </cell>
          <cell r="C14">
            <v>1597.0298108275201</v>
          </cell>
          <cell r="D14">
            <v>759.38935231773905</v>
          </cell>
          <cell r="E14">
            <v>1472.0109294743254</v>
          </cell>
          <cell r="F14">
            <v>1910.356919929515</v>
          </cell>
          <cell r="G14">
            <v>5.2642906217450547E-2</v>
          </cell>
        </row>
      </sheetData>
      <sheetData sheetId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6">
          <cell r="A6">
            <v>1994</v>
          </cell>
          <cell r="B6">
            <v>733363000</v>
          </cell>
          <cell r="C6">
            <v>78160000</v>
          </cell>
          <cell r="D6">
            <v>1052000</v>
          </cell>
          <cell r="E6">
            <v>1766000</v>
          </cell>
          <cell r="F6">
            <v>814341000</v>
          </cell>
          <cell r="G6">
            <v>7.7199191662869149E-2</v>
          </cell>
          <cell r="H6">
            <v>10548569000</v>
          </cell>
        </row>
        <row r="7">
          <cell r="A7">
            <v>1995</v>
          </cell>
          <cell r="B7">
            <v>745858000</v>
          </cell>
          <cell r="C7">
            <v>78872000</v>
          </cell>
          <cell r="D7">
            <v>2850000</v>
          </cell>
          <cell r="E7">
            <v>2825000</v>
          </cell>
          <cell r="F7">
            <v>830405000</v>
          </cell>
          <cell r="G7">
            <v>7.5769589569261969E-2</v>
          </cell>
          <cell r="H7">
            <v>10959608000</v>
          </cell>
        </row>
        <row r="8">
          <cell r="A8">
            <v>1996</v>
          </cell>
          <cell r="B8">
            <v>649209078</v>
          </cell>
          <cell r="C8">
            <v>296204692</v>
          </cell>
          <cell r="D8">
            <v>2703444</v>
          </cell>
          <cell r="E8">
            <v>11710365</v>
          </cell>
          <cell r="F8">
            <v>959827579</v>
          </cell>
          <cell r="G8">
            <v>8.160992566527614E-2</v>
          </cell>
          <cell r="H8">
            <v>11761162275</v>
          </cell>
        </row>
        <row r="9">
          <cell r="A9">
            <v>1997</v>
          </cell>
          <cell r="B9">
            <v>500889187</v>
          </cell>
          <cell r="C9">
            <v>356202290</v>
          </cell>
          <cell r="D9">
            <v>947002</v>
          </cell>
          <cell r="E9">
            <v>35169957</v>
          </cell>
          <cell r="F9">
            <v>893208437</v>
          </cell>
          <cell r="G9">
            <v>7.2355407590263501E-2</v>
          </cell>
          <cell r="H9">
            <v>12344736444</v>
          </cell>
        </row>
        <row r="10">
          <cell r="A10">
            <v>1998</v>
          </cell>
          <cell r="B10">
            <v>457365467</v>
          </cell>
          <cell r="C10">
            <v>348237805</v>
          </cell>
          <cell r="D10">
            <v>775330</v>
          </cell>
          <cell r="E10">
            <v>48566196</v>
          </cell>
          <cell r="F10">
            <v>854944797</v>
          </cell>
          <cell r="G10">
            <v>6.5539994260804979E-2</v>
          </cell>
          <cell r="H10">
            <v>13044627279</v>
          </cell>
        </row>
        <row r="11">
          <cell r="A11">
            <v>1999</v>
          </cell>
          <cell r="B11">
            <v>466630422</v>
          </cell>
          <cell r="C11">
            <v>332810614</v>
          </cell>
          <cell r="D11">
            <v>653141</v>
          </cell>
          <cell r="E11">
            <v>54148946</v>
          </cell>
          <cell r="F11">
            <v>854243123</v>
          </cell>
          <cell r="G11">
            <v>6.3520258007815578E-2</v>
          </cell>
          <cell r="H11">
            <v>13448357261</v>
          </cell>
        </row>
        <row r="12">
          <cell r="A12">
            <v>2000</v>
          </cell>
          <cell r="B12">
            <v>463039687.31</v>
          </cell>
          <cell r="C12">
            <v>338664058.75</v>
          </cell>
          <cell r="D12">
            <v>692132.4</v>
          </cell>
          <cell r="E12">
            <v>60882478.25</v>
          </cell>
          <cell r="F12">
            <v>863278356.70999992</v>
          </cell>
          <cell r="G12">
            <v>6.0778319554744789E-2</v>
          </cell>
          <cell r="H12">
            <v>14203722035</v>
          </cell>
        </row>
        <row r="13">
          <cell r="A13">
            <v>2001</v>
          </cell>
          <cell r="B13">
            <v>473405802.30000001</v>
          </cell>
          <cell r="C13">
            <v>367784678.56</v>
          </cell>
          <cell r="D13">
            <v>749931.27</v>
          </cell>
          <cell r="E13">
            <v>66915939.469999999</v>
          </cell>
          <cell r="F13">
            <v>908856351.60000002</v>
          </cell>
          <cell r="G13">
            <v>6.0883052653460515E-2</v>
          </cell>
          <cell r="H13">
            <v>14927903776</v>
          </cell>
        </row>
      </sheetData>
      <sheetData sheetId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>
            <v>113.74268289316178</v>
          </cell>
          <cell r="C7">
            <v>121.36815576615201</v>
          </cell>
          <cell r="D7">
            <v>68.767159105765458</v>
          </cell>
          <cell r="E7">
            <v>71.203935166518832</v>
          </cell>
          <cell r="F7">
            <v>114.18685121107266</v>
          </cell>
          <cell r="G7" t="str">
            <v>–</v>
          </cell>
        </row>
        <row r="8">
          <cell r="A8">
            <v>1995</v>
          </cell>
          <cell r="B8">
            <v>116.54974574504624</v>
          </cell>
          <cell r="C8">
            <v>112.87633435277719</v>
          </cell>
          <cell r="D8">
            <v>87.142638740253787</v>
          </cell>
          <cell r="E8">
            <v>79.840601418760428</v>
          </cell>
          <cell r="F8">
            <v>115.87611879295878</v>
          </cell>
          <cell r="G8">
            <v>1.4793888823184449E-2</v>
          </cell>
        </row>
        <row r="9">
          <cell r="A9">
            <v>1996</v>
          </cell>
          <cell r="B9">
            <v>136.97434362103451</v>
          </cell>
          <cell r="C9">
            <v>128.46694435673865</v>
          </cell>
          <cell r="D9">
            <v>97.148339801638642</v>
          </cell>
          <cell r="E9">
            <v>96.303927696179215</v>
          </cell>
          <cell r="F9">
            <v>133.40658749416588</v>
          </cell>
          <cell r="G9">
            <v>0.15128629508664851</v>
          </cell>
        </row>
        <row r="10">
          <cell r="A10">
            <v>1997</v>
          </cell>
          <cell r="B10">
            <v>122.6511004066257</v>
          </cell>
          <cell r="C10">
            <v>130.17357705334524</v>
          </cell>
          <cell r="D10">
            <v>82.390986601705237</v>
          </cell>
          <cell r="E10">
            <v>91.805271826945415</v>
          </cell>
          <cell r="F10">
            <v>123.8021591713151</v>
          </cell>
          <cell r="G10">
            <v>-7.1993658658503643E-2</v>
          </cell>
        </row>
        <row r="11">
          <cell r="A11">
            <v>1998</v>
          </cell>
          <cell r="B11">
            <v>113.87825236718575</v>
          </cell>
          <cell r="C11">
            <v>127.72488252200283</v>
          </cell>
          <cell r="D11">
            <v>65.550388907676705</v>
          </cell>
          <cell r="E11">
            <v>98.304177799368475</v>
          </cell>
          <cell r="F11">
            <v>117.94614727831004</v>
          </cell>
          <cell r="G11">
            <v>-4.7301371253966752E-2</v>
          </cell>
        </row>
        <row r="12">
          <cell r="A12">
            <v>1999</v>
          </cell>
          <cell r="B12">
            <v>116.69424749371302</v>
          </cell>
          <cell r="C12">
            <v>122.55319883843305</v>
          </cell>
          <cell r="D12">
            <v>63.671378436342366</v>
          </cell>
          <cell r="E12">
            <v>99.926084629721899</v>
          </cell>
          <cell r="F12">
            <v>117.55853932562621</v>
          </cell>
          <cell r="G12">
            <v>-3.2863129625523811E-3</v>
          </cell>
        </row>
        <row r="13">
          <cell r="A13">
            <v>2000</v>
          </cell>
          <cell r="B13">
            <v>118.06454168111537</v>
          </cell>
          <cell r="C13">
            <v>122.76935680445337</v>
          </cell>
          <cell r="D13">
            <v>70.546570176332693</v>
          </cell>
          <cell r="E13">
            <v>105.36199101482934</v>
          </cell>
          <cell r="F13">
            <v>118.77616573412266</v>
          </cell>
          <cell r="G13">
            <v>1.0357617706730186E-2</v>
          </cell>
        </row>
        <row r="14">
          <cell r="A14">
            <v>2001</v>
          </cell>
          <cell r="B14">
            <v>121.94294466707073</v>
          </cell>
          <cell r="C14">
            <v>129.78424801045657</v>
          </cell>
          <cell r="D14">
            <v>80.283831495557223</v>
          </cell>
          <cell r="E14">
            <v>112.28655864106896</v>
          </cell>
          <cell r="F14">
            <v>124.13887771371346</v>
          </cell>
          <cell r="G14">
            <v>4.514973139977501E-2</v>
          </cell>
        </row>
      </sheetData>
      <sheetData sheetId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 t="str">
            <v>–</v>
          </cell>
          <cell r="C7" t="str">
            <v>–</v>
          </cell>
          <cell r="D7" t="str">
            <v>–</v>
          </cell>
          <cell r="E7" t="str">
            <v>–</v>
          </cell>
          <cell r="F7">
            <v>126395373</v>
          </cell>
        </row>
        <row r="8">
          <cell r="A8">
            <v>1995</v>
          </cell>
          <cell r="B8" t="str">
            <v>–</v>
          </cell>
          <cell r="C8" t="str">
            <v>–</v>
          </cell>
          <cell r="D8" t="str">
            <v>–</v>
          </cell>
          <cell r="E8" t="str">
            <v>–</v>
          </cell>
          <cell r="F8">
            <v>-81798816</v>
          </cell>
        </row>
        <row r="9">
          <cell r="A9">
            <v>1996</v>
          </cell>
          <cell r="B9">
            <v>-991775322</v>
          </cell>
          <cell r="C9">
            <v>663779882</v>
          </cell>
          <cell r="D9">
            <v>3167199</v>
          </cell>
          <cell r="E9">
            <v>4895896</v>
          </cell>
          <cell r="F9">
            <v>-319932346</v>
          </cell>
        </row>
        <row r="10">
          <cell r="A10">
            <v>1997</v>
          </cell>
          <cell r="B10">
            <v>-876459686</v>
          </cell>
          <cell r="C10">
            <v>838256173</v>
          </cell>
          <cell r="D10">
            <v>-2030295</v>
          </cell>
          <cell r="E10">
            <v>110405696</v>
          </cell>
          <cell r="F10">
            <v>70171888</v>
          </cell>
        </row>
        <row r="11">
          <cell r="A11">
            <v>1998</v>
          </cell>
          <cell r="B11">
            <v>-430866451</v>
          </cell>
          <cell r="C11">
            <v>357976738</v>
          </cell>
          <cell r="D11">
            <v>4544767</v>
          </cell>
          <cell r="E11">
            <v>68311649</v>
          </cell>
          <cell r="F11">
            <v>-33297</v>
          </cell>
        </row>
        <row r="12">
          <cell r="A12">
            <v>1999</v>
          </cell>
          <cell r="B12">
            <v>-927498708</v>
          </cell>
          <cell r="C12">
            <v>825438408</v>
          </cell>
          <cell r="D12">
            <v>3614253</v>
          </cell>
          <cell r="E12">
            <v>49059277</v>
          </cell>
          <cell r="F12">
            <v>-49386770</v>
          </cell>
        </row>
        <row r="13">
          <cell r="A13">
            <v>2000</v>
          </cell>
          <cell r="B13">
            <v>-1105229685</v>
          </cell>
          <cell r="C13">
            <v>733255417.92999995</v>
          </cell>
          <cell r="D13">
            <v>3877650.94</v>
          </cell>
          <cell r="E13">
            <v>62142502.969999999</v>
          </cell>
          <cell r="F13">
            <v>-305954113.39999998</v>
          </cell>
        </row>
        <row r="14">
          <cell r="A14">
            <v>2001</v>
          </cell>
          <cell r="B14">
            <v>-1433346588</v>
          </cell>
          <cell r="C14">
            <v>618037013.5</v>
          </cell>
          <cell r="D14">
            <v>2472338.21</v>
          </cell>
          <cell r="E14">
            <v>23119861.41</v>
          </cell>
          <cell r="F14">
            <v>-789717374.88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 t="str">
            <v>–</v>
          </cell>
          <cell r="C7" t="str">
            <v>–</v>
          </cell>
          <cell r="D7" t="str">
            <v>–</v>
          </cell>
          <cell r="E7" t="str">
            <v>–</v>
          </cell>
          <cell r="F7">
            <v>17.72315240239535</v>
          </cell>
        </row>
        <row r="8">
          <cell r="A8">
            <v>1995</v>
          </cell>
          <cell r="B8" t="str">
            <v>–</v>
          </cell>
          <cell r="C8" t="str">
            <v>–</v>
          </cell>
          <cell r="D8" t="str">
            <v>–</v>
          </cell>
          <cell r="E8" t="str">
            <v>–</v>
          </cell>
          <cell r="F8">
            <v>-11.414345192935228</v>
          </cell>
        </row>
        <row r="9">
          <cell r="A9">
            <v>1996</v>
          </cell>
          <cell r="B9">
            <v>-209.25119249563258</v>
          </cell>
          <cell r="C9">
            <v>287.88798918153714</v>
          </cell>
          <cell r="D9">
            <v>113.8133893919793</v>
          </cell>
          <cell r="E9">
            <v>40.26296485139558</v>
          </cell>
          <cell r="F9">
            <v>-44.467447531910054</v>
          </cell>
        </row>
        <row r="10">
          <cell r="A10">
            <v>1997</v>
          </cell>
          <cell r="B10">
            <v>-214.61582270081155</v>
          </cell>
          <cell r="C10">
            <v>306.33942450638875</v>
          </cell>
          <cell r="D10">
            <v>-176.63955107012353</v>
          </cell>
          <cell r="E10">
            <v>288.19554520703849</v>
          </cell>
          <cell r="F10">
            <v>9.7260962701001628</v>
          </cell>
        </row>
        <row r="11">
          <cell r="A11">
            <v>1998</v>
          </cell>
          <cell r="B11">
            <v>-107.28033046607707</v>
          </cell>
          <cell r="C11">
            <v>131.29687859897859</v>
          </cell>
          <cell r="D11">
            <v>384.2379945891106</v>
          </cell>
          <cell r="E11">
            <v>138.27149421099506</v>
          </cell>
          <cell r="F11">
            <v>-4.5935747895146139E-3</v>
          </cell>
        </row>
        <row r="12">
          <cell r="A12">
            <v>1999</v>
          </cell>
          <cell r="B12">
            <v>-231.94750851767455</v>
          </cell>
          <cell r="C12">
            <v>303.95700464199626</v>
          </cell>
          <cell r="D12">
            <v>352.33505556638721</v>
          </cell>
          <cell r="E12">
            <v>90.53364520474635</v>
          </cell>
          <cell r="F12">
            <v>-6.7964685777290796</v>
          </cell>
        </row>
        <row r="13">
          <cell r="A13">
            <v>2000</v>
          </cell>
          <cell r="B13">
            <v>-281.80831964955939</v>
          </cell>
          <cell r="C13">
            <v>265.81296038591444</v>
          </cell>
          <cell r="D13">
            <v>395.23503618387525</v>
          </cell>
          <cell r="E13">
            <v>107.54256442516194</v>
          </cell>
          <cell r="F13">
            <v>-42.095410127886048</v>
          </cell>
        </row>
        <row r="14">
          <cell r="A14">
            <v>2001</v>
          </cell>
          <cell r="B14">
            <v>-369.21073383560986</v>
          </cell>
          <cell r="C14">
            <v>218.09355776804139</v>
          </cell>
          <cell r="D14">
            <v>264.67596724119471</v>
          </cell>
          <cell r="E14">
            <v>38.795684474417683</v>
          </cell>
          <cell r="F14">
            <v>-107.86592232759077</v>
          </cell>
        </row>
      </sheetData>
      <sheetData sheetId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5">
          <cell r="C5">
            <v>13407590808</v>
          </cell>
          <cell r="D5">
            <v>589721586.75999999</v>
          </cell>
          <cell r="E5">
            <v>13997312395</v>
          </cell>
        </row>
        <row r="6">
          <cell r="C6">
            <v>-42614949.670000002</v>
          </cell>
          <cell r="D6">
            <v>-1951567.83</v>
          </cell>
          <cell r="E6">
            <v>-44566517.5</v>
          </cell>
        </row>
        <row r="7">
          <cell r="C7">
            <v>1898817.18</v>
          </cell>
          <cell r="D7">
            <v>82540.14</v>
          </cell>
          <cell r="E7">
            <v>1981357.32</v>
          </cell>
        </row>
        <row r="8">
          <cell r="C8">
            <v>13366874706</v>
          </cell>
          <cell r="D8">
            <v>587852559.04999995</v>
          </cell>
          <cell r="E8">
            <v>13954727265</v>
          </cell>
        </row>
        <row r="9">
          <cell r="C9">
            <v>-28394687.780000001</v>
          </cell>
          <cell r="D9">
            <v>-1064159.95</v>
          </cell>
          <cell r="E9">
            <v>-29458847.73</v>
          </cell>
        </row>
        <row r="10">
          <cell r="C10">
            <v>13338479988</v>
          </cell>
          <cell r="D10">
            <v>586788399.10000002</v>
          </cell>
          <cell r="E10">
            <v>13925268387</v>
          </cell>
        </row>
        <row r="11">
          <cell r="C11">
            <v>1315249488.0999999</v>
          </cell>
          <cell r="D11">
            <v>61656748.18</v>
          </cell>
          <cell r="E11">
            <v>1376906236.2</v>
          </cell>
        </row>
        <row r="12">
          <cell r="C12">
            <v>-1288410111</v>
          </cell>
          <cell r="D12">
            <v>-59659514.619999997</v>
          </cell>
          <cell r="E12">
            <v>-1348069626</v>
          </cell>
        </row>
        <row r="13">
          <cell r="C13">
            <v>62009805.18</v>
          </cell>
          <cell r="D13">
            <v>2757345.29</v>
          </cell>
          <cell r="E13">
            <v>64767150.469999999</v>
          </cell>
        </row>
        <row r="14">
          <cell r="C14">
            <v>13427329170</v>
          </cell>
          <cell r="D14">
            <v>591542977.96000004</v>
          </cell>
          <cell r="E14">
            <v>14018872148</v>
          </cell>
        </row>
        <row r="15">
          <cell r="C15">
            <v>15881822793</v>
          </cell>
          <cell r="D15">
            <v>504638018.70999998</v>
          </cell>
          <cell r="E15">
            <v>16386460812</v>
          </cell>
        </row>
        <row r="16">
          <cell r="C16">
            <v>-2336727108</v>
          </cell>
          <cell r="D16">
            <v>-63462420.149999999</v>
          </cell>
          <cell r="E16">
            <v>-2400189529</v>
          </cell>
        </row>
        <row r="17">
          <cell r="C17">
            <v>13545095685</v>
          </cell>
          <cell r="D17">
            <v>441175598.55000001</v>
          </cell>
          <cell r="E17">
            <v>13986271283</v>
          </cell>
        </row>
        <row r="18">
          <cell r="C18">
            <v>29671529.219999999</v>
          </cell>
          <cell r="D18">
            <v>862713.19</v>
          </cell>
          <cell r="E18">
            <v>30534242.41</v>
          </cell>
        </row>
        <row r="19">
          <cell r="C19">
            <v>40592103.920000002</v>
          </cell>
          <cell r="D19">
            <v>1172354</v>
          </cell>
          <cell r="E19">
            <v>41764457.920000002</v>
          </cell>
        </row>
        <row r="20">
          <cell r="C20">
            <v>13615359318</v>
          </cell>
          <cell r="D20">
            <v>443210665.79000002</v>
          </cell>
          <cell r="E20">
            <v>14058569984</v>
          </cell>
        </row>
        <row r="21">
          <cell r="C21">
            <v>-33385994.760000002</v>
          </cell>
          <cell r="D21">
            <v>-919664.97</v>
          </cell>
          <cell r="E21">
            <v>-34305659.729999997</v>
          </cell>
        </row>
        <row r="22">
          <cell r="C22">
            <v>-950241.32</v>
          </cell>
          <cell r="D22">
            <v>-6716709.3300000001</v>
          </cell>
          <cell r="E22">
            <v>-7666950.6500000004</v>
          </cell>
        </row>
        <row r="23">
          <cell r="C23">
            <v>13581023082</v>
          </cell>
          <cell r="D23">
            <v>435574291.38999999</v>
          </cell>
          <cell r="E23">
            <v>14016597373</v>
          </cell>
        </row>
        <row r="24">
          <cell r="C24">
            <v>870449123.09000003</v>
          </cell>
          <cell r="D24">
            <v>38407228.509999998</v>
          </cell>
          <cell r="E24">
            <v>908856351.60000002</v>
          </cell>
        </row>
        <row r="25">
          <cell r="C25">
            <v>2345528.9900000002</v>
          </cell>
          <cell r="D25">
            <v>104522.69</v>
          </cell>
          <cell r="E25">
            <v>2450051.6800000002</v>
          </cell>
        </row>
        <row r="26">
          <cell r="C26">
            <v>872794652.08000004</v>
          </cell>
          <cell r="D26">
            <v>38511751.200000003</v>
          </cell>
          <cell r="E26">
            <v>911306403.27999997</v>
          </cell>
        </row>
        <row r="27">
          <cell r="C27">
            <v>14453817734</v>
          </cell>
          <cell r="D27">
            <v>474086042.58999997</v>
          </cell>
          <cell r="E27">
            <v>14927903776</v>
          </cell>
        </row>
        <row r="28">
          <cell r="C28">
            <v>-1026488564</v>
          </cell>
          <cell r="D28">
            <v>117456935.37</v>
          </cell>
          <cell r="E28">
            <v>-909031628.10000002</v>
          </cell>
        </row>
        <row r="29">
          <cell r="C29">
            <v>115517664.76000001</v>
          </cell>
          <cell r="D29">
            <v>3796888.8</v>
          </cell>
          <cell r="E29">
            <v>119314553.56</v>
          </cell>
        </row>
        <row r="30">
          <cell r="C30">
            <v>-910970898.70000005</v>
          </cell>
          <cell r="D30">
            <v>121253524.17</v>
          </cell>
          <cell r="E30">
            <v>-789717374.5</v>
          </cell>
        </row>
      </sheetData>
      <sheetData sheetId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5">
          <cell r="C5">
            <v>6803224498.1999998</v>
          </cell>
          <cell r="D5">
            <v>331776424.31999999</v>
          </cell>
          <cell r="E5">
            <v>7135000922.5</v>
          </cell>
        </row>
        <row r="6">
          <cell r="C6">
            <v>-23990695.98</v>
          </cell>
          <cell r="D6">
            <v>-1108501.01</v>
          </cell>
          <cell r="E6">
            <v>-25099196.989999998</v>
          </cell>
        </row>
        <row r="7">
          <cell r="C7">
            <v>1177720.49</v>
          </cell>
          <cell r="D7">
            <v>55866.21</v>
          </cell>
          <cell r="E7">
            <v>1233586.7</v>
          </cell>
        </row>
        <row r="8">
          <cell r="C8">
            <v>6780411552.6999998</v>
          </cell>
          <cell r="D8">
            <v>330723789.50999999</v>
          </cell>
          <cell r="E8">
            <v>7111135342.1999998</v>
          </cell>
        </row>
        <row r="9">
          <cell r="C9">
            <v>-15311784</v>
          </cell>
          <cell r="D9">
            <v>-616319.89</v>
          </cell>
          <cell r="E9">
            <v>-15928103.890000001</v>
          </cell>
        </row>
        <row r="10">
          <cell r="C10">
            <v>6765099738.6999998</v>
          </cell>
          <cell r="D10">
            <v>330107469.62</v>
          </cell>
          <cell r="E10">
            <v>7095207208.3000002</v>
          </cell>
        </row>
        <row r="11">
          <cell r="C11">
            <v>739754868.98000002</v>
          </cell>
          <cell r="D11">
            <v>37907650.479999997</v>
          </cell>
          <cell r="E11">
            <v>777662519.46000004</v>
          </cell>
        </row>
        <row r="12">
          <cell r="C12">
            <v>-719735313</v>
          </cell>
          <cell r="D12">
            <v>-36295255.869999997</v>
          </cell>
          <cell r="E12">
            <v>-756030568.89999998</v>
          </cell>
        </row>
        <row r="13">
          <cell r="C13">
            <v>37172715.340000004</v>
          </cell>
          <cell r="D13">
            <v>1795035.42</v>
          </cell>
          <cell r="E13">
            <v>38967750.759999998</v>
          </cell>
        </row>
        <row r="14">
          <cell r="C14">
            <v>6822292010</v>
          </cell>
          <cell r="D14">
            <v>333514899.64999998</v>
          </cell>
          <cell r="E14">
            <v>7155806909.6999998</v>
          </cell>
        </row>
        <row r="15">
          <cell r="C15">
            <v>9349938331.6000004</v>
          </cell>
          <cell r="D15">
            <v>309836265.89999998</v>
          </cell>
          <cell r="E15">
            <v>9659774597.5</v>
          </cell>
        </row>
        <row r="16">
          <cell r="C16">
            <v>-1053808677</v>
          </cell>
          <cell r="D16">
            <v>-29705444.98</v>
          </cell>
          <cell r="E16">
            <v>-1083514122</v>
          </cell>
        </row>
        <row r="17">
          <cell r="C17">
            <v>8296129654.6000004</v>
          </cell>
          <cell r="D17">
            <v>280130820.92000002</v>
          </cell>
          <cell r="E17">
            <v>8576260475.6000004</v>
          </cell>
        </row>
        <row r="18">
          <cell r="C18">
            <v>19890035.940000001</v>
          </cell>
          <cell r="D18">
            <v>588255.32999999996</v>
          </cell>
          <cell r="E18">
            <v>20478291.27</v>
          </cell>
        </row>
        <row r="19">
          <cell r="C19">
            <v>22724387.829999998</v>
          </cell>
          <cell r="D19">
            <v>770031.52</v>
          </cell>
          <cell r="E19">
            <v>23494419.350000001</v>
          </cell>
        </row>
        <row r="20">
          <cell r="C20">
            <v>8338744078.3999996</v>
          </cell>
          <cell r="D20">
            <v>281489107.76999998</v>
          </cell>
          <cell r="E20">
            <v>8620233186.2000008</v>
          </cell>
        </row>
        <row r="21">
          <cell r="C21">
            <v>-19912300.859999999</v>
          </cell>
          <cell r="D21">
            <v>-575988.98</v>
          </cell>
          <cell r="E21">
            <v>-20488289.84</v>
          </cell>
        </row>
        <row r="22">
          <cell r="C22">
            <v>-406237716.39999998</v>
          </cell>
          <cell r="D22">
            <v>-15756244.75</v>
          </cell>
          <cell r="E22">
            <v>-421993961.10000002</v>
          </cell>
        </row>
        <row r="23">
          <cell r="C23">
            <v>7912594061.1999998</v>
          </cell>
          <cell r="D23">
            <v>265156873.97</v>
          </cell>
          <cell r="E23">
            <v>8177750935.1000004</v>
          </cell>
        </row>
        <row r="24">
          <cell r="C24">
            <v>450967867.94999999</v>
          </cell>
          <cell r="D24">
            <v>22437934.350000001</v>
          </cell>
          <cell r="E24">
            <v>473405802.30000001</v>
          </cell>
        </row>
        <row r="25">
          <cell r="C25">
            <v>1421010.96</v>
          </cell>
          <cell r="D25">
            <v>69752.009999999995</v>
          </cell>
          <cell r="E25">
            <v>1490762.97</v>
          </cell>
        </row>
        <row r="26">
          <cell r="C26">
            <v>452388878.91000003</v>
          </cell>
          <cell r="D26">
            <v>22507686.350000001</v>
          </cell>
          <cell r="E26">
            <v>474896565.25999999</v>
          </cell>
        </row>
        <row r="27">
          <cell r="C27">
            <v>8364982940.1000004</v>
          </cell>
          <cell r="D27">
            <v>287664560.31999999</v>
          </cell>
          <cell r="E27">
            <v>8652647500.3999996</v>
          </cell>
        </row>
        <row r="28">
          <cell r="C28">
            <v>-1542690930</v>
          </cell>
          <cell r="D28">
            <v>45850339.329999998</v>
          </cell>
          <cell r="E28">
            <v>-1496840591</v>
          </cell>
        </row>
        <row r="29">
          <cell r="C29">
            <v>61310894.75</v>
          </cell>
          <cell r="D29">
            <v>2183108.2599999998</v>
          </cell>
          <cell r="E29">
            <v>63494003.009999998</v>
          </cell>
        </row>
        <row r="30">
          <cell r="C30">
            <v>-1481380035</v>
          </cell>
          <cell r="D30">
            <v>48033447.579999998</v>
          </cell>
          <cell r="E30">
            <v>-1433346588</v>
          </cell>
        </row>
      </sheetData>
      <sheetData sheetId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5">
          <cell r="C5">
            <v>5642537190.3000002</v>
          </cell>
          <cell r="D5">
            <v>219559705.38999999</v>
          </cell>
          <cell r="E5">
            <v>5862096895.6999998</v>
          </cell>
        </row>
        <row r="6">
          <cell r="C6">
            <v>-16002922.6</v>
          </cell>
          <cell r="D6">
            <v>-734192.16</v>
          </cell>
          <cell r="E6">
            <v>-16737114.76</v>
          </cell>
        </row>
        <row r="7">
          <cell r="C7">
            <v>626973.61</v>
          </cell>
          <cell r="D7">
            <v>23059.35</v>
          </cell>
          <cell r="E7">
            <v>650032.96</v>
          </cell>
        </row>
        <row r="8">
          <cell r="C8">
            <v>5627161241.3000002</v>
          </cell>
          <cell r="D8">
            <v>218848572.58000001</v>
          </cell>
          <cell r="E8">
            <v>5846009813.8999996</v>
          </cell>
        </row>
        <row r="9">
          <cell r="C9">
            <v>-12392950.529999999</v>
          </cell>
          <cell r="D9">
            <v>-421364.18</v>
          </cell>
          <cell r="E9">
            <v>-12814314.710000001</v>
          </cell>
        </row>
        <row r="10">
          <cell r="C10">
            <v>5614768290.8000002</v>
          </cell>
          <cell r="D10">
            <v>218427208.40000001</v>
          </cell>
          <cell r="E10">
            <v>5833195499.1999998</v>
          </cell>
        </row>
        <row r="11">
          <cell r="C11">
            <v>492341506.94</v>
          </cell>
          <cell r="D11">
            <v>20280616.809999999</v>
          </cell>
          <cell r="E11">
            <v>512622123.75</v>
          </cell>
        </row>
        <row r="12">
          <cell r="C12">
            <v>-488515098.80000001</v>
          </cell>
          <cell r="D12">
            <v>-20046992.02</v>
          </cell>
          <cell r="E12">
            <v>-508562090.89999998</v>
          </cell>
        </row>
        <row r="13">
          <cell r="C13">
            <v>19754073.199999999</v>
          </cell>
          <cell r="D13">
            <v>752820.85</v>
          </cell>
          <cell r="E13">
            <v>20506894.050000001</v>
          </cell>
        </row>
        <row r="14">
          <cell r="C14">
            <v>5638348772.1000004</v>
          </cell>
          <cell r="D14">
            <v>219413654.03999999</v>
          </cell>
          <cell r="E14">
            <v>5857762426.1000004</v>
          </cell>
        </row>
        <row r="15">
          <cell r="C15">
            <v>5525572396</v>
          </cell>
          <cell r="D15">
            <v>158529595.28</v>
          </cell>
          <cell r="E15">
            <v>5684101991.3000002</v>
          </cell>
        </row>
        <row r="16">
          <cell r="C16">
            <v>-1129300427</v>
          </cell>
          <cell r="D16">
            <v>-29112934.199999999</v>
          </cell>
          <cell r="E16">
            <v>-1158413361</v>
          </cell>
        </row>
        <row r="17">
          <cell r="C17">
            <v>4396271969.3999996</v>
          </cell>
          <cell r="D17">
            <v>129416661.06999999</v>
          </cell>
          <cell r="E17">
            <v>4525688630.3999996</v>
          </cell>
        </row>
        <row r="18">
          <cell r="C18">
            <v>8161187.04</v>
          </cell>
          <cell r="D18">
            <v>227964.27</v>
          </cell>
          <cell r="E18">
            <v>8389151.3100000005</v>
          </cell>
        </row>
        <row r="19">
          <cell r="C19">
            <v>13729857.48</v>
          </cell>
          <cell r="D19">
            <v>282304.31</v>
          </cell>
          <cell r="E19">
            <v>14012161.789999999</v>
          </cell>
        </row>
        <row r="20">
          <cell r="C20">
            <v>4418163013.8999996</v>
          </cell>
          <cell r="D20">
            <v>129926929.69</v>
          </cell>
          <cell r="E20">
            <v>4548089943.6000004</v>
          </cell>
        </row>
        <row r="21">
          <cell r="C21">
            <v>-12659489.140000001</v>
          </cell>
          <cell r="D21">
            <v>-328316.90999999997</v>
          </cell>
          <cell r="E21">
            <v>-12987806.050000001</v>
          </cell>
        </row>
        <row r="22">
          <cell r="C22">
            <v>382254362.01999998</v>
          </cell>
          <cell r="D22">
            <v>8271340.9400000004</v>
          </cell>
          <cell r="E22">
            <v>390525702.95999998</v>
          </cell>
        </row>
        <row r="23">
          <cell r="C23">
            <v>4787757886.8000002</v>
          </cell>
          <cell r="D23">
            <v>137869953.69999999</v>
          </cell>
          <cell r="E23">
            <v>4925627840.5</v>
          </cell>
        </row>
        <row r="24">
          <cell r="C24">
            <v>354628459.93000001</v>
          </cell>
          <cell r="D24">
            <v>13156218.630000001</v>
          </cell>
          <cell r="E24">
            <v>367784678.56</v>
          </cell>
        </row>
        <row r="25">
          <cell r="C25">
            <v>744462.29</v>
          </cell>
          <cell r="D25">
            <v>26716.17</v>
          </cell>
          <cell r="E25">
            <v>771178.46</v>
          </cell>
        </row>
        <row r="26">
          <cell r="C26">
            <v>355372922.22000003</v>
          </cell>
          <cell r="D26">
            <v>13182934.800000001</v>
          </cell>
          <cell r="E26">
            <v>368555857.01999998</v>
          </cell>
        </row>
        <row r="27">
          <cell r="C27">
            <v>5143130809</v>
          </cell>
          <cell r="D27">
            <v>151052888.5</v>
          </cell>
          <cell r="E27">
            <v>5294183697.5</v>
          </cell>
        </row>
        <row r="28">
          <cell r="C28">
            <v>495217963.06999999</v>
          </cell>
          <cell r="D28">
            <v>68360765.540000007</v>
          </cell>
          <cell r="E28">
            <v>563578728.61000001</v>
          </cell>
        </row>
        <row r="29">
          <cell r="C29">
            <v>52829774.009999998</v>
          </cell>
          <cell r="D29">
            <v>1628810.89</v>
          </cell>
          <cell r="E29">
            <v>54458584.899999999</v>
          </cell>
        </row>
        <row r="30">
          <cell r="C30">
            <v>548047737.08000004</v>
          </cell>
          <cell r="D30">
            <v>69989276.420000002</v>
          </cell>
          <cell r="E30">
            <v>618037013.5</v>
          </cell>
        </row>
      </sheetData>
      <sheetData sheetId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5">
          <cell r="C5">
            <v>14375511.25</v>
          </cell>
          <cell r="D5">
            <v>483856.34</v>
          </cell>
          <cell r="E5">
            <v>14859367.59</v>
          </cell>
        </row>
        <row r="6">
          <cell r="C6">
            <v>-17120.400000000001</v>
          </cell>
          <cell r="D6">
            <v>-620.19000000000005</v>
          </cell>
          <cell r="E6">
            <v>-17740.59</v>
          </cell>
        </row>
        <row r="7">
          <cell r="C7">
            <v>2928.3</v>
          </cell>
          <cell r="D7">
            <v>92.1</v>
          </cell>
          <cell r="E7">
            <v>3020.4</v>
          </cell>
        </row>
        <row r="8">
          <cell r="C8">
            <v>14361319.15</v>
          </cell>
          <cell r="D8">
            <v>483328.25</v>
          </cell>
          <cell r="E8">
            <v>14844647.4</v>
          </cell>
        </row>
        <row r="9">
          <cell r="C9">
            <v>0</v>
          </cell>
          <cell r="D9">
            <v>0</v>
          </cell>
          <cell r="E9">
            <v>0</v>
          </cell>
        </row>
        <row r="10">
          <cell r="C10">
            <v>14361319.15</v>
          </cell>
          <cell r="D10">
            <v>483328.25</v>
          </cell>
          <cell r="E10">
            <v>14844647.4</v>
          </cell>
        </row>
        <row r="11">
          <cell r="C11">
            <v>565203.75</v>
          </cell>
          <cell r="D11">
            <v>22063.23</v>
          </cell>
          <cell r="E11">
            <v>587266.98</v>
          </cell>
        </row>
        <row r="12">
          <cell r="C12">
            <v>-573149.92000000004</v>
          </cell>
          <cell r="D12">
            <v>-22335.3</v>
          </cell>
          <cell r="E12">
            <v>-595485.22</v>
          </cell>
        </row>
        <row r="13">
          <cell r="C13">
            <v>24666.57</v>
          </cell>
          <cell r="D13">
            <v>883.55</v>
          </cell>
          <cell r="E13">
            <v>25550.12</v>
          </cell>
        </row>
        <row r="14">
          <cell r="C14">
            <v>14378039.550000001</v>
          </cell>
          <cell r="D14">
            <v>483939.74</v>
          </cell>
          <cell r="E14">
            <v>14861979.289999999</v>
          </cell>
        </row>
        <row r="15">
          <cell r="C15">
            <v>8118157.5300000003</v>
          </cell>
          <cell r="D15">
            <v>243399.35</v>
          </cell>
          <cell r="E15">
            <v>8361556.8799999999</v>
          </cell>
        </row>
        <row r="16">
          <cell r="C16">
            <v>-1232653.55</v>
          </cell>
          <cell r="D16">
            <v>-35447.379999999997</v>
          </cell>
          <cell r="E16">
            <v>-1268100.93</v>
          </cell>
        </row>
        <row r="17">
          <cell r="C17">
            <v>6885503.9800000004</v>
          </cell>
          <cell r="D17">
            <v>207951.96</v>
          </cell>
          <cell r="E17">
            <v>7093455.9400000004</v>
          </cell>
        </row>
        <row r="18">
          <cell r="C18">
            <v>7178.62</v>
          </cell>
          <cell r="D18">
            <v>214.75</v>
          </cell>
          <cell r="E18">
            <v>7393.37</v>
          </cell>
        </row>
        <row r="19">
          <cell r="C19">
            <v>-30222.16</v>
          </cell>
          <cell r="D19">
            <v>-431.89</v>
          </cell>
          <cell r="E19">
            <v>-30654.05</v>
          </cell>
        </row>
        <row r="20">
          <cell r="C20">
            <v>6862460.4500000002</v>
          </cell>
          <cell r="D20">
            <v>207734.83</v>
          </cell>
          <cell r="E20">
            <v>7070195.2800000003</v>
          </cell>
        </row>
        <row r="21">
          <cell r="C21">
            <v>0</v>
          </cell>
          <cell r="D21">
            <v>0</v>
          </cell>
          <cell r="E21">
            <v>0</v>
          </cell>
        </row>
        <row r="22">
          <cell r="C22">
            <v>4449996.4000000004</v>
          </cell>
          <cell r="D22">
            <v>132794.93</v>
          </cell>
          <cell r="E22">
            <v>4582791.33</v>
          </cell>
        </row>
        <row r="23">
          <cell r="C23">
            <v>11312456.85</v>
          </cell>
          <cell r="D23">
            <v>340529.75</v>
          </cell>
          <cell r="E23">
            <v>11652986.6</v>
          </cell>
        </row>
        <row r="24">
          <cell r="C24">
            <v>725102.09</v>
          </cell>
          <cell r="D24">
            <v>24829.18</v>
          </cell>
          <cell r="E24">
            <v>749931.27</v>
          </cell>
        </row>
        <row r="25">
          <cell r="C25">
            <v>707.17</v>
          </cell>
          <cell r="D25">
            <v>17.14</v>
          </cell>
          <cell r="E25">
            <v>724.31</v>
          </cell>
        </row>
        <row r="26">
          <cell r="C26">
            <v>725809.26</v>
          </cell>
          <cell r="D26">
            <v>24846.32</v>
          </cell>
          <cell r="E26">
            <v>750655.58</v>
          </cell>
        </row>
        <row r="27">
          <cell r="C27">
            <v>12038266.109999999</v>
          </cell>
          <cell r="D27">
            <v>365376.07</v>
          </cell>
          <cell r="E27">
            <v>12403642.18</v>
          </cell>
        </row>
        <row r="28">
          <cell r="C28">
            <v>2339773.4500000002</v>
          </cell>
          <cell r="D28">
            <v>118563.66</v>
          </cell>
          <cell r="E28">
            <v>2458337.11</v>
          </cell>
        </row>
        <row r="29">
          <cell r="C29">
            <v>14951.91</v>
          </cell>
          <cell r="D29">
            <v>-950.82</v>
          </cell>
          <cell r="E29">
            <v>14001.09</v>
          </cell>
        </row>
        <row r="30">
          <cell r="C30">
            <v>2354725.36</v>
          </cell>
          <cell r="D30">
            <v>117612.85</v>
          </cell>
          <cell r="E30">
            <v>2472338.21</v>
          </cell>
        </row>
      </sheetData>
      <sheetData sheetId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5">
          <cell r="C5">
            <v>947453608.73000002</v>
          </cell>
          <cell r="D5">
            <v>37901600.710000001</v>
          </cell>
          <cell r="E5">
            <v>985355209.44000006</v>
          </cell>
        </row>
        <row r="6">
          <cell r="C6">
            <v>-2604210.69</v>
          </cell>
          <cell r="D6">
            <v>-108254.47</v>
          </cell>
          <cell r="E6">
            <v>-2712465.16</v>
          </cell>
        </row>
        <row r="7">
          <cell r="C7">
            <v>91194.78</v>
          </cell>
          <cell r="D7">
            <v>3522.48</v>
          </cell>
          <cell r="E7">
            <v>94717.26</v>
          </cell>
        </row>
        <row r="8">
          <cell r="C8">
            <v>944940592.82000005</v>
          </cell>
          <cell r="D8">
            <v>37796868.710000001</v>
          </cell>
          <cell r="E8">
            <v>982737461.52999997</v>
          </cell>
        </row>
        <row r="9">
          <cell r="C9">
            <v>-689953.25</v>
          </cell>
          <cell r="D9">
            <v>-26475.88</v>
          </cell>
          <cell r="E9">
            <v>-716429.13</v>
          </cell>
        </row>
        <row r="10">
          <cell r="C10">
            <v>944250639.57000005</v>
          </cell>
          <cell r="D10">
            <v>37770392.829999998</v>
          </cell>
          <cell r="E10">
            <v>982021032.39999998</v>
          </cell>
        </row>
        <row r="11">
          <cell r="C11">
            <v>82587908.390000001</v>
          </cell>
          <cell r="D11">
            <v>3446417.66</v>
          </cell>
          <cell r="E11">
            <v>86034326.049999997</v>
          </cell>
        </row>
        <row r="12">
          <cell r="C12">
            <v>-79586549.370000005</v>
          </cell>
          <cell r="D12">
            <v>-3294931.43</v>
          </cell>
          <cell r="E12">
            <v>-82881480.799999997</v>
          </cell>
        </row>
        <row r="13">
          <cell r="C13">
            <v>5058350.07</v>
          </cell>
          <cell r="D13">
            <v>208605.47</v>
          </cell>
          <cell r="E13">
            <v>5266955.54</v>
          </cell>
        </row>
        <row r="14">
          <cell r="C14">
            <v>952310348.65999997</v>
          </cell>
          <cell r="D14">
            <v>38130484.530000001</v>
          </cell>
          <cell r="E14">
            <v>990440833.19000006</v>
          </cell>
        </row>
        <row r="15">
          <cell r="C15">
            <v>998193907.98000002</v>
          </cell>
          <cell r="D15">
            <v>36028758.18</v>
          </cell>
          <cell r="E15">
            <v>1034222666.2</v>
          </cell>
        </row>
        <row r="16">
          <cell r="C16">
            <v>-152385351.30000001</v>
          </cell>
          <cell r="D16">
            <v>-4608593.59</v>
          </cell>
          <cell r="E16">
            <v>-156993944.90000001</v>
          </cell>
        </row>
        <row r="17">
          <cell r="C17">
            <v>845808556.70000005</v>
          </cell>
          <cell r="D17">
            <v>31420164.600000001</v>
          </cell>
          <cell r="E17">
            <v>877228721.29999995</v>
          </cell>
        </row>
        <row r="18">
          <cell r="C18">
            <v>1613127.62</v>
          </cell>
          <cell r="D18">
            <v>46278.84</v>
          </cell>
          <cell r="E18">
            <v>1659406.46</v>
          </cell>
        </row>
        <row r="19">
          <cell r="C19">
            <v>4168080.77</v>
          </cell>
          <cell r="D19">
            <v>120450.06</v>
          </cell>
          <cell r="E19">
            <v>4288530.83</v>
          </cell>
        </row>
        <row r="20">
          <cell r="C20">
            <v>851589765.09000003</v>
          </cell>
          <cell r="D20">
            <v>31586893.5</v>
          </cell>
          <cell r="E20">
            <v>883176658.59000003</v>
          </cell>
        </row>
        <row r="21">
          <cell r="C21">
            <v>-814204.76</v>
          </cell>
          <cell r="D21">
            <v>-15359.08</v>
          </cell>
          <cell r="E21">
            <v>-829563.84</v>
          </cell>
        </row>
        <row r="22">
          <cell r="C22">
            <v>18583116.649999999</v>
          </cell>
          <cell r="D22">
            <v>635399.55000000005</v>
          </cell>
          <cell r="E22">
            <v>19218516.199999999</v>
          </cell>
        </row>
        <row r="23">
          <cell r="C23">
            <v>869358676.97000003</v>
          </cell>
          <cell r="D23">
            <v>32206933.969999999</v>
          </cell>
          <cell r="E23">
            <v>901565610.94000006</v>
          </cell>
        </row>
        <row r="24">
          <cell r="C24">
            <v>64127693.119999997</v>
          </cell>
          <cell r="D24">
            <v>2788246.35</v>
          </cell>
          <cell r="E24">
            <v>66915939.469999999</v>
          </cell>
        </row>
        <row r="25">
          <cell r="C25">
            <v>179348.57</v>
          </cell>
          <cell r="D25">
            <v>8037.37</v>
          </cell>
          <cell r="E25">
            <v>187385.94</v>
          </cell>
        </row>
        <row r="26">
          <cell r="C26">
            <v>64307041.689999998</v>
          </cell>
          <cell r="D26">
            <v>2796283.73</v>
          </cell>
          <cell r="E26">
            <v>67103325.420000002</v>
          </cell>
        </row>
        <row r="27">
          <cell r="C27">
            <v>933665718.65999997</v>
          </cell>
          <cell r="D27">
            <v>35003217.700000003</v>
          </cell>
          <cell r="E27">
            <v>968668936.36000001</v>
          </cell>
        </row>
        <row r="28">
          <cell r="C28">
            <v>18644629.989999998</v>
          </cell>
          <cell r="D28">
            <v>3127266.84</v>
          </cell>
          <cell r="E28">
            <v>21771896.829999998</v>
          </cell>
        </row>
        <row r="29">
          <cell r="C29">
            <v>1362044.09</v>
          </cell>
          <cell r="D29">
            <v>-14079.53</v>
          </cell>
          <cell r="E29">
            <v>1347964.56</v>
          </cell>
        </row>
        <row r="30">
          <cell r="C30">
            <v>20006674.09</v>
          </cell>
          <cell r="D30">
            <v>3113187.32</v>
          </cell>
          <cell r="E30">
            <v>23119861.41</v>
          </cell>
        </row>
      </sheetData>
      <sheetData sheetId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 t="str">
            <v>–</v>
          </cell>
          <cell r="C7" t="str">
            <v>–</v>
          </cell>
          <cell r="D7" t="str">
            <v>–</v>
          </cell>
          <cell r="E7" t="str">
            <v>–</v>
          </cell>
          <cell r="F7" t="str">
            <v>–</v>
          </cell>
          <cell r="G7" t="str">
            <v>–</v>
          </cell>
        </row>
        <row r="8">
          <cell r="A8">
            <v>1995</v>
          </cell>
          <cell r="B8" t="str">
            <v>–</v>
          </cell>
          <cell r="C8" t="str">
            <v>–</v>
          </cell>
          <cell r="D8" t="str">
            <v>–</v>
          </cell>
          <cell r="E8" t="str">
            <v>–</v>
          </cell>
          <cell r="F8" t="str">
            <v>–</v>
          </cell>
          <cell r="G8" t="str">
            <v>–</v>
          </cell>
        </row>
        <row r="9">
          <cell r="A9">
            <v>1996</v>
          </cell>
          <cell r="B9">
            <v>2856077149.5999999</v>
          </cell>
          <cell r="C9" t="str">
            <v>–</v>
          </cell>
          <cell r="D9">
            <v>396.96661617617502</v>
          </cell>
          <cell r="E9" t="str">
            <v>–</v>
          </cell>
          <cell r="F9">
            <v>0.25659604678130066</v>
          </cell>
          <cell r="G9" t="str">
            <v>–</v>
          </cell>
        </row>
        <row r="10">
          <cell r="A10">
            <v>1997</v>
          </cell>
          <cell r="B10">
            <v>2991879965.3000002</v>
          </cell>
          <cell r="C10">
            <v>4.7548721055738909E-2</v>
          </cell>
          <cell r="D10">
            <v>414.68618560030387</v>
          </cell>
          <cell r="E10">
            <v>4.4637429703320061E-2</v>
          </cell>
          <cell r="F10">
            <v>0.24848089473110047</v>
          </cell>
          <cell r="G10">
            <v>-3.1626177222897033E-2</v>
          </cell>
        </row>
        <row r="11">
          <cell r="A11">
            <v>1998</v>
          </cell>
          <cell r="B11">
            <v>2985530959.1999998</v>
          </cell>
          <cell r="C11">
            <v>-2.1220791521172401E-3</v>
          </cell>
          <cell r="D11">
            <v>411.87673806939074</v>
          </cell>
          <cell r="E11">
            <v>-6.7748761074501391E-3</v>
          </cell>
          <cell r="F11">
            <v>0.23492819435144413</v>
          </cell>
          <cell r="G11">
            <v>-5.4542223032167977E-2</v>
          </cell>
        </row>
        <row r="12">
          <cell r="A12">
            <v>1999</v>
          </cell>
          <cell r="B12">
            <v>3077412147.1999998</v>
          </cell>
          <cell r="C12">
            <v>3.0775493289347901E-2</v>
          </cell>
          <cell r="D12">
            <v>423.5048163539866</v>
          </cell>
          <cell r="E12">
            <v>2.823193739734052E-2</v>
          </cell>
          <cell r="F12">
            <v>0.23610935015841622</v>
          </cell>
          <cell r="G12">
            <v>5.0277311764680014E-3</v>
          </cell>
        </row>
        <row r="13">
          <cell r="A13">
            <v>2000</v>
          </cell>
          <cell r="B13">
            <v>2832106458.9000001</v>
          </cell>
          <cell r="C13">
            <v>-7.971167869834804E-2</v>
          </cell>
          <cell r="D13">
            <v>389.66197116417186</v>
          </cell>
          <cell r="E13">
            <v>-7.9911358461451809E-2</v>
          </cell>
          <cell r="F13">
            <v>0.21069626660407667</v>
          </cell>
          <cell r="G13">
            <v>-0.10763268602996361</v>
          </cell>
        </row>
        <row r="14">
          <cell r="A14">
            <v>2001</v>
          </cell>
          <cell r="B14">
            <v>2102639270.2</v>
          </cell>
          <cell r="C14">
            <v>-0.25757053955638648</v>
          </cell>
          <cell r="D14">
            <v>287.19530735511393</v>
          </cell>
          <cell r="E14">
            <v>-0.26296295607940356</v>
          </cell>
          <cell r="F14">
            <v>0.15021735666544661</v>
          </cell>
          <cell r="G14">
            <v>-0.28704310196571786</v>
          </cell>
        </row>
      </sheetData>
      <sheetData sheetId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 t="str">
            <v>–</v>
          </cell>
          <cell r="C7" t="str">
            <v>–</v>
          </cell>
          <cell r="D7" t="str">
            <v>–</v>
          </cell>
          <cell r="E7" t="str">
            <v>–</v>
          </cell>
          <cell r="F7" t="str">
            <v>–</v>
          </cell>
          <cell r="G7" t="str">
            <v>–</v>
          </cell>
        </row>
        <row r="8">
          <cell r="A8">
            <v>1995</v>
          </cell>
          <cell r="B8" t="str">
            <v>–</v>
          </cell>
          <cell r="C8" t="str">
            <v>–</v>
          </cell>
          <cell r="D8" t="str">
            <v>–</v>
          </cell>
          <cell r="E8" t="str">
            <v>–</v>
          </cell>
          <cell r="F8" t="str">
            <v>–</v>
          </cell>
          <cell r="G8" t="str">
            <v>–</v>
          </cell>
        </row>
        <row r="9">
          <cell r="A9">
            <v>1996</v>
          </cell>
          <cell r="B9">
            <v>3454536792</v>
          </cell>
          <cell r="C9" t="str">
            <v>–</v>
          </cell>
          <cell r="D9">
            <v>480.14661682664899</v>
          </cell>
          <cell r="E9" t="str">
            <v>–</v>
          </cell>
          <cell r="F9">
            <v>0.3204435263250443</v>
          </cell>
          <cell r="G9" t="str">
            <v>–</v>
          </cell>
        </row>
        <row r="10">
          <cell r="A10">
            <v>1997</v>
          </cell>
          <cell r="B10">
            <v>3507897754</v>
          </cell>
          <cell r="C10">
            <v>1.5446632996809605E-2</v>
          </cell>
          <cell r="D10">
            <v>486.20825566318149</v>
          </cell>
          <cell r="E10">
            <v>1.2624558049777898E-2</v>
          </cell>
          <cell r="F10">
            <v>0.30878035637656381</v>
          </cell>
          <cell r="G10">
            <v>-3.6396959184158598E-2</v>
          </cell>
        </row>
        <row r="11">
          <cell r="A11">
            <v>1998</v>
          </cell>
          <cell r="B11">
            <v>3693957839</v>
          </cell>
          <cell r="C11">
            <v>5.3040338700818361E-2</v>
          </cell>
          <cell r="D11">
            <v>509.60962257141136</v>
          </cell>
          <cell r="E11">
            <v>4.8130336405560879E-2</v>
          </cell>
          <cell r="F11">
            <v>0.30971755221728081</v>
          </cell>
          <cell r="G11">
            <v>3.0351536986182783E-3</v>
          </cell>
        </row>
        <row r="12">
          <cell r="A12">
            <v>1999</v>
          </cell>
          <cell r="B12">
            <v>3810018376.6999998</v>
          </cell>
          <cell r="C12">
            <v>3.1419020670636247E-2</v>
          </cell>
          <cell r="D12">
            <v>524.32402803041998</v>
          </cell>
          <cell r="E12">
            <v>2.8873876801544685E-2</v>
          </cell>
          <cell r="F12">
            <v>0.30650294561819263</v>
          </cell>
          <cell r="G12">
            <v>-1.037915538229808E-2</v>
          </cell>
        </row>
        <row r="13">
          <cell r="A13">
            <v>2000</v>
          </cell>
          <cell r="B13">
            <v>3956218486.3000002</v>
          </cell>
          <cell r="C13">
            <v>3.8372547096906601E-2</v>
          </cell>
          <cell r="D13">
            <v>544.32554570231525</v>
          </cell>
          <cell r="E13">
            <v>3.8147245982659471E-2</v>
          </cell>
          <cell r="F13">
            <v>0.29993370263899466</v>
          </cell>
          <cell r="G13">
            <v>-2.1432886936692642E-2</v>
          </cell>
        </row>
        <row r="14">
          <cell r="A14">
            <v>2001</v>
          </cell>
          <cell r="B14">
            <v>3996358840.3000002</v>
          </cell>
          <cell r="C14">
            <v>1.0146141862235905E-2</v>
          </cell>
          <cell r="D14">
            <v>545.85468925067414</v>
          </cell>
          <cell r="E14">
            <v>2.8092445053004324E-3</v>
          </cell>
          <cell r="F14">
            <v>0.28573440049664334</v>
          </cell>
          <cell r="G14">
            <v>-4.7341469189415654E-2</v>
          </cell>
        </row>
      </sheetData>
      <sheetData sheetId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>
            <v>0.90407679678189612</v>
          </cell>
          <cell r="C7">
            <v>9.0300383375354912E-2</v>
          </cell>
          <cell r="D7">
            <v>2.1450847370167898E-3</v>
          </cell>
          <cell r="E7">
            <v>3.4777351057321492E-3</v>
          </cell>
          <cell r="F7">
            <v>1</v>
          </cell>
        </row>
        <row r="8">
          <cell r="A8">
            <v>1995</v>
          </cell>
          <cell r="B8">
            <v>0.89299454657113275</v>
          </cell>
          <cell r="C8">
            <v>9.7504338700060297E-2</v>
          </cell>
          <cell r="D8">
            <v>4.5637110387385877E-3</v>
          </cell>
          <cell r="E8">
            <v>4.9374036900684129E-3</v>
          </cell>
          <cell r="F8">
            <v>1</v>
          </cell>
        </row>
        <row r="9">
          <cell r="A9">
            <v>1996</v>
          </cell>
          <cell r="B9">
            <v>0.65876331560467527</v>
          </cell>
          <cell r="C9">
            <v>0.32046794094697328</v>
          </cell>
          <cell r="D9">
            <v>3.8678181352691143E-3</v>
          </cell>
          <cell r="E9">
            <v>1.6900925313082283E-2</v>
          </cell>
          <cell r="F9">
            <v>1</v>
          </cell>
        </row>
        <row r="10">
          <cell r="A10">
            <v>1997</v>
          </cell>
          <cell r="B10">
            <v>0.56603802874783171</v>
          </cell>
          <cell r="C10">
            <v>0.37927068021935451</v>
          </cell>
          <cell r="D10">
            <v>1.5931130501794573E-3</v>
          </cell>
          <cell r="E10">
            <v>5.3098177982634318E-2</v>
          </cell>
          <cell r="F10">
            <v>1</v>
          </cell>
        </row>
        <row r="11">
          <cell r="A11">
            <v>1998</v>
          </cell>
          <cell r="B11">
            <v>0.55407462651768902</v>
          </cell>
          <cell r="C11">
            <v>0.37613702943863803</v>
          </cell>
          <cell r="D11">
            <v>1.6317626996539885E-3</v>
          </cell>
          <cell r="E11">
            <v>6.8156581344018974E-2</v>
          </cell>
          <cell r="F11">
            <v>1</v>
          </cell>
        </row>
        <row r="12">
          <cell r="A12">
            <v>1999</v>
          </cell>
          <cell r="B12">
            <v>0.55029591824658086</v>
          </cell>
          <cell r="C12">
            <v>0.37371902477852575</v>
          </cell>
          <cell r="D12">
            <v>1.4116771489681326E-3</v>
          </cell>
          <cell r="E12">
            <v>7.4573379825925268E-2</v>
          </cell>
          <cell r="F12">
            <v>1</v>
          </cell>
        </row>
        <row r="13">
          <cell r="A13">
            <v>2000</v>
          </cell>
          <cell r="B13">
            <v>0.53960650848618019</v>
          </cell>
          <cell r="C13">
            <v>0.37954002078394233</v>
          </cell>
          <cell r="D13">
            <v>1.3498693126728527E-3</v>
          </cell>
          <cell r="E13">
            <v>7.9503601417204556E-2</v>
          </cell>
          <cell r="F13">
            <v>1</v>
          </cell>
        </row>
        <row r="14">
          <cell r="A14">
            <v>2001</v>
          </cell>
          <cell r="B14">
            <v>0.53026073148068087</v>
          </cell>
          <cell r="C14">
            <v>0.38706527964277321</v>
          </cell>
          <cell r="D14">
            <v>1.2758685733806091E-3</v>
          </cell>
          <cell r="E14">
            <v>8.1398120303165275E-2</v>
          </cell>
          <cell r="F14">
            <v>1</v>
          </cell>
        </row>
      </sheetData>
      <sheetData sheetId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0.47310000000000002</v>
          </cell>
          <cell r="C7">
            <v>0.2923</v>
          </cell>
          <cell r="D7">
            <v>8.3000000000000004E-2</v>
          </cell>
          <cell r="E7">
            <v>2.1299999999999999E-2</v>
          </cell>
          <cell r="F7">
            <v>5.2400000000000002E-2</v>
          </cell>
          <cell r="G7">
            <v>0.44900000000000001</v>
          </cell>
          <cell r="H7">
            <v>7.7799999999999994E-2</v>
          </cell>
          <cell r="I7">
            <v>1</v>
          </cell>
        </row>
        <row r="8">
          <cell r="B8">
            <v>0.47549999999999998</v>
          </cell>
          <cell r="C8">
            <v>0.30769999999999997</v>
          </cell>
          <cell r="D8">
            <v>7.5800000000000006E-2</v>
          </cell>
          <cell r="E8">
            <v>3.1699999999999999E-2</v>
          </cell>
          <cell r="F8">
            <v>3.9199999999999999E-2</v>
          </cell>
          <cell r="G8">
            <v>0.45440000000000003</v>
          </cell>
          <cell r="H8">
            <v>7.0099999999999996E-2</v>
          </cell>
          <cell r="I8">
            <v>1</v>
          </cell>
        </row>
        <row r="9">
          <cell r="B9">
            <v>0.47310000000000002</v>
          </cell>
          <cell r="C9">
            <v>0.2923</v>
          </cell>
          <cell r="D9">
            <v>8.3000000000000004E-2</v>
          </cell>
          <cell r="E9">
            <v>2.1299999999999999E-2</v>
          </cell>
          <cell r="F9">
            <v>5.2400000000000002E-2</v>
          </cell>
          <cell r="G9">
            <v>0.44900000000000001</v>
          </cell>
          <cell r="H9">
            <v>7.7799999999999994E-2</v>
          </cell>
          <cell r="I9">
            <v>1</v>
          </cell>
        </row>
        <row r="10">
          <cell r="B10">
            <v>0.45929999999999999</v>
          </cell>
          <cell r="C10">
            <v>0.27900000000000003</v>
          </cell>
          <cell r="D10">
            <v>8.9399999999999993E-2</v>
          </cell>
          <cell r="E10">
            <v>2.23E-2</v>
          </cell>
          <cell r="F10">
            <v>6.8099999999999994E-2</v>
          </cell>
          <cell r="G10">
            <v>0.4587</v>
          </cell>
          <cell r="H10">
            <v>8.2000000000000003E-2</v>
          </cell>
          <cell r="I10">
            <v>1</v>
          </cell>
        </row>
        <row r="11">
          <cell r="B11">
            <v>0.4501</v>
          </cell>
          <cell r="C11">
            <v>0.2591</v>
          </cell>
          <cell r="D11">
            <v>9.2299999999999993E-2</v>
          </cell>
          <cell r="E11">
            <v>2.3099999999999999E-2</v>
          </cell>
          <cell r="F11">
            <v>9.0200000000000002E-2</v>
          </cell>
          <cell r="G11">
            <v>0.46479999999999999</v>
          </cell>
          <cell r="H11">
            <v>8.5000000000000006E-2</v>
          </cell>
          <cell r="I11">
            <v>1</v>
          </cell>
        </row>
      </sheetData>
      <sheetData sheetId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0.47610000000000002</v>
          </cell>
          <cell r="C7">
            <v>0.24060000000000001</v>
          </cell>
          <cell r="D7">
            <v>7.8899999999999998E-2</v>
          </cell>
          <cell r="E7">
            <v>2.1299999999999999E-2</v>
          </cell>
          <cell r="F7">
            <v>8.8099999999999998E-2</v>
          </cell>
          <cell r="G7">
            <v>0.4289</v>
          </cell>
          <cell r="H7">
            <v>9.5000000000000001E-2</v>
          </cell>
          <cell r="I7">
            <v>1</v>
          </cell>
        </row>
        <row r="8">
          <cell r="B8">
            <v>0.33910000000000001</v>
          </cell>
          <cell r="C8">
            <v>0.38169999999999998</v>
          </cell>
          <cell r="D8">
            <v>0.10059999999999999</v>
          </cell>
          <cell r="E8">
            <v>2.1999999999999999E-2</v>
          </cell>
          <cell r="F8">
            <v>7.4200000000000002E-2</v>
          </cell>
          <cell r="G8">
            <v>0.57840000000000003</v>
          </cell>
          <cell r="H8">
            <v>8.2400000000000001E-2</v>
          </cell>
          <cell r="I8">
            <v>1</v>
          </cell>
        </row>
        <row r="9">
          <cell r="B9">
            <v>0.63019999999999998</v>
          </cell>
          <cell r="C9">
            <v>0.189</v>
          </cell>
          <cell r="D9">
            <v>5.2200000000000003E-2</v>
          </cell>
          <cell r="E9">
            <v>1.4500000000000001E-2</v>
          </cell>
          <cell r="F9">
            <v>6.5699999999999995E-2</v>
          </cell>
          <cell r="G9">
            <v>0.32140000000000002</v>
          </cell>
          <cell r="H9">
            <v>4.8399999999999999E-2</v>
          </cell>
          <cell r="I9">
            <v>1</v>
          </cell>
        </row>
        <row r="10">
          <cell r="B10">
            <v>0.54179999999999995</v>
          </cell>
          <cell r="C10">
            <v>0.33329999999999999</v>
          </cell>
          <cell r="D10">
            <v>6.08E-2</v>
          </cell>
          <cell r="E10">
            <v>1.41E-2</v>
          </cell>
          <cell r="F10">
            <v>4.6800000000000001E-2</v>
          </cell>
          <cell r="G10">
            <v>0.45500000000000002</v>
          </cell>
          <cell r="H10">
            <v>3.2000000000000002E-3</v>
          </cell>
          <cell r="I10">
            <v>1</v>
          </cell>
        </row>
        <row r="11">
          <cell r="B11">
            <v>0.57369999999999999</v>
          </cell>
          <cell r="C11">
            <v>0.25419999999999998</v>
          </cell>
          <cell r="D11">
            <v>6.54E-2</v>
          </cell>
          <cell r="E11">
            <v>1.61E-2</v>
          </cell>
          <cell r="F11">
            <v>7.4700000000000003E-2</v>
          </cell>
          <cell r="G11">
            <v>0.41049999999999998</v>
          </cell>
          <cell r="H11">
            <v>1.5800000000000002E-2</v>
          </cell>
          <cell r="I11">
            <v>1</v>
          </cell>
        </row>
        <row r="12">
          <cell r="B12">
            <v>0.53890000000000005</v>
          </cell>
          <cell r="C12">
            <v>0.31069999999999998</v>
          </cell>
          <cell r="D12">
            <v>6.83E-2</v>
          </cell>
          <cell r="E12">
            <v>1.4999999999999999E-2</v>
          </cell>
          <cell r="F12">
            <v>6.0499999999999998E-2</v>
          </cell>
          <cell r="G12">
            <v>0.45450000000000002</v>
          </cell>
          <cell r="H12">
            <v>6.4999999999999997E-3</v>
          </cell>
          <cell r="I12">
            <v>1</v>
          </cell>
        </row>
        <row r="13">
          <cell r="B13">
            <v>0.59719999999999995</v>
          </cell>
          <cell r="C13">
            <v>0.24010000000000001</v>
          </cell>
          <cell r="D13">
            <v>5.7599999999999998E-2</v>
          </cell>
          <cell r="E13">
            <v>1.7500000000000002E-2</v>
          </cell>
          <cell r="F13">
            <v>7.7299999999999994E-2</v>
          </cell>
          <cell r="G13">
            <v>0.39240000000000003</v>
          </cell>
          <cell r="H13">
            <v>1.04E-2</v>
          </cell>
          <cell r="I13">
            <v>1</v>
          </cell>
        </row>
        <row r="14">
          <cell r="B14">
            <v>0.65810000000000002</v>
          </cell>
          <cell r="C14">
            <v>0.2082</v>
          </cell>
          <cell r="D14">
            <v>5.3499999999999999E-2</v>
          </cell>
          <cell r="E14">
            <v>1.3100000000000001E-2</v>
          </cell>
          <cell r="F14">
            <v>5.3400000000000003E-2</v>
          </cell>
          <cell r="G14">
            <v>0.32819999999999999</v>
          </cell>
          <cell r="H14">
            <v>1.3599999999999999E-2</v>
          </cell>
          <cell r="I14">
            <v>1</v>
          </cell>
        </row>
        <row r="15">
          <cell r="B15">
            <v>0.53120000000000001</v>
          </cell>
          <cell r="C15">
            <v>0.27429999999999999</v>
          </cell>
          <cell r="D15">
            <v>8.0199999999999994E-2</v>
          </cell>
          <cell r="E15">
            <v>2.1899999999999999E-2</v>
          </cell>
          <cell r="F15">
            <v>7.5899999999999995E-2</v>
          </cell>
          <cell r="G15">
            <v>0.45240000000000002</v>
          </cell>
          <cell r="H15">
            <v>1.6400000000000001E-2</v>
          </cell>
          <cell r="I15">
            <v>1</v>
          </cell>
        </row>
        <row r="16">
          <cell r="B16">
            <v>0.40620000000000001</v>
          </cell>
          <cell r="C16">
            <v>0.35220000000000001</v>
          </cell>
          <cell r="D16">
            <v>0.12559999999999999</v>
          </cell>
          <cell r="E16">
            <v>2.9899999999999999E-2</v>
          </cell>
          <cell r="F16">
            <v>7.1800000000000003E-2</v>
          </cell>
          <cell r="G16">
            <v>0.5796</v>
          </cell>
          <cell r="H16">
            <v>1.4200000000000001E-2</v>
          </cell>
          <cell r="I16">
            <v>1</v>
          </cell>
        </row>
        <row r="17">
          <cell r="B17">
            <v>0.46039999999999998</v>
          </cell>
          <cell r="C17">
            <v>0.3468</v>
          </cell>
          <cell r="D17">
            <v>7.3899999999999993E-2</v>
          </cell>
          <cell r="E17">
            <v>1.83E-2</v>
          </cell>
          <cell r="F17">
            <v>7.0999999999999994E-2</v>
          </cell>
          <cell r="G17">
            <v>0.51</v>
          </cell>
          <cell r="H17">
            <v>2.9600000000000001E-2</v>
          </cell>
          <cell r="I17">
            <v>1</v>
          </cell>
        </row>
        <row r="18">
          <cell r="B18">
            <v>0.51249999999999996</v>
          </cell>
          <cell r="C18">
            <v>0.1636</v>
          </cell>
          <cell r="D18">
            <v>8.9200000000000002E-2</v>
          </cell>
          <cell r="E18">
            <v>2.1899999999999999E-2</v>
          </cell>
          <cell r="F18">
            <v>0.1154</v>
          </cell>
          <cell r="G18">
            <v>0.39019999999999999</v>
          </cell>
          <cell r="H18">
            <v>9.7299999999999998E-2</v>
          </cell>
          <cell r="I18">
            <v>1</v>
          </cell>
        </row>
        <row r="19">
          <cell r="B19">
            <v>0.42859999999999998</v>
          </cell>
          <cell r="C19">
            <v>0.26429999999999998</v>
          </cell>
          <cell r="D19">
            <v>9.8500000000000004E-2</v>
          </cell>
          <cell r="E19">
            <v>2.3199999999999998E-2</v>
          </cell>
          <cell r="F19">
            <v>9.6600000000000005E-2</v>
          </cell>
          <cell r="G19">
            <v>0.48249999999999998</v>
          </cell>
          <cell r="H19">
            <v>8.8900000000000007E-2</v>
          </cell>
          <cell r="I19">
            <v>1</v>
          </cell>
        </row>
        <row r="20">
          <cell r="B20">
            <v>0.4123</v>
          </cell>
          <cell r="C20">
            <v>0.22900000000000001</v>
          </cell>
          <cell r="D20">
            <v>4.5699999999999998E-2</v>
          </cell>
          <cell r="E20">
            <v>1.18E-2</v>
          </cell>
          <cell r="F20">
            <v>6.2799999999999995E-2</v>
          </cell>
          <cell r="G20">
            <v>0.34920000000000001</v>
          </cell>
          <cell r="H20">
            <v>0.23849999999999999</v>
          </cell>
          <cell r="I20">
            <v>1</v>
          </cell>
        </row>
        <row r="21">
          <cell r="B21">
            <v>0.58189999999999997</v>
          </cell>
          <cell r="C21">
            <v>0.15310000000000001</v>
          </cell>
          <cell r="D21">
            <v>4.87E-2</v>
          </cell>
          <cell r="E21">
            <v>1.2699999999999999E-2</v>
          </cell>
          <cell r="F21">
            <v>5.67E-2</v>
          </cell>
          <cell r="G21">
            <v>0.2712</v>
          </cell>
          <cell r="H21">
            <v>0.1469</v>
          </cell>
          <cell r="I21">
            <v>1</v>
          </cell>
        </row>
        <row r="22">
          <cell r="B22">
            <v>0.62929999999999997</v>
          </cell>
          <cell r="C22">
            <v>0.1356</v>
          </cell>
          <cell r="D22">
            <v>4.3299999999999998E-2</v>
          </cell>
          <cell r="E22">
            <v>1.0800000000000001E-2</v>
          </cell>
          <cell r="F22">
            <v>4.8399999999999999E-2</v>
          </cell>
          <cell r="G22">
            <v>0.23810000000000001</v>
          </cell>
          <cell r="H22">
            <v>0.13270000000000001</v>
          </cell>
          <cell r="I22">
            <v>1</v>
          </cell>
        </row>
        <row r="23">
          <cell r="B23">
            <v>0.55120000000000002</v>
          </cell>
          <cell r="C23">
            <v>0.17730000000000001</v>
          </cell>
          <cell r="D23">
            <v>4.2599999999999999E-2</v>
          </cell>
          <cell r="E23">
            <v>1.21E-2</v>
          </cell>
          <cell r="F23">
            <v>5.6099999999999997E-2</v>
          </cell>
          <cell r="G23">
            <v>0.28810000000000002</v>
          </cell>
          <cell r="H23">
            <v>0.16070000000000001</v>
          </cell>
          <cell r="I23">
            <v>1</v>
          </cell>
        </row>
        <row r="24">
          <cell r="B24">
            <v>0.66379999999999995</v>
          </cell>
          <cell r="C24">
            <v>0.1125</v>
          </cell>
          <cell r="D24">
            <v>3.56E-2</v>
          </cell>
          <cell r="E24">
            <v>1.01E-2</v>
          </cell>
          <cell r="F24">
            <v>4.5199999999999997E-2</v>
          </cell>
          <cell r="G24">
            <v>0.20349999999999999</v>
          </cell>
          <cell r="H24">
            <v>0.13270000000000001</v>
          </cell>
          <cell r="I24">
            <v>1</v>
          </cell>
        </row>
        <row r="25">
          <cell r="B25">
            <v>0.50060000000000004</v>
          </cell>
          <cell r="C25">
            <v>0.1832</v>
          </cell>
          <cell r="D25">
            <v>5.1299999999999998E-2</v>
          </cell>
          <cell r="E25">
            <v>1.3899999999999999E-2</v>
          </cell>
          <cell r="F25">
            <v>5.6599999999999998E-2</v>
          </cell>
          <cell r="G25">
            <v>0.30499999999999999</v>
          </cell>
          <cell r="H25">
            <v>0.19439999999999999</v>
          </cell>
          <cell r="I25">
            <v>1</v>
          </cell>
        </row>
        <row r="26">
          <cell r="B26">
            <v>0.49</v>
          </cell>
          <cell r="C26">
            <v>0.13159999999999999</v>
          </cell>
          <cell r="D26">
            <v>4.7100000000000003E-2</v>
          </cell>
          <cell r="E26">
            <v>1.2800000000000001E-2</v>
          </cell>
          <cell r="F26">
            <v>6.1199999999999997E-2</v>
          </cell>
          <cell r="G26">
            <v>0.25280000000000002</v>
          </cell>
          <cell r="H26">
            <v>0.25719999999999998</v>
          </cell>
          <cell r="I26">
            <v>1</v>
          </cell>
        </row>
        <row r="27">
          <cell r="B27">
            <v>0.37680000000000002</v>
          </cell>
          <cell r="C27">
            <v>0.30109999999999998</v>
          </cell>
          <cell r="D27">
            <v>0.1038</v>
          </cell>
          <cell r="E27">
            <v>2.6200000000000001E-2</v>
          </cell>
          <cell r="F27">
            <v>0.14940000000000001</v>
          </cell>
          <cell r="G27">
            <v>0.58050000000000002</v>
          </cell>
          <cell r="H27">
            <v>4.2700000000000002E-2</v>
          </cell>
          <cell r="I27">
            <v>1</v>
          </cell>
        </row>
        <row r="28">
          <cell r="B28">
            <v>0.28839999999999999</v>
          </cell>
          <cell r="C28">
            <v>0.25019999999999998</v>
          </cell>
          <cell r="D28">
            <v>0.20730000000000001</v>
          </cell>
          <cell r="E28">
            <v>5.7099999999999998E-2</v>
          </cell>
          <cell r="F28">
            <v>0.16400000000000001</v>
          </cell>
          <cell r="G28">
            <v>0.67869999999999997</v>
          </cell>
          <cell r="H28">
            <v>3.2800000000000003E-2</v>
          </cell>
          <cell r="I28">
            <v>1</v>
          </cell>
        </row>
        <row r="29">
          <cell r="B29">
            <v>0.55800000000000005</v>
          </cell>
          <cell r="C29">
            <v>0.316</v>
          </cell>
          <cell r="D29">
            <v>6.59E-2</v>
          </cell>
          <cell r="E29">
            <v>1.83E-2</v>
          </cell>
          <cell r="F29">
            <v>3.9300000000000002E-2</v>
          </cell>
          <cell r="G29">
            <v>0.43959999999999999</v>
          </cell>
          <cell r="H29">
            <v>2.3E-3</v>
          </cell>
          <cell r="I29">
            <v>1</v>
          </cell>
        </row>
        <row r="30">
          <cell r="B30">
            <v>0.373</v>
          </cell>
          <cell r="C30">
            <v>0.3417</v>
          </cell>
          <cell r="D30">
            <v>0.14449999999999999</v>
          </cell>
          <cell r="E30">
            <v>2.6599999999999999E-2</v>
          </cell>
          <cell r="F30">
            <v>0.1109</v>
          </cell>
          <cell r="G30">
            <v>0.62370000000000003</v>
          </cell>
          <cell r="H30">
            <v>3.3E-3</v>
          </cell>
          <cell r="I30">
            <v>1</v>
          </cell>
        </row>
        <row r="31">
          <cell r="B31">
            <v>0.34</v>
          </cell>
          <cell r="C31">
            <v>0.28770000000000001</v>
          </cell>
          <cell r="D31">
            <v>0.1474</v>
          </cell>
          <cell r="E31">
            <v>3.6600000000000001E-2</v>
          </cell>
          <cell r="F31">
            <v>0.13320000000000001</v>
          </cell>
          <cell r="G31">
            <v>0.60489999999999999</v>
          </cell>
          <cell r="H31">
            <v>5.5E-2</v>
          </cell>
          <cell r="I31">
            <v>1</v>
          </cell>
        </row>
        <row r="32">
          <cell r="B32">
            <v>0.37640000000000001</v>
          </cell>
          <cell r="C32">
            <v>0.31290000000000001</v>
          </cell>
          <cell r="D32">
            <v>0.1459</v>
          </cell>
          <cell r="E32">
            <v>2.41E-2</v>
          </cell>
          <cell r="F32">
            <v>0.13750000000000001</v>
          </cell>
          <cell r="G32">
            <v>0.62050000000000005</v>
          </cell>
          <cell r="H32">
            <v>3.0999999999999999E-3</v>
          </cell>
          <cell r="I32">
            <v>1</v>
          </cell>
        </row>
        <row r="33">
          <cell r="B33">
            <v>0.4501</v>
          </cell>
          <cell r="C33">
            <v>0.2591</v>
          </cell>
          <cell r="D33">
            <v>9.2299999999999993E-2</v>
          </cell>
          <cell r="E33">
            <v>2.3099999999999999E-2</v>
          </cell>
          <cell r="F33">
            <v>9.0200000000000002E-2</v>
          </cell>
          <cell r="G33">
            <v>0.46479999999999999</v>
          </cell>
          <cell r="H33">
            <v>8.5000000000000006E-2</v>
          </cell>
          <cell r="I33">
            <v>1</v>
          </cell>
        </row>
      </sheetData>
      <sheetData sheetId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0.8206</v>
          </cell>
          <cell r="C7">
            <v>9.915910780669146E-2</v>
          </cell>
          <cell r="D7">
            <v>2.4563271375464685E-2</v>
          </cell>
          <cell r="E7">
            <v>1.1677620817843865E-2</v>
          </cell>
          <cell r="F7">
            <v>0.13550000000000001</v>
          </cell>
          <cell r="G7">
            <v>4.3900000000000002E-2</v>
          </cell>
          <cell r="H7">
            <v>1</v>
          </cell>
        </row>
        <row r="8">
          <cell r="B8">
            <v>0.8075</v>
          </cell>
          <cell r="C8">
            <v>8.9319669551534225E-2</v>
          </cell>
          <cell r="D8">
            <v>2.1300078678206137E-2</v>
          </cell>
          <cell r="E8">
            <v>1.7080251770259638E-2</v>
          </cell>
          <cell r="F8">
            <v>0.12759999999999999</v>
          </cell>
          <cell r="G8">
            <v>6.4899999999999999E-2</v>
          </cell>
          <cell r="H8">
            <v>1</v>
          </cell>
        </row>
        <row r="9">
          <cell r="B9">
            <v>0.80579999999999996</v>
          </cell>
          <cell r="C9">
            <v>8.0600000000000005E-2</v>
          </cell>
          <cell r="D9">
            <v>1.9599999999999999E-2</v>
          </cell>
          <cell r="E9">
            <v>2.2200000000000001E-2</v>
          </cell>
          <cell r="F9">
            <v>0.1226</v>
          </cell>
          <cell r="G9">
            <v>7.17E-2</v>
          </cell>
          <cell r="H9">
            <v>1</v>
          </cell>
        </row>
        <row r="10">
          <cell r="B10">
            <v>0.8034</v>
          </cell>
          <cell r="C10">
            <v>7.5622923588039861E-2</v>
          </cell>
          <cell r="D10">
            <v>1.9056976744186046E-2</v>
          </cell>
          <cell r="E10">
            <v>2.6720099667774087E-2</v>
          </cell>
          <cell r="F10">
            <v>0.12139999999999999</v>
          </cell>
          <cell r="G10">
            <v>7.5200000000000003E-2</v>
          </cell>
          <cell r="H10">
            <v>1</v>
          </cell>
        </row>
        <row r="11">
          <cell r="B11">
            <v>0.80359999999999998</v>
          </cell>
          <cell r="C11">
            <v>7.1444453924914678E-2</v>
          </cell>
          <cell r="D11">
            <v>1.6425170648464164E-2</v>
          </cell>
          <cell r="E11">
            <v>3.0230375426621159E-2</v>
          </cell>
          <cell r="F11">
            <v>0.1181</v>
          </cell>
          <cell r="G11">
            <v>7.8299999999999995E-2</v>
          </cell>
          <cell r="H11">
            <v>1</v>
          </cell>
        </row>
      </sheetData>
      <sheetData sheetId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0.81659999999999999</v>
          </cell>
          <cell r="C7">
            <v>5.7101775147928996E-2</v>
          </cell>
          <cell r="D7">
            <v>8.1862721893491124E-3</v>
          </cell>
          <cell r="E7">
            <v>2.0111952662721894E-2</v>
          </cell>
          <cell r="F7">
            <v>8.5300000000000001E-2</v>
          </cell>
          <cell r="G7">
            <v>9.8100000000000007E-2</v>
          </cell>
          <cell r="H7">
            <v>1</v>
          </cell>
        </row>
        <row r="8">
          <cell r="B8">
            <v>0.80930000000000002</v>
          </cell>
          <cell r="C8">
            <v>8.8700000000000001E-2</v>
          </cell>
          <cell r="D8">
            <v>9.9000000000000008E-3</v>
          </cell>
          <cell r="E8">
            <v>2.1399999999999999E-2</v>
          </cell>
          <cell r="F8">
            <v>0.1201</v>
          </cell>
          <cell r="G8">
            <v>7.0599999999999996E-2</v>
          </cell>
          <cell r="H8">
            <v>1</v>
          </cell>
        </row>
        <row r="9">
          <cell r="B9">
            <v>0.93269999999999997</v>
          </cell>
          <cell r="C9">
            <v>1.7500000000000002E-2</v>
          </cell>
          <cell r="D9">
            <v>5.3E-3</v>
          </cell>
          <cell r="E9">
            <v>1.4800000000000001E-2</v>
          </cell>
          <cell r="F9">
            <v>3.7600000000000001E-2</v>
          </cell>
          <cell r="G9">
            <v>2.9700000000000001E-2</v>
          </cell>
          <cell r="H9">
            <v>1</v>
          </cell>
        </row>
        <row r="10">
          <cell r="B10">
            <v>0.9365</v>
          </cell>
          <cell r="C10">
            <v>1.7299999999999999E-2</v>
          </cell>
          <cell r="D10">
            <v>2.3900000000000001E-2</v>
          </cell>
          <cell r="E10">
            <v>2.01E-2</v>
          </cell>
          <cell r="F10">
            <v>6.13E-2</v>
          </cell>
          <cell r="G10">
            <v>2.2000000000000001E-3</v>
          </cell>
          <cell r="H10">
            <v>1</v>
          </cell>
        </row>
        <row r="11">
          <cell r="B11">
            <v>0.93640000000000001</v>
          </cell>
          <cell r="C11">
            <v>3.15E-2</v>
          </cell>
          <cell r="D11">
            <v>5.1000000000000004E-3</v>
          </cell>
          <cell r="E11">
            <v>1.38E-2</v>
          </cell>
          <cell r="F11">
            <v>5.04E-2</v>
          </cell>
          <cell r="G11">
            <v>1.32E-2</v>
          </cell>
          <cell r="H11">
            <v>1</v>
          </cell>
        </row>
        <row r="12">
          <cell r="B12">
            <v>0.94199999999999995</v>
          </cell>
          <cell r="C12">
            <v>2.8199999999999999E-2</v>
          </cell>
          <cell r="D12">
            <v>8.3999999999999995E-3</v>
          </cell>
          <cell r="E12">
            <v>1.4800000000000001E-2</v>
          </cell>
          <cell r="F12">
            <v>5.1299999999999998E-2</v>
          </cell>
          <cell r="G12">
            <v>6.7000000000000002E-3</v>
          </cell>
          <cell r="H12">
            <v>1</v>
          </cell>
        </row>
        <row r="13">
          <cell r="B13">
            <v>0.92659999999999998</v>
          </cell>
          <cell r="C13">
            <v>2.0799999999999999E-2</v>
          </cell>
          <cell r="D13">
            <v>3.7000000000000002E-3</v>
          </cell>
          <cell r="E13">
            <v>3.9800000000000002E-2</v>
          </cell>
          <cell r="F13">
            <v>6.4299999999999996E-2</v>
          </cell>
          <cell r="G13">
            <v>9.1000000000000004E-3</v>
          </cell>
          <cell r="H13">
            <v>1</v>
          </cell>
        </row>
        <row r="14">
          <cell r="B14">
            <v>0.94499999999999995</v>
          </cell>
          <cell r="C14">
            <v>2.305897435897436E-2</v>
          </cell>
          <cell r="D14">
            <v>4.311025641025641E-3</v>
          </cell>
          <cell r="E14">
            <v>1.1730000000000001E-2</v>
          </cell>
          <cell r="F14">
            <v>3.9100000000000003E-2</v>
          </cell>
          <cell r="G14">
            <v>1.6E-2</v>
          </cell>
          <cell r="H14">
            <v>1</v>
          </cell>
        </row>
        <row r="15">
          <cell r="B15">
            <v>0.9304</v>
          </cell>
          <cell r="C15">
            <v>3.4466537717601546E-2</v>
          </cell>
          <cell r="D15">
            <v>4.7090909090909093E-3</v>
          </cell>
          <cell r="E15">
            <v>1.2624371373307543E-2</v>
          </cell>
          <cell r="F15">
            <v>5.1700000000000003E-2</v>
          </cell>
          <cell r="G15">
            <v>1.7899999999999999E-2</v>
          </cell>
          <cell r="H15">
            <v>1</v>
          </cell>
        </row>
        <row r="16">
          <cell r="B16">
            <v>0.85450000000000004</v>
          </cell>
          <cell r="C16">
            <v>9.1999999999999998E-2</v>
          </cell>
          <cell r="D16">
            <v>2.0799999999999999E-2</v>
          </cell>
          <cell r="E16">
            <v>2.3900000000000001E-2</v>
          </cell>
          <cell r="F16">
            <v>0.13669999999999999</v>
          </cell>
          <cell r="G16">
            <v>8.8999999999999999E-3</v>
          </cell>
          <cell r="H16">
            <v>1</v>
          </cell>
        </row>
        <row r="17">
          <cell r="B17">
            <v>0.89870000000000005</v>
          </cell>
          <cell r="C17">
            <v>4.3400000000000001E-2</v>
          </cell>
          <cell r="D17">
            <v>1.04E-2</v>
          </cell>
          <cell r="E17">
            <v>1.67E-2</v>
          </cell>
          <cell r="F17">
            <v>7.0599999999999996E-2</v>
          </cell>
          <cell r="G17">
            <v>3.0700000000000002E-2</v>
          </cell>
          <cell r="H17">
            <v>1</v>
          </cell>
        </row>
        <row r="18">
          <cell r="B18">
            <v>0.78349999999999997</v>
          </cell>
          <cell r="C18">
            <v>4.58E-2</v>
          </cell>
          <cell r="D18">
            <v>1.5100000000000001E-2</v>
          </cell>
          <cell r="E18">
            <v>3.1199999999999999E-2</v>
          </cell>
          <cell r="F18">
            <v>9.2100000000000001E-2</v>
          </cell>
          <cell r="G18">
            <v>0.1244</v>
          </cell>
          <cell r="H18">
            <v>1</v>
          </cell>
        </row>
        <row r="19">
          <cell r="B19">
            <v>0.85329999999999995</v>
          </cell>
          <cell r="C19">
            <v>4.8599999999999997E-2</v>
          </cell>
          <cell r="D19">
            <v>8.5000000000000006E-3</v>
          </cell>
          <cell r="E19">
            <v>2.3400000000000001E-2</v>
          </cell>
          <cell r="F19">
            <v>8.0500000000000002E-2</v>
          </cell>
          <cell r="G19">
            <v>6.6199999999999995E-2</v>
          </cell>
          <cell r="H19">
            <v>1</v>
          </cell>
        </row>
        <row r="20">
          <cell r="B20">
            <v>0.75290000000000001</v>
          </cell>
          <cell r="C20">
            <v>2.5253731343283584E-2</v>
          </cell>
          <cell r="D20">
            <v>2.6055437100213218E-3</v>
          </cell>
          <cell r="E20">
            <v>1.9140724946695095E-2</v>
          </cell>
          <cell r="F20">
            <v>4.7199999999999999E-2</v>
          </cell>
          <cell r="G20">
            <v>0.19989999999999999</v>
          </cell>
          <cell r="H20">
            <v>1</v>
          </cell>
        </row>
        <row r="21">
          <cell r="B21">
            <v>0.8276</v>
          </cell>
          <cell r="C21">
            <v>1.7600000000000001E-2</v>
          </cell>
          <cell r="D21">
            <v>3.8E-3</v>
          </cell>
          <cell r="E21">
            <v>9.4000000000000004E-3</v>
          </cell>
          <cell r="F21">
            <v>3.0800000000000001E-2</v>
          </cell>
          <cell r="G21">
            <v>0.1416</v>
          </cell>
          <cell r="H21">
            <v>1</v>
          </cell>
        </row>
        <row r="22">
          <cell r="B22">
            <v>0.83909999999999996</v>
          </cell>
          <cell r="C22">
            <v>6.4000000000000003E-3</v>
          </cell>
          <cell r="D22">
            <v>2.5000000000000001E-3</v>
          </cell>
          <cell r="E22">
            <v>4.5999999999999999E-3</v>
          </cell>
          <cell r="F22">
            <v>1.34E-2</v>
          </cell>
          <cell r="G22">
            <v>0.14749999999999999</v>
          </cell>
          <cell r="H22">
            <v>1</v>
          </cell>
        </row>
        <row r="23">
          <cell r="B23">
            <v>0.8246</v>
          </cell>
          <cell r="C23">
            <v>2.3085175202156333E-2</v>
          </cell>
          <cell r="D23">
            <v>3.528301886792453E-3</v>
          </cell>
          <cell r="E23">
            <v>1.0786522911051212E-2</v>
          </cell>
          <cell r="F23">
            <v>3.7400000000000003E-2</v>
          </cell>
          <cell r="G23">
            <v>0.13789999999999999</v>
          </cell>
          <cell r="H23">
            <v>1</v>
          </cell>
        </row>
        <row r="24">
          <cell r="B24">
            <v>0.82289999999999996</v>
          </cell>
          <cell r="C24">
            <v>2.1202030456852788E-2</v>
          </cell>
          <cell r="D24">
            <v>5.9918781725888321E-3</v>
          </cell>
          <cell r="E24">
            <v>1.8206091370558376E-2</v>
          </cell>
          <cell r="F24">
            <v>4.5400000000000003E-2</v>
          </cell>
          <cell r="G24">
            <v>0.1318</v>
          </cell>
          <cell r="H24">
            <v>1</v>
          </cell>
        </row>
        <row r="25">
          <cell r="B25">
            <v>0.78400000000000003</v>
          </cell>
          <cell r="C25">
            <v>3.0300000000000001E-2</v>
          </cell>
          <cell r="D25">
            <v>4.7999999999999996E-3</v>
          </cell>
          <cell r="E25">
            <v>1.12E-2</v>
          </cell>
          <cell r="F25">
            <v>4.6300000000000001E-2</v>
          </cell>
          <cell r="G25">
            <v>0.16969999999999999</v>
          </cell>
          <cell r="H25">
            <v>1</v>
          </cell>
        </row>
        <row r="26">
          <cell r="B26">
            <v>0.68259999999999998</v>
          </cell>
          <cell r="C26">
            <v>2.3348717948717946E-2</v>
          </cell>
          <cell r="D26">
            <v>7.0448717948717954E-3</v>
          </cell>
          <cell r="E26">
            <v>1.6706410256410256E-2</v>
          </cell>
          <cell r="F26">
            <v>4.7100000000000003E-2</v>
          </cell>
          <cell r="G26">
            <v>0.27029999999999998</v>
          </cell>
          <cell r="H26">
            <v>1</v>
          </cell>
        </row>
        <row r="27">
          <cell r="B27">
            <v>0.74829999999999997</v>
          </cell>
          <cell r="C27">
            <v>0.11085782881002088</v>
          </cell>
          <cell r="D27">
            <v>2.071080375782881E-2</v>
          </cell>
          <cell r="E27">
            <v>6.0131367432150314E-2</v>
          </cell>
          <cell r="F27">
            <v>0.1918</v>
          </cell>
          <cell r="G27">
            <v>5.9900000000000002E-2</v>
          </cell>
          <cell r="H27">
            <v>1</v>
          </cell>
        </row>
        <row r="28">
          <cell r="B28">
            <v>0.61729999999999996</v>
          </cell>
          <cell r="C28">
            <v>0.17610000000000001</v>
          </cell>
          <cell r="D28">
            <v>7.1300000000000002E-2</v>
          </cell>
          <cell r="E28">
            <v>0.1129</v>
          </cell>
          <cell r="F28">
            <v>0.3604</v>
          </cell>
          <cell r="G28">
            <v>2.23E-2</v>
          </cell>
          <cell r="H28">
            <v>1</v>
          </cell>
        </row>
        <row r="29">
          <cell r="B29">
            <v>0.85870000000000002</v>
          </cell>
          <cell r="C29">
            <v>0.115</v>
          </cell>
          <cell r="D29">
            <v>1.0999999999999999E-2</v>
          </cell>
          <cell r="E29">
            <v>1.37E-2</v>
          </cell>
          <cell r="F29">
            <v>0.13980000000000001</v>
          </cell>
          <cell r="G29">
            <v>1.5E-3</v>
          </cell>
          <cell r="H29">
            <v>1</v>
          </cell>
        </row>
        <row r="30">
          <cell r="B30">
            <v>0.80979999999999996</v>
          </cell>
          <cell r="C30">
            <v>0.10855877573131094</v>
          </cell>
          <cell r="D30">
            <v>4.3923781148429035E-2</v>
          </cell>
          <cell r="E30">
            <v>3.2217443120260023E-2</v>
          </cell>
          <cell r="F30">
            <v>0.18459999999999999</v>
          </cell>
          <cell r="G30">
            <v>5.5999999999999999E-3</v>
          </cell>
          <cell r="H30">
            <v>1</v>
          </cell>
        </row>
        <row r="31">
          <cell r="B31">
            <v>0.72270000000000001</v>
          </cell>
          <cell r="C31">
            <v>0.15920000000000001</v>
          </cell>
          <cell r="D31">
            <v>3.85E-2</v>
          </cell>
          <cell r="E31">
            <v>5.2499999999999998E-2</v>
          </cell>
          <cell r="F31">
            <v>0.25019999999999998</v>
          </cell>
          <cell r="G31">
            <v>2.7099999999999999E-2</v>
          </cell>
          <cell r="H31">
            <v>1</v>
          </cell>
        </row>
        <row r="32">
          <cell r="B32">
            <v>0.81489999999999996</v>
          </cell>
          <cell r="C32">
            <v>0.1002</v>
          </cell>
          <cell r="D32">
            <v>2.35E-2</v>
          </cell>
          <cell r="E32">
            <v>5.28E-2</v>
          </cell>
          <cell r="F32">
            <v>0.17660000000000001</v>
          </cell>
          <cell r="G32">
            <v>8.5000000000000006E-3</v>
          </cell>
          <cell r="H32">
            <v>1</v>
          </cell>
        </row>
        <row r="33">
          <cell r="B33">
            <v>0.80359999999999998</v>
          </cell>
          <cell r="C33">
            <v>7.1444453924914678E-2</v>
          </cell>
          <cell r="D33">
            <v>1.6425170648464164E-2</v>
          </cell>
          <cell r="E33">
            <v>3.0230375426621159E-2</v>
          </cell>
          <cell r="F33">
            <v>0.1181</v>
          </cell>
          <cell r="G33">
            <v>7.8299999999999995E-2</v>
          </cell>
          <cell r="H33">
            <v>1</v>
          </cell>
        </row>
      </sheetData>
      <sheetData sheetId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3418235682</v>
          </cell>
          <cell r="C7">
            <v>5338413882</v>
          </cell>
          <cell r="D7">
            <v>903125039</v>
          </cell>
          <cell r="E7">
            <v>9659774603</v>
          </cell>
          <cell r="F7">
            <v>0.58949731188924859</v>
          </cell>
          <cell r="G7">
            <v>5.7196363386943047E-2</v>
          </cell>
        </row>
        <row r="8">
          <cell r="B8">
            <v>2240472344</v>
          </cell>
          <cell r="C8">
            <v>3318786585</v>
          </cell>
          <cell r="D8">
            <v>124843062</v>
          </cell>
          <cell r="E8">
            <v>5684101991</v>
          </cell>
          <cell r="F8">
            <v>0.34687795335909721</v>
          </cell>
          <cell r="G8">
            <v>5.4379850945336358E-2</v>
          </cell>
        </row>
        <row r="9">
          <cell r="B9">
            <v>4474227</v>
          </cell>
          <cell r="C9">
            <v>3752797</v>
          </cell>
          <cell r="D9">
            <v>134532</v>
          </cell>
          <cell r="E9">
            <v>8361556</v>
          </cell>
          <cell r="F9">
            <v>5.1027223592573282E-4</v>
          </cell>
          <cell r="G9">
            <v>0.10953828972880818</v>
          </cell>
        </row>
        <row r="10">
          <cell r="B10">
            <v>416812869</v>
          </cell>
          <cell r="C10">
            <v>546361042</v>
          </cell>
          <cell r="D10">
            <v>71048755</v>
          </cell>
          <cell r="E10">
            <v>1034222666</v>
          </cell>
          <cell r="F10">
            <v>6.3114462454702494E-2</v>
          </cell>
          <cell r="G10">
            <v>9.7102061310091484E-2</v>
          </cell>
        </row>
        <row r="11">
          <cell r="B11">
            <v>6079994263</v>
          </cell>
          <cell r="C11">
            <v>9207314362</v>
          </cell>
          <cell r="D11">
            <v>1099152192</v>
          </cell>
          <cell r="E11">
            <v>16386460817</v>
          </cell>
          <cell r="F11">
            <v>1</v>
          </cell>
          <cell r="G11">
            <v>5.8671285925623075E-2</v>
          </cell>
        </row>
      </sheetData>
      <sheetData sheetId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2901.36</v>
          </cell>
          <cell r="C7">
            <v>3745.94</v>
          </cell>
          <cell r="D7">
            <v>706.16</v>
          </cell>
          <cell r="E7">
            <v>2488.23</v>
          </cell>
          <cell r="F7">
            <v>250.03</v>
          </cell>
          <cell r="G7">
            <v>6.8015297647407269E-2</v>
          </cell>
        </row>
        <row r="8">
          <cell r="B8">
            <v>1655.67</v>
          </cell>
          <cell r="C8">
            <v>2555.15</v>
          </cell>
          <cell r="D8">
            <v>686.91</v>
          </cell>
          <cell r="E8">
            <v>2005.81</v>
          </cell>
          <cell r="F8">
            <v>-232.38</v>
          </cell>
          <cell r="G8">
            <v>2.6373019081293764E-2</v>
          </cell>
        </row>
        <row r="9">
          <cell r="B9">
            <v>781.25</v>
          </cell>
          <cell r="C9">
            <v>1201.28</v>
          </cell>
          <cell r="D9">
            <v>274.56</v>
          </cell>
          <cell r="E9">
            <v>895.15</v>
          </cell>
          <cell r="F9">
            <v>-1343</v>
          </cell>
          <cell r="G9">
            <v>0.16537780555121592</v>
          </cell>
        </row>
        <row r="10">
          <cell r="B10">
            <v>1745.85</v>
          </cell>
          <cell r="C10">
            <v>2320.71</v>
          </cell>
          <cell r="D10">
            <v>583.49</v>
          </cell>
          <cell r="E10">
            <v>1735.45</v>
          </cell>
          <cell r="F10">
            <v>-502.74</v>
          </cell>
          <cell r="G10">
            <v>6.3786096518919408E-2</v>
          </cell>
        </row>
        <row r="11">
          <cell r="B11">
            <v>2190.33</v>
          </cell>
          <cell r="C11">
            <v>3107.92</v>
          </cell>
          <cell r="D11">
            <v>694.38</v>
          </cell>
          <cell r="E11">
            <v>2238.19</v>
          </cell>
          <cell r="F11">
            <v>0</v>
          </cell>
          <cell r="G11">
            <v>5.0980926174622784E-2</v>
          </cell>
        </row>
      </sheetData>
      <sheetData sheetId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9">
          <cell r="A9">
            <v>1985</v>
          </cell>
          <cell r="B9">
            <v>4995.701</v>
          </cell>
          <cell r="C9" t="str">
            <v>–</v>
          </cell>
          <cell r="D9">
            <v>479.85300000000007</v>
          </cell>
          <cell r="E9" t="str">
            <v>–</v>
          </cell>
          <cell r="F9">
            <v>4888.7232730000005</v>
          </cell>
          <cell r="G9" t="str">
            <v>–</v>
          </cell>
        </row>
        <row r="10">
          <cell r="A10">
            <v>1986</v>
          </cell>
          <cell r="B10">
            <v>5219.1869999999999</v>
          </cell>
          <cell r="C10">
            <v>4.4735663723669584E-2</v>
          </cell>
          <cell r="D10">
            <v>517.38199999999961</v>
          </cell>
          <cell r="E10">
            <v>7.8209368285703199E-2</v>
          </cell>
          <cell r="F10">
            <v>5267.3928760000008</v>
          </cell>
          <cell r="G10">
            <v>7.7457770025838854E-2</v>
          </cell>
        </row>
        <row r="11">
          <cell r="A11">
            <v>1987</v>
          </cell>
          <cell r="B11">
            <v>5508.0529999999999</v>
          </cell>
          <cell r="C11">
            <v>5.5346934302219868E-2</v>
          </cell>
          <cell r="D11">
            <v>615.6269999999995</v>
          </cell>
          <cell r="E11">
            <v>0.18988870892300072</v>
          </cell>
          <cell r="F11">
            <v>5684.4304260000008</v>
          </cell>
          <cell r="G11">
            <v>7.9173427883111241E-2</v>
          </cell>
        </row>
        <row r="12">
          <cell r="A12">
            <v>1988</v>
          </cell>
          <cell r="B12">
            <v>5863.0439999999999</v>
          </cell>
          <cell r="C12">
            <v>6.444945246532667E-2</v>
          </cell>
          <cell r="D12">
            <v>708.3149999999996</v>
          </cell>
          <cell r="E12">
            <v>0.15055869869255276</v>
          </cell>
          <cell r="F12">
            <v>5965.9517820000001</v>
          </cell>
          <cell r="G12">
            <v>4.952498929573481E-2</v>
          </cell>
        </row>
        <row r="13">
          <cell r="A13">
            <v>1989</v>
          </cell>
          <cell r="B13">
            <v>6426.6729999999998</v>
          </cell>
          <cell r="C13">
            <v>9.613248681060553E-2</v>
          </cell>
          <cell r="D13">
            <v>755.38799999999992</v>
          </cell>
          <cell r="E13">
            <v>6.6457720082167326E-2</v>
          </cell>
          <cell r="F13">
            <v>6405.9268600000005</v>
          </cell>
          <cell r="G13">
            <v>7.3747675823907691E-2</v>
          </cell>
        </row>
        <row r="14">
          <cell r="A14">
            <v>1990</v>
          </cell>
          <cell r="B14">
            <v>6953.5550000000003</v>
          </cell>
          <cell r="C14">
            <v>8.1983632899946909E-2</v>
          </cell>
          <cell r="D14">
            <v>801.30899999999929</v>
          </cell>
          <cell r="E14">
            <v>6.0791275476972592E-2</v>
          </cell>
          <cell r="F14">
            <v>6849.9295110000003</v>
          </cell>
          <cell r="G14">
            <v>6.9311227040765769E-2</v>
          </cell>
        </row>
        <row r="15">
          <cell r="A15">
            <v>1991</v>
          </cell>
          <cell r="B15">
            <v>7507.79</v>
          </cell>
          <cell r="C15">
            <v>7.9705273058169476E-2</v>
          </cell>
          <cell r="D15">
            <v>991.54100000000017</v>
          </cell>
          <cell r="E15">
            <v>0.23740155171101415</v>
          </cell>
          <cell r="F15">
            <v>7579.4598309999992</v>
          </cell>
          <cell r="G15">
            <v>0.10650187258547381</v>
          </cell>
        </row>
        <row r="16">
          <cell r="A16">
            <v>1992</v>
          </cell>
          <cell r="B16">
            <v>8082.1289999999999</v>
          </cell>
          <cell r="C16">
            <v>7.6499076292757248E-2</v>
          </cell>
          <cell r="D16">
            <v>1108.1890000000003</v>
          </cell>
          <cell r="E16">
            <v>0.11764314334959433</v>
          </cell>
          <cell r="F16">
            <v>8288.9794139999995</v>
          </cell>
          <cell r="G16">
            <v>9.3610837555740359E-2</v>
          </cell>
        </row>
        <row r="17">
          <cell r="A17">
            <v>1993</v>
          </cell>
          <cell r="B17">
            <v>8977.9629999999997</v>
          </cell>
          <cell r="C17">
            <v>0.1108413389590787</v>
          </cell>
          <cell r="D17">
            <v>1190.8549999999977</v>
          </cell>
          <cell r="E17">
            <v>7.4595578912980923E-2</v>
          </cell>
          <cell r="F17">
            <v>8887.7865050000019</v>
          </cell>
          <cell r="G17">
            <v>7.2241353379237913E-2</v>
          </cell>
        </row>
        <row r="18">
          <cell r="A18">
            <v>1994</v>
          </cell>
          <cell r="B18">
            <v>9068.8770000000004</v>
          </cell>
          <cell r="C18">
            <v>1.0126350487298808E-2</v>
          </cell>
          <cell r="D18">
            <v>1259.2739999999994</v>
          </cell>
          <cell r="E18">
            <v>5.7453678239585693E-2</v>
          </cell>
          <cell r="F18">
            <v>9549.125</v>
          </cell>
          <cell r="G18">
            <v>7.4409808857126461E-2</v>
          </cell>
        </row>
        <row r="19">
          <cell r="A19">
            <v>1995</v>
          </cell>
          <cell r="B19">
            <v>9160.0470000000005</v>
          </cell>
          <cell r="C19">
            <v>1.005306390195832E-2</v>
          </cell>
          <cell r="D19">
            <v>1290.1959999999999</v>
          </cell>
          <cell r="E19">
            <v>2.4555418439513952E-2</v>
          </cell>
          <cell r="F19">
            <v>10017.201999999999</v>
          </cell>
          <cell r="G19">
            <v>4.901778958805119E-2</v>
          </cell>
        </row>
        <row r="20">
          <cell r="A20">
            <v>1996</v>
          </cell>
          <cell r="B20">
            <v>11130.63582</v>
          </cell>
          <cell r="C20">
            <v>0.21512868001659805</v>
          </cell>
          <cell r="D20">
            <v>1678.5317379999997</v>
          </cell>
          <cell r="E20">
            <v>0.30098972404192836</v>
          </cell>
          <cell r="F20">
            <v>10780.485509</v>
          </cell>
          <cell r="G20">
            <v>7.6197276345231019E-2</v>
          </cell>
        </row>
        <row r="21">
          <cell r="A21">
            <v>1997</v>
          </cell>
          <cell r="B21">
            <v>12040.684128000001</v>
          </cell>
          <cell r="C21">
            <v>8.1760675914379286E-2</v>
          </cell>
          <cell r="D21">
            <v>1777.9823429999997</v>
          </cell>
          <cell r="E21">
            <v>5.9248569895078158E-2</v>
          </cell>
          <cell r="F21">
            <v>11360.495192</v>
          </cell>
          <cell r="G21">
            <v>5.3801814632168828E-2</v>
          </cell>
        </row>
        <row r="22">
          <cell r="A22">
            <v>1998</v>
          </cell>
          <cell r="B22">
            <v>12708.270148</v>
          </cell>
          <cell r="C22">
            <v>5.5444193444752973E-2</v>
          </cell>
          <cell r="D22">
            <v>2097.2327999999998</v>
          </cell>
          <cell r="E22">
            <v>0.17955772072591394</v>
          </cell>
          <cell r="F22">
            <v>11926.859852</v>
          </cell>
          <cell r="G22">
            <v>4.9853870841724421E-2</v>
          </cell>
        </row>
        <row r="23">
          <cell r="A23">
            <v>1999</v>
          </cell>
          <cell r="B23">
            <v>13033.842773</v>
          </cell>
          <cell r="C23">
            <v>2.5618956884642448E-2</v>
          </cell>
          <cell r="D23">
            <v>2189.9011839999985</v>
          </cell>
          <cell r="E23">
            <v>4.4186026463060614E-2</v>
          </cell>
          <cell r="F23">
            <v>12430.609334000001</v>
          </cell>
          <cell r="G23">
            <v>4.2236555828693498E-2</v>
          </cell>
        </row>
        <row r="24">
          <cell r="A24">
            <v>2000</v>
          </cell>
          <cell r="B24">
            <v>13441.654683999999</v>
          </cell>
          <cell r="C24">
            <v>3.1288693450007975E-2</v>
          </cell>
          <cell r="D24">
            <v>2288.0175450000006</v>
          </cell>
          <cell r="E24">
            <v>4.4804012946733134E-2</v>
          </cell>
          <cell r="F24">
            <v>13190.309896999999</v>
          </cell>
          <cell r="G24">
            <v>6.1115311614055624E-2</v>
          </cell>
        </row>
        <row r="25">
          <cell r="A25">
            <v>2001</v>
          </cell>
          <cell r="B25">
            <v>13997.312406999999</v>
          </cell>
          <cell r="C25">
            <v>4.1338491135426661E-2</v>
          </cell>
          <cell r="D25">
            <v>2400.1895337599999</v>
          </cell>
          <cell r="E25">
            <v>4.9025842920273267E-2</v>
          </cell>
          <cell r="F25">
            <v>13986.271283239999</v>
          </cell>
          <cell r="G25">
            <v>6.0344403767271106E-2</v>
          </cell>
        </row>
      </sheetData>
      <sheetData sheetId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1995</v>
          </cell>
          <cell r="B7">
            <v>2819147</v>
          </cell>
          <cell r="C7">
            <v>2987779</v>
          </cell>
          <cell r="D7">
            <v>5806926</v>
          </cell>
          <cell r="E7">
            <v>1295411</v>
          </cell>
          <cell r="F7">
            <v>7102337</v>
          </cell>
          <cell r="G7" t="str">
            <v>-</v>
          </cell>
        </row>
        <row r="8">
          <cell r="A8">
            <v>1996</v>
          </cell>
          <cell r="B8">
            <v>2792349</v>
          </cell>
          <cell r="C8">
            <v>2968829</v>
          </cell>
          <cell r="D8">
            <v>5761178</v>
          </cell>
          <cell r="E8">
            <v>1471489</v>
          </cell>
          <cell r="F8">
            <v>7232667</v>
          </cell>
          <cell r="G8">
            <v>1.8350297937143788E-2</v>
          </cell>
        </row>
        <row r="9">
          <cell r="A9">
            <v>1997</v>
          </cell>
          <cell r="B9">
            <v>2750986</v>
          </cell>
          <cell r="C9">
            <v>2929423</v>
          </cell>
          <cell r="D9">
            <v>5680409</v>
          </cell>
          <cell r="E9">
            <v>1556062</v>
          </cell>
          <cell r="F9">
            <v>7236471</v>
          </cell>
          <cell r="G9">
            <v>5.2594706765844463E-4</v>
          </cell>
        </row>
        <row r="10">
          <cell r="A10">
            <v>1998</v>
          </cell>
          <cell r="B10">
            <v>2746839</v>
          </cell>
          <cell r="C10">
            <v>2927739</v>
          </cell>
          <cell r="D10">
            <v>5674578</v>
          </cell>
          <cell r="E10">
            <v>1572038</v>
          </cell>
          <cell r="F10">
            <v>7246616</v>
          </cell>
          <cell r="G10">
            <v>1.401926436242196E-3</v>
          </cell>
        </row>
        <row r="11">
          <cell r="A11">
            <v>1999</v>
          </cell>
          <cell r="B11">
            <v>2760031</v>
          </cell>
          <cell r="C11">
            <v>2940891</v>
          </cell>
          <cell r="D11">
            <v>5700922</v>
          </cell>
          <cell r="E11">
            <v>1569600</v>
          </cell>
          <cell r="F11">
            <v>7270522</v>
          </cell>
          <cell r="G11">
            <v>3.298919109278041E-3</v>
          </cell>
        </row>
        <row r="12">
          <cell r="A12">
            <v>2000</v>
          </cell>
          <cell r="B12">
            <v>2758998</v>
          </cell>
          <cell r="C12">
            <v>2947662</v>
          </cell>
          <cell r="D12">
            <v>5706660</v>
          </cell>
          <cell r="E12">
            <v>1558453</v>
          </cell>
          <cell r="F12">
            <v>7265113</v>
          </cell>
          <cell r="G12">
            <v>-7.4396308820742166E-4</v>
          </cell>
        </row>
        <row r="13">
          <cell r="A13">
            <v>2001</v>
          </cell>
          <cell r="B13">
            <v>2778660</v>
          </cell>
          <cell r="C13">
            <v>2968477</v>
          </cell>
          <cell r="D13">
            <v>5747137</v>
          </cell>
          <cell r="E13">
            <v>1553913</v>
          </cell>
          <cell r="F13">
            <v>7301050</v>
          </cell>
          <cell r="G13">
            <v>4.9465163170896312E-3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3">
          <cell r="D3">
            <v>1996</v>
          </cell>
          <cell r="E3">
            <v>1997</v>
          </cell>
          <cell r="F3">
            <v>1998</v>
          </cell>
          <cell r="G3">
            <v>1999</v>
          </cell>
          <cell r="H3">
            <v>2000</v>
          </cell>
          <cell r="I3">
            <v>2001</v>
          </cell>
        </row>
        <row r="6">
          <cell r="D6">
            <v>145</v>
          </cell>
          <cell r="E6">
            <v>129</v>
          </cell>
          <cell r="F6">
            <v>118</v>
          </cell>
          <cell r="G6">
            <v>109</v>
          </cell>
          <cell r="H6">
            <v>101</v>
          </cell>
          <cell r="I6">
            <v>99</v>
          </cell>
        </row>
        <row r="7">
          <cell r="D7">
            <v>7194754</v>
          </cell>
          <cell r="E7">
            <v>7214805</v>
          </cell>
          <cell r="F7">
            <v>7248603</v>
          </cell>
          <cell r="G7">
            <v>7266534</v>
          </cell>
          <cell r="H7">
            <v>7268111</v>
          </cell>
          <cell r="I7">
            <v>7321287</v>
          </cell>
        </row>
        <row r="8">
          <cell r="D8">
            <v>4739640</v>
          </cell>
          <cell r="E8">
            <v>4083854</v>
          </cell>
          <cell r="F8">
            <v>4016267</v>
          </cell>
          <cell r="G8">
            <v>3998744</v>
          </cell>
          <cell r="H8">
            <v>3921920</v>
          </cell>
          <cell r="I8">
            <v>-1.9212032578229565</v>
          </cell>
        </row>
        <row r="9">
          <cell r="D9">
            <v>2305688</v>
          </cell>
          <cell r="E9">
            <v>2736364</v>
          </cell>
          <cell r="F9">
            <v>2726468</v>
          </cell>
          <cell r="G9">
            <v>2715642</v>
          </cell>
          <cell r="H9">
            <v>2758539</v>
          </cell>
          <cell r="I9">
            <v>1.5796264750655646</v>
          </cell>
        </row>
        <row r="10">
          <cell r="D10">
            <v>27828</v>
          </cell>
          <cell r="E10">
            <v>11494</v>
          </cell>
          <cell r="F10">
            <v>11828</v>
          </cell>
          <cell r="G10">
            <v>10258</v>
          </cell>
          <cell r="H10">
            <v>9811</v>
          </cell>
          <cell r="I10">
            <v>-4.3575745759407294</v>
          </cell>
        </row>
        <row r="11">
          <cell r="D11">
            <v>121598</v>
          </cell>
          <cell r="E11">
            <v>383093</v>
          </cell>
          <cell r="F11">
            <v>494040</v>
          </cell>
          <cell r="G11">
            <v>541890</v>
          </cell>
          <cell r="H11">
            <v>577841</v>
          </cell>
          <cell r="I11">
            <v>6.6343722895790656</v>
          </cell>
        </row>
        <row r="12">
          <cell r="D12">
            <v>5599991</v>
          </cell>
          <cell r="E12">
            <v>5669325</v>
          </cell>
          <cell r="F12">
            <v>5768621</v>
          </cell>
          <cell r="G12">
            <v>5833167</v>
          </cell>
          <cell r="H12">
            <v>5947035</v>
          </cell>
          <cell r="I12">
            <v>6043905</v>
          </cell>
        </row>
        <row r="13">
          <cell r="D13">
            <v>77.834363760039608</v>
          </cell>
          <cell r="E13">
            <v>78.579046834945643</v>
          </cell>
          <cell r="F13">
            <v>79.582520935413342</v>
          </cell>
          <cell r="G13">
            <v>80.274405927227477</v>
          </cell>
          <cell r="H13">
            <v>81.823667800340417</v>
          </cell>
          <cell r="I13">
            <v>82.6</v>
          </cell>
        </row>
        <row r="14">
          <cell r="D14">
            <v>1117084</v>
          </cell>
          <cell r="E14">
            <v>1150122</v>
          </cell>
          <cell r="F14">
            <v>1154759</v>
          </cell>
          <cell r="G14">
            <v>1096033</v>
          </cell>
          <cell r="H14">
            <v>1097932</v>
          </cell>
          <cell r="I14">
            <v>1193315</v>
          </cell>
        </row>
        <row r="15">
          <cell r="D15">
            <v>18812.841</v>
          </cell>
          <cell r="E15">
            <v>18987.651000000002</v>
          </cell>
          <cell r="F15">
            <v>17067.058000000001</v>
          </cell>
          <cell r="G15">
            <v>12747.16</v>
          </cell>
          <cell r="H15">
            <v>12447.351000000001</v>
          </cell>
          <cell r="I15">
            <v>12514.1</v>
          </cell>
        </row>
        <row r="17">
          <cell r="D17">
            <v>11130.63582</v>
          </cell>
          <cell r="E17">
            <v>12040.684128000001</v>
          </cell>
          <cell r="F17">
            <v>12708.270148</v>
          </cell>
          <cell r="G17">
            <v>13033.842773</v>
          </cell>
          <cell r="H17">
            <v>13441.654683999999</v>
          </cell>
          <cell r="I17">
            <v>13997.312</v>
          </cell>
        </row>
        <row r="18">
          <cell r="D18">
            <v>1547.0488386399313</v>
          </cell>
          <cell r="E18">
            <v>1668.885593997343</v>
          </cell>
          <cell r="F18">
            <v>1753.2026720183185</v>
          </cell>
          <cell r="G18">
            <v>1793.6808350446031</v>
          </cell>
          <cell r="H18">
            <v>1849.401403473337</v>
          </cell>
          <cell r="I18">
            <v>1912</v>
          </cell>
        </row>
        <row r="19">
          <cell r="D19">
            <v>12459.017247</v>
          </cell>
          <cell r="E19">
            <v>13138.477535</v>
          </cell>
          <cell r="F19">
            <v>14024.092651999999</v>
          </cell>
          <cell r="G19">
            <v>14620.510517999999</v>
          </cell>
          <cell r="H19">
            <v>15478.327442</v>
          </cell>
          <cell r="I19">
            <v>16386.46</v>
          </cell>
        </row>
        <row r="20">
          <cell r="D20">
            <v>1731.6807839434121</v>
          </cell>
          <cell r="E20">
            <v>1821.0440247518818</v>
          </cell>
          <cell r="F20">
            <v>1934.7304097079118</v>
          </cell>
          <cell r="G20">
            <v>2012.0335937325824</v>
          </cell>
          <cell r="H20">
            <v>2129.6217740758225</v>
          </cell>
          <cell r="I20">
            <v>2238</v>
          </cell>
        </row>
        <row r="21">
          <cell r="D21">
            <v>1141.7516401488422</v>
          </cell>
          <cell r="E21">
            <v>1210.7956888559779</v>
          </cell>
          <cell r="F21">
            <v>1287.51</v>
          </cell>
          <cell r="G21">
            <v>1352.3238940325607</v>
          </cell>
          <cell r="H21">
            <v>1450.5580412847301</v>
          </cell>
          <cell r="I21">
            <v>1545</v>
          </cell>
        </row>
        <row r="22">
          <cell r="D22">
            <v>589.92914393356</v>
          </cell>
          <cell r="E22">
            <v>610.24833589590401</v>
          </cell>
          <cell r="F22">
            <v>647.22</v>
          </cell>
          <cell r="G22">
            <v>659.70969970002204</v>
          </cell>
          <cell r="H22">
            <v>679.06373279109243</v>
          </cell>
          <cell r="I22">
            <v>694</v>
          </cell>
        </row>
        <row r="23">
          <cell r="D23">
            <v>1678.5317379999999</v>
          </cell>
          <cell r="E23">
            <v>1777.9823429999999</v>
          </cell>
          <cell r="F23">
            <v>2097.2328000000002</v>
          </cell>
          <cell r="G23">
            <v>2189.9011839999998</v>
          </cell>
          <cell r="H23">
            <v>2288.0175450000002</v>
          </cell>
          <cell r="I23">
            <v>2400.1799999999998</v>
          </cell>
        </row>
        <row r="24">
          <cell r="D24">
            <v>233.29939258520861</v>
          </cell>
          <cell r="E24">
            <v>246.43525958082026</v>
          </cell>
          <cell r="F24">
            <v>289.32924040673771</v>
          </cell>
          <cell r="G24">
            <v>301.36805029743203</v>
          </cell>
          <cell r="H24">
            <v>314.80222921746793</v>
          </cell>
          <cell r="I24">
            <v>328</v>
          </cell>
        </row>
        <row r="25">
          <cell r="D25">
            <v>10780.485509</v>
          </cell>
          <cell r="E25">
            <v>11360.495192</v>
          </cell>
          <cell r="F25">
            <v>11926.859852</v>
          </cell>
          <cell r="G25">
            <v>12430.609334000001</v>
          </cell>
          <cell r="H25">
            <v>13190.309896999999</v>
          </cell>
          <cell r="I25">
            <v>13986.27</v>
          </cell>
        </row>
        <row r="26">
          <cell r="D26">
            <v>1498.3813913582035</v>
          </cell>
          <cell r="E26">
            <v>1574.6087651710613</v>
          </cell>
          <cell r="F26">
            <v>1645.4011693011744</v>
          </cell>
          <cell r="G26">
            <v>1710.665543435151</v>
          </cell>
          <cell r="H26">
            <v>1814.8195448583544</v>
          </cell>
          <cell r="I26">
            <v>1910</v>
          </cell>
        </row>
        <row r="27">
          <cell r="D27">
            <v>959.82757900000001</v>
          </cell>
          <cell r="E27">
            <v>893.208437</v>
          </cell>
          <cell r="F27">
            <v>854.94479699999999</v>
          </cell>
          <cell r="G27">
            <v>854.24312299999997</v>
          </cell>
          <cell r="H27">
            <v>863.27835700000003</v>
          </cell>
          <cell r="I27">
            <v>908.85</v>
          </cell>
        </row>
        <row r="28">
          <cell r="D28">
            <v>-319.932346</v>
          </cell>
          <cell r="E28">
            <v>70.171887999999996</v>
          </cell>
          <cell r="F28">
            <v>-3.3297E-2</v>
          </cell>
          <cell r="G28">
            <v>-49.386769999999999</v>
          </cell>
          <cell r="H28">
            <v>-305.95411300000001</v>
          </cell>
          <cell r="I28">
            <v>-789.7</v>
          </cell>
        </row>
        <row r="29">
          <cell r="D29">
            <v>3454.5367919999999</v>
          </cell>
          <cell r="E29">
            <v>3507.8977540000001</v>
          </cell>
          <cell r="F29">
            <v>3693.9578390000001</v>
          </cell>
          <cell r="G29">
            <v>3810.0183769999999</v>
          </cell>
          <cell r="H29">
            <v>3956.2184860000002</v>
          </cell>
          <cell r="I29">
            <v>3996.3</v>
          </cell>
        </row>
        <row r="30">
          <cell r="D30">
            <v>2856.0771500000001</v>
          </cell>
          <cell r="E30">
            <v>2991.8799650000001</v>
          </cell>
          <cell r="F30">
            <v>2985.5309590000002</v>
          </cell>
          <cell r="G30">
            <v>3077.412147</v>
          </cell>
          <cell r="H30">
            <v>2832.1064590000001</v>
          </cell>
          <cell r="I30">
            <v>2102.63</v>
          </cell>
        </row>
        <row r="31">
          <cell r="D31">
            <v>0.25659604681954279</v>
          </cell>
          <cell r="E31">
            <v>0.24848089470618492</v>
          </cell>
          <cell r="F31">
            <v>0.23492819433570639</v>
          </cell>
          <cell r="G31">
            <v>0.23610935014307161</v>
          </cell>
          <cell r="H31">
            <v>0.21069626661151625</v>
          </cell>
          <cell r="I31">
            <v>0.15</v>
          </cell>
        </row>
      </sheetData>
      <sheetData sheetId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_data an_1"/>
      <sheetName val="Versicherte absolut trans"/>
      <sheetName val="Kosten absolut trans"/>
      <sheetName val="Kobe absolut trans"/>
      <sheetName val="pour T 202 H_F"/>
      <sheetName val="pour T 202 J_A"/>
      <sheetName val="SALDO_W_output"/>
    </sheetNames>
    <sheetDataSet>
      <sheetData sheetId="0">
        <row r="2">
          <cell r="B2">
            <v>2001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67</v>
          </cell>
          <cell r="C7">
            <v>0.36612021857923499</v>
          </cell>
          <cell r="D7">
            <v>116</v>
          </cell>
          <cell r="E7">
            <v>0.63387978142076506</v>
          </cell>
          <cell r="F7">
            <v>183</v>
          </cell>
          <cell r="G7" t="str">
            <v>–</v>
          </cell>
        </row>
        <row r="8">
          <cell r="B8">
            <v>64</v>
          </cell>
          <cell r="C8">
            <v>0.3595505617977528</v>
          </cell>
          <cell r="D8">
            <v>114</v>
          </cell>
          <cell r="E8">
            <v>0.6404494382022472</v>
          </cell>
          <cell r="F8">
            <v>178</v>
          </cell>
          <cell r="G8">
            <v>-2.7322404371584699E-2</v>
          </cell>
        </row>
        <row r="9">
          <cell r="B9">
            <v>66</v>
          </cell>
          <cell r="C9">
            <v>0.39759036144578314</v>
          </cell>
          <cell r="D9">
            <v>100</v>
          </cell>
          <cell r="E9">
            <v>0.60240963855421692</v>
          </cell>
          <cell r="F9">
            <v>166</v>
          </cell>
          <cell r="G9">
            <v>-6.741573033707865E-2</v>
          </cell>
        </row>
        <row r="10">
          <cell r="B10">
            <v>82</v>
          </cell>
          <cell r="C10">
            <v>0.56551724137931036</v>
          </cell>
          <cell r="D10">
            <v>63</v>
          </cell>
          <cell r="E10">
            <v>0.43448275862068964</v>
          </cell>
          <cell r="F10">
            <v>145</v>
          </cell>
          <cell r="G10">
            <v>-0.12650602409638553</v>
          </cell>
        </row>
        <row r="11">
          <cell r="B11">
            <v>60</v>
          </cell>
          <cell r="C11">
            <v>0.46511627906976744</v>
          </cell>
          <cell r="D11">
            <v>69</v>
          </cell>
          <cell r="E11">
            <v>0.53488372093023251</v>
          </cell>
          <cell r="F11">
            <v>129</v>
          </cell>
          <cell r="G11">
            <v>-0.1103448275862069</v>
          </cell>
        </row>
        <row r="12">
          <cell r="B12">
            <v>62</v>
          </cell>
          <cell r="C12">
            <v>0.52542372881355937</v>
          </cell>
          <cell r="D12">
            <v>56</v>
          </cell>
          <cell r="E12">
            <v>0.47457627118644069</v>
          </cell>
          <cell r="F12">
            <v>118</v>
          </cell>
          <cell r="G12">
            <v>-8.5271317829457363E-2</v>
          </cell>
        </row>
        <row r="13">
          <cell r="B13">
            <v>59</v>
          </cell>
          <cell r="C13">
            <v>0.54128440366972475</v>
          </cell>
          <cell r="D13">
            <v>50</v>
          </cell>
          <cell r="E13">
            <v>0.45871559633027525</v>
          </cell>
          <cell r="F13">
            <v>109</v>
          </cell>
          <cell r="G13">
            <v>-7.6271186440677971E-2</v>
          </cell>
        </row>
        <row r="14">
          <cell r="B14">
            <v>59</v>
          </cell>
          <cell r="C14">
            <v>0.58415841584158412</v>
          </cell>
          <cell r="D14">
            <v>42</v>
          </cell>
          <cell r="E14">
            <v>0.41584158415841582</v>
          </cell>
          <cell r="F14">
            <v>101</v>
          </cell>
          <cell r="G14">
            <v>-7.3394495412844041E-2</v>
          </cell>
        </row>
        <row r="15">
          <cell r="B15">
            <v>64</v>
          </cell>
          <cell r="C15">
            <v>0.64646464646464652</v>
          </cell>
          <cell r="D15">
            <v>35</v>
          </cell>
          <cell r="E15">
            <v>0.35353535353535354</v>
          </cell>
          <cell r="F15">
            <v>99</v>
          </cell>
          <cell r="G15">
            <v>-1.9801980198019802E-2</v>
          </cell>
        </row>
      </sheetData>
      <sheetData sheetId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 t="str">
            <v>–</v>
          </cell>
          <cell r="C7" t="str">
            <v>–</v>
          </cell>
          <cell r="D7" t="str">
            <v>–</v>
          </cell>
          <cell r="E7" t="str">
            <v>–</v>
          </cell>
          <cell r="F7">
            <v>284</v>
          </cell>
          <cell r="G7" t="str">
            <v>–</v>
          </cell>
        </row>
        <row r="8">
          <cell r="B8">
            <v>435</v>
          </cell>
          <cell r="C8" t="str">
            <v>–</v>
          </cell>
          <cell r="D8" t="str">
            <v>–</v>
          </cell>
          <cell r="E8" t="str">
            <v>–</v>
          </cell>
          <cell r="F8">
            <v>315</v>
          </cell>
          <cell r="G8">
            <v>0.10915492957746478</v>
          </cell>
        </row>
        <row r="9">
          <cell r="B9">
            <v>473</v>
          </cell>
          <cell r="C9">
            <v>8.7356321839080459E-2</v>
          </cell>
          <cell r="D9" t="str">
            <v>–</v>
          </cell>
          <cell r="E9" t="str">
            <v>–</v>
          </cell>
          <cell r="F9">
            <v>356</v>
          </cell>
          <cell r="G9">
            <v>0.13015873015873017</v>
          </cell>
        </row>
        <row r="10">
          <cell r="B10">
            <v>913.21658500000001</v>
          </cell>
          <cell r="C10">
            <v>0.93069045454545452</v>
          </cell>
          <cell r="D10">
            <v>2674.048675</v>
          </cell>
          <cell r="E10" t="str">
            <v>–</v>
          </cell>
          <cell r="F10">
            <v>530</v>
          </cell>
          <cell r="G10">
            <v>0.4887640449438202</v>
          </cell>
        </row>
        <row r="11">
          <cell r="B11">
            <v>951.20448216581099</v>
          </cell>
          <cell r="C11">
            <v>4.1597905458332182E-2</v>
          </cell>
          <cell r="D11">
            <v>2894.7924399622598</v>
          </cell>
          <cell r="E11">
            <v>8.2550391481658339E-2</v>
          </cell>
          <cell r="F11">
            <v>532</v>
          </cell>
          <cell r="G11">
            <v>3.7735849056603774E-3</v>
          </cell>
        </row>
        <row r="12">
          <cell r="B12">
            <v>1005.42211</v>
          </cell>
          <cell r="C12">
            <v>5.6998919633704945E-2</v>
          </cell>
          <cell r="D12">
            <v>3172.9022279999999</v>
          </cell>
          <cell r="E12">
            <v>9.6072445194504488E-2</v>
          </cell>
          <cell r="F12">
            <v>609.28660000000002</v>
          </cell>
          <cell r="G12">
            <v>0.14527556390977447</v>
          </cell>
        </row>
        <row r="13">
          <cell r="B13">
            <v>1043.283537</v>
          </cell>
          <cell r="C13">
            <v>3.7657245273828376E-2</v>
          </cell>
          <cell r="D13">
            <v>3340.3853559999998</v>
          </cell>
          <cell r="E13">
            <v>5.2785467677512014E-2</v>
          </cell>
          <cell r="F13">
            <v>659.60795700000006</v>
          </cell>
          <cell r="G13">
            <v>8.2590618273896119E-2</v>
          </cell>
        </row>
        <row r="14">
          <cell r="B14">
            <v>1090.4996369999999</v>
          </cell>
          <cell r="C14">
            <v>4.5257207964549594E-2</v>
          </cell>
          <cell r="D14">
            <v>3554.1311930000002</v>
          </cell>
          <cell r="E14">
            <v>6.3988376854805129E-2</v>
          </cell>
          <cell r="F14">
            <v>732.09943699999997</v>
          </cell>
          <cell r="G14">
            <v>0.10990085736640061</v>
          </cell>
        </row>
        <row r="15">
          <cell r="B15">
            <v>1148.4065562125586</v>
          </cell>
          <cell r="C15">
            <v>5.3101273258432738E-2</v>
          </cell>
          <cell r="D15">
            <v>3804.1073437743612</v>
          </cell>
          <cell r="E15">
            <v>7.0333968331472624E-2</v>
          </cell>
          <cell r="F15">
            <v>844.73803099999998</v>
          </cell>
          <cell r="G15">
            <v>0.15385696028065654</v>
          </cell>
        </row>
      </sheetData>
      <sheetData sheetId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240826</v>
          </cell>
          <cell r="C7">
            <v>482658.58999999997</v>
          </cell>
          <cell r="D7">
            <v>516140.99999999994</v>
          </cell>
          <cell r="E7">
            <v>998799.58</v>
          </cell>
          <cell r="F7">
            <v>1239625.58</v>
          </cell>
          <cell r="G7">
            <v>1.3402616145096177E-2</v>
          </cell>
        </row>
        <row r="8">
          <cell r="B8">
            <v>194314.42</v>
          </cell>
          <cell r="C8">
            <v>363347.83000000007</v>
          </cell>
          <cell r="D8">
            <v>395187.41</v>
          </cell>
          <cell r="E8">
            <v>758535.25</v>
          </cell>
          <cell r="F8">
            <v>952849.67</v>
          </cell>
          <cell r="G8">
            <v>-1.7086048379196413E-3</v>
          </cell>
        </row>
        <row r="9">
          <cell r="B9">
            <v>81995.33</v>
          </cell>
          <cell r="C9">
            <v>132428.74</v>
          </cell>
          <cell r="D9">
            <v>139734.1</v>
          </cell>
          <cell r="E9">
            <v>272162.83</v>
          </cell>
          <cell r="F9">
            <v>354158.17</v>
          </cell>
          <cell r="G9">
            <v>2.8550292262562644E-3</v>
          </cell>
        </row>
        <row r="10">
          <cell r="B10">
            <v>8115.5</v>
          </cell>
          <cell r="C10">
            <v>13687.91</v>
          </cell>
          <cell r="D10">
            <v>13811.92</v>
          </cell>
          <cell r="E10">
            <v>27499.83</v>
          </cell>
          <cell r="F10">
            <v>35615.33</v>
          </cell>
          <cell r="G10">
            <v>-7.0029135823121364E-3</v>
          </cell>
        </row>
        <row r="11">
          <cell r="B11">
            <v>30892.33</v>
          </cell>
          <cell r="C11">
            <v>50190.33</v>
          </cell>
          <cell r="D11">
            <v>49922.5</v>
          </cell>
          <cell r="E11">
            <v>100112.83</v>
          </cell>
          <cell r="F11">
            <v>131005.17</v>
          </cell>
          <cell r="G11">
            <v>1.035056881391969E-2</v>
          </cell>
        </row>
        <row r="12">
          <cell r="B12">
            <v>8040.33</v>
          </cell>
          <cell r="C12">
            <v>12672.74</v>
          </cell>
          <cell r="D12">
            <v>12694.76</v>
          </cell>
          <cell r="E12">
            <v>25367.5</v>
          </cell>
          <cell r="F12">
            <v>33407.83</v>
          </cell>
          <cell r="G12">
            <v>3.0925441252270484E-3</v>
          </cell>
        </row>
        <row r="13">
          <cell r="B13">
            <v>8527.17</v>
          </cell>
          <cell r="C13">
            <v>14859.66</v>
          </cell>
          <cell r="D13">
            <v>14715.27</v>
          </cell>
          <cell r="E13">
            <v>29574.92</v>
          </cell>
          <cell r="F13">
            <v>38102.080000000002</v>
          </cell>
          <cell r="G13">
            <v>9.9374897841079373E-3</v>
          </cell>
        </row>
        <row r="14">
          <cell r="B14">
            <v>8874.92</v>
          </cell>
          <cell r="C14">
            <v>14580.67</v>
          </cell>
          <cell r="D14">
            <v>15254.74</v>
          </cell>
          <cell r="E14">
            <v>29835.42</v>
          </cell>
          <cell r="F14">
            <v>38710.33</v>
          </cell>
          <cell r="G14">
            <v>-4.7820274404614142E-3</v>
          </cell>
        </row>
        <row r="15">
          <cell r="B15">
            <v>21015.83</v>
          </cell>
          <cell r="C15">
            <v>39146.25</v>
          </cell>
          <cell r="D15">
            <v>39708.339999999997</v>
          </cell>
          <cell r="E15">
            <v>78854.58</v>
          </cell>
          <cell r="F15">
            <v>99870.42</v>
          </cell>
          <cell r="G15">
            <v>1.0700371155304197E-2</v>
          </cell>
        </row>
        <row r="16">
          <cell r="B16">
            <v>57803.17</v>
          </cell>
          <cell r="C16">
            <v>89641.93</v>
          </cell>
          <cell r="D16">
            <v>92904.09</v>
          </cell>
          <cell r="E16">
            <v>182546</v>
          </cell>
          <cell r="F16">
            <v>240349.17</v>
          </cell>
          <cell r="G16">
            <v>5.9470573278798669E-3</v>
          </cell>
        </row>
        <row r="17">
          <cell r="B17">
            <v>53314.92</v>
          </cell>
          <cell r="C17">
            <v>94158.17</v>
          </cell>
          <cell r="D17">
            <v>99339.91</v>
          </cell>
          <cell r="E17">
            <v>193498.08</v>
          </cell>
          <cell r="F17">
            <v>246813</v>
          </cell>
          <cell r="G17">
            <v>-1.1287972121035539E-3</v>
          </cell>
        </row>
        <row r="18">
          <cell r="B18">
            <v>30198.5</v>
          </cell>
          <cell r="C18">
            <v>72513.320000000007</v>
          </cell>
          <cell r="D18">
            <v>83082.679999999993</v>
          </cell>
          <cell r="E18">
            <v>155596</v>
          </cell>
          <cell r="F18">
            <v>185794.5</v>
          </cell>
          <cell r="G18">
            <v>-5.303332127253254E-3</v>
          </cell>
        </row>
        <row r="19">
          <cell r="B19">
            <v>52789.75</v>
          </cell>
          <cell r="C19">
            <v>101644.25</v>
          </cell>
          <cell r="D19">
            <v>107982.43</v>
          </cell>
          <cell r="E19">
            <v>209626.67</v>
          </cell>
          <cell r="F19">
            <v>262416.42</v>
          </cell>
          <cell r="G19">
            <v>3.1601773387526983E-3</v>
          </cell>
        </row>
        <row r="20">
          <cell r="B20">
            <v>15652.83</v>
          </cell>
          <cell r="C20">
            <v>28323.75</v>
          </cell>
          <cell r="D20">
            <v>30886.17</v>
          </cell>
          <cell r="E20">
            <v>59209.919999999998</v>
          </cell>
          <cell r="F20">
            <v>74862.75</v>
          </cell>
          <cell r="G20">
            <v>-4.9279908551376718E-3</v>
          </cell>
        </row>
        <row r="21">
          <cell r="B21">
            <v>12788.67</v>
          </cell>
          <cell r="C21">
            <v>20134.189999999995</v>
          </cell>
          <cell r="D21">
            <v>21138.759999999995</v>
          </cell>
          <cell r="E21">
            <v>41272.92</v>
          </cell>
          <cell r="F21">
            <v>54061.58</v>
          </cell>
          <cell r="G21">
            <v>-7.1243996730915478E-3</v>
          </cell>
        </row>
        <row r="22">
          <cell r="B22">
            <v>3995.92</v>
          </cell>
          <cell r="C22">
            <v>5518.5599999999995</v>
          </cell>
          <cell r="D22">
            <v>5432.73</v>
          </cell>
          <cell r="E22">
            <v>10951.33</v>
          </cell>
          <cell r="F22">
            <v>14947.25</v>
          </cell>
          <cell r="G22">
            <v>-4.4599303135847944E-5</v>
          </cell>
        </row>
        <row r="23">
          <cell r="B23">
            <v>107674.25</v>
          </cell>
          <cell r="C23">
            <v>169912.40999999997</v>
          </cell>
          <cell r="D23">
            <v>178545.49999999997</v>
          </cell>
          <cell r="E23">
            <v>348457.92</v>
          </cell>
          <cell r="F23">
            <v>456132.17</v>
          </cell>
          <cell r="G23">
            <v>3.031502592154769E-3</v>
          </cell>
        </row>
        <row r="24">
          <cell r="B24">
            <v>40190</v>
          </cell>
          <cell r="C24">
            <v>76156.17</v>
          </cell>
          <cell r="D24">
            <v>77340.259999999995</v>
          </cell>
          <cell r="E24">
            <v>153496.42000000001</v>
          </cell>
          <cell r="F24">
            <v>193686.42</v>
          </cell>
          <cell r="G24">
            <v>-3.5361256342483858E-3</v>
          </cell>
        </row>
        <row r="25">
          <cell r="B25">
            <v>125874</v>
          </cell>
          <cell r="C25">
            <v>215641.51000000007</v>
          </cell>
          <cell r="D25">
            <v>221212.08000000002</v>
          </cell>
          <cell r="E25">
            <v>436853.58</v>
          </cell>
          <cell r="F25">
            <v>562727.57999999996</v>
          </cell>
          <cell r="G25">
            <v>8.9646426952934618E-3</v>
          </cell>
        </row>
        <row r="26">
          <cell r="B26">
            <v>56454.33</v>
          </cell>
          <cell r="C26">
            <v>85444.76999999999</v>
          </cell>
          <cell r="D26">
            <v>88493.59</v>
          </cell>
          <cell r="E26">
            <v>173938.33</v>
          </cell>
          <cell r="F26">
            <v>230392.67</v>
          </cell>
          <cell r="G26">
            <v>7.3118538005685651E-4</v>
          </cell>
        </row>
        <row r="27">
          <cell r="B27">
            <v>57265.67</v>
          </cell>
          <cell r="C27">
            <v>120014.41</v>
          </cell>
          <cell r="D27">
            <v>135289.66</v>
          </cell>
          <cell r="E27">
            <v>255304.08</v>
          </cell>
          <cell r="F27">
            <v>312569.75</v>
          </cell>
          <cell r="G27">
            <v>4.5690998685781808E-3</v>
          </cell>
        </row>
        <row r="28">
          <cell r="B28">
            <v>137741.25</v>
          </cell>
          <cell r="C28">
            <v>232644.92999999996</v>
          </cell>
          <cell r="D28">
            <v>257058.24000000002</v>
          </cell>
          <cell r="E28">
            <v>489703.17</v>
          </cell>
          <cell r="F28">
            <v>627444.42000000004</v>
          </cell>
          <cell r="G28">
            <v>8.0714500792403686E-3</v>
          </cell>
        </row>
        <row r="29">
          <cell r="B29">
            <v>62685.5</v>
          </cell>
          <cell r="C29">
            <v>107747.67</v>
          </cell>
          <cell r="D29">
            <v>113401.75</v>
          </cell>
          <cell r="E29">
            <v>221149.42</v>
          </cell>
          <cell r="F29">
            <v>283834.92</v>
          </cell>
          <cell r="G29">
            <v>2.2537459245046349E-3</v>
          </cell>
        </row>
        <row r="30">
          <cell r="B30">
            <v>35888</v>
          </cell>
          <cell r="C30">
            <v>62987.320000000007</v>
          </cell>
          <cell r="D30">
            <v>69115.08</v>
          </cell>
          <cell r="E30">
            <v>132102.42000000001</v>
          </cell>
          <cell r="F30">
            <v>167990.42</v>
          </cell>
          <cell r="G30">
            <v>-2.0178409385131508E-3</v>
          </cell>
        </row>
        <row r="31">
          <cell r="B31">
            <v>82154.5</v>
          </cell>
          <cell r="C31">
            <v>144050</v>
          </cell>
          <cell r="D31">
            <v>162555.89999999997</v>
          </cell>
          <cell r="E31">
            <v>306605.92</v>
          </cell>
          <cell r="F31">
            <v>388760.42</v>
          </cell>
          <cell r="G31">
            <v>8.0068037015004687E-3</v>
          </cell>
        </row>
        <row r="32">
          <cell r="B32">
            <v>16170.92</v>
          </cell>
          <cell r="C32">
            <v>26075</v>
          </cell>
          <cell r="D32">
            <v>27684.58</v>
          </cell>
          <cell r="E32">
            <v>53759.58</v>
          </cell>
          <cell r="F32">
            <v>69930.5</v>
          </cell>
          <cell r="G32">
            <v>-4.4228574411492522E-3</v>
          </cell>
        </row>
        <row r="33">
          <cell r="B33">
            <v>1551244.01</v>
          </cell>
          <cell r="C33">
            <v>2776181.080000001</v>
          </cell>
          <cell r="D33">
            <v>2968633.45</v>
          </cell>
          <cell r="E33">
            <v>5744814.5</v>
          </cell>
          <cell r="F33">
            <v>7296058.5199999996</v>
          </cell>
          <cell r="G33">
            <v>4.6558162291417387E-3</v>
          </cell>
        </row>
      </sheetData>
      <sheetData sheetId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176840817</v>
          </cell>
          <cell r="C7">
            <v>1025429947</v>
          </cell>
          <cell r="D7">
            <v>1589214656</v>
          </cell>
          <cell r="E7">
            <v>2614644603</v>
          </cell>
          <cell r="F7">
            <v>2791485420</v>
          </cell>
          <cell r="G7">
            <v>6.2240245609401557E-2</v>
          </cell>
        </row>
        <row r="8">
          <cell r="B8">
            <v>120764773</v>
          </cell>
          <cell r="C8">
            <v>773029801</v>
          </cell>
          <cell r="D8">
            <v>1181754422</v>
          </cell>
          <cell r="E8">
            <v>1954784223</v>
          </cell>
          <cell r="F8">
            <v>2075548996</v>
          </cell>
          <cell r="G8">
            <v>3.4090295900551196E-2</v>
          </cell>
        </row>
        <row r="9">
          <cell r="B9">
            <v>42357731</v>
          </cell>
          <cell r="C9">
            <v>237199748</v>
          </cell>
          <cell r="D9">
            <v>349882588</v>
          </cell>
          <cell r="E9">
            <v>587082336</v>
          </cell>
          <cell r="F9">
            <v>629440067</v>
          </cell>
          <cell r="G9">
            <v>7.1300701284386508E-2</v>
          </cell>
        </row>
        <row r="10">
          <cell r="B10">
            <v>4544536</v>
          </cell>
          <cell r="C10">
            <v>25325213</v>
          </cell>
          <cell r="D10">
            <v>34549368</v>
          </cell>
          <cell r="E10">
            <v>59874581</v>
          </cell>
          <cell r="F10">
            <v>64419117</v>
          </cell>
          <cell r="G10">
            <v>8.8263998152257148E-2</v>
          </cell>
        </row>
        <row r="11">
          <cell r="B11">
            <v>20001537</v>
          </cell>
          <cell r="C11">
            <v>92854344</v>
          </cell>
          <cell r="D11">
            <v>128255966</v>
          </cell>
          <cell r="E11">
            <v>221110310</v>
          </cell>
          <cell r="F11">
            <v>241111847</v>
          </cell>
          <cell r="G11">
            <v>0.11823905064824416</v>
          </cell>
        </row>
        <row r="12">
          <cell r="B12">
            <v>4211036</v>
          </cell>
          <cell r="C12">
            <v>19908873</v>
          </cell>
          <cell r="D12">
            <v>31341776</v>
          </cell>
          <cell r="E12">
            <v>51250649</v>
          </cell>
          <cell r="F12">
            <v>55461685</v>
          </cell>
          <cell r="G12">
            <v>3.6533151260896048E-2</v>
          </cell>
        </row>
        <row r="13">
          <cell r="B13">
            <v>4328255</v>
          </cell>
          <cell r="C13">
            <v>23032814</v>
          </cell>
          <cell r="D13">
            <v>34443512</v>
          </cell>
          <cell r="E13">
            <v>57476326</v>
          </cell>
          <cell r="F13">
            <v>61804581</v>
          </cell>
          <cell r="G13">
            <v>5.2354358524415001E-2</v>
          </cell>
        </row>
        <row r="14">
          <cell r="B14">
            <v>5891591</v>
          </cell>
          <cell r="C14">
            <v>27632212</v>
          </cell>
          <cell r="D14">
            <v>41104354</v>
          </cell>
          <cell r="E14">
            <v>68736566</v>
          </cell>
          <cell r="F14">
            <v>74628157</v>
          </cell>
          <cell r="G14">
            <v>6.6798563372951855E-2</v>
          </cell>
        </row>
        <row r="15">
          <cell r="B15">
            <v>11482650</v>
          </cell>
          <cell r="C15">
            <v>66529290</v>
          </cell>
          <cell r="D15">
            <v>106312390</v>
          </cell>
          <cell r="E15">
            <v>172841680</v>
          </cell>
          <cell r="F15">
            <v>184324330</v>
          </cell>
          <cell r="G15">
            <v>0.11455339500214604</v>
          </cell>
        </row>
        <row r="16">
          <cell r="B16">
            <v>38484732</v>
          </cell>
          <cell r="C16">
            <v>193592735</v>
          </cell>
          <cell r="D16">
            <v>280173226</v>
          </cell>
          <cell r="E16">
            <v>473765961</v>
          </cell>
          <cell r="F16">
            <v>512250693</v>
          </cell>
          <cell r="G16">
            <v>7.5726168834121241E-2</v>
          </cell>
        </row>
        <row r="17">
          <cell r="B17">
            <v>32769843</v>
          </cell>
          <cell r="C17">
            <v>191383493</v>
          </cell>
          <cell r="D17">
            <v>278720898</v>
          </cell>
          <cell r="E17">
            <v>470104391</v>
          </cell>
          <cell r="F17">
            <v>502874234</v>
          </cell>
          <cell r="G17">
            <v>3.0725642574969927E-2</v>
          </cell>
        </row>
        <row r="18">
          <cell r="B18">
            <v>28157961</v>
          </cell>
          <cell r="C18">
            <v>216280579</v>
          </cell>
          <cell r="D18">
            <v>346842178</v>
          </cell>
          <cell r="E18">
            <v>563122757</v>
          </cell>
          <cell r="F18">
            <v>591280718</v>
          </cell>
          <cell r="G18">
            <v>4.8851549746527966E-2</v>
          </cell>
        </row>
        <row r="19">
          <cell r="B19">
            <v>44337619</v>
          </cell>
          <cell r="C19">
            <v>236984929</v>
          </cell>
          <cell r="D19">
            <v>342877147</v>
          </cell>
          <cell r="E19">
            <v>579862076</v>
          </cell>
          <cell r="F19">
            <v>624199695</v>
          </cell>
          <cell r="G19">
            <v>6.4627255216392551E-2</v>
          </cell>
        </row>
        <row r="20">
          <cell r="B20">
            <v>8959555</v>
          </cell>
          <cell r="C20">
            <v>60498654</v>
          </cell>
          <cell r="D20">
            <v>95206847</v>
          </cell>
          <cell r="E20">
            <v>155705501</v>
          </cell>
          <cell r="F20">
            <v>164665056</v>
          </cell>
          <cell r="G20">
            <v>5.3339686014620594E-2</v>
          </cell>
        </row>
        <row r="21">
          <cell r="B21">
            <v>6747855</v>
          </cell>
          <cell r="C21">
            <v>33027177</v>
          </cell>
          <cell r="D21">
            <v>49438250</v>
          </cell>
          <cell r="E21">
            <v>82465427</v>
          </cell>
          <cell r="F21">
            <v>89213282</v>
          </cell>
          <cell r="G21">
            <v>3.7212262953224509E-2</v>
          </cell>
        </row>
        <row r="22">
          <cell r="B22">
            <v>1648726</v>
          </cell>
          <cell r="C22">
            <v>9077375</v>
          </cell>
          <cell r="D22">
            <v>11620003</v>
          </cell>
          <cell r="E22">
            <v>20697378</v>
          </cell>
          <cell r="F22">
            <v>22346104</v>
          </cell>
          <cell r="G22">
            <v>7.6740716298596454E-2</v>
          </cell>
        </row>
        <row r="23">
          <cell r="B23">
            <v>63859187</v>
          </cell>
          <cell r="C23">
            <v>301092890</v>
          </cell>
          <cell r="D23">
            <v>433198338</v>
          </cell>
          <cell r="E23">
            <v>734291228</v>
          </cell>
          <cell r="F23">
            <v>798150415</v>
          </cell>
          <cell r="G23">
            <v>5.2024051043297305E-2</v>
          </cell>
        </row>
        <row r="24">
          <cell r="B24">
            <v>23126955</v>
          </cell>
          <cell r="C24">
            <v>137111618</v>
          </cell>
          <cell r="D24">
            <v>193110872</v>
          </cell>
          <cell r="E24">
            <v>330222490</v>
          </cell>
          <cell r="F24">
            <v>353349445</v>
          </cell>
          <cell r="G24">
            <v>3.9883486368264123E-2</v>
          </cell>
        </row>
        <row r="25">
          <cell r="B25">
            <v>76416140</v>
          </cell>
          <cell r="C25">
            <v>414341616</v>
          </cell>
          <cell r="D25">
            <v>598393995</v>
          </cell>
          <cell r="E25">
            <v>1012735611</v>
          </cell>
          <cell r="F25">
            <v>1089151751</v>
          </cell>
          <cell r="G25">
            <v>6.2907121183934017E-2</v>
          </cell>
        </row>
        <row r="26">
          <cell r="B26">
            <v>33980097</v>
          </cell>
          <cell r="C26">
            <v>168828208</v>
          </cell>
          <cell r="D26">
            <v>241796993</v>
          </cell>
          <cell r="E26">
            <v>410625201</v>
          </cell>
          <cell r="F26">
            <v>444605298</v>
          </cell>
          <cell r="G26">
            <v>4.3564812098289989E-2</v>
          </cell>
        </row>
        <row r="27">
          <cell r="B27">
            <v>45927896</v>
          </cell>
          <cell r="C27">
            <v>318291193</v>
          </cell>
          <cell r="D27">
            <v>477781449</v>
          </cell>
          <cell r="E27">
            <v>796072642</v>
          </cell>
          <cell r="F27">
            <v>842000538</v>
          </cell>
          <cell r="G27">
            <v>6.0506856333032745E-2</v>
          </cell>
        </row>
        <row r="28">
          <cell r="B28">
            <v>129980704</v>
          </cell>
          <cell r="C28">
            <v>620151640</v>
          </cell>
          <cell r="D28">
            <v>975047977</v>
          </cell>
          <cell r="E28">
            <v>1595199617</v>
          </cell>
          <cell r="F28">
            <v>1725180321</v>
          </cell>
          <cell r="G28">
            <v>6.7481860810832295E-2</v>
          </cell>
        </row>
        <row r="29">
          <cell r="B29">
            <v>38071404</v>
          </cell>
          <cell r="C29">
            <v>214753235</v>
          </cell>
          <cell r="D29">
            <v>304229208</v>
          </cell>
          <cell r="E29">
            <v>518982443</v>
          </cell>
          <cell r="F29">
            <v>557053847</v>
          </cell>
          <cell r="G29">
            <v>6.4513610187871245E-2</v>
          </cell>
        </row>
        <row r="30">
          <cell r="B30">
            <v>28309246</v>
          </cell>
          <cell r="C30">
            <v>164476361</v>
          </cell>
          <cell r="D30">
            <v>258767518</v>
          </cell>
          <cell r="E30">
            <v>423243879</v>
          </cell>
          <cell r="F30">
            <v>451553125</v>
          </cell>
          <cell r="G30">
            <v>3.8189249630352119E-2</v>
          </cell>
        </row>
        <row r="31">
          <cell r="B31">
            <v>89208032</v>
          </cell>
          <cell r="C31">
            <v>443589835</v>
          </cell>
          <cell r="D31">
            <v>730516733</v>
          </cell>
          <cell r="E31">
            <v>1174106568</v>
          </cell>
          <cell r="F31">
            <v>1263314600</v>
          </cell>
          <cell r="G31">
            <v>9.0004884016179593E-2</v>
          </cell>
        </row>
        <row r="32">
          <cell r="B32">
            <v>12309461</v>
          </cell>
          <cell r="C32">
            <v>64770274</v>
          </cell>
          <cell r="D32">
            <v>98606589</v>
          </cell>
          <cell r="E32">
            <v>163376863</v>
          </cell>
          <cell r="F32">
            <v>175686324</v>
          </cell>
          <cell r="G32">
            <v>3.2186988606858931E-2</v>
          </cell>
        </row>
        <row r="33">
          <cell r="B33">
            <v>1092718339</v>
          </cell>
          <cell r="C33">
            <v>6079194054</v>
          </cell>
          <cell r="D33">
            <v>9213187253</v>
          </cell>
          <cell r="E33">
            <v>15292381307</v>
          </cell>
          <cell r="F33">
            <v>16385099646</v>
          </cell>
          <cell r="G33">
            <v>5.9226061265676658E-2</v>
          </cell>
        </row>
      </sheetData>
      <sheetData sheetId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61.192457417388489</v>
          </cell>
          <cell r="C7">
            <v>177.04542580156576</v>
          </cell>
          <cell r="D7">
            <v>256.58600007878988</v>
          </cell>
          <cell r="E7">
            <v>218.14892057723932</v>
          </cell>
          <cell r="F7">
            <v>187.65648979266788</v>
          </cell>
          <cell r="G7">
            <v>4.8191734150124739E-2</v>
          </cell>
        </row>
        <row r="8">
          <cell r="B8">
            <v>51.790963755203201</v>
          </cell>
          <cell r="C8">
            <v>177.29333923181355</v>
          </cell>
          <cell r="D8">
            <v>249.19704594502812</v>
          </cell>
          <cell r="E8">
            <v>214.75427180213444</v>
          </cell>
          <cell r="F8">
            <v>181.52120085567466</v>
          </cell>
          <cell r="G8">
            <v>3.5860171601157037E-2</v>
          </cell>
        </row>
        <row r="9">
          <cell r="B9">
            <v>43.0489262823464</v>
          </cell>
          <cell r="C9">
            <v>149.26250651230745</v>
          </cell>
          <cell r="D9">
            <v>208.65974971988464</v>
          </cell>
          <cell r="E9">
            <v>179.75830130808092</v>
          </cell>
          <cell r="F9">
            <v>148.10709835288191</v>
          </cell>
          <cell r="G9">
            <v>6.8250813989474593E-2</v>
          </cell>
        </row>
        <row r="10">
          <cell r="B10">
            <v>46.66518801470437</v>
          </cell>
          <cell r="C10">
            <v>154.18237091467336</v>
          </cell>
          <cell r="D10">
            <v>208.45139560611415</v>
          </cell>
          <cell r="E10">
            <v>181.43924586685321</v>
          </cell>
          <cell r="F10">
            <v>150.72890662532117</v>
          </cell>
          <cell r="G10">
            <v>9.5938762598238747E-2</v>
          </cell>
        </row>
        <row r="11">
          <cell r="B11">
            <v>53.954970376141908</v>
          </cell>
          <cell r="C11">
            <v>154.1703750503334</v>
          </cell>
          <cell r="D11">
            <v>214.09178560101489</v>
          </cell>
          <cell r="E11">
            <v>184.05092700572609</v>
          </cell>
          <cell r="F11">
            <v>153.37298456745384</v>
          </cell>
          <cell r="G11">
            <v>0.10678321482114676</v>
          </cell>
        </row>
        <row r="12">
          <cell r="B12">
            <v>43.644933313267821</v>
          </cell>
          <cell r="C12">
            <v>130.9166565399432</v>
          </cell>
          <cell r="D12">
            <v>205.73958599191056</v>
          </cell>
          <cell r="E12">
            <v>168.36059590683618</v>
          </cell>
          <cell r="F12">
            <v>138.34502520317344</v>
          </cell>
          <cell r="G12">
            <v>3.3337509416772548E-2</v>
          </cell>
        </row>
        <row r="13">
          <cell r="B13">
            <v>42.29866610688736</v>
          </cell>
          <cell r="C13">
            <v>129.16857900292919</v>
          </cell>
          <cell r="D13">
            <v>195.05538577726853</v>
          </cell>
          <cell r="E13">
            <v>161.95120167132603</v>
          </cell>
          <cell r="F13">
            <v>135.1732438229094</v>
          </cell>
          <cell r="G13">
            <v>4.19994991466002E-2</v>
          </cell>
        </row>
        <row r="14">
          <cell r="B14">
            <v>55.320601950965944</v>
          </cell>
          <cell r="C14">
            <v>157.92719630396499</v>
          </cell>
          <cell r="D14">
            <v>224.54416354086229</v>
          </cell>
          <cell r="E14">
            <v>191.9881525605025</v>
          </cell>
          <cell r="F14">
            <v>160.65512960838444</v>
          </cell>
          <cell r="G14">
            <v>7.1924535917814655E-2</v>
          </cell>
        </row>
        <row r="15">
          <cell r="B15">
            <v>45.531749162417093</v>
          </cell>
          <cell r="C15">
            <v>141.62550691317816</v>
          </cell>
          <cell r="D15">
            <v>223.11095939375289</v>
          </cell>
          <cell r="E15">
            <v>182.65867795292718</v>
          </cell>
          <cell r="F15">
            <v>153.80290613910839</v>
          </cell>
          <cell r="G15">
            <v>0.10275352301308656</v>
          </cell>
        </row>
        <row r="16">
          <cell r="B16">
            <v>55.482441533915875</v>
          </cell>
          <cell r="C16">
            <v>179.96854727097764</v>
          </cell>
          <cell r="D16">
            <v>251.31045181469767</v>
          </cell>
          <cell r="E16">
            <v>216.2769753925038</v>
          </cell>
          <cell r="F16">
            <v>177.60642880522531</v>
          </cell>
          <cell r="G16">
            <v>6.9366584451866706E-2</v>
          </cell>
        </row>
        <row r="17">
          <cell r="B17">
            <v>51.220563587078438</v>
          </cell>
          <cell r="C17">
            <v>169.38120629008259</v>
          </cell>
          <cell r="D17">
            <v>233.81077655496165</v>
          </cell>
          <cell r="E17">
            <v>202.45868029629375</v>
          </cell>
          <cell r="F17">
            <v>169.78921761279457</v>
          </cell>
          <cell r="G17">
            <v>3.1890437624156477E-2</v>
          </cell>
        </row>
        <row r="18">
          <cell r="B18">
            <v>77.702427272877785</v>
          </cell>
          <cell r="C18">
            <v>248.55270153584652</v>
          </cell>
          <cell r="D18">
            <v>347.88857115987753</v>
          </cell>
          <cell r="E18">
            <v>301.59449096806259</v>
          </cell>
          <cell r="F18">
            <v>265.20372328926135</v>
          </cell>
          <cell r="G18">
            <v>5.4443614443382665E-2</v>
          </cell>
        </row>
        <row r="19">
          <cell r="B19">
            <v>69.990889961277205</v>
          </cell>
          <cell r="C19">
            <v>194.29278176909497</v>
          </cell>
          <cell r="D19">
            <v>264.60874776881138</v>
          </cell>
          <cell r="E19">
            <v>230.51379705963302</v>
          </cell>
          <cell r="F19">
            <v>198.22174713762195</v>
          </cell>
          <cell r="G19">
            <v>6.1273442931819105E-2</v>
          </cell>
        </row>
        <row r="20">
          <cell r="B20">
            <v>47.699335093611403</v>
          </cell>
          <cell r="C20">
            <v>177.99742265766361</v>
          </cell>
          <cell r="D20">
            <v>256.87561509460926</v>
          </cell>
          <cell r="E20">
            <v>219.14331950907328</v>
          </cell>
          <cell r="F20">
            <v>183.29660612253758</v>
          </cell>
          <cell r="G20">
            <v>5.855624149234382E-2</v>
          </cell>
        </row>
        <row r="21">
          <cell r="B21">
            <v>43.970268213973775</v>
          </cell>
          <cell r="C21">
            <v>136.69607518355596</v>
          </cell>
          <cell r="D21">
            <v>194.89573497530921</v>
          </cell>
          <cell r="E21">
            <v>166.50430637489828</v>
          </cell>
          <cell r="F21">
            <v>137.51799645268721</v>
          </cell>
          <cell r="G21">
            <v>4.4654801277942427E-2</v>
          </cell>
        </row>
        <row r="22">
          <cell r="B22">
            <v>34.383529533457455</v>
          </cell>
          <cell r="C22">
            <v>137.07342434741432</v>
          </cell>
          <cell r="D22">
            <v>178.24069727988203</v>
          </cell>
          <cell r="E22">
            <v>157.4951626880023</v>
          </cell>
          <cell r="F22">
            <v>124.58313959646982</v>
          </cell>
          <cell r="G22">
            <v>7.6788740326039592E-2</v>
          </cell>
        </row>
        <row r="23">
          <cell r="B23">
            <v>49.423134283885581</v>
          </cell>
          <cell r="C23">
            <v>147.67063904671042</v>
          </cell>
          <cell r="D23">
            <v>202.18858218213288</v>
          </cell>
          <cell r="E23">
            <v>175.60495013764265</v>
          </cell>
          <cell r="F23">
            <v>145.81855645773314</v>
          </cell>
          <cell r="G23">
            <v>4.8844476294642794E-2</v>
          </cell>
        </row>
        <row r="24">
          <cell r="B24">
            <v>47.95337770589699</v>
          </cell>
          <cell r="C24">
            <v>150.03338753336291</v>
          </cell>
          <cell r="D24">
            <v>208.07497500870397</v>
          </cell>
          <cell r="E24">
            <v>179.27806285862127</v>
          </cell>
          <cell r="F24">
            <v>152.028144685277</v>
          </cell>
          <cell r="G24">
            <v>4.357369405905346E-2</v>
          </cell>
        </row>
        <row r="25">
          <cell r="B25">
            <v>50.5903654977729</v>
          </cell>
          <cell r="C25">
            <v>160.11976543848161</v>
          </cell>
          <cell r="D25">
            <v>225.42243737322119</v>
          </cell>
          <cell r="E25">
            <v>193.18746168910874</v>
          </cell>
          <cell r="F25">
            <v>161.29055895335122</v>
          </cell>
          <cell r="G25">
            <v>5.3463200003264086E-2</v>
          </cell>
        </row>
        <row r="26">
          <cell r="B26">
            <v>50.158681362439332</v>
          </cell>
          <cell r="C26">
            <v>164.65627250600986</v>
          </cell>
          <cell r="D26">
            <v>227.69727634133349</v>
          </cell>
          <cell r="E26">
            <v>196.72930486339612</v>
          </cell>
          <cell r="F26">
            <v>160.814324084182</v>
          </cell>
          <cell r="G26">
            <v>4.2802330280099818E-2</v>
          </cell>
        </row>
        <row r="27">
          <cell r="B27">
            <v>66.834539204145642</v>
          </cell>
          <cell r="C27">
            <v>221.00901119568334</v>
          </cell>
          <cell r="D27">
            <v>294.29537150141408</v>
          </cell>
          <cell r="E27">
            <v>259.84460112558065</v>
          </cell>
          <cell r="F27">
            <v>224.48337211134472</v>
          </cell>
          <cell r="G27">
            <v>5.5683333751528251E-2</v>
          </cell>
        </row>
        <row r="28">
          <cell r="B28">
            <v>78.638209928640364</v>
          </cell>
          <cell r="C28">
            <v>222.13810261557535</v>
          </cell>
          <cell r="D28">
            <v>316.0917855943203</v>
          </cell>
          <cell r="E28">
            <v>271.45689380909391</v>
          </cell>
          <cell r="F28">
            <v>229.12790705828573</v>
          </cell>
          <cell r="G28">
            <v>5.8934722064514264E-2</v>
          </cell>
        </row>
        <row r="29">
          <cell r="B29">
            <v>50.611656603201702</v>
          </cell>
          <cell r="C29">
            <v>166.09271380686624</v>
          </cell>
          <cell r="D29">
            <v>223.56298734366973</v>
          </cell>
          <cell r="E29">
            <v>195.56251568132834</v>
          </cell>
          <cell r="F29">
            <v>163.54983353234573</v>
          </cell>
          <cell r="G29">
            <v>6.2119861877828732E-2</v>
          </cell>
        </row>
        <row r="30">
          <cell r="B30">
            <v>65.73517145935503</v>
          </cell>
          <cell r="C30">
            <v>217.60512142232221</v>
          </cell>
          <cell r="D30">
            <v>312.00079394154403</v>
          </cell>
          <cell r="E30">
            <v>266.99225684132051</v>
          </cell>
          <cell r="F30">
            <v>223.99745820823193</v>
          </cell>
          <cell r="G30">
            <v>4.0288386123732332E-2</v>
          </cell>
        </row>
        <row r="31">
          <cell r="B31">
            <v>90.488076327732088</v>
          </cell>
          <cell r="C31">
            <v>256.61797697558717</v>
          </cell>
          <cell r="D31">
            <v>374.49513931310202</v>
          </cell>
          <cell r="E31">
            <v>319.11391012932825</v>
          </cell>
          <cell r="F31">
            <v>270.79972973243179</v>
          </cell>
          <cell r="G31">
            <v>8.1346752832990782E-2</v>
          </cell>
        </row>
        <row r="32">
          <cell r="B32">
            <v>63.434140832226404</v>
          </cell>
          <cell r="C32">
            <v>206.99991690635986</v>
          </cell>
          <cell r="D32">
            <v>296.8156190196853</v>
          </cell>
          <cell r="E32">
            <v>253.25232420590586</v>
          </cell>
          <cell r="F32">
            <v>209.35824854677142</v>
          </cell>
          <cell r="G32">
            <v>3.6772485509171886E-2</v>
          </cell>
        </row>
        <row r="33">
          <cell r="B33">
            <v>58.701184982066962</v>
          </cell>
          <cell r="C33">
            <v>182.48071357794853</v>
          </cell>
          <cell r="D33">
            <v>258.62593592235731</v>
          </cell>
          <cell r="E33">
            <v>221.82876556182393</v>
          </cell>
          <cell r="F33">
            <v>187.14556177929342</v>
          </cell>
          <cell r="G33">
            <v>5.4317353420953611E-2</v>
          </cell>
        </row>
      </sheetData>
      <sheetData sheetId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60.21484020608316</v>
          </cell>
          <cell r="C7">
            <v>5.2599027166955026E-2</v>
          </cell>
          <cell r="D7">
            <v>57.110447172108906</v>
          </cell>
          <cell r="E7">
            <v>4.429084566919516E-2</v>
          </cell>
          <cell r="F7">
            <v>58.662643689096029</v>
          </cell>
          <cell r="G7">
            <v>4.8538403142335713E-2</v>
          </cell>
        </row>
        <row r="8">
          <cell r="B8">
            <v>66.154672073210946</v>
          </cell>
          <cell r="C8">
            <v>6.3096123838406404E-2</v>
          </cell>
          <cell r="D8">
            <v>111.60170550691237</v>
          </cell>
          <cell r="E8">
            <v>3.261721037212726E-2</v>
          </cell>
          <cell r="F8">
            <v>88.878188790061657</v>
          </cell>
          <cell r="G8">
            <v>4.3754010697409966E-2</v>
          </cell>
        </row>
        <row r="9">
          <cell r="B9">
            <v>70.933066473176552</v>
          </cell>
          <cell r="C9">
            <v>4.6364420260618516E-2</v>
          </cell>
          <cell r="D9">
            <v>150.99268553917588</v>
          </cell>
          <cell r="E9">
            <v>1.5119492708418565E-2</v>
          </cell>
          <cell r="F9">
            <v>110.96287600617622</v>
          </cell>
          <cell r="G9">
            <v>2.490131215117948E-2</v>
          </cell>
        </row>
        <row r="10">
          <cell r="B10">
            <v>81.955953465931131</v>
          </cell>
          <cell r="C10">
            <v>2.7029195764740745E-2</v>
          </cell>
          <cell r="D10">
            <v>164.688485546289</v>
          </cell>
          <cell r="E10">
            <v>3.430566169035823E-2</v>
          </cell>
          <cell r="F10">
            <v>123.32221950611006</v>
          </cell>
          <cell r="G10">
            <v>3.1876398504817237E-2</v>
          </cell>
        </row>
        <row r="11">
          <cell r="B11">
            <v>95.930449893308904</v>
          </cell>
          <cell r="C11">
            <v>3.0629170126813026E-2</v>
          </cell>
          <cell r="D11">
            <v>155.59085039478478</v>
          </cell>
          <cell r="E11">
            <v>5.4456586389986607E-2</v>
          </cell>
          <cell r="F11">
            <v>125.76065014404685</v>
          </cell>
          <cell r="G11">
            <v>4.5239954635138656E-2</v>
          </cell>
        </row>
        <row r="12">
          <cell r="B12">
            <v>112.70486341939744</v>
          </cell>
          <cell r="C12">
            <v>3.7601370901277582E-2</v>
          </cell>
          <cell r="D12">
            <v>158.41827330016537</v>
          </cell>
          <cell r="E12">
            <v>4.6665308108741296E-2</v>
          </cell>
          <cell r="F12">
            <v>135.5615683597814</v>
          </cell>
          <cell r="G12">
            <v>4.2878301530872326E-2</v>
          </cell>
        </row>
        <row r="13">
          <cell r="B13">
            <v>138.20494788320582</v>
          </cell>
          <cell r="C13">
            <v>5.9912449770409278E-2</v>
          </cell>
          <cell r="D13">
            <v>184.52706497905854</v>
          </cell>
          <cell r="E13">
            <v>4.7581357381807805E-2</v>
          </cell>
          <cell r="F13">
            <v>161.36600643113218</v>
          </cell>
          <cell r="G13">
            <v>5.2826653053862249E-2</v>
          </cell>
        </row>
        <row r="14">
          <cell r="B14">
            <v>174.37187288402674</v>
          </cell>
          <cell r="C14">
            <v>5.1439073777811185E-2</v>
          </cell>
          <cell r="D14">
            <v>223.15586431054462</v>
          </cell>
          <cell r="E14">
            <v>4.7887570019166451E-2</v>
          </cell>
          <cell r="F14">
            <v>198.76386859728569</v>
          </cell>
          <cell r="G14">
            <v>4.9442446118086736E-2</v>
          </cell>
        </row>
        <row r="15">
          <cell r="B15">
            <v>222.38153597208529</v>
          </cell>
          <cell r="C15">
            <v>4.6091287806420959E-2</v>
          </cell>
          <cell r="D15">
            <v>256.94061305091196</v>
          </cell>
          <cell r="E15">
            <v>5.560364068177704E-2</v>
          </cell>
          <cell r="F15">
            <v>239.66107451149861</v>
          </cell>
          <cell r="G15">
            <v>5.116896234465515E-2</v>
          </cell>
        </row>
        <row r="16">
          <cell r="B16">
            <v>281.07419148495063</v>
          </cell>
          <cell r="C16">
            <v>4.9418560512666208E-2</v>
          </cell>
          <cell r="D16">
            <v>293.120682342127</v>
          </cell>
          <cell r="E16">
            <v>6.2332176355280239E-2</v>
          </cell>
          <cell r="F16">
            <v>287.09743691353879</v>
          </cell>
          <cell r="G16">
            <v>5.5971359081158502E-2</v>
          </cell>
        </row>
        <row r="17">
          <cell r="B17">
            <v>352.91851465420677</v>
          </cell>
          <cell r="C17">
            <v>3.6096301058028281E-2</v>
          </cell>
          <cell r="D17">
            <v>342.01132798706959</v>
          </cell>
          <cell r="E17">
            <v>5.2886017852414376E-2</v>
          </cell>
          <cell r="F17">
            <v>347.46492132063815</v>
          </cell>
          <cell r="G17">
            <v>4.4291952356676774E-2</v>
          </cell>
        </row>
        <row r="18">
          <cell r="B18">
            <v>431.50834480227104</v>
          </cell>
          <cell r="C18">
            <v>5.0673930311378498E-2</v>
          </cell>
          <cell r="D18">
            <v>412.40297804408425</v>
          </cell>
          <cell r="E18">
            <v>5.2343631764589241E-2</v>
          </cell>
          <cell r="F18">
            <v>421.95566142317762</v>
          </cell>
          <cell r="G18">
            <v>5.14892183123523E-2</v>
          </cell>
        </row>
        <row r="19">
          <cell r="B19">
            <v>520.51586720570913</v>
          </cell>
          <cell r="C19">
            <v>5.3123577234784211E-2</v>
          </cell>
          <cell r="D19">
            <v>516.96191998641689</v>
          </cell>
          <cell r="E19">
            <v>4.9529345750030054E-2</v>
          </cell>
          <cell r="F19">
            <v>518.73889359606301</v>
          </cell>
          <cell r="G19">
            <v>5.1329545694064518E-2</v>
          </cell>
        </row>
        <row r="20">
          <cell r="B20">
            <v>601.75405545166245</v>
          </cell>
          <cell r="C20">
            <v>5.0922207452769971E-2</v>
          </cell>
          <cell r="D20">
            <v>661.1861949144286</v>
          </cell>
          <cell r="E20">
            <v>4.1945236274375214E-2</v>
          </cell>
          <cell r="F20">
            <v>631.47012518304552</v>
          </cell>
          <cell r="G20">
            <v>4.6203294206623967E-2</v>
          </cell>
        </row>
        <row r="21">
          <cell r="B21">
            <v>730.91705980660493</v>
          </cell>
          <cell r="C21">
            <v>4.5935093774559496E-2</v>
          </cell>
          <cell r="D21">
            <v>891.58696773686825</v>
          </cell>
          <cell r="E21">
            <v>6.0636664696290421E-2</v>
          </cell>
          <cell r="F21">
            <v>811.25201377173653</v>
          </cell>
          <cell r="G21">
            <v>5.396296479143204E-2</v>
          </cell>
        </row>
        <row r="22">
          <cell r="B22">
            <v>943.25449089011829</v>
          </cell>
          <cell r="C22">
            <v>4.391679471382634E-2</v>
          </cell>
          <cell r="D22">
            <v>1229.079075480626</v>
          </cell>
          <cell r="E22">
            <v>4.4617285759040622E-2</v>
          </cell>
          <cell r="F22">
            <v>1086.1667831853722</v>
          </cell>
          <cell r="G22">
            <v>4.4313008314889053E-2</v>
          </cell>
        </row>
        <row r="23">
          <cell r="B23">
            <v>155.26561104962468</v>
          </cell>
          <cell r="C23">
            <v>5.6586953154309901E-2</v>
          </cell>
          <cell r="D23">
            <v>217.70808269550989</v>
          </cell>
          <cell r="E23">
            <v>5.2644092890793727E-2</v>
          </cell>
          <cell r="F23">
            <v>186.4868468725673</v>
          </cell>
          <cell r="G23">
            <v>5.4281889484622425E-2</v>
          </cell>
        </row>
      </sheetData>
      <sheetData sheetId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159389027</v>
          </cell>
          <cell r="C7">
            <v>865001164</v>
          </cell>
          <cell r="D7">
            <v>1364796051</v>
          </cell>
          <cell r="E7">
            <v>2229797215</v>
          </cell>
          <cell r="F7">
            <v>2389186242</v>
          </cell>
          <cell r="G7">
            <v>6.4878471067568708E-2</v>
          </cell>
        </row>
        <row r="8">
          <cell r="B8">
            <v>107932347</v>
          </cell>
          <cell r="C8">
            <v>648476268</v>
          </cell>
          <cell r="D8">
            <v>1006318433</v>
          </cell>
          <cell r="E8">
            <v>1654794701</v>
          </cell>
          <cell r="F8">
            <v>1762727048</v>
          </cell>
          <cell r="G8">
            <v>3.7125361039497359E-2</v>
          </cell>
        </row>
        <row r="9">
          <cell r="B9">
            <v>38415207</v>
          </cell>
          <cell r="C9">
            <v>200478958</v>
          </cell>
          <cell r="D9">
            <v>300222428</v>
          </cell>
          <cell r="E9">
            <v>500701386</v>
          </cell>
          <cell r="F9">
            <v>539116593</v>
          </cell>
          <cell r="G9">
            <v>7.4278541091747641E-2</v>
          </cell>
        </row>
        <row r="10">
          <cell r="B10">
            <v>4090205</v>
          </cell>
          <cell r="C10">
            <v>21174237</v>
          </cell>
          <cell r="D10">
            <v>29399146</v>
          </cell>
          <cell r="E10">
            <v>50573383</v>
          </cell>
          <cell r="F10">
            <v>54663588</v>
          </cell>
          <cell r="G10">
            <v>9.5875736089065397E-2</v>
          </cell>
        </row>
        <row r="11">
          <cell r="B11">
            <v>18118170</v>
          </cell>
          <cell r="C11">
            <v>77260307</v>
          </cell>
          <cell r="D11">
            <v>108944185</v>
          </cell>
          <cell r="E11">
            <v>186204492</v>
          </cell>
          <cell r="F11">
            <v>204322662</v>
          </cell>
          <cell r="G11">
            <v>0.12412281106177891</v>
          </cell>
        </row>
        <row r="12">
          <cell r="B12">
            <v>3802875</v>
          </cell>
          <cell r="C12">
            <v>16455060</v>
          </cell>
          <cell r="D12">
            <v>26642509</v>
          </cell>
          <cell r="E12">
            <v>43097569</v>
          </cell>
          <cell r="F12">
            <v>46900444</v>
          </cell>
          <cell r="G12">
            <v>3.7313379358057286E-2</v>
          </cell>
        </row>
        <row r="13">
          <cell r="B13">
            <v>3904549</v>
          </cell>
          <cell r="C13">
            <v>19095561</v>
          </cell>
          <cell r="D13">
            <v>29224551</v>
          </cell>
          <cell r="E13">
            <v>48320112</v>
          </cell>
          <cell r="F13">
            <v>52224661</v>
          </cell>
          <cell r="G13">
            <v>5.602099866648301E-2</v>
          </cell>
        </row>
        <row r="14">
          <cell r="B14">
            <v>5342241</v>
          </cell>
          <cell r="C14">
            <v>23081944</v>
          </cell>
          <cell r="D14">
            <v>35043679</v>
          </cell>
          <cell r="E14">
            <v>58125623</v>
          </cell>
          <cell r="F14">
            <v>63467864</v>
          </cell>
          <cell r="G14">
            <v>7.1886158379845369E-2</v>
          </cell>
        </row>
        <row r="15">
          <cell r="B15">
            <v>10361569</v>
          </cell>
          <cell r="C15">
            <v>54963354</v>
          </cell>
          <cell r="D15">
            <v>90707714</v>
          </cell>
          <cell r="E15">
            <v>145671068</v>
          </cell>
          <cell r="F15">
            <v>156032637</v>
          </cell>
          <cell r="G15">
            <v>0.12558573130272144</v>
          </cell>
        </row>
        <row r="16">
          <cell r="B16">
            <v>34252295</v>
          </cell>
          <cell r="C16">
            <v>161590469</v>
          </cell>
          <cell r="D16">
            <v>237313401</v>
          </cell>
          <cell r="E16">
            <v>398903870</v>
          </cell>
          <cell r="F16">
            <v>433156165</v>
          </cell>
          <cell r="G16">
            <v>7.903634017366705E-2</v>
          </cell>
        </row>
        <row r="17">
          <cell r="B17">
            <v>29537918</v>
          </cell>
          <cell r="C17">
            <v>159924214</v>
          </cell>
          <cell r="D17">
            <v>236282802</v>
          </cell>
          <cell r="E17">
            <v>396207016</v>
          </cell>
          <cell r="F17">
            <v>425744934</v>
          </cell>
          <cell r="G17">
            <v>3.0404511952903543E-2</v>
          </cell>
        </row>
        <row r="18">
          <cell r="B18">
            <v>25498839</v>
          </cell>
          <cell r="C18">
            <v>186671503</v>
          </cell>
          <cell r="D18">
            <v>303277552</v>
          </cell>
          <cell r="E18">
            <v>489949055</v>
          </cell>
          <cell r="F18">
            <v>515447894</v>
          </cell>
          <cell r="G18">
            <v>4.7800602663543391E-2</v>
          </cell>
        </row>
        <row r="19">
          <cell r="B19">
            <v>40095556</v>
          </cell>
          <cell r="C19">
            <v>199196542</v>
          </cell>
          <cell r="D19">
            <v>292132304</v>
          </cell>
          <cell r="E19">
            <v>491328846</v>
          </cell>
          <cell r="F19">
            <v>531424402</v>
          </cell>
          <cell r="G19">
            <v>6.6139075504703299E-2</v>
          </cell>
        </row>
        <row r="20">
          <cell r="B20">
            <v>8091792</v>
          </cell>
          <cell r="C20">
            <v>50907790</v>
          </cell>
          <cell r="D20">
            <v>81694122</v>
          </cell>
          <cell r="E20">
            <v>132601912</v>
          </cell>
          <cell r="F20">
            <v>140693704</v>
          </cell>
          <cell r="G20">
            <v>5.431752755957224E-2</v>
          </cell>
        </row>
        <row r="21">
          <cell r="B21">
            <v>6109998</v>
          </cell>
          <cell r="C21">
            <v>27391701</v>
          </cell>
          <cell r="D21">
            <v>41895302</v>
          </cell>
          <cell r="E21">
            <v>69287003</v>
          </cell>
          <cell r="F21">
            <v>75397001</v>
          </cell>
          <cell r="G21">
            <v>3.6512238438311501E-2</v>
          </cell>
        </row>
        <row r="22">
          <cell r="B22">
            <v>1494824</v>
          </cell>
          <cell r="C22">
            <v>7599825</v>
          </cell>
          <cell r="D22">
            <v>9815598</v>
          </cell>
          <cell r="E22">
            <v>17415423</v>
          </cell>
          <cell r="F22">
            <v>18910247</v>
          </cell>
          <cell r="G22">
            <v>7.4579991604633827E-2</v>
          </cell>
        </row>
        <row r="23">
          <cell r="B23">
            <v>57807426</v>
          </cell>
          <cell r="C23">
            <v>249364793</v>
          </cell>
          <cell r="D23">
            <v>365382685</v>
          </cell>
          <cell r="E23">
            <v>614747478</v>
          </cell>
          <cell r="F23">
            <v>672554904</v>
          </cell>
          <cell r="G23">
            <v>5.2221349955431776E-2</v>
          </cell>
        </row>
        <row r="24">
          <cell r="B24">
            <v>20933085</v>
          </cell>
          <cell r="C24">
            <v>115361337</v>
          </cell>
          <cell r="D24">
            <v>164847140</v>
          </cell>
          <cell r="E24">
            <v>280208477</v>
          </cell>
          <cell r="F24">
            <v>301141562</v>
          </cell>
          <cell r="G24">
            <v>3.9203857058578727E-2</v>
          </cell>
        </row>
        <row r="25">
          <cell r="B25">
            <v>69139752</v>
          </cell>
          <cell r="C25">
            <v>347790906</v>
          </cell>
          <cell r="D25">
            <v>510358174</v>
          </cell>
          <cell r="E25">
            <v>858149080</v>
          </cell>
          <cell r="F25">
            <v>927288832</v>
          </cell>
          <cell r="G25">
            <v>6.367470574268648E-2</v>
          </cell>
        </row>
        <row r="26">
          <cell r="B26">
            <v>30849357</v>
          </cell>
          <cell r="C26">
            <v>143192774</v>
          </cell>
          <cell r="D26">
            <v>207315351</v>
          </cell>
          <cell r="E26">
            <v>350508125</v>
          </cell>
          <cell r="F26">
            <v>381357482</v>
          </cell>
          <cell r="G26">
            <v>4.2701118348627005E-2</v>
          </cell>
        </row>
        <row r="27">
          <cell r="B27">
            <v>40217374</v>
          </cell>
          <cell r="C27">
            <v>268006809</v>
          </cell>
          <cell r="D27">
            <v>408645721</v>
          </cell>
          <cell r="E27">
            <v>676652530</v>
          </cell>
          <cell r="F27">
            <v>716869904</v>
          </cell>
          <cell r="G27">
            <v>6.3810967317504769E-2</v>
          </cell>
        </row>
        <row r="28">
          <cell r="B28">
            <v>111399515</v>
          </cell>
          <cell r="C28">
            <v>521191659</v>
          </cell>
          <cell r="D28">
            <v>832501022</v>
          </cell>
          <cell r="E28">
            <v>1353692681</v>
          </cell>
          <cell r="F28">
            <v>1465092196</v>
          </cell>
          <cell r="G28">
            <v>6.8705348046765716E-2</v>
          </cell>
        </row>
        <row r="29">
          <cell r="B29">
            <v>33762743</v>
          </cell>
          <cell r="C29">
            <v>179951734</v>
          </cell>
          <cell r="D29">
            <v>256886560</v>
          </cell>
          <cell r="E29">
            <v>436838294</v>
          </cell>
          <cell r="F29">
            <v>470601037</v>
          </cell>
          <cell r="G29">
            <v>6.8771785886011669E-2</v>
          </cell>
        </row>
        <row r="30">
          <cell r="B30">
            <v>25077812</v>
          </cell>
          <cell r="C30">
            <v>140516822</v>
          </cell>
          <cell r="D30">
            <v>224375611</v>
          </cell>
          <cell r="E30">
            <v>364892433</v>
          </cell>
          <cell r="F30">
            <v>389970245</v>
          </cell>
          <cell r="G30">
            <v>3.9719815508597343E-2</v>
          </cell>
        </row>
        <row r="31">
          <cell r="B31">
            <v>79144668</v>
          </cell>
          <cell r="C31">
            <v>378569648</v>
          </cell>
          <cell r="D31">
            <v>634119833</v>
          </cell>
          <cell r="E31">
            <v>1012689481</v>
          </cell>
          <cell r="F31">
            <v>1091834149</v>
          </cell>
          <cell r="G31">
            <v>9.236754879697491E-2</v>
          </cell>
        </row>
        <row r="32">
          <cell r="B32">
            <v>10986754</v>
          </cell>
          <cell r="C32">
            <v>55178618</v>
          </cell>
          <cell r="D32">
            <v>85644884</v>
          </cell>
          <cell r="E32">
            <v>140823502</v>
          </cell>
          <cell r="F32">
            <v>151810256</v>
          </cell>
          <cell r="G32">
            <v>3.1985935811303608E-2</v>
          </cell>
        </row>
        <row r="33">
          <cell r="B33">
            <v>975755898</v>
          </cell>
          <cell r="C33">
            <v>5118393997</v>
          </cell>
          <cell r="D33">
            <v>7883786758</v>
          </cell>
          <cell r="E33">
            <v>13002180755</v>
          </cell>
          <cell r="F33">
            <v>13977936653</v>
          </cell>
          <cell r="G33">
            <v>6.1243571344628947E-2</v>
          </cell>
        </row>
      </sheetData>
      <sheetData sheetId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55.153591874077826</v>
          </cell>
          <cell r="C7">
            <v>149.34662269935637</v>
          </cell>
          <cell r="D7">
            <v>220.35258630877999</v>
          </cell>
          <cell r="E7">
            <v>186.03976043255179</v>
          </cell>
          <cell r="F7">
            <v>160.61208861146605</v>
          </cell>
          <cell r="G7">
            <v>5.0795068122364596E-2</v>
          </cell>
        </row>
        <row r="8">
          <cell r="B8">
            <v>46.287672577259059</v>
          </cell>
          <cell r="C8">
            <v>148.72715491379154</v>
          </cell>
          <cell r="D8">
            <v>212.20278605704232</v>
          </cell>
          <cell r="E8">
            <v>181.7971655459211</v>
          </cell>
          <cell r="F8">
            <v>154.16274496549562</v>
          </cell>
          <cell r="G8">
            <v>3.8900431342606082E-2</v>
          </cell>
        </row>
        <row r="9">
          <cell r="B9">
            <v>39.042068005580319</v>
          </cell>
          <cell r="C9">
            <v>126.15524268624269</v>
          </cell>
          <cell r="D9">
            <v>179.0438816771759</v>
          </cell>
          <cell r="E9">
            <v>153.30938284261666</v>
          </cell>
          <cell r="F9">
            <v>126.85400636105614</v>
          </cell>
          <cell r="G9">
            <v>7.1220176180995437E-2</v>
          </cell>
        </row>
        <row r="10">
          <cell r="B10">
            <v>41.999928121085169</v>
          </cell>
          <cell r="C10">
            <v>128.91082349314104</v>
          </cell>
          <cell r="D10">
            <v>177.37786153795659</v>
          </cell>
          <cell r="E10">
            <v>153.25362314360973</v>
          </cell>
          <cell r="F10">
            <v>127.90275985088442</v>
          </cell>
          <cell r="G10">
            <v>0.10360418079625996</v>
          </cell>
        </row>
        <row r="11">
          <cell r="B11">
            <v>48.874510274880528</v>
          </cell>
          <cell r="C11">
            <v>128.2788719792571</v>
          </cell>
          <cell r="D11">
            <v>181.85551771913131</v>
          </cell>
          <cell r="E11">
            <v>154.99552854514252</v>
          </cell>
          <cell r="F11">
            <v>129.97111869707126</v>
          </cell>
          <cell r="G11">
            <v>0.11260669886237577</v>
          </cell>
        </row>
        <row r="12">
          <cell r="B12">
            <v>39.414582486042242</v>
          </cell>
          <cell r="C12">
            <v>108.20509219000785</v>
          </cell>
          <cell r="D12">
            <v>174.89177293098359</v>
          </cell>
          <cell r="E12">
            <v>141.57737590749318</v>
          </cell>
          <cell r="F12">
            <v>116.98964983159136</v>
          </cell>
          <cell r="G12">
            <v>3.4115332063078367E-2</v>
          </cell>
        </row>
        <row r="13">
          <cell r="B13">
            <v>38.157921483133713</v>
          </cell>
          <cell r="C13">
            <v>107.08836877828968</v>
          </cell>
          <cell r="D13">
            <v>165.50014033041867</v>
          </cell>
          <cell r="E13">
            <v>136.15171232923032</v>
          </cell>
          <cell r="F13">
            <v>114.22093185813827</v>
          </cell>
          <cell r="G13">
            <v>4.5630060621104578E-2</v>
          </cell>
        </row>
        <row r="14">
          <cell r="B14">
            <v>50.162339491510913</v>
          </cell>
          <cell r="C14">
            <v>131.92091538546126</v>
          </cell>
          <cell r="D14">
            <v>191.4360115828479</v>
          </cell>
          <cell r="E14">
            <v>162.35071993847134</v>
          </cell>
          <cell r="F14">
            <v>136.62990386975949</v>
          </cell>
          <cell r="G14">
            <v>7.7036576844697446E-2</v>
          </cell>
        </row>
        <row r="15">
          <cell r="B15">
            <v>41.086366007592055</v>
          </cell>
          <cell r="C15">
            <v>117.00429798511989</v>
          </cell>
          <cell r="D15">
            <v>190.36243183841648</v>
          </cell>
          <cell r="E15">
            <v>153.94483955994269</v>
          </cell>
          <cell r="F15">
            <v>130.19590535415793</v>
          </cell>
          <cell r="G15">
            <v>0.11366905902695486</v>
          </cell>
        </row>
        <row r="16">
          <cell r="B16">
            <v>49.380646713089732</v>
          </cell>
          <cell r="C16">
            <v>150.21845710669848</v>
          </cell>
          <cell r="D16">
            <v>212.86594325395149</v>
          </cell>
          <cell r="E16">
            <v>182.10198616604399</v>
          </cell>
          <cell r="F16">
            <v>150.18294876297401</v>
          </cell>
          <cell r="G16">
            <v>7.2657186393025291E-2</v>
          </cell>
        </row>
        <row r="17">
          <cell r="B17">
            <v>46.168936700395811</v>
          </cell>
          <cell r="C17">
            <v>141.53862413992684</v>
          </cell>
          <cell r="D17">
            <v>198.21070403627303</v>
          </cell>
          <cell r="E17">
            <v>170.63348294377565</v>
          </cell>
          <cell r="F17">
            <v>143.74747075721294</v>
          </cell>
          <cell r="G17">
            <v>3.1568944101097299E-2</v>
          </cell>
        </row>
        <row r="18">
          <cell r="B18">
            <v>70.364529695183535</v>
          </cell>
          <cell r="C18">
            <v>214.52553245849631</v>
          </cell>
          <cell r="D18">
            <v>304.19251441255068</v>
          </cell>
          <cell r="E18">
            <v>262.40448287016801</v>
          </cell>
          <cell r="F18">
            <v>231.1908649969007</v>
          </cell>
          <cell r="G18">
            <v>5.3387064123140586E-2</v>
          </cell>
        </row>
        <row r="19">
          <cell r="B19">
            <v>63.294414793275841</v>
          </cell>
          <cell r="C19">
            <v>163.31186302553596</v>
          </cell>
          <cell r="D19">
            <v>225.44740534795028</v>
          </cell>
          <cell r="E19">
            <v>195.31899495422024</v>
          </cell>
          <cell r="F19">
            <v>168.75989251485609</v>
          </cell>
          <cell r="G19">
            <v>6.2780500650479396E-2</v>
          </cell>
        </row>
        <row r="20">
          <cell r="B20">
            <v>43.0794942511993</v>
          </cell>
          <cell r="C20">
            <v>149.77945481559939</v>
          </cell>
          <cell r="D20">
            <v>220.417212622996</v>
          </cell>
          <cell r="E20">
            <v>186.62682424386546</v>
          </cell>
          <cell r="F20">
            <v>156.61293945698407</v>
          </cell>
          <cell r="G20">
            <v>5.9538925696064782E-2</v>
          </cell>
        </row>
        <row r="21">
          <cell r="B21">
            <v>39.813874312184147</v>
          </cell>
          <cell r="C21">
            <v>113.37142194446365</v>
          </cell>
          <cell r="D21">
            <v>165.15988481191269</v>
          </cell>
          <cell r="E21">
            <v>139.89601212288025</v>
          </cell>
          <cell r="F21">
            <v>116.22086177774803</v>
          </cell>
          <cell r="G21">
            <v>4.3949753722455853E-2</v>
          </cell>
        </row>
        <row r="22">
          <cell r="B22">
            <v>31.173964110058929</v>
          </cell>
          <cell r="C22">
            <v>114.76159541619553</v>
          </cell>
          <cell r="D22">
            <v>150.56270052073268</v>
          </cell>
          <cell r="E22">
            <v>132.52136955054775</v>
          </cell>
          <cell r="F22">
            <v>105.42768179207992</v>
          </cell>
          <cell r="G22">
            <v>7.4627919260963127E-2</v>
          </cell>
        </row>
        <row r="23">
          <cell r="B23">
            <v>44.739438630870431</v>
          </cell>
          <cell r="C23">
            <v>122.30065724255616</v>
          </cell>
          <cell r="D23">
            <v>170.53668159283396</v>
          </cell>
          <cell r="E23">
            <v>147.01619208425512</v>
          </cell>
          <cell r="F23">
            <v>122.87281118540709</v>
          </cell>
          <cell r="G23">
            <v>4.9041178902312438E-2</v>
          </cell>
        </row>
        <row r="24">
          <cell r="B24">
            <v>43.404422741975615</v>
          </cell>
          <cell r="C24">
            <v>126.23330125451425</v>
          </cell>
          <cell r="D24">
            <v>177.62109497261409</v>
          </cell>
          <cell r="E24">
            <v>152.12541384787127</v>
          </cell>
          <cell r="F24">
            <v>129.56577010751019</v>
          </cell>
          <cell r="G24">
            <v>4.2891652966376662E-2</v>
          </cell>
        </row>
        <row r="25">
          <cell r="B25">
            <v>45.773122328677886</v>
          </cell>
          <cell r="C25">
            <v>134.40165346644062</v>
          </cell>
          <cell r="D25">
            <v>192.25825205085243</v>
          </cell>
          <cell r="E25">
            <v>163.69883779671287</v>
          </cell>
          <cell r="F25">
            <v>137.32056518952444</v>
          </cell>
          <cell r="G25">
            <v>5.4223964579416341E-2</v>
          </cell>
        </row>
        <row r="26">
          <cell r="B26">
            <v>45.53733522300238</v>
          </cell>
          <cell r="C26">
            <v>139.65431900239966</v>
          </cell>
          <cell r="D26">
            <v>195.2263350373739</v>
          </cell>
          <cell r="E26">
            <v>167.92739367261183</v>
          </cell>
          <cell r="F26">
            <v>137.93750541919005</v>
          </cell>
          <cell r="G26">
            <v>4.1939267589258533E-2</v>
          </cell>
        </row>
        <row r="27">
          <cell r="B27">
            <v>58.524554647371339</v>
          </cell>
          <cell r="C27">
            <v>186.09349285639951</v>
          </cell>
          <cell r="D27">
            <v>251.71036783840933</v>
          </cell>
          <cell r="E27">
            <v>220.8649028771234</v>
          </cell>
          <cell r="F27">
            <v>191.12264915804124</v>
          </cell>
          <cell r="G27">
            <v>5.8972416588044481E-2</v>
          </cell>
        </row>
        <row r="28">
          <cell r="B28">
            <v>67.396607165004426</v>
          </cell>
          <cell r="C28">
            <v>186.69067170301113</v>
          </cell>
          <cell r="D28">
            <v>269.88080664781126</v>
          </cell>
          <cell r="E28">
            <v>230.35938978435991</v>
          </cell>
          <cell r="F28">
            <v>194.58459178477247</v>
          </cell>
          <cell r="G28">
            <v>6.0148413054212799E-2</v>
          </cell>
        </row>
        <row r="29">
          <cell r="B29">
            <v>44.883775620624654</v>
          </cell>
          <cell r="C29">
            <v>139.17681777558005</v>
          </cell>
          <cell r="D29">
            <v>188.77321852029033</v>
          </cell>
          <cell r="E29">
            <v>164.60902844179589</v>
          </cell>
          <cell r="F29">
            <v>138.16747101918727</v>
          </cell>
          <cell r="G29">
            <v>6.6368462310060078E-2</v>
          </cell>
        </row>
        <row r="30">
          <cell r="B30">
            <v>58.231655892406003</v>
          </cell>
          <cell r="C30">
            <v>185.90622948661201</v>
          </cell>
          <cell r="D30">
            <v>270.53383405377429</v>
          </cell>
          <cell r="E30">
            <v>230.1827835553656</v>
          </cell>
          <cell r="F30">
            <v>193.44865270690238</v>
          </cell>
          <cell r="G30">
            <v>4.1822046685044086E-2</v>
          </cell>
        </row>
        <row r="31">
          <cell r="B31">
            <v>80.280313312113151</v>
          </cell>
          <cell r="C31">
            <v>219.00361448571098</v>
          </cell>
          <cell r="D31">
            <v>325.07783117479386</v>
          </cell>
          <cell r="E31">
            <v>275.24188079386511</v>
          </cell>
          <cell r="F31">
            <v>234.04177586631204</v>
          </cell>
          <cell r="G31">
            <v>8.3690650485387028E-2</v>
          </cell>
        </row>
        <row r="32">
          <cell r="B32">
            <v>56.617856827770673</v>
          </cell>
          <cell r="C32">
            <v>176.34585490572067</v>
          </cell>
          <cell r="D32">
            <v>257.79960059595146</v>
          </cell>
          <cell r="E32">
            <v>218.29210409257908</v>
          </cell>
          <cell r="F32">
            <v>180.90610916076199</v>
          </cell>
          <cell r="G32">
            <v>3.6570539535363544E-2</v>
          </cell>
        </row>
        <row r="33">
          <cell r="B33">
            <v>52.417924566232493</v>
          </cell>
          <cell r="C33">
            <v>153.64013397978104</v>
          </cell>
          <cell r="D33">
            <v>221.30796573532288</v>
          </cell>
          <cell r="E33">
            <v>188.60749340412414</v>
          </cell>
          <cell r="F33">
            <v>159.65168744516413</v>
          </cell>
          <cell r="G33">
            <v>5.6325513873878422E-2</v>
          </cell>
        </row>
      </sheetData>
      <sheetData sheetId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53.78426178948888</v>
          </cell>
          <cell r="C7">
            <v>5.4225191332461474E-2</v>
          </cell>
          <cell r="D7">
            <v>50.982006888870472</v>
          </cell>
          <cell r="E7">
            <v>4.5498634140732963E-2</v>
          </cell>
          <cell r="F7">
            <v>52.383134339179676</v>
          </cell>
          <cell r="G7">
            <v>4.9960497282666792E-2</v>
          </cell>
        </row>
        <row r="8">
          <cell r="B8">
            <v>48.93299988178029</v>
          </cell>
          <cell r="C8">
            <v>6.8026952128326643E-2</v>
          </cell>
          <cell r="D8">
            <v>86.78126068592276</v>
          </cell>
          <cell r="E8">
            <v>3.4228124545710781E-2</v>
          </cell>
          <cell r="F8">
            <v>67.857130283851518</v>
          </cell>
          <cell r="G8">
            <v>4.6165147456996937E-2</v>
          </cell>
        </row>
        <row r="9">
          <cell r="B9">
            <v>52.885463704124568</v>
          </cell>
          <cell r="C9">
            <v>4.9197633886065829E-2</v>
          </cell>
          <cell r="D9">
            <v>122.29409181782488</v>
          </cell>
          <cell r="E9">
            <v>1.0027794849411424E-2</v>
          </cell>
          <cell r="F9">
            <v>87.589777760974727</v>
          </cell>
          <cell r="G9">
            <v>2.1541186066390005E-2</v>
          </cell>
        </row>
        <row r="10">
          <cell r="B10">
            <v>62.274628127310429</v>
          </cell>
          <cell r="C10">
            <v>2.2187679866476878E-2</v>
          </cell>
          <cell r="D10">
            <v>135.01961695832441</v>
          </cell>
          <cell r="E10">
            <v>3.4312316146921117E-2</v>
          </cell>
          <cell r="F10">
            <v>98.647122542817414</v>
          </cell>
          <cell r="G10">
            <v>3.0454304447993307E-2</v>
          </cell>
        </row>
        <row r="11">
          <cell r="B11">
            <v>74.427750654953883</v>
          </cell>
          <cell r="C11">
            <v>2.6328467516495833E-2</v>
          </cell>
          <cell r="D11">
            <v>125.09163100724994</v>
          </cell>
          <cell r="E11">
            <v>5.7051741272764508E-2</v>
          </cell>
          <cell r="F11">
            <v>99.759690831101921</v>
          </cell>
          <cell r="G11">
            <v>4.5378153871620482E-2</v>
          </cell>
        </row>
        <row r="12">
          <cell r="B12">
            <v>89.160818730652196</v>
          </cell>
          <cell r="C12">
            <v>3.6093212204979658E-2</v>
          </cell>
          <cell r="D12">
            <v>126.72770042733448</v>
          </cell>
          <cell r="E12">
            <v>4.8905988953206463E-2</v>
          </cell>
          <cell r="F12">
            <v>107.94425957899334</v>
          </cell>
          <cell r="G12">
            <v>4.3576162338517896E-2</v>
          </cell>
        </row>
        <row r="13">
          <cell r="B13">
            <v>111.44936615734936</v>
          </cell>
          <cell r="C13">
            <v>6.1777959960783529E-2</v>
          </cell>
          <cell r="D13">
            <v>149.7016661023051</v>
          </cell>
          <cell r="E13">
            <v>5.0334697893733647E-2</v>
          </cell>
          <cell r="F13">
            <v>130.57551612982724</v>
          </cell>
          <cell r="G13">
            <v>5.5187938383122588E-2</v>
          </cell>
        </row>
        <row r="14">
          <cell r="B14">
            <v>143.71872917691076</v>
          </cell>
          <cell r="C14">
            <v>5.2798240045010408E-2</v>
          </cell>
          <cell r="D14">
            <v>184.12541515813348</v>
          </cell>
          <cell r="E14">
            <v>5.1288267751346255E-2</v>
          </cell>
          <cell r="F14">
            <v>163.92207216752212</v>
          </cell>
          <cell r="G14">
            <v>5.1949668567739235E-2</v>
          </cell>
        </row>
        <row r="15">
          <cell r="B15">
            <v>186.85255296753735</v>
          </cell>
          <cell r="C15">
            <v>4.6663482517557156E-2</v>
          </cell>
          <cell r="D15">
            <v>215.47097488705887</v>
          </cell>
          <cell r="E15">
            <v>5.9435342054474607E-2</v>
          </cell>
          <cell r="F15">
            <v>201.16176392729813</v>
          </cell>
          <cell r="G15">
            <v>5.3465115312007955E-2</v>
          </cell>
        </row>
        <row r="16">
          <cell r="B16">
            <v>240.93069267724991</v>
          </cell>
          <cell r="C16">
            <v>5.0978079791619078E-2</v>
          </cell>
          <cell r="D16">
            <v>249.99123840964046</v>
          </cell>
          <cell r="E16">
            <v>6.684503278007467E-2</v>
          </cell>
          <cell r="F16">
            <v>245.46096554344518</v>
          </cell>
          <cell r="G16">
            <v>5.8998551582661297E-2</v>
          </cell>
        </row>
        <row r="17">
          <cell r="B17">
            <v>308.29494113774382</v>
          </cell>
          <cell r="C17">
            <v>3.6630480442930359E-2</v>
          </cell>
          <cell r="D17">
            <v>296.53163239958957</v>
          </cell>
          <cell r="E17">
            <v>5.5466187684975465E-2</v>
          </cell>
          <cell r="F17">
            <v>302.41328676866669</v>
          </cell>
          <cell r="G17">
            <v>4.5780421108904443E-2</v>
          </cell>
        </row>
        <row r="18">
          <cell r="B18">
            <v>382.57721736313209</v>
          </cell>
          <cell r="C18">
            <v>5.294316795560982E-2</v>
          </cell>
          <cell r="D18">
            <v>363.51710991515887</v>
          </cell>
          <cell r="E18">
            <v>5.4963679354678441E-2</v>
          </cell>
          <cell r="F18">
            <v>373.04716363914548</v>
          </cell>
          <cell r="G18">
            <v>5.3926647432075238E-2</v>
          </cell>
        </row>
        <row r="19">
          <cell r="B19">
            <v>467.60260167546124</v>
          </cell>
          <cell r="C19">
            <v>5.5534936615212235E-2</v>
          </cell>
          <cell r="D19">
            <v>463.77193483956677</v>
          </cell>
          <cell r="E19">
            <v>5.2227230419986462E-2</v>
          </cell>
          <cell r="F19">
            <v>465.68726825751401</v>
          </cell>
          <cell r="G19">
            <v>5.3885290318700832E-2</v>
          </cell>
        </row>
        <row r="20">
          <cell r="B20">
            <v>545.38343228211045</v>
          </cell>
          <cell r="C20">
            <v>5.3343522995242233E-2</v>
          </cell>
          <cell r="D20">
            <v>602.71773527172479</v>
          </cell>
          <cell r="E20">
            <v>4.2992390611873377E-2</v>
          </cell>
          <cell r="F20">
            <v>574.05058377691762</v>
          </cell>
          <cell r="G20">
            <v>4.7884011942558299E-2</v>
          </cell>
        </row>
        <row r="21">
          <cell r="B21">
            <v>669.91440937949562</v>
          </cell>
          <cell r="C21">
            <v>4.7859533280948274E-2</v>
          </cell>
          <cell r="D21">
            <v>826.97575504249278</v>
          </cell>
          <cell r="E21">
            <v>6.2009595500697137E-2</v>
          </cell>
          <cell r="F21">
            <v>748.4450822109942</v>
          </cell>
          <cell r="G21">
            <v>5.5629952604475404E-2</v>
          </cell>
        </row>
        <row r="22">
          <cell r="B22">
            <v>874.26560168987169</v>
          </cell>
          <cell r="C22">
            <v>4.3371592784236163E-2</v>
          </cell>
          <cell r="D22">
            <v>1156.4566208175891</v>
          </cell>
          <cell r="E22">
            <v>4.32429532755568E-2</v>
          </cell>
          <cell r="F22">
            <v>1015.3611112537303</v>
          </cell>
          <cell r="G22">
            <v>4.3298331209249391E-2</v>
          </cell>
        </row>
        <row r="23">
          <cell r="B23">
            <v>131.4132629423608</v>
          </cell>
          <cell r="C23">
            <v>5.8266246406351301E-2</v>
          </cell>
          <cell r="D23">
            <v>186.7231671770403</v>
          </cell>
          <cell r="E23">
            <v>5.4888773895206848E-2</v>
          </cell>
          <cell r="F23">
            <v>159.06821505970055</v>
          </cell>
          <cell r="G23">
            <v>5.6281296532043557E-2</v>
          </cell>
        </row>
      </sheetData>
      <sheetData sheetId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72.466386519727962</v>
          </cell>
          <cell r="C7">
            <v>332.38563722651259</v>
          </cell>
          <cell r="D7">
            <v>434.80096524011867</v>
          </cell>
          <cell r="E7">
            <v>385.30992173625043</v>
          </cell>
          <cell r="F7">
            <v>324.53281417442201</v>
          </cell>
          <cell r="G7">
            <v>3.2992907569677515E-2</v>
          </cell>
        </row>
        <row r="8">
          <cell r="B8">
            <v>66.039494135329704</v>
          </cell>
          <cell r="C8">
            <v>342.79421181626412</v>
          </cell>
          <cell r="D8">
            <v>443.93111865582966</v>
          </cell>
          <cell r="E8">
            <v>395.48527507456004</v>
          </cell>
          <cell r="F8">
            <v>328.30147068214853</v>
          </cell>
          <cell r="G8">
            <v>1.9055788466713006E-2</v>
          </cell>
        </row>
        <row r="9">
          <cell r="B9">
            <v>48.082299321192977</v>
          </cell>
          <cell r="C9">
            <v>277.2871659127772</v>
          </cell>
          <cell r="D9">
            <v>355.39041651250488</v>
          </cell>
          <cell r="E9">
            <v>317.38702158557112</v>
          </cell>
          <cell r="F9">
            <v>255.03710390190923</v>
          </cell>
          <cell r="G9">
            <v>5.0864275565864703E-2</v>
          </cell>
        </row>
        <row r="10">
          <cell r="B10">
            <v>55.983118723430408</v>
          </cell>
          <cell r="C10">
            <v>303.25856905838782</v>
          </cell>
          <cell r="D10">
            <v>372.88240881789068</v>
          </cell>
          <cell r="E10">
            <v>338.2274726789218</v>
          </cell>
          <cell r="F10">
            <v>273.91376129324101</v>
          </cell>
          <cell r="G10">
            <v>5.4883000310100523E-2</v>
          </cell>
        </row>
        <row r="11">
          <cell r="B11">
            <v>60.965521215136562</v>
          </cell>
          <cell r="C11">
            <v>310.69803685291561</v>
          </cell>
          <cell r="D11">
            <v>386.83521458260293</v>
          </cell>
          <cell r="E11">
            <v>348.6647815270029</v>
          </cell>
          <cell r="F11">
            <v>280.82239044459095</v>
          </cell>
          <cell r="G11">
            <v>7.5518429772527595E-2</v>
          </cell>
        </row>
        <row r="12">
          <cell r="B12">
            <v>50.76420992670694</v>
          </cell>
          <cell r="C12">
            <v>272.5387721992243</v>
          </cell>
          <cell r="D12">
            <v>370.1737567311236</v>
          </cell>
          <cell r="E12">
            <v>321.39863999211605</v>
          </cell>
          <cell r="F12">
            <v>256.26450445898485</v>
          </cell>
          <cell r="G12">
            <v>2.9097096092115408E-2</v>
          </cell>
        </row>
        <row r="13">
          <cell r="B13">
            <v>49.688935485043771</v>
          </cell>
          <cell r="C13">
            <v>264.96252269567418</v>
          </cell>
          <cell r="D13">
            <v>354.66294536219823</v>
          </cell>
          <cell r="E13">
            <v>309.59387210514853</v>
          </cell>
          <cell r="F13">
            <v>251.42774357725352</v>
          </cell>
          <cell r="G13">
            <v>2.2642706093308526E-2</v>
          </cell>
        </row>
        <row r="14">
          <cell r="B14">
            <v>61.899149513460372</v>
          </cell>
          <cell r="C14">
            <v>312.07537102204481</v>
          </cell>
          <cell r="D14">
            <v>397.29782349617267</v>
          </cell>
          <cell r="E14">
            <v>355.64919146437387</v>
          </cell>
          <cell r="F14">
            <v>288.30270886349945</v>
          </cell>
          <cell r="G14">
            <v>4.3751145059163138E-2</v>
          </cell>
        </row>
        <row r="15">
          <cell r="B15">
            <v>53.344597857900453</v>
          </cell>
          <cell r="C15">
            <v>295.45450713669919</v>
          </cell>
          <cell r="D15">
            <v>392.98233066403691</v>
          </cell>
          <cell r="E15">
            <v>344.56606071581382</v>
          </cell>
          <cell r="F15">
            <v>283.28400941940549</v>
          </cell>
          <cell r="G15">
            <v>4.6199941245431121E-2</v>
          </cell>
        </row>
        <row r="16">
          <cell r="B16">
            <v>73.221537849913716</v>
          </cell>
          <cell r="C16">
            <v>357.00108197134989</v>
          </cell>
          <cell r="D16">
            <v>461.33410272895424</v>
          </cell>
          <cell r="E16">
            <v>410.09987071751777</v>
          </cell>
          <cell r="F16">
            <v>329.08176050701559</v>
          </cell>
          <cell r="G16">
            <v>5.1697929761655353E-2</v>
          </cell>
        </row>
        <row r="17">
          <cell r="B17">
            <v>60.619522640191519</v>
          </cell>
          <cell r="C17">
            <v>334.11098580186899</v>
          </cell>
          <cell r="D17">
            <v>427.20087022426344</v>
          </cell>
          <cell r="E17">
            <v>381.90236823021723</v>
          </cell>
          <cell r="F17">
            <v>312.50096226697963</v>
          </cell>
          <cell r="G17">
            <v>3.3668657318222057E-2</v>
          </cell>
        </row>
        <row r="18">
          <cell r="B18">
            <v>88.054770932330996</v>
          </cell>
          <cell r="C18">
            <v>408.3260289282025</v>
          </cell>
          <cell r="D18">
            <v>524.3526809679222</v>
          </cell>
          <cell r="E18">
            <v>470.28009717473492</v>
          </cell>
          <cell r="F18">
            <v>408.15429950832777</v>
          </cell>
          <cell r="G18">
            <v>6.1681706119238157E-2</v>
          </cell>
        </row>
        <row r="19">
          <cell r="B19">
            <v>80.357702016016361</v>
          </cell>
          <cell r="C19">
            <v>371.77102492270819</v>
          </cell>
          <cell r="D19">
            <v>469.93610905033324</v>
          </cell>
          <cell r="E19">
            <v>422.33762526495332</v>
          </cell>
          <cell r="F19">
            <v>353.54225547319027</v>
          </cell>
          <cell r="G19">
            <v>5.2722590558726863E-2</v>
          </cell>
        </row>
        <row r="20">
          <cell r="B20">
            <v>55.438090108945232</v>
          </cell>
          <cell r="C20">
            <v>338.61561410477054</v>
          </cell>
          <cell r="D20">
            <v>437.50082965935906</v>
          </cell>
          <cell r="E20">
            <v>390.19794318249387</v>
          </cell>
          <cell r="F20">
            <v>320.2039999866422</v>
          </cell>
          <cell r="G20">
            <v>5.282517491511711E-2</v>
          </cell>
        </row>
        <row r="21">
          <cell r="B21">
            <v>49.876726821475529</v>
          </cell>
          <cell r="C21">
            <v>279.89583886910776</v>
          </cell>
          <cell r="D21">
            <v>356.83020196075825</v>
          </cell>
          <cell r="E21">
            <v>319.29953102421632</v>
          </cell>
          <cell r="F21">
            <v>255.56561609927024</v>
          </cell>
          <cell r="G21">
            <v>4.8519165944734127E-2</v>
          </cell>
        </row>
        <row r="22">
          <cell r="B22">
            <v>38.514785080782318</v>
          </cell>
          <cell r="C22">
            <v>267.74194717462541</v>
          </cell>
          <cell r="D22">
            <v>332.13596110979222</v>
          </cell>
          <cell r="E22">
            <v>299.6855176494546</v>
          </cell>
          <cell r="F22">
            <v>229.86549365267877</v>
          </cell>
          <cell r="G22">
            <v>8.8838721366950466E-2</v>
          </cell>
        </row>
        <row r="23">
          <cell r="B23">
            <v>56.204347836181796</v>
          </cell>
          <cell r="C23">
            <v>304.43978164985117</v>
          </cell>
          <cell r="D23">
            <v>379.82280707158702</v>
          </cell>
          <cell r="E23">
            <v>343.06509664065027</v>
          </cell>
          <cell r="F23">
            <v>275.3489432679126</v>
          </cell>
          <cell r="G23">
            <v>4.7792401896276163E-2</v>
          </cell>
        </row>
        <row r="24">
          <cell r="B24">
            <v>54.587459567056499</v>
          </cell>
          <cell r="C24">
            <v>285.60103534618401</v>
          </cell>
          <cell r="D24">
            <v>365.44656043307862</v>
          </cell>
          <cell r="E24">
            <v>325.83178812899996</v>
          </cell>
          <cell r="F24">
            <v>269.54849493320171</v>
          </cell>
          <cell r="G24">
            <v>4.752527129197303E-2</v>
          </cell>
        </row>
        <row r="25">
          <cell r="B25">
            <v>57.806918029140178</v>
          </cell>
          <cell r="C25">
            <v>308.61734366449184</v>
          </cell>
          <cell r="D25">
            <v>397.97022386842502</v>
          </cell>
          <cell r="E25">
            <v>353.86348670875054</v>
          </cell>
          <cell r="F25">
            <v>287.63992516592134</v>
          </cell>
          <cell r="G25">
            <v>4.9125967580717952E-2</v>
          </cell>
        </row>
        <row r="26">
          <cell r="B26">
            <v>55.456153673243421</v>
          </cell>
          <cell r="C26">
            <v>300.02344204332235</v>
          </cell>
          <cell r="D26">
            <v>389.6512956475151</v>
          </cell>
          <cell r="E26">
            <v>345.62293428941155</v>
          </cell>
          <cell r="F26">
            <v>274.5218239799035</v>
          </cell>
          <cell r="G26">
            <v>4.8036685115965538E-2</v>
          </cell>
        </row>
        <row r="27">
          <cell r="B27">
            <v>99.719814681291638</v>
          </cell>
          <cell r="C27">
            <v>418.98622007140602</v>
          </cell>
          <cell r="D27">
            <v>511.02004395605707</v>
          </cell>
          <cell r="E27">
            <v>467.75637898148705</v>
          </cell>
          <cell r="F27">
            <v>400.32867543964176</v>
          </cell>
          <cell r="G27">
            <v>3.722719855432477E-2</v>
          </cell>
        </row>
        <row r="28">
          <cell r="B28">
            <v>134.89923316363127</v>
          </cell>
          <cell r="C28">
            <v>425.36917095077058</v>
          </cell>
          <cell r="D28">
            <v>554.53174735810853</v>
          </cell>
          <cell r="E28">
            <v>493.17004829680809</v>
          </cell>
          <cell r="F28">
            <v>414.5197832821591</v>
          </cell>
          <cell r="G28">
            <v>5.2149511193811206E-2</v>
          </cell>
        </row>
        <row r="29">
          <cell r="B29">
            <v>68.734571790924576</v>
          </cell>
          <cell r="C29">
            <v>322.99075237543434</v>
          </cell>
          <cell r="D29">
            <v>417.47722588055285</v>
          </cell>
          <cell r="E29">
            <v>371.4418468743894</v>
          </cell>
          <cell r="F29">
            <v>304.58835015790146</v>
          </cell>
          <cell r="G29">
            <v>3.9573952763148242E-2</v>
          </cell>
        </row>
        <row r="30">
          <cell r="B30">
            <v>90.042186803388319</v>
          </cell>
          <cell r="C30">
            <v>380.38670322852249</v>
          </cell>
          <cell r="D30">
            <v>497.60351865323696</v>
          </cell>
          <cell r="E30">
            <v>441.7136794314589</v>
          </cell>
          <cell r="F30">
            <v>366.58566601595464</v>
          </cell>
          <cell r="G30">
            <v>3.0680425596800957E-2</v>
          </cell>
        </row>
        <row r="31">
          <cell r="B31">
            <v>122.49315618742725</v>
          </cell>
          <cell r="C31">
            <v>451.37234987851423</v>
          </cell>
          <cell r="D31">
            <v>593.0076976596979</v>
          </cell>
          <cell r="E31">
            <v>526.46435202555767</v>
          </cell>
          <cell r="F31">
            <v>441.09544639343699</v>
          </cell>
          <cell r="G31">
            <v>6.6657478002570603E-2</v>
          </cell>
        </row>
        <row r="32">
          <cell r="B32">
            <v>81.795408053468776</v>
          </cell>
          <cell r="C32">
            <v>367.84874400767023</v>
          </cell>
          <cell r="D32">
            <v>468.19222108480608</v>
          </cell>
          <cell r="E32">
            <v>419.52264135992141</v>
          </cell>
          <cell r="F32">
            <v>341.42567263211322</v>
          </cell>
          <cell r="G32">
            <v>3.8058353574578138E-2</v>
          </cell>
        </row>
        <row r="33">
          <cell r="B33">
            <v>75.399124990013632</v>
          </cell>
          <cell r="C33">
            <v>346.08695517800993</v>
          </cell>
          <cell r="D33">
            <v>447.8156422444132</v>
          </cell>
          <cell r="E33">
            <v>398.65526589239744</v>
          </cell>
          <cell r="F33">
            <v>329.92649200955145</v>
          </cell>
          <cell r="G33">
            <v>4.2805597728842494E-2</v>
          </cell>
        </row>
      </sheetData>
      <sheetData sheetId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77.166940999131356</v>
          </cell>
          <cell r="C7">
            <v>3.9192015974399176E-2</v>
          </cell>
          <cell r="D7">
            <v>73.541283398861196</v>
          </cell>
          <cell r="E7">
            <v>3.4350485930816597E-2</v>
          </cell>
          <cell r="F7">
            <v>75.354112198996233</v>
          </cell>
          <cell r="G7">
            <v>3.6823839110096533E-2</v>
          </cell>
        </row>
        <row r="8">
          <cell r="B8">
            <v>206.66006629716787</v>
          </cell>
          <cell r="C8">
            <v>4.9331107306982168E-2</v>
          </cell>
          <cell r="D8">
            <v>297.84533785187529</v>
          </cell>
          <cell r="E8">
            <v>2.7024103860390891E-2</v>
          </cell>
          <cell r="F8">
            <v>252.25270207452166</v>
          </cell>
          <cell r="G8">
            <v>3.604601348691322E-2</v>
          </cell>
        </row>
        <row r="9">
          <cell r="B9">
            <v>216.57123322862381</v>
          </cell>
          <cell r="C9">
            <v>3.8149587093104231E-2</v>
          </cell>
          <cell r="D9">
            <v>344.38312465621203</v>
          </cell>
          <cell r="E9">
            <v>3.7404998528704006E-2</v>
          </cell>
          <cell r="F9">
            <v>280.47717894241788</v>
          </cell>
          <cell r="G9">
            <v>3.769233997970977E-2</v>
          </cell>
        </row>
        <row r="10">
          <cell r="B10">
            <v>236.17590406344843</v>
          </cell>
          <cell r="C10">
            <v>4.2655210896313737E-2</v>
          </cell>
          <cell r="D10">
            <v>356.02642305557515</v>
          </cell>
          <cell r="E10">
            <v>3.4275379103504471E-2</v>
          </cell>
          <cell r="F10">
            <v>296.10116355951175</v>
          </cell>
          <cell r="G10">
            <v>3.7601135985955839E-2</v>
          </cell>
        </row>
        <row r="11">
          <cell r="B11">
            <v>258.03239086026025</v>
          </cell>
          <cell r="C11">
            <v>4.5797669593952664E-2</v>
          </cell>
          <cell r="D11">
            <v>365.99063265041804</v>
          </cell>
          <cell r="E11">
            <v>4.394461845787672E-2</v>
          </cell>
          <cell r="F11">
            <v>312.01151175533914</v>
          </cell>
          <cell r="G11">
            <v>4.4710054877243319E-2</v>
          </cell>
        </row>
        <row r="12">
          <cell r="B12">
            <v>282.52853626494294</v>
          </cell>
          <cell r="C12">
            <v>4.3352754777844719E-2</v>
          </cell>
          <cell r="D12">
            <v>380.28687447397061</v>
          </cell>
          <cell r="E12">
            <v>3.7799904200862725E-2</v>
          </cell>
          <cell r="F12">
            <v>331.40770536945678</v>
          </cell>
          <cell r="G12">
            <v>4.0159591855423574E-2</v>
          </cell>
        </row>
        <row r="13">
          <cell r="B13">
            <v>321.06698071027751</v>
          </cell>
          <cell r="C13">
            <v>5.2211748592008715E-2</v>
          </cell>
          <cell r="D13">
            <v>417.90478652104127</v>
          </cell>
          <cell r="E13">
            <v>3.590831490864773E-2</v>
          </cell>
          <cell r="F13">
            <v>369.4858836156593</v>
          </cell>
          <cell r="G13">
            <v>4.2929308954164296E-2</v>
          </cell>
        </row>
        <row r="14">
          <cell r="B14">
            <v>367.83772448539185</v>
          </cell>
          <cell r="C14">
            <v>4.5113075556728159E-2</v>
          </cell>
          <cell r="D14">
            <v>468.36538982893364</v>
          </cell>
          <cell r="E14">
            <v>3.2137090188630431E-2</v>
          </cell>
          <cell r="F14">
            <v>418.10155715716292</v>
          </cell>
          <cell r="G14">
            <v>3.780518870676379E-2</v>
          </cell>
        </row>
        <row r="15">
          <cell r="B15">
            <v>426.34779605457527</v>
          </cell>
          <cell r="C15">
            <v>4.3092292657322451E-2</v>
          </cell>
          <cell r="D15">
            <v>497.63565796623709</v>
          </cell>
          <cell r="E15">
            <v>3.6132516274057967E-2</v>
          </cell>
          <cell r="F15">
            <v>461.99172701040584</v>
          </cell>
          <cell r="G15">
            <v>3.9332345649223249E-2</v>
          </cell>
        </row>
        <row r="16">
          <cell r="B16">
            <v>481.72198569240868</v>
          </cell>
          <cell r="C16">
            <v>4.0155124408317228E-2</v>
          </cell>
          <cell r="D16">
            <v>517.55332718983846</v>
          </cell>
          <cell r="E16">
            <v>3.6908317740730522E-2</v>
          </cell>
          <cell r="F16">
            <v>499.63765644112323</v>
          </cell>
          <cell r="G16">
            <v>3.8470975917374868E-2</v>
          </cell>
        </row>
        <row r="17">
          <cell r="B17">
            <v>535.48288219755545</v>
          </cell>
          <cell r="C17">
            <v>3.2420754503694055E-2</v>
          </cell>
          <cell r="D17">
            <v>545.75634704976028</v>
          </cell>
          <cell r="E17">
            <v>3.6367494176802191E-2</v>
          </cell>
          <cell r="F17">
            <v>540.61961462365753</v>
          </cell>
          <cell r="G17">
            <v>3.4409110008935068E-2</v>
          </cell>
        </row>
        <row r="18">
          <cell r="B18">
            <v>587.17352926966737</v>
          </cell>
          <cell r="C18">
            <v>3.3263085526034887E-2</v>
          </cell>
          <cell r="D18">
            <v>586.63041754710457</v>
          </cell>
          <cell r="E18">
            <v>3.3261648656194291E-2</v>
          </cell>
          <cell r="F18">
            <v>586.90197340838563</v>
          </cell>
          <cell r="G18">
            <v>3.3262367423029786E-2</v>
          </cell>
        </row>
        <row r="19">
          <cell r="B19">
            <v>634.95918636297461</v>
          </cell>
          <cell r="C19">
            <v>3.2283436777136992E-2</v>
          </cell>
          <cell r="D19">
            <v>638.27982176220144</v>
          </cell>
          <cell r="E19">
            <v>2.6579435129839239E-2</v>
          </cell>
          <cell r="F19">
            <v>636.61950406258802</v>
          </cell>
          <cell r="G19">
            <v>2.9416096622988573E-2</v>
          </cell>
        </row>
        <row r="20">
          <cell r="B20">
            <v>676.44747803462405</v>
          </cell>
          <cell r="C20">
            <v>2.8058415584701051E-2</v>
          </cell>
          <cell r="D20">
            <v>701.62151571244567</v>
          </cell>
          <cell r="E20">
            <v>3.1272024873065803E-2</v>
          </cell>
          <cell r="F20">
            <v>689.03449687353486</v>
          </cell>
          <cell r="G20">
            <v>2.9692066049811131E-2</v>
          </cell>
        </row>
        <row r="21">
          <cell r="B21">
            <v>732.03180512531162</v>
          </cell>
          <cell r="C21">
            <v>2.525727758723326E-2</v>
          </cell>
          <cell r="D21">
            <v>775.33455233250561</v>
          </cell>
          <cell r="E21">
            <v>4.3372542664694674E-2</v>
          </cell>
          <cell r="F21">
            <v>753.68317872890793</v>
          </cell>
          <cell r="G21">
            <v>3.4495839174243037E-2</v>
          </cell>
        </row>
        <row r="22">
          <cell r="B22">
            <v>827.86667040295924</v>
          </cell>
          <cell r="C22">
            <v>5.0875587717039872E-2</v>
          </cell>
          <cell r="D22">
            <v>871.4694559564432</v>
          </cell>
          <cell r="E22">
            <v>6.7000865650090335E-2</v>
          </cell>
          <cell r="F22">
            <v>849.66806317970259</v>
          </cell>
          <cell r="G22">
            <v>5.9083744042915859E-2</v>
          </cell>
        </row>
        <row r="23">
          <cell r="B23">
            <v>286.22817728716655</v>
          </cell>
          <cell r="C23">
            <v>4.7429714172600335E-2</v>
          </cell>
          <cell r="D23">
            <v>371.8189862216351</v>
          </cell>
          <cell r="E23">
            <v>3.9316743799273877E-2</v>
          </cell>
          <cell r="F23">
            <v>329.02358175440099</v>
          </cell>
          <cell r="G23">
            <v>4.2830114112974542E-2</v>
          </cell>
        </row>
      </sheetData>
      <sheetData sheetId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6">
          <cell r="C6">
            <v>161.38999999999999</v>
          </cell>
          <cell r="D6">
            <v>181.74761941037556</v>
          </cell>
          <cell r="E6">
            <v>196.00202818343942</v>
          </cell>
          <cell r="F6">
            <v>204.56496440459452</v>
          </cell>
          <cell r="G6">
            <v>214.60878128536802</v>
          </cell>
          <cell r="H6">
            <v>225.83</v>
          </cell>
          <cell r="I6">
            <v>249.25184999999999</v>
          </cell>
          <cell r="J6">
            <v>275.28021999999999</v>
          </cell>
        </row>
        <row r="7">
          <cell r="C7">
            <v>164.94</v>
          </cell>
          <cell r="D7">
            <v>178.90407101057329</v>
          </cell>
          <cell r="E7">
            <v>188.61433433173246</v>
          </cell>
          <cell r="F7">
            <v>201.25978915744582</v>
          </cell>
          <cell r="G7">
            <v>206.27433629075489</v>
          </cell>
          <cell r="H7">
            <v>214.24</v>
          </cell>
          <cell r="I7">
            <v>236.81533999999999</v>
          </cell>
          <cell r="J7">
            <v>260.21762999999999</v>
          </cell>
        </row>
        <row r="8">
          <cell r="C8">
            <v>139.1</v>
          </cell>
          <cell r="D8">
            <v>143.57709006234506</v>
          </cell>
          <cell r="E8">
            <v>153.2386309546296</v>
          </cell>
          <cell r="F8">
            <v>153.08542492035309</v>
          </cell>
          <cell r="G8">
            <v>162.59231768593037</v>
          </cell>
          <cell r="H8">
            <v>174.18</v>
          </cell>
          <cell r="I8">
            <v>193.38892000000001</v>
          </cell>
          <cell r="J8">
            <v>213.69806</v>
          </cell>
        </row>
        <row r="9">
          <cell r="C9">
            <v>141.16</v>
          </cell>
          <cell r="D9">
            <v>145.5123971024037</v>
          </cell>
          <cell r="E9">
            <v>152.96870852349821</v>
          </cell>
          <cell r="F9">
            <v>151.85893279388182</v>
          </cell>
          <cell r="G9">
            <v>155.97839469348565</v>
          </cell>
          <cell r="H9">
            <v>162.32</v>
          </cell>
          <cell r="I9">
            <v>179.01891000000001</v>
          </cell>
          <cell r="J9">
            <v>198.10935000000001</v>
          </cell>
        </row>
        <row r="10">
          <cell r="C10">
            <v>140.25</v>
          </cell>
          <cell r="D10">
            <v>154.58932622469482</v>
          </cell>
          <cell r="E10">
            <v>160.06682962371025</v>
          </cell>
          <cell r="F10">
            <v>157.52798339248363</v>
          </cell>
          <cell r="G10">
            <v>161.03489102830923</v>
          </cell>
          <cell r="H10">
            <v>171.06</v>
          </cell>
          <cell r="I10">
            <v>192.22412</v>
          </cell>
          <cell r="J10">
            <v>213.82740999999999</v>
          </cell>
        </row>
        <row r="11">
          <cell r="C11">
            <v>141.9</v>
          </cell>
          <cell r="D11">
            <v>150.48059358036346</v>
          </cell>
          <cell r="E11">
            <v>151.75133379152348</v>
          </cell>
          <cell r="F11">
            <v>150.6541390130584</v>
          </cell>
          <cell r="G11">
            <v>155.42777867792469</v>
          </cell>
          <cell r="H11">
            <v>163.99</v>
          </cell>
          <cell r="I11">
            <v>177.7379</v>
          </cell>
          <cell r="J11">
            <v>189.19853000000001</v>
          </cell>
        </row>
        <row r="12">
          <cell r="C12">
            <v>135.5</v>
          </cell>
          <cell r="D12">
            <v>142.42034638479478</v>
          </cell>
          <cell r="E12">
            <v>144.8240287051961</v>
          </cell>
          <cell r="F12">
            <v>143.0851864701819</v>
          </cell>
          <cell r="G12">
            <v>147.03459410221294</v>
          </cell>
          <cell r="H12">
            <v>154.96</v>
          </cell>
          <cell r="I12">
            <v>168.07506000000001</v>
          </cell>
          <cell r="J12">
            <v>183.25393</v>
          </cell>
        </row>
        <row r="13">
          <cell r="C13">
            <v>129.91</v>
          </cell>
          <cell r="D13">
            <v>142.97885760257441</v>
          </cell>
          <cell r="E13">
            <v>151.98406510079528</v>
          </cell>
          <cell r="F13">
            <v>154.08716723613713</v>
          </cell>
          <cell r="G13">
            <v>157.45437633505952</v>
          </cell>
          <cell r="H13">
            <v>169.57</v>
          </cell>
          <cell r="I13">
            <v>190.28371000000001</v>
          </cell>
          <cell r="J13">
            <v>213.61912000000001</v>
          </cell>
        </row>
        <row r="14">
          <cell r="C14">
            <v>142.31</v>
          </cell>
          <cell r="D14">
            <v>153.72972946648645</v>
          </cell>
          <cell r="E14">
            <v>153.40230466967873</v>
          </cell>
          <cell r="F14">
            <v>151.61979283853594</v>
          </cell>
          <cell r="G14">
            <v>156.98032288444494</v>
          </cell>
          <cell r="H14">
            <v>166.33</v>
          </cell>
          <cell r="I14">
            <v>186.00414000000001</v>
          </cell>
          <cell r="J14">
            <v>209.53888000000001</v>
          </cell>
        </row>
        <row r="15">
          <cell r="C15">
            <v>178.52</v>
          </cell>
          <cell r="D15">
            <v>190.51005291406392</v>
          </cell>
          <cell r="E15">
            <v>191.13510846174776</v>
          </cell>
          <cell r="F15">
            <v>194.51130641123947</v>
          </cell>
          <cell r="G15">
            <v>204.74739109792625</v>
          </cell>
          <cell r="H15">
            <v>219</v>
          </cell>
          <cell r="I15">
            <v>237.39559</v>
          </cell>
          <cell r="J15">
            <v>253.22302999999999</v>
          </cell>
        </row>
        <row r="16">
          <cell r="C16">
            <v>153.49</v>
          </cell>
          <cell r="D16">
            <v>174.39784107055755</v>
          </cell>
          <cell r="E16">
            <v>189.81747980375937</v>
          </cell>
          <cell r="F16">
            <v>194.79505634054161</v>
          </cell>
          <cell r="G16">
            <v>203.28838173925092</v>
          </cell>
          <cell r="H16">
            <v>208.4</v>
          </cell>
          <cell r="I16">
            <v>220.08157</v>
          </cell>
          <cell r="J16">
            <v>240.44400999999999</v>
          </cell>
        </row>
        <row r="17">
          <cell r="C17">
            <v>197.47</v>
          </cell>
          <cell r="D17">
            <v>227.39206822581488</v>
          </cell>
          <cell r="E17">
            <v>249.08995494732562</v>
          </cell>
          <cell r="F17">
            <v>269.95984005961856</v>
          </cell>
          <cell r="G17">
            <v>283.15886833389669</v>
          </cell>
          <cell r="H17">
            <v>300.27999999999997</v>
          </cell>
          <cell r="I17">
            <v>326.16320000000002</v>
          </cell>
          <cell r="J17">
            <v>355.56977000000001</v>
          </cell>
        </row>
        <row r="18">
          <cell r="C18">
            <v>169.85</v>
          </cell>
          <cell r="D18">
            <v>193.34249054078401</v>
          </cell>
          <cell r="E18">
            <v>205.76685458807557</v>
          </cell>
          <cell r="F18">
            <v>207.25163370069049</v>
          </cell>
          <cell r="G18">
            <v>214.55458510182976</v>
          </cell>
          <cell r="H18">
            <v>225.18</v>
          </cell>
          <cell r="I18">
            <v>247.74626000000001</v>
          </cell>
          <cell r="J18">
            <v>272.16631999999998</v>
          </cell>
        </row>
        <row r="19">
          <cell r="C19">
            <v>143.76</v>
          </cell>
          <cell r="D19">
            <v>167.06871021092456</v>
          </cell>
          <cell r="E19">
            <v>175.44410487580495</v>
          </cell>
          <cell r="F19">
            <v>185.0638682097516</v>
          </cell>
          <cell r="G19">
            <v>192.3170919504424</v>
          </cell>
          <cell r="H19">
            <v>202.52</v>
          </cell>
          <cell r="I19">
            <v>234.57712000000001</v>
          </cell>
          <cell r="J19">
            <v>256.67111999999997</v>
          </cell>
        </row>
        <row r="20">
          <cell r="C20">
            <v>120.66</v>
          </cell>
          <cell r="D20">
            <v>134.57239758753036</v>
          </cell>
          <cell r="E20">
            <v>146.4983795331388</v>
          </cell>
          <cell r="F20">
            <v>146.59109792193715</v>
          </cell>
          <cell r="G20">
            <v>149.68480463866564</v>
          </cell>
          <cell r="H20">
            <v>160.36000000000001</v>
          </cell>
          <cell r="I20">
            <v>176.92891</v>
          </cell>
          <cell r="J20">
            <v>195.91064</v>
          </cell>
        </row>
        <row r="21">
          <cell r="C21">
            <v>117.49</v>
          </cell>
          <cell r="D21">
            <v>125.32828990016854</v>
          </cell>
          <cell r="E21">
            <v>133.14947357866239</v>
          </cell>
          <cell r="F21">
            <v>131.34777988963828</v>
          </cell>
          <cell r="G21">
            <v>132.89659199669521</v>
          </cell>
          <cell r="H21">
            <v>145.16999999999999</v>
          </cell>
          <cell r="I21">
            <v>158.90671</v>
          </cell>
          <cell r="J21">
            <v>173.64661000000001</v>
          </cell>
        </row>
        <row r="22">
          <cell r="C22">
            <v>129.91</v>
          </cell>
          <cell r="D22">
            <v>144.38414639400574</v>
          </cell>
          <cell r="E22">
            <v>157.70305244819662</v>
          </cell>
          <cell r="F22">
            <v>160.05901339082263</v>
          </cell>
          <cell r="G22">
            <v>164.68000692764107</v>
          </cell>
          <cell r="H22">
            <v>175.58</v>
          </cell>
          <cell r="I22">
            <v>193.89466999999999</v>
          </cell>
          <cell r="J22">
            <v>210.78359</v>
          </cell>
        </row>
        <row r="23">
          <cell r="C23">
            <v>122.63</v>
          </cell>
          <cell r="D23">
            <v>144.11893562856102</v>
          </cell>
          <cell r="E23">
            <v>144.77702993957635</v>
          </cell>
          <cell r="F23">
            <v>147.11126893343456</v>
          </cell>
          <cell r="G23">
            <v>155.12945645924145</v>
          </cell>
          <cell r="H23">
            <v>168</v>
          </cell>
          <cell r="I23">
            <v>190.35756000000001</v>
          </cell>
          <cell r="J23">
            <v>215.96934999999999</v>
          </cell>
        </row>
        <row r="24">
          <cell r="C24">
            <v>132.41999999999999</v>
          </cell>
          <cell r="D24">
            <v>149.28856926870534</v>
          </cell>
          <cell r="E24">
            <v>160.04363007055017</v>
          </cell>
          <cell r="F24">
            <v>165.54637553497736</v>
          </cell>
          <cell r="G24">
            <v>174.78444225248529</v>
          </cell>
          <cell r="H24">
            <v>190.11</v>
          </cell>
          <cell r="I24">
            <v>212.10615999999999</v>
          </cell>
          <cell r="J24">
            <v>232.59259</v>
          </cell>
        </row>
        <row r="25">
          <cell r="C25">
            <v>130.75</v>
          </cell>
          <cell r="D25">
            <v>152.67183076361556</v>
          </cell>
          <cell r="E25">
            <v>166.13212539894155</v>
          </cell>
          <cell r="F25">
            <v>173.91081430580377</v>
          </cell>
          <cell r="G25">
            <v>180.22488745415569</v>
          </cell>
          <cell r="H25">
            <v>198.02</v>
          </cell>
          <cell r="I25">
            <v>225.25766999999999</v>
          </cell>
          <cell r="J25">
            <v>250.03977</v>
          </cell>
        </row>
        <row r="26">
          <cell r="C26">
            <v>202.05</v>
          </cell>
          <cell r="D26">
            <v>221.64821956701763</v>
          </cell>
          <cell r="E26">
            <v>239.64824283614516</v>
          </cell>
          <cell r="F26">
            <v>242.63157967888316</v>
          </cell>
          <cell r="G26">
            <v>247.60432959342589</v>
          </cell>
          <cell r="H26">
            <v>257.93</v>
          </cell>
          <cell r="I26">
            <v>280.14476999999999</v>
          </cell>
          <cell r="J26">
            <v>306.45803000000001</v>
          </cell>
        </row>
        <row r="27">
          <cell r="C27">
            <v>254.22</v>
          </cell>
          <cell r="D27">
            <v>265.0439754536082</v>
          </cell>
          <cell r="E27">
            <v>263.08633335060824</v>
          </cell>
          <cell r="F27">
            <v>270.67558737547967</v>
          </cell>
          <cell r="G27">
            <v>274.83631654030387</v>
          </cell>
          <cell r="H27">
            <v>288.01</v>
          </cell>
          <cell r="I27">
            <v>309.12257</v>
          </cell>
          <cell r="J27">
            <v>338.71998000000002</v>
          </cell>
        </row>
        <row r="28">
          <cell r="C28">
            <v>171.56</v>
          </cell>
          <cell r="D28">
            <v>172.41864224466755</v>
          </cell>
          <cell r="E28">
            <v>167.16669943841148</v>
          </cell>
          <cell r="F28">
            <v>168.76751136732656</v>
          </cell>
          <cell r="G28">
            <v>170.7753395375473</v>
          </cell>
          <cell r="H28">
            <v>178.74</v>
          </cell>
          <cell r="I28">
            <v>193.50014999999999</v>
          </cell>
          <cell r="J28">
            <v>211.19194999999999</v>
          </cell>
        </row>
        <row r="29">
          <cell r="C29">
            <v>186.79</v>
          </cell>
          <cell r="D29">
            <v>209.60890775240387</v>
          </cell>
          <cell r="E29">
            <v>231.06217497794015</v>
          </cell>
          <cell r="F29">
            <v>247.3175692987063</v>
          </cell>
          <cell r="G29">
            <v>254.10089923369213</v>
          </cell>
          <cell r="H29">
            <v>263.48</v>
          </cell>
          <cell r="I29">
            <v>293.69824</v>
          </cell>
          <cell r="J29">
            <v>319.02927</v>
          </cell>
        </row>
        <row r="30">
          <cell r="C30">
            <v>262.29000000000002</v>
          </cell>
          <cell r="D30">
            <v>280.97595294559625</v>
          </cell>
          <cell r="E30">
            <v>292.53003148629085</v>
          </cell>
          <cell r="F30">
            <v>298.44549609980186</v>
          </cell>
          <cell r="G30">
            <v>320.43181073162663</v>
          </cell>
          <cell r="H30">
            <v>336.47</v>
          </cell>
          <cell r="I30">
            <v>363.55230999999998</v>
          </cell>
          <cell r="J30">
            <v>389.5677</v>
          </cell>
        </row>
        <row r="31">
          <cell r="C31">
            <v>187.76</v>
          </cell>
          <cell r="D31">
            <v>202.37524782381857</v>
          </cell>
          <cell r="E31">
            <v>221.92375082863774</v>
          </cell>
          <cell r="F31">
            <v>226.4991872043224</v>
          </cell>
          <cell r="G31">
            <v>237.61423548859224</v>
          </cell>
          <cell r="H31">
            <v>261.69</v>
          </cell>
          <cell r="I31">
            <v>285.07929000000001</v>
          </cell>
          <cell r="J31">
            <v>300.93169999999998</v>
          </cell>
        </row>
        <row r="32">
          <cell r="C32">
            <v>173.08</v>
          </cell>
          <cell r="D32">
            <v>188.06152293360134</v>
          </cell>
          <cell r="E32">
            <v>197.28646689698576</v>
          </cell>
          <cell r="F32">
            <v>203.88952141156713</v>
          </cell>
          <cell r="G32">
            <v>211.67614847185897</v>
          </cell>
          <cell r="H32">
            <v>223.27</v>
          </cell>
          <cell r="I32">
            <v>245.01247000000001</v>
          </cell>
          <cell r="J32">
            <v>268.54743999999999</v>
          </cell>
        </row>
      </sheetData>
      <sheetData sheetId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8">
          <cell r="B8">
            <v>0.12613928626541648</v>
          </cell>
          <cell r="C8">
            <v>7.8429686283143063E-2</v>
          </cell>
          <cell r="D8">
            <v>4.3687998030005115E-2</v>
          </cell>
          <cell r="E8">
            <v>4.9098421667693515E-2</v>
          </cell>
          <cell r="F8">
            <v>5.2286857263827313E-2</v>
          </cell>
          <cell r="G8">
            <v>0.10371451977150947</v>
          </cell>
          <cell r="H8">
            <v>0.10442598520331936</v>
          </cell>
          <cell r="I8">
            <v>7.9265614771848014E-2</v>
          </cell>
        </row>
        <row r="9">
          <cell r="B9">
            <v>8.4661519404469976E-2</v>
          </cell>
          <cell r="C9">
            <v>5.4276368705915568E-2</v>
          </cell>
          <cell r="D9">
            <v>6.7043975583916726E-2</v>
          </cell>
          <cell r="E9">
            <v>2.4915792440715512E-2</v>
          </cell>
          <cell r="F9">
            <v>3.8616843241308985E-2</v>
          </cell>
          <cell r="G9">
            <v>0.10537406646751291</v>
          </cell>
          <cell r="H9">
            <v>9.8820836521823274E-2</v>
          </cell>
          <cell r="I9">
            <v>6.7301811878385465E-2</v>
          </cell>
        </row>
        <row r="10">
          <cell r="B10">
            <v>3.2186125538066657E-2</v>
          </cell>
          <cell r="C10">
            <v>6.729166114238172E-2</v>
          </cell>
          <cell r="D10">
            <v>-9.9978728158878205E-4</v>
          </cell>
          <cell r="E10">
            <v>6.2101880505760043E-2</v>
          </cell>
          <cell r="F10">
            <v>7.1268326074623412E-2</v>
          </cell>
          <cell r="G10">
            <v>0.11028200711907221</v>
          </cell>
          <cell r="H10">
            <v>0.10501708164045787</v>
          </cell>
          <cell r="I10">
            <v>6.3258991965497779E-2</v>
          </cell>
        </row>
        <row r="11">
          <cell r="B11">
            <v>3.083307666763746E-2</v>
          </cell>
          <cell r="C11">
            <v>5.1241760630519773E-2</v>
          </cell>
          <cell r="D11">
            <v>-7.2549199135449882E-3</v>
          </cell>
          <cell r="E11">
            <v>2.7126898785698517E-2</v>
          </cell>
          <cell r="F11">
            <v>4.06569468738045E-2</v>
          </cell>
          <cell r="G11">
            <v>0.10287647856086757</v>
          </cell>
          <cell r="H11">
            <v>0.10663923716215229</v>
          </cell>
          <cell r="I11">
            <v>4.9609173201386136E-2</v>
          </cell>
        </row>
        <row r="12">
          <cell r="B12">
            <v>0.10224118520281511</v>
          </cell>
          <cell r="C12">
            <v>3.543261059986702E-2</v>
          </cell>
          <cell r="D12">
            <v>-1.5861163972542003E-2</v>
          </cell>
          <cell r="E12">
            <v>2.2262124863796862E-2</v>
          </cell>
          <cell r="F12">
            <v>6.2254266188365381E-2</v>
          </cell>
          <cell r="G12">
            <v>0.12372337191628668</v>
          </cell>
          <cell r="H12">
            <v>0.11238594823584047</v>
          </cell>
          <cell r="I12">
            <v>6.2100923645368011E-2</v>
          </cell>
        </row>
        <row r="13">
          <cell r="B13">
            <v>6.0469299368311802E-2</v>
          </cell>
          <cell r="C13">
            <v>8.4445454455319702E-3</v>
          </cell>
          <cell r="D13">
            <v>-7.2302150567744583E-3</v>
          </cell>
          <cell r="E13">
            <v>3.1686083742130222E-2</v>
          </cell>
          <cell r="F13">
            <v>5.5088101978333137E-2</v>
          </cell>
          <cell r="G13">
            <v>8.3833770351850578E-2</v>
          </cell>
          <cell r="H13">
            <v>6.4480507533846154E-2</v>
          </cell>
          <cell r="I13">
            <v>4.1952470930916919E-2</v>
          </cell>
        </row>
        <row r="14">
          <cell r="B14">
            <v>5.1072667046455855E-2</v>
          </cell>
          <cell r="C14">
            <v>1.6877380103450967E-2</v>
          </cell>
          <cell r="D14">
            <v>-1.2006586548933718E-2</v>
          </cell>
          <cell r="E14">
            <v>2.760179253674222E-2</v>
          </cell>
          <cell r="F14">
            <v>5.3901640944971296E-2</v>
          </cell>
          <cell r="G14">
            <v>8.4635131646876527E-2</v>
          </cell>
          <cell r="H14">
            <v>9.0310067418687856E-2</v>
          </cell>
          <cell r="I14">
            <v>4.4072295044523369E-2</v>
          </cell>
        </row>
        <row r="15">
          <cell r="B15">
            <v>0.10059931954872159</v>
          </cell>
          <cell r="C15">
            <v>6.2982790946979339E-2</v>
          </cell>
          <cell r="D15">
            <v>1.3837648926860124E-2</v>
          </cell>
          <cell r="E15">
            <v>2.185262510382957E-2</v>
          </cell>
          <cell r="F15">
            <v>7.6946884214629252E-2</v>
          </cell>
          <cell r="G15">
            <v>0.12215433154449507</v>
          </cell>
          <cell r="H15">
            <v>0.12263482775272783</v>
          </cell>
          <cell r="I15">
            <v>7.3635322409698611E-2</v>
          </cell>
        </row>
        <row r="16">
          <cell r="B16">
            <v>8.0245446324829217E-2</v>
          </cell>
          <cell r="C16">
            <v>-2.1298729786621839E-3</v>
          </cell>
          <cell r="D16">
            <v>-1.1619850399125831E-2</v>
          </cell>
          <cell r="E16">
            <v>3.5355080926786187E-2</v>
          </cell>
          <cell r="F16">
            <v>5.9559548252665184E-2</v>
          </cell>
          <cell r="G16">
            <v>0.11828377322190819</v>
          </cell>
          <cell r="H16">
            <v>0.12652804394568862</v>
          </cell>
          <cell r="I16">
            <v>5.6827659926711904E-2</v>
          </cell>
        </row>
        <row r="17">
          <cell r="B17">
            <v>6.716363944691861E-2</v>
          </cell>
          <cell r="C17">
            <v>3.280958343787832E-3</v>
          </cell>
          <cell r="D17">
            <v>1.766393404468336E-2</v>
          </cell>
          <cell r="E17">
            <v>5.2624625660810942E-2</v>
          </cell>
          <cell r="F17">
            <v>6.9610698459434905E-2</v>
          </cell>
          <cell r="G17">
            <v>8.3998127853881277E-2</v>
          </cell>
          <cell r="H17">
            <v>6.6671162678295648E-2</v>
          </cell>
          <cell r="I17">
            <v>5.1206520599025085E-2</v>
          </cell>
        </row>
        <row r="18">
          <cell r="B18">
            <v>0.13621630771097482</v>
          </cell>
          <cell r="C18">
            <v>8.8416454232156383E-2</v>
          </cell>
          <cell r="D18">
            <v>2.6222961878580753E-2</v>
          </cell>
          <cell r="E18">
            <v>4.3601339573327014E-2</v>
          </cell>
          <cell r="F18">
            <v>2.514466501733259E-2</v>
          </cell>
          <cell r="G18">
            <v>5.605359884836858E-2</v>
          </cell>
          <cell r="H18">
            <v>9.2522240731016225E-2</v>
          </cell>
          <cell r="I18">
            <v>6.622214057632192E-2</v>
          </cell>
        </row>
        <row r="19">
          <cell r="B19">
            <v>0.15152715969927022</v>
          </cell>
          <cell r="C19">
            <v>9.5420596201110097E-2</v>
          </cell>
          <cell r="D19">
            <v>8.3784531241760662E-2</v>
          </cell>
          <cell r="E19">
            <v>4.8892562209857715E-2</v>
          </cell>
          <cell r="F19">
            <v>6.0464755233850864E-2</v>
          </cell>
          <cell r="G19">
            <v>8.6196882909284733E-2</v>
          </cell>
          <cell r="H19">
            <v>9.015906760787229E-2</v>
          </cell>
          <cell r="I19">
            <v>8.7649840920828614E-2</v>
          </cell>
        </row>
        <row r="20">
          <cell r="B20">
            <v>0.138313161853306</v>
          </cell>
          <cell r="C20">
            <v>6.4260908259432759E-2</v>
          </cell>
          <cell r="D20">
            <v>7.2158322854636303E-3</v>
          </cell>
          <cell r="E20">
            <v>3.5237123446206775E-2</v>
          </cell>
          <cell r="F20">
            <v>4.9523131342671167E-2</v>
          </cell>
          <cell r="G20">
            <v>0.10021431743494102</v>
          </cell>
          <cell r="H20">
            <v>9.8568834096627533E-2</v>
          </cell>
          <cell r="I20">
            <v>6.9677079339899084E-2</v>
          </cell>
        </row>
        <row r="21">
          <cell r="B21">
            <v>0.16213627024850141</v>
          </cell>
          <cell r="C21">
            <v>5.013143786353802E-2</v>
          </cell>
          <cell r="D21">
            <v>5.4830929433373532E-2</v>
          </cell>
          <cell r="E21">
            <v>3.9193084046368121E-2</v>
          </cell>
          <cell r="F21">
            <v>5.3052528748650074E-2</v>
          </cell>
          <cell r="G21">
            <v>0.15829113174007503</v>
          </cell>
          <cell r="H21">
            <v>9.4186508897372345E-2</v>
          </cell>
          <cell r="I21">
            <v>8.6332333269595551E-2</v>
          </cell>
        </row>
        <row r="22">
          <cell r="B22">
            <v>0.11530248290676592</v>
          </cell>
          <cell r="C22">
            <v>8.8621308376789498E-2</v>
          </cell>
          <cell r="D22">
            <v>6.3289702653235302E-4</v>
          </cell>
          <cell r="E22">
            <v>2.1104328711528897E-2</v>
          </cell>
          <cell r="F22">
            <v>7.1317829402282706E-2</v>
          </cell>
          <cell r="G22">
            <v>0.10332321027687685</v>
          </cell>
          <cell r="H22">
            <v>0.10728450200704898</v>
          </cell>
          <cell r="I22">
            <v>7.1693685367839377E-2</v>
          </cell>
        </row>
        <row r="23">
          <cell r="B23">
            <v>6.6714528046374566E-2</v>
          </cell>
          <cell r="C23">
            <v>6.2405572474689475E-2</v>
          </cell>
          <cell r="D23">
            <v>-1.3531361714019141E-2</v>
          </cell>
          <cell r="E23">
            <v>1.17916885109004E-2</v>
          </cell>
          <cell r="F23">
            <v>9.2353068042632547E-2</v>
          </cell>
          <cell r="G23">
            <v>9.4624991389405722E-2</v>
          </cell>
          <cell r="H23">
            <v>9.2758197561323863E-2</v>
          </cell>
          <cell r="I23">
            <v>5.7396613252693296E-2</v>
          </cell>
        </row>
        <row r="24">
          <cell r="B24">
            <v>0.11141672230009814</v>
          </cell>
          <cell r="C24">
            <v>9.2246319189679626E-2</v>
          </cell>
          <cell r="D24">
            <v>1.4939222203069979E-2</v>
          </cell>
          <cell r="E24">
            <v>2.8870561169430431E-2</v>
          </cell>
          <cell r="F24">
            <v>6.6188927701152478E-2</v>
          </cell>
          <cell r="G24">
            <v>0.10430954550632188</v>
          </cell>
          <cell r="H24">
            <v>8.7103580516163737E-2</v>
          </cell>
          <cell r="I24">
            <v>7.1587761404569905E-2</v>
          </cell>
        </row>
        <row r="25">
          <cell r="B25">
            <v>0.1752339201546198</v>
          </cell>
          <cell r="C25">
            <v>4.5663278607013247E-3</v>
          </cell>
          <cell r="D25">
            <v>1.6122992679380221E-2</v>
          </cell>
          <cell r="E25">
            <v>5.4504237397578148E-2</v>
          </cell>
          <cell r="F25">
            <v>8.2966470936743919E-2</v>
          </cell>
          <cell r="G25">
            <v>0.13308071428571422</v>
          </cell>
          <cell r="H25">
            <v>0.13454569390362003</v>
          </cell>
          <cell r="I25">
            <v>8.4210546650920648E-2</v>
          </cell>
        </row>
        <row r="26">
          <cell r="B26">
            <v>0.12738686957185741</v>
          </cell>
          <cell r="C26">
            <v>7.2042091732333002E-2</v>
          </cell>
          <cell r="D26">
            <v>3.4382783382265636E-2</v>
          </cell>
          <cell r="E26">
            <v>5.5803497283793302E-2</v>
          </cell>
          <cell r="F26">
            <v>8.7682619516994187E-2</v>
          </cell>
          <cell r="G26">
            <v>0.11570227762874108</v>
          </cell>
          <cell r="H26">
            <v>9.6585738009683508E-2</v>
          </cell>
          <cell r="I26">
            <v>8.37993812689104E-2</v>
          </cell>
        </row>
        <row r="27">
          <cell r="B27">
            <v>0.1676621855725855</v>
          </cell>
          <cell r="C27">
            <v>8.8164886528195208E-2</v>
          </cell>
          <cell r="D27">
            <v>4.6822304164127582E-2</v>
          </cell>
          <cell r="E27">
            <v>3.6306385968898347E-2</v>
          </cell>
          <cell r="F27">
            <v>9.8738375133517131E-2</v>
          </cell>
          <cell r="G27">
            <v>0.13755009594990386</v>
          </cell>
          <cell r="H27">
            <v>0.11001667556980421</v>
          </cell>
          <cell r="I27">
            <v>9.7043663539712277E-2</v>
          </cell>
        </row>
        <row r="28">
          <cell r="B28">
            <v>9.6996879816964254E-2</v>
          </cell>
          <cell r="C28">
            <v>8.1209870777622095E-2</v>
          </cell>
          <cell r="D28">
            <v>1.2448815845387928E-2</v>
          </cell>
          <cell r="E28">
            <v>2.0495064661920859E-2</v>
          </cell>
          <cell r="F28">
            <v>4.1702301504699779E-2</v>
          </cell>
          <cell r="G28">
            <v>8.6127127515217339E-2</v>
          </cell>
          <cell r="H28">
            <v>9.3927364769294197E-2</v>
          </cell>
          <cell r="I28">
            <v>6.1315710215765318E-2</v>
          </cell>
        </row>
        <row r="29">
          <cell r="B29">
            <v>4.2577198700370467E-2</v>
          </cell>
          <cell r="C29">
            <v>-7.3861030029056529E-3</v>
          </cell>
          <cell r="D29">
            <v>2.884700975613752E-2</v>
          </cell>
          <cell r="E29">
            <v>1.5371645463735373E-2</v>
          </cell>
          <cell r="F29">
            <v>4.7932833715460754E-2</v>
          </cell>
          <cell r="G29">
            <v>7.3304989410089894E-2</v>
          </cell>
          <cell r="H29">
            <v>9.5746518929368474E-2</v>
          </cell>
          <cell r="I29">
            <v>4.1848193319912186E-2</v>
          </cell>
        </row>
        <row r="30">
          <cell r="B30">
            <v>5.0049093300743586E-3</v>
          </cell>
          <cell r="C30">
            <v>-3.046041157662871E-2</v>
          </cell>
          <cell r="D30">
            <v>9.5761412667292323E-3</v>
          </cell>
          <cell r="E30">
            <v>1.189700644367897E-2</v>
          </cell>
          <cell r="F30">
            <v>4.663823526289379E-2</v>
          </cell>
          <cell r="G30">
            <v>8.2578885532057722E-2</v>
          </cell>
          <cell r="H30">
            <v>9.1430420079777752E-2</v>
          </cell>
          <cell r="I30">
            <v>3.0135786527257347E-2</v>
          </cell>
        </row>
        <row r="31">
          <cell r="B31">
            <v>0.12216343354785519</v>
          </cell>
          <cell r="C31">
            <v>0.10234902445499827</v>
          </cell>
          <cell r="D31">
            <v>7.0350737078962E-2</v>
          </cell>
          <cell r="E31">
            <v>2.742761039670838E-2</v>
          </cell>
          <cell r="F31">
            <v>3.6910931030126326E-2</v>
          </cell>
          <cell r="G31">
            <v>0.11468893274631853</v>
          </cell>
          <cell r="H31">
            <v>8.6248490968144687E-2</v>
          </cell>
          <cell r="I31">
            <v>7.9471018293994611E-2</v>
          </cell>
        </row>
        <row r="32">
          <cell r="B32">
            <v>7.124157591061886E-2</v>
          </cell>
          <cell r="C32">
            <v>4.1121236246618453E-2</v>
          </cell>
          <cell r="D32">
            <v>2.0221734443659045E-2</v>
          </cell>
          <cell r="E32">
            <v>7.3669446914596426E-2</v>
          </cell>
          <cell r="F32">
            <v>5.0051801135955198E-2</v>
          </cell>
          <cell r="G32">
            <v>8.0489523583082923E-2</v>
          </cell>
          <cell r="H32">
            <v>7.1558863152320518E-2</v>
          </cell>
          <cell r="I32">
            <v>5.8139750907928223E-2</v>
          </cell>
        </row>
        <row r="33">
          <cell r="B33">
            <v>7.7840050190767895E-2</v>
          </cell>
          <cell r="C33">
            <v>9.6595325836672741E-2</v>
          </cell>
          <cell r="D33">
            <v>2.0617155030052015E-2</v>
          </cell>
          <cell r="E33">
            <v>4.9073236957106969E-2</v>
          </cell>
          <cell r="F33">
            <v>0.10132290458903759</v>
          </cell>
          <cell r="G33">
            <v>8.9377851656540219E-2</v>
          </cell>
          <cell r="H33">
            <v>5.5607020769554927E-2</v>
          </cell>
          <cell r="I33">
            <v>6.9710869712359402E-2</v>
          </cell>
        </row>
        <row r="34">
          <cell r="B34">
            <v>8.6558371467537087E-2</v>
          </cell>
          <cell r="C34">
            <v>4.9052798358128147E-2</v>
          </cell>
          <cell r="D34">
            <v>3.3469373842196726E-2</v>
          </cell>
          <cell r="E34">
            <v>3.8190422962315562E-2</v>
          </cell>
          <cell r="F34">
            <v>5.4771648160833575E-2</v>
          </cell>
          <cell r="G34">
            <v>9.7381959063017831E-2</v>
          </cell>
          <cell r="H34">
            <v>9.6056212975608846E-2</v>
          </cell>
          <cell r="I34">
            <v>6.4764215956307769E-2</v>
          </cell>
        </row>
      </sheetData>
      <sheetData sheetId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C7">
            <v>108.96094823223416</v>
          </cell>
          <cell r="D7">
            <v>122.70520447305117</v>
          </cell>
          <cell r="E7">
            <v>125.59959640332212</v>
          </cell>
          <cell r="F7">
            <v>132.64596877205022</v>
          </cell>
          <cell r="G7">
            <v>138.98328369990259</v>
          </cell>
          <cell r="H7">
            <v>151.38</v>
          </cell>
          <cell r="I7">
            <v>174.09601000000001</v>
          </cell>
          <cell r="J7">
            <v>200.61509000000001</v>
          </cell>
        </row>
        <row r="8">
          <cell r="C8">
            <v>107.79236253672181</v>
          </cell>
          <cell r="D8">
            <v>116.91822772927814</v>
          </cell>
          <cell r="E8">
            <v>121.7744622665916</v>
          </cell>
          <cell r="F8">
            <v>130.77066160794996</v>
          </cell>
          <cell r="G8">
            <v>132.36579076296618</v>
          </cell>
          <cell r="H8">
            <v>139.02000000000001</v>
          </cell>
          <cell r="I8">
            <v>164.31093000000001</v>
          </cell>
          <cell r="J8">
            <v>188.46906000000001</v>
          </cell>
        </row>
        <row r="9">
          <cell r="C9">
            <v>97.858208977499629</v>
          </cell>
          <cell r="D9">
            <v>101.0078855765798</v>
          </cell>
          <cell r="E9">
            <v>99.27296670420948</v>
          </cell>
          <cell r="F9">
            <v>99.313871902013233</v>
          </cell>
          <cell r="G9">
            <v>103.31013455077574</v>
          </cell>
          <cell r="H9">
            <v>116.86</v>
          </cell>
          <cell r="I9">
            <v>132.45740000000001</v>
          </cell>
          <cell r="J9">
            <v>155.02828</v>
          </cell>
        </row>
        <row r="10">
          <cell r="C10">
            <v>100.47340098808827</v>
          </cell>
          <cell r="D10">
            <v>103.57130506381228</v>
          </cell>
          <cell r="E10">
            <v>99.811903817252784</v>
          </cell>
          <cell r="F10">
            <v>100.49972598737601</v>
          </cell>
          <cell r="G10">
            <v>101.53445060823319</v>
          </cell>
          <cell r="H10">
            <v>110.92</v>
          </cell>
          <cell r="I10">
            <v>124.09028000000001</v>
          </cell>
          <cell r="J10">
            <v>146.08038999999999</v>
          </cell>
        </row>
        <row r="11">
          <cell r="C11">
            <v>99.392097327352644</v>
          </cell>
          <cell r="D11">
            <v>109.55406315789473</v>
          </cell>
          <cell r="E11">
            <v>101.36691701799487</v>
          </cell>
          <cell r="F11">
            <v>101.42125446539846</v>
          </cell>
          <cell r="G11">
            <v>102.67209990843598</v>
          </cell>
          <cell r="H11">
            <v>116.22</v>
          </cell>
          <cell r="I11">
            <v>133.61651000000001</v>
          </cell>
          <cell r="J11">
            <v>157.78397000000001</v>
          </cell>
        </row>
        <row r="12">
          <cell r="C12">
            <v>100.82297440804891</v>
          </cell>
          <cell r="D12">
            <v>106.91966903073286</v>
          </cell>
          <cell r="E12">
            <v>98.293455290611035</v>
          </cell>
          <cell r="F12">
            <v>99.132544247391962</v>
          </cell>
          <cell r="G12">
            <v>101.33712050372301</v>
          </cell>
          <cell r="H12">
            <v>112.89</v>
          </cell>
          <cell r="I12">
            <v>124.3211</v>
          </cell>
          <cell r="J12">
            <v>139.16525999999999</v>
          </cell>
        </row>
        <row r="13">
          <cell r="C13">
            <v>95.206581287648731</v>
          </cell>
          <cell r="D13">
            <v>100.06903531438415</v>
          </cell>
          <cell r="E13">
            <v>94.474041396688264</v>
          </cell>
          <cell r="F13">
            <v>93.082203248380139</v>
          </cell>
          <cell r="G13">
            <v>94.932787628663803</v>
          </cell>
          <cell r="H13">
            <v>105.4</v>
          </cell>
          <cell r="I13">
            <v>117.36539999999999</v>
          </cell>
          <cell r="J13">
            <v>134.10787999999999</v>
          </cell>
        </row>
        <row r="14">
          <cell r="C14">
            <v>90.280302067724151</v>
          </cell>
          <cell r="D14">
            <v>99.362439024390241</v>
          </cell>
          <cell r="E14">
            <v>97.935286132455175</v>
          </cell>
          <cell r="F14">
            <v>101.95834029062087</v>
          </cell>
          <cell r="G14">
            <v>103.97293710447366</v>
          </cell>
          <cell r="H14">
            <v>114.51</v>
          </cell>
          <cell r="I14">
            <v>132.51589000000001</v>
          </cell>
          <cell r="J14">
            <v>158.82345000000001</v>
          </cell>
        </row>
        <row r="15">
          <cell r="C15">
            <v>100.45626130824101</v>
          </cell>
          <cell r="D15">
            <v>108.51741883304449</v>
          </cell>
          <cell r="E15">
            <v>100.13687301155676</v>
          </cell>
          <cell r="F15">
            <v>100.3815115692726</v>
          </cell>
          <cell r="G15">
            <v>103.3598685502174</v>
          </cell>
          <cell r="H15">
            <v>114.25</v>
          </cell>
          <cell r="I15">
            <v>130.75167999999999</v>
          </cell>
          <cell r="J15">
            <v>154.30319</v>
          </cell>
        </row>
        <row r="16">
          <cell r="C16">
            <v>124.36281802670725</v>
          </cell>
          <cell r="D16">
            <v>132.71547749725576</v>
          </cell>
          <cell r="E16">
            <v>124.35170593655391</v>
          </cell>
          <cell r="F16">
            <v>126.03065744109516</v>
          </cell>
          <cell r="G16">
            <v>134.54823356565456</v>
          </cell>
          <cell r="H16">
            <v>154.97999999999999</v>
          </cell>
          <cell r="I16">
            <v>176.73509999999999</v>
          </cell>
          <cell r="J16">
            <v>196.11358999999999</v>
          </cell>
        </row>
        <row r="17">
          <cell r="C17">
            <v>106.17129527852973</v>
          </cell>
          <cell r="D17">
            <v>120.6335571062627</v>
          </cell>
          <cell r="E17">
            <v>122.27340823970037</v>
          </cell>
          <cell r="F17">
            <v>125.57664769332453</v>
          </cell>
          <cell r="G17">
            <v>130.66324862664206</v>
          </cell>
          <cell r="H17">
            <v>137.36000000000001</v>
          </cell>
          <cell r="I17">
            <v>151.08682999999999</v>
          </cell>
          <cell r="J17">
            <v>175.06958</v>
          </cell>
        </row>
        <row r="18">
          <cell r="C18">
            <v>130.81150515928985</v>
          </cell>
          <cell r="D18">
            <v>150.63300099206347</v>
          </cell>
          <cell r="E18">
            <v>160.38187974892634</v>
          </cell>
          <cell r="F18">
            <v>174.90947829534193</v>
          </cell>
          <cell r="G18">
            <v>183.16173991706793</v>
          </cell>
          <cell r="H18">
            <v>197.67</v>
          </cell>
          <cell r="I18">
            <v>227.49455</v>
          </cell>
          <cell r="J18">
            <v>265.27109999999999</v>
          </cell>
        </row>
        <row r="19">
          <cell r="C19">
            <v>114.72044745839402</v>
          </cell>
          <cell r="D19">
            <v>130.58779527559057</v>
          </cell>
          <cell r="E19">
            <v>131.77250554712134</v>
          </cell>
          <cell r="F19">
            <v>134.34878019385729</v>
          </cell>
          <cell r="G19">
            <v>138.34368170410627</v>
          </cell>
          <cell r="H19">
            <v>150.65</v>
          </cell>
          <cell r="I19">
            <v>173.19712999999999</v>
          </cell>
          <cell r="J19">
            <v>201.31742</v>
          </cell>
        </row>
        <row r="20">
          <cell r="C20">
            <v>97.658838026559309</v>
          </cell>
          <cell r="D20">
            <v>113.49287778098815</v>
          </cell>
          <cell r="E20">
            <v>117.13302911275416</v>
          </cell>
          <cell r="F20">
            <v>125.57561326247689</v>
          </cell>
          <cell r="G20">
            <v>128.53692086322715</v>
          </cell>
          <cell r="H20">
            <v>136.82</v>
          </cell>
          <cell r="I20">
            <v>162.55437000000001</v>
          </cell>
          <cell r="J20">
            <v>184.15544</v>
          </cell>
        </row>
        <row r="21">
          <cell r="C21">
            <v>86.797548607703703</v>
          </cell>
          <cell r="D21">
            <v>96.805521472392641</v>
          </cell>
          <cell r="E21">
            <v>93.604905782975962</v>
          </cell>
          <cell r="F21">
            <v>92.427128057553958</v>
          </cell>
          <cell r="G21">
            <v>94.494371345497996</v>
          </cell>
          <cell r="H21">
            <v>105.99</v>
          </cell>
          <cell r="I21">
            <v>124.73943</v>
          </cell>
          <cell r="J21">
            <v>144.57185999999999</v>
          </cell>
        </row>
        <row r="22">
          <cell r="C22">
            <v>87.118831160208671</v>
          </cell>
          <cell r="D22">
            <v>92.930922865013784</v>
          </cell>
          <cell r="E22">
            <v>84.133407325194227</v>
          </cell>
          <cell r="F22">
            <v>83.653681081081089</v>
          </cell>
          <cell r="G22">
            <v>84.500495983783793</v>
          </cell>
          <cell r="H22">
            <v>98.49</v>
          </cell>
          <cell r="I22">
            <v>112.27669</v>
          </cell>
          <cell r="J22">
            <v>128.34836000000001</v>
          </cell>
        </row>
        <row r="23">
          <cell r="C23">
            <v>91.273084721765287</v>
          </cell>
          <cell r="D23">
            <v>101.44243265568353</v>
          </cell>
          <cell r="E23">
            <v>98.804830175187703</v>
          </cell>
          <cell r="F23">
            <v>101.19949759417557</v>
          </cell>
          <cell r="G23">
            <v>104.43936075457667</v>
          </cell>
          <cell r="H23">
            <v>117.91</v>
          </cell>
          <cell r="I23">
            <v>136.97377</v>
          </cell>
          <cell r="J23">
            <v>155.69031000000001</v>
          </cell>
        </row>
        <row r="24">
          <cell r="C24">
            <v>85.536691485083622</v>
          </cell>
          <cell r="D24">
            <v>100.52562125107112</v>
          </cell>
          <cell r="E24">
            <v>94.053581689331551</v>
          </cell>
          <cell r="F24">
            <v>92.058254503415654</v>
          </cell>
          <cell r="G24">
            <v>97.184198797041233</v>
          </cell>
          <cell r="H24">
            <v>110.24</v>
          </cell>
          <cell r="I24">
            <v>133.39986999999999</v>
          </cell>
          <cell r="J24">
            <v>159.97224</v>
          </cell>
        </row>
        <row r="25">
          <cell r="C25">
            <v>92.55372932273086</v>
          </cell>
          <cell r="D25">
            <v>104.34385916835457</v>
          </cell>
          <cell r="E25">
            <v>104.32416135479689</v>
          </cell>
          <cell r="F25">
            <v>108.48734022796025</v>
          </cell>
          <cell r="G25">
            <v>114.05383210655711</v>
          </cell>
          <cell r="H25">
            <v>128.36000000000001</v>
          </cell>
          <cell r="I25">
            <v>148.18475000000001</v>
          </cell>
          <cell r="J25">
            <v>171.21063000000001</v>
          </cell>
        </row>
        <row r="26">
          <cell r="C26">
            <v>91.547066767146291</v>
          </cell>
          <cell r="D26">
            <v>106.89604806408545</v>
          </cell>
          <cell r="E26">
            <v>106.37882387882388</v>
          </cell>
          <cell r="F26">
            <v>112.74856168670729</v>
          </cell>
          <cell r="G26">
            <v>116.21513892428332</v>
          </cell>
          <cell r="H26">
            <v>133.44</v>
          </cell>
          <cell r="I26">
            <v>158.80098000000001</v>
          </cell>
          <cell r="J26">
            <v>185.42766</v>
          </cell>
        </row>
        <row r="27">
          <cell r="C27">
            <v>125.33089311522994</v>
          </cell>
          <cell r="D27">
            <v>137.4875986920807</v>
          </cell>
          <cell r="E27">
            <v>154.14173754867801</v>
          </cell>
          <cell r="F27">
            <v>156.30024656591013</v>
          </cell>
          <cell r="G27">
            <v>157.88541656871067</v>
          </cell>
          <cell r="H27">
            <v>172.05</v>
          </cell>
          <cell r="I27">
            <v>199.00112999999999</v>
          </cell>
          <cell r="J27">
            <v>238.92483999999999</v>
          </cell>
        </row>
        <row r="28">
          <cell r="C28">
            <v>163.02598869541859</v>
          </cell>
          <cell r="D28">
            <v>169.96717860942778</v>
          </cell>
          <cell r="E28">
            <v>170.85231661111587</v>
          </cell>
          <cell r="F28">
            <v>173.83822945389281</v>
          </cell>
          <cell r="G28">
            <v>178.54078958477936</v>
          </cell>
          <cell r="H28">
            <v>203.85</v>
          </cell>
          <cell r="I28">
            <v>225.16328999999999</v>
          </cell>
          <cell r="J28">
            <v>263.77596</v>
          </cell>
        </row>
        <row r="29">
          <cell r="C29">
            <v>122.44694304449895</v>
          </cell>
          <cell r="D29">
            <v>123.05977889218144</v>
          </cell>
          <cell r="E29">
            <v>110.04930271084336</v>
          </cell>
          <cell r="F29">
            <v>111.6919165</v>
          </cell>
          <cell r="G29">
            <v>113.299991636161</v>
          </cell>
          <cell r="H29">
            <v>126.61</v>
          </cell>
          <cell r="I29">
            <v>143.85676000000001</v>
          </cell>
          <cell r="J29">
            <v>164.25402</v>
          </cell>
        </row>
        <row r="30">
          <cell r="C30">
            <v>133.60375465511694</v>
          </cell>
          <cell r="D30">
            <v>149.92524805867126</v>
          </cell>
          <cell r="E30">
            <v>147.83122423031514</v>
          </cell>
          <cell r="F30">
            <v>158.8659692707802</v>
          </cell>
          <cell r="G30">
            <v>165.95791946422477</v>
          </cell>
          <cell r="H30">
            <v>186.01</v>
          </cell>
          <cell r="I30">
            <v>216.13197</v>
          </cell>
          <cell r="J30">
            <v>257.2851</v>
          </cell>
        </row>
        <row r="31">
          <cell r="C31">
            <v>183.56905054790883</v>
          </cell>
          <cell r="D31">
            <v>196.64679899735791</v>
          </cell>
          <cell r="E31">
            <v>191.59177670950652</v>
          </cell>
          <cell r="F31">
            <v>200.04429547550032</v>
          </cell>
          <cell r="G31">
            <v>211.48209303003449</v>
          </cell>
          <cell r="H31">
            <v>243.57</v>
          </cell>
          <cell r="I31">
            <v>268.60239000000001</v>
          </cell>
          <cell r="J31">
            <v>303.51902000000001</v>
          </cell>
        </row>
        <row r="32">
          <cell r="C32">
            <v>133.59985277580608</v>
          </cell>
          <cell r="D32">
            <v>143.99927202135405</v>
          </cell>
          <cell r="E32">
            <v>142.07569398414986</v>
          </cell>
          <cell r="F32">
            <v>141.41483011996496</v>
          </cell>
          <cell r="G32">
            <v>149.07766646447803</v>
          </cell>
          <cell r="H32">
            <v>181.76</v>
          </cell>
          <cell r="I32">
            <v>202.59136000000001</v>
          </cell>
          <cell r="J32">
            <v>234.39028999999999</v>
          </cell>
        </row>
        <row r="33">
          <cell r="C33">
            <v>114.73041951160255</v>
          </cell>
          <cell r="D33">
            <v>124.66129778231421</v>
          </cell>
          <cell r="E33">
            <v>125.29607374124997</v>
          </cell>
          <cell r="F33">
            <v>130.21886901362492</v>
          </cell>
          <cell r="G33">
            <v>134.7191420153035</v>
          </cell>
          <cell r="H33">
            <v>149.77000000000001</v>
          </cell>
          <cell r="I33">
            <v>172.20867000000001</v>
          </cell>
          <cell r="J33">
            <v>198.72591</v>
          </cell>
        </row>
      </sheetData>
      <sheetData sheetId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8">
          <cell r="B8">
            <v>0.12613928626541648</v>
          </cell>
          <cell r="C8">
            <v>2.3588175764025054E-2</v>
          </cell>
          <cell r="D8">
            <v>5.6101871108733325E-2</v>
          </cell>
          <cell r="E8">
            <v>4.7776159249459882E-2</v>
          </cell>
          <cell r="F8">
            <v>8.9195736135180281E-2</v>
          </cell>
          <cell r="G8">
            <v>0.15005951909102921</v>
          </cell>
          <cell r="H8">
            <v>0.15232445591372246</v>
          </cell>
          <cell r="I8">
            <v>6.9237032648262309E-2</v>
          </cell>
        </row>
        <row r="9">
          <cell r="B9">
            <v>8.4661519404469976E-2</v>
          </cell>
          <cell r="C9">
            <v>4.1535307467694071E-2</v>
          </cell>
          <cell r="D9">
            <v>7.3875911040064191E-2</v>
          </cell>
          <cell r="E9">
            <v>1.2197913013535233E-2</v>
          </cell>
          <cell r="F9">
            <v>5.0271366934601991E-2</v>
          </cell>
          <cell r="G9">
            <v>0.18192296072507563</v>
          </cell>
          <cell r="H9">
            <v>0.14702692024200692</v>
          </cell>
          <cell r="I9">
            <v>6.2072260973299098E-2</v>
          </cell>
        </row>
        <row r="10">
          <cell r="B10">
            <v>3.2186125538066657E-2</v>
          </cell>
          <cell r="C10">
            <v>-1.7176073555712379E-2</v>
          </cell>
          <cell r="D10">
            <v>4.1204770202574181E-4</v>
          </cell>
          <cell r="E10">
            <v>4.0238715621775167E-2</v>
          </cell>
          <cell r="F10">
            <v>0.13115717550986883</v>
          </cell>
          <cell r="G10">
            <v>0.13347081978435749</v>
          </cell>
          <cell r="H10">
            <v>0.17040104969597758</v>
          </cell>
          <cell r="I10">
            <v>4.4197644067985653E-2</v>
          </cell>
        </row>
        <row r="11">
          <cell r="B11">
            <v>3.083307666763746E-2</v>
          </cell>
          <cell r="C11">
            <v>-3.6297710492720459E-2</v>
          </cell>
          <cell r="D11">
            <v>6.8911837548211174E-3</v>
          </cell>
          <cell r="E11">
            <v>1.0295795443135303E-2</v>
          </cell>
          <cell r="F11">
            <v>9.2437092391237652E-2</v>
          </cell>
          <cell r="G11">
            <v>0.11873674720519301</v>
          </cell>
          <cell r="H11">
            <v>0.1772105760418945</v>
          </cell>
          <cell r="I11">
            <v>3.0618880933285242E-2</v>
          </cell>
        </row>
        <row r="12">
          <cell r="B12">
            <v>0.10224118520281511</v>
          </cell>
          <cell r="C12">
            <v>-7.47315608741973E-2</v>
          </cell>
          <cell r="D12">
            <v>5.3604715425992211E-4</v>
          </cell>
          <cell r="E12">
            <v>1.2333168719228071E-2</v>
          </cell>
          <cell r="F12">
            <v>0.13195308271328021</v>
          </cell>
          <cell r="G12">
            <v>0.14968602650146279</v>
          </cell>
          <cell r="H12">
            <v>0.18087180992827911</v>
          </cell>
          <cell r="I12">
            <v>4.3177771019924593E-2</v>
          </cell>
        </row>
        <row r="13">
          <cell r="B13">
            <v>6.0469299368311802E-2</v>
          </cell>
          <cell r="C13">
            <v>-8.0679390595965295E-2</v>
          </cell>
          <cell r="D13">
            <v>8.5365699506656512E-3</v>
          </cell>
          <cell r="E13">
            <v>2.2238673213403892E-2</v>
          </cell>
          <cell r="F13">
            <v>0.11400441850775245</v>
          </cell>
          <cell r="G13">
            <v>0.10125874745327312</v>
          </cell>
          <cell r="H13">
            <v>0.11940177491994519</v>
          </cell>
          <cell r="I13">
            <v>3.0381151176530174E-2</v>
          </cell>
        </row>
        <row r="14">
          <cell r="B14">
            <v>5.1072667046455855E-2</v>
          </cell>
          <cell r="C14">
            <v>-5.5911340607194271E-2</v>
          </cell>
          <cell r="D14">
            <v>-1.4732492944426023E-2</v>
          </cell>
          <cell r="E14">
            <v>1.9881183681756731E-2</v>
          </cell>
          <cell r="F14">
            <v>0.11025919108453275</v>
          </cell>
          <cell r="G14">
            <v>0.1135237191650853</v>
          </cell>
          <cell r="H14">
            <v>0.14265260460067442</v>
          </cell>
          <cell r="I14">
            <v>3.0343114642075619E-2</v>
          </cell>
        </row>
        <row r="15">
          <cell r="B15">
            <v>0.10059931954872159</v>
          </cell>
          <cell r="C15">
            <v>-1.436310245549377E-2</v>
          </cell>
          <cell r="D15">
            <v>4.1078699180238321E-2</v>
          </cell>
          <cell r="E15">
            <v>1.9759019302495684E-2</v>
          </cell>
          <cell r="F15">
            <v>0.10134428428176978</v>
          </cell>
          <cell r="G15">
            <v>0.15724294821412976</v>
          </cell>
          <cell r="H15">
            <v>0.19852381476666681</v>
          </cell>
          <cell r="I15">
            <v>5.6356983488517365E-2</v>
          </cell>
        </row>
        <row r="16">
          <cell r="B16">
            <v>8.0245446324829217E-2</v>
          </cell>
          <cell r="C16">
            <v>-7.7227655353481195E-2</v>
          </cell>
          <cell r="D16">
            <v>2.4430417123930681E-3</v>
          </cell>
          <cell r="E16">
            <v>2.9670373900371638E-2</v>
          </cell>
          <cell r="F16">
            <v>0.10536131288220085</v>
          </cell>
          <cell r="G16">
            <v>0.14443483588621442</v>
          </cell>
          <cell r="H16">
            <v>0.18012395710709028</v>
          </cell>
          <cell r="I16">
            <v>3.8371824308037539E-2</v>
          </cell>
        </row>
        <row r="17">
          <cell r="B17">
            <v>6.716363944691861E-2</v>
          </cell>
          <cell r="C17">
            <v>-6.3020317738560649E-2</v>
          </cell>
          <cell r="D17">
            <v>1.3501636281514795E-2</v>
          </cell>
          <cell r="E17">
            <v>6.758336659903863E-2</v>
          </cell>
          <cell r="F17">
            <v>0.15185458696026277</v>
          </cell>
          <cell r="G17">
            <v>0.14037359659310877</v>
          </cell>
          <cell r="H17">
            <v>0.1096470933051783</v>
          </cell>
          <cell r="I17">
            <v>5.1488695395158546E-2</v>
          </cell>
        </row>
        <row r="18">
          <cell r="B18">
            <v>0.13621630771097482</v>
          </cell>
          <cell r="C18">
            <v>1.3593656464868875E-2</v>
          </cell>
          <cell r="D18">
            <v>2.701519080214565E-2</v>
          </cell>
          <cell r="E18">
            <v>4.050594618308101E-2</v>
          </cell>
          <cell r="F18">
            <v>5.1251988939087889E-2</v>
          </cell>
          <cell r="G18">
            <v>9.993324111822921E-2</v>
          </cell>
          <cell r="H18">
            <v>0.15873488112762724</v>
          </cell>
          <cell r="I18">
            <v>5.1691827400063728E-2</v>
          </cell>
        </row>
        <row r="19">
          <cell r="B19">
            <v>0.15152715969927022</v>
          </cell>
          <cell r="C19">
            <v>6.4719408712945459E-2</v>
          </cell>
          <cell r="D19">
            <v>9.0581296148655843E-2</v>
          </cell>
          <cell r="E19">
            <v>4.718018544307645E-2</v>
          </cell>
          <cell r="F19">
            <v>7.9210101899562124E-2</v>
          </cell>
          <cell r="G19">
            <v>0.15088050791723595</v>
          </cell>
          <cell r="H19">
            <v>0.16605474724559333</v>
          </cell>
          <cell r="I19">
            <v>8.2261353726644115E-2</v>
          </cell>
        </row>
        <row r="20">
          <cell r="B20">
            <v>0.138313161853306</v>
          </cell>
          <cell r="C20">
            <v>9.0721362515584492E-3</v>
          </cell>
          <cell r="D20">
            <v>1.9550927077232272E-2</v>
          </cell>
          <cell r="E20">
            <v>2.9735301686286908E-2</v>
          </cell>
          <cell r="F20">
            <v>8.8954682601370072E-2</v>
          </cell>
          <cell r="G20">
            <v>0.1496656488549617</v>
          </cell>
          <cell r="H20">
            <v>0.16236002294033391</v>
          </cell>
          <cell r="I20">
            <v>6.061343155723864E-2</v>
          </cell>
        </row>
        <row r="21">
          <cell r="B21">
            <v>0.16213627024850141</v>
          </cell>
          <cell r="C21">
            <v>3.2073830560456429E-2</v>
          </cell>
          <cell r="D21">
            <v>7.2076887396088418E-2</v>
          </cell>
          <cell r="E21">
            <v>2.3581868515828441E-2</v>
          </cell>
          <cell r="F21">
            <v>6.444124443891619E-2</v>
          </cell>
          <cell r="G21">
            <v>0.18808924133898564</v>
          </cell>
          <cell r="H21">
            <v>0.13288520019486394</v>
          </cell>
          <cell r="I21">
            <v>7.5505021357301194E-2</v>
          </cell>
        </row>
        <row r="22">
          <cell r="B22">
            <v>0.11530248290676592</v>
          </cell>
          <cell r="C22">
            <v>-3.3062325792330371E-2</v>
          </cell>
          <cell r="D22">
            <v>-1.2582435883784715E-2</v>
          </cell>
          <cell r="E22">
            <v>2.2366196282294748E-2</v>
          </cell>
          <cell r="F22">
            <v>0.12165411008948612</v>
          </cell>
          <cell r="G22">
            <v>0.17689810359467883</v>
          </cell>
          <cell r="H22">
            <v>0.15899086599962819</v>
          </cell>
          <cell r="I22">
            <v>5.3172403765486598E-2</v>
          </cell>
        </row>
        <row r="23">
          <cell r="B23">
            <v>6.6714528046374566E-2</v>
          </cell>
          <cell r="C23">
            <v>-9.4667256803188438E-2</v>
          </cell>
          <cell r="D23">
            <v>-5.7019709454876333E-3</v>
          </cell>
          <cell r="E23">
            <v>1.0122864789200658E-2</v>
          </cell>
          <cell r="F23">
            <v>0.16555528879855186</v>
          </cell>
          <cell r="G23">
            <v>0.13998060716824057</v>
          </cell>
          <cell r="H23">
            <v>0.14314342540735758</v>
          </cell>
          <cell r="I23">
            <v>3.690663040606923E-2</v>
          </cell>
        </row>
        <row r="24">
          <cell r="B24">
            <v>0.11141672230009814</v>
          </cell>
          <cell r="C24">
            <v>-2.6000978204538838E-2</v>
          </cell>
          <cell r="D24">
            <v>2.4236339607506707E-2</v>
          </cell>
          <cell r="E24">
            <v>3.2014617042798177E-2</v>
          </cell>
          <cell r="F24">
            <v>0.12898048348915259</v>
          </cell>
          <cell r="G24">
            <v>0.16168068866084306</v>
          </cell>
          <cell r="H24">
            <v>0.13664324198713373</v>
          </cell>
          <cell r="I24">
            <v>5.9704929059593681E-2</v>
          </cell>
        </row>
        <row r="25">
          <cell r="B25">
            <v>0.1752339201546198</v>
          </cell>
          <cell r="C25">
            <v>-6.4381990195067851E-2</v>
          </cell>
          <cell r="D25">
            <v>-2.1214792143766092E-2</v>
          </cell>
          <cell r="E25">
            <v>5.5681528194034824E-2</v>
          </cell>
          <cell r="F25">
            <v>0.13434078136739491</v>
          </cell>
          <cell r="G25">
            <v>0.21008590348330913</v>
          </cell>
          <cell r="H25">
            <v>0.19919337252727454</v>
          </cell>
          <cell r="I25">
            <v>6.5545136602687348E-2</v>
          </cell>
        </row>
        <row r="26">
          <cell r="B26">
            <v>0.12738686957185741</v>
          </cell>
          <cell r="C26">
            <v>-1.887778898986836E-4</v>
          </cell>
          <cell r="D26">
            <v>3.9906181071561964E-2</v>
          </cell>
          <cell r="E26">
            <v>5.131005946777023E-2</v>
          </cell>
          <cell r="F26">
            <v>0.12543346969768687</v>
          </cell>
          <cell r="G26">
            <v>0.15444647865378625</v>
          </cell>
          <cell r="H26">
            <v>0.15538629987228769</v>
          </cell>
          <cell r="I26">
            <v>6.9550684175169186E-2</v>
          </cell>
        </row>
        <row r="27">
          <cell r="B27">
            <v>0.1676621855725855</v>
          </cell>
          <cell r="C27">
            <v>-4.8385716275637369E-3</v>
          </cell>
          <cell r="D27">
            <v>5.9877873956748928E-2</v>
          </cell>
          <cell r="E27">
            <v>3.074608833777015E-2</v>
          </cell>
          <cell r="F27">
            <v>0.14821529479854645</v>
          </cell>
          <cell r="G27">
            <v>0.19005530575539575</v>
          </cell>
          <cell r="H27">
            <v>0.1676732725452954</v>
          </cell>
          <cell r="I27">
            <v>8.1864020649541569E-2</v>
          </cell>
        </row>
        <row r="28">
          <cell r="B28">
            <v>9.6996879816964254E-2</v>
          </cell>
          <cell r="C28">
            <v>0.12113193491651697</v>
          </cell>
          <cell r="D28">
            <v>1.4003403955080485E-2</v>
          </cell>
          <cell r="E28">
            <v>1.0141826629378237E-2</v>
          </cell>
          <cell r="F28">
            <v>8.9714324091009434E-2</v>
          </cell>
          <cell r="G28">
            <v>0.15664707933740174</v>
          </cell>
          <cell r="H28">
            <v>0.20062051908951473</v>
          </cell>
          <cell r="I28">
            <v>6.8280605739789335E-2</v>
          </cell>
        </row>
        <row r="29">
          <cell r="B29">
            <v>4.2577198700370467E-2</v>
          </cell>
          <cell r="C29">
            <v>5.2076995625258693E-3</v>
          </cell>
          <cell r="D29">
            <v>1.7476572176503113E-2</v>
          </cell>
          <cell r="E29">
            <v>2.7051357722978953E-2</v>
          </cell>
          <cell r="F29">
            <v>0.1417559005652469</v>
          </cell>
          <cell r="G29">
            <v>0.10455378955114059</v>
          </cell>
          <cell r="H29">
            <v>0.17148741253514288</v>
          </cell>
          <cell r="I29">
            <v>4.721147364667555E-2</v>
          </cell>
        </row>
        <row r="30">
          <cell r="B30">
            <v>5.0049093300743586E-3</v>
          </cell>
          <cell r="C30">
            <v>-0.1057248460745015</v>
          </cell>
          <cell r="D30">
            <v>1.4926162626151651E-2</v>
          </cell>
          <cell r="E30">
            <v>1.4397417347216779E-2</v>
          </cell>
          <cell r="F30">
            <v>0.11747581064772961</v>
          </cell>
          <cell r="G30">
            <v>0.13621957191375089</v>
          </cell>
          <cell r="H30">
            <v>0.1417886792389873</v>
          </cell>
          <cell r="I30">
            <v>2.3287043694396825E-2</v>
          </cell>
        </row>
        <row r="31">
          <cell r="B31">
            <v>0.12216343354785519</v>
          </cell>
          <cell r="C31">
            <v>-1.3967119317599197E-2</v>
          </cell>
          <cell r="D31">
            <v>7.4644210638974196E-2</v>
          </cell>
          <cell r="E31">
            <v>4.4641091015261036E-2</v>
          </cell>
          <cell r="F31">
            <v>0.12082629500605302</v>
          </cell>
          <cell r="G31">
            <v>0.16193736895865807</v>
          </cell>
          <cell r="H31">
            <v>0.19040741635770031</v>
          </cell>
          <cell r="I31">
            <v>7.1131785273236714E-2</v>
          </cell>
        </row>
        <row r="32">
          <cell r="B32">
            <v>7.124157591061886E-2</v>
          </cell>
          <cell r="C32">
            <v>-2.5706100041421487E-2</v>
          </cell>
          <cell r="D32">
            <v>4.4117335885504039E-2</v>
          </cell>
          <cell r="E32">
            <v>5.7176324510263221E-2</v>
          </cell>
          <cell r="F32">
            <v>0.15172871854170844</v>
          </cell>
          <cell r="G32">
            <v>0.10277287843330463</v>
          </cell>
          <cell r="H32">
            <v>0.12999374279581044</v>
          </cell>
          <cell r="I32">
            <v>5.5882939999294834E-2</v>
          </cell>
        </row>
        <row r="33">
          <cell r="B33">
            <v>7.7840050190767895E-2</v>
          </cell>
          <cell r="C33">
            <v>-1.3358248345303636E-2</v>
          </cell>
          <cell r="D33">
            <v>-4.6514913681057202E-3</v>
          </cell>
          <cell r="E33">
            <v>5.4186935967129646E-2</v>
          </cell>
          <cell r="F33">
            <v>0.21923024629118038</v>
          </cell>
          <cell r="G33">
            <v>0.11460915492957757</v>
          </cell>
          <cell r="H33">
            <v>0.15696093851188908</v>
          </cell>
          <cell r="I33">
            <v>6.1281773644142001E-2</v>
          </cell>
        </row>
        <row r="34">
          <cell r="B34">
            <v>8.6558371467537087E-2</v>
          </cell>
          <cell r="C34">
            <v>5.0920050587330845E-3</v>
          </cell>
          <cell r="D34">
            <v>3.9289301934081866E-2</v>
          </cell>
          <cell r="E34">
            <v>3.4559300320813779E-2</v>
          </cell>
          <cell r="F34">
            <v>0.11172026305650617</v>
          </cell>
          <cell r="G34">
            <v>0.14982085864992989</v>
          </cell>
          <cell r="H34">
            <v>0.15398318795447397</v>
          </cell>
          <cell r="I34">
            <v>5.9733425955682096E-2</v>
          </cell>
        </row>
      </sheetData>
      <sheetData sheetId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6">
          <cell r="C6">
            <v>43.923058994479014</v>
          </cell>
          <cell r="D6">
            <v>49.463482306636379</v>
          </cell>
          <cell r="E6">
            <v>50.318363772724794</v>
          </cell>
          <cell r="F6">
            <v>53.013812330781704</v>
          </cell>
          <cell r="G6">
            <v>55.255514362971027</v>
          </cell>
          <cell r="H6">
            <v>57.87</v>
          </cell>
          <cell r="I6">
            <v>63.425809999999998</v>
          </cell>
          <cell r="J6">
            <v>69.532570000000007</v>
          </cell>
        </row>
        <row r="7">
          <cell r="C7">
            <v>45.005658086043326</v>
          </cell>
          <cell r="D7">
            <v>48.815905481405821</v>
          </cell>
          <cell r="E7">
            <v>49.800325535025237</v>
          </cell>
          <cell r="F7">
            <v>52.917628328055834</v>
          </cell>
          <cell r="G7">
            <v>54.167464738283748</v>
          </cell>
          <cell r="H7">
            <v>56.07</v>
          </cell>
          <cell r="I7">
            <v>62.33831</v>
          </cell>
          <cell r="J7">
            <v>68.851010000000002</v>
          </cell>
        </row>
        <row r="8">
          <cell r="C8">
            <v>36.594136013982386</v>
          </cell>
          <cell r="D8">
            <v>37.771959469685505</v>
          </cell>
          <cell r="E8">
            <v>39.024736967872208</v>
          </cell>
          <cell r="F8">
            <v>39.205738865192295</v>
          </cell>
          <cell r="G8">
            <v>41.56641556075305</v>
          </cell>
          <cell r="H8">
            <v>44.3</v>
          </cell>
          <cell r="I8">
            <v>48.980910000000002</v>
          </cell>
          <cell r="J8">
            <v>54.38438</v>
          </cell>
        </row>
        <row r="9">
          <cell r="C9">
            <v>37.891308884027801</v>
          </cell>
          <cell r="D9">
            <v>39.05961451588616</v>
          </cell>
          <cell r="E9">
            <v>38.924191837703162</v>
          </cell>
          <cell r="F9">
            <v>38.919598278799377</v>
          </cell>
          <cell r="G9">
            <v>39.98278042622718</v>
          </cell>
          <cell r="H9">
            <v>41.73</v>
          </cell>
          <cell r="I9">
            <v>46.114289999999997</v>
          </cell>
          <cell r="J9">
            <v>51.525869999999998</v>
          </cell>
        </row>
        <row r="10">
          <cell r="C10">
            <v>36.935727398571451</v>
          </cell>
          <cell r="D10">
            <v>40.712079944129485</v>
          </cell>
          <cell r="E10">
            <v>40.57161294540699</v>
          </cell>
          <cell r="F10">
            <v>40.587244523046742</v>
          </cell>
          <cell r="G10">
            <v>41.513266884274493</v>
          </cell>
          <cell r="H10">
            <v>43.94</v>
          </cell>
          <cell r="I10">
            <v>49.170670000000001</v>
          </cell>
          <cell r="J10">
            <v>54.933639999999997</v>
          </cell>
        </row>
        <row r="11">
          <cell r="C11">
            <v>37.803120547545305</v>
          </cell>
          <cell r="D11">
            <v>40.089048760991204</v>
          </cell>
          <cell r="E11">
            <v>39.102460115892001</v>
          </cell>
          <cell r="F11">
            <v>39.41021611490568</v>
          </cell>
          <cell r="G11">
            <v>40.642995823188755</v>
          </cell>
          <cell r="H11">
            <v>42.6</v>
          </cell>
          <cell r="I11">
            <v>45.837009999999999</v>
          </cell>
          <cell r="J11">
            <v>49.250610000000002</v>
          </cell>
        </row>
        <row r="12">
          <cell r="C12">
            <v>37.012158059816571</v>
          </cell>
          <cell r="D12">
            <v>38.902467685076381</v>
          </cell>
          <cell r="E12">
            <v>37.961333408374607</v>
          </cell>
          <cell r="F12">
            <v>37.488602413777578</v>
          </cell>
          <cell r="G12">
            <v>38.582415416158433</v>
          </cell>
          <cell r="H12">
            <v>40.46</v>
          </cell>
          <cell r="I12">
            <v>43.951790000000003</v>
          </cell>
          <cell r="J12">
            <v>48.316870000000002</v>
          </cell>
        </row>
        <row r="13">
          <cell r="C13">
            <v>35.093099721271884</v>
          </cell>
          <cell r="D13">
            <v>38.623441674087267</v>
          </cell>
          <cell r="E13">
            <v>38.550362907593978</v>
          </cell>
          <cell r="F13">
            <v>40.192322472448488</v>
          </cell>
          <cell r="G13">
            <v>41.094264828779039</v>
          </cell>
          <cell r="H13">
            <v>44.09</v>
          </cell>
          <cell r="I13">
            <v>49.420699999999997</v>
          </cell>
          <cell r="J13">
            <v>56.229599999999998</v>
          </cell>
        </row>
        <row r="14">
          <cell r="C14">
            <v>38.171743830119503</v>
          </cell>
          <cell r="D14">
            <v>41.234852450764485</v>
          </cell>
          <cell r="E14">
            <v>39.579025737059446</v>
          </cell>
          <cell r="F14">
            <v>39.824251186401611</v>
          </cell>
          <cell r="G14">
            <v>41.290124723913671</v>
          </cell>
          <cell r="H14">
            <v>43.54</v>
          </cell>
          <cell r="I14">
            <v>48.346510000000002</v>
          </cell>
          <cell r="J14">
            <v>54.650489999999998</v>
          </cell>
        </row>
        <row r="15">
          <cell r="C15">
            <v>49.474427978275777</v>
          </cell>
          <cell r="D15">
            <v>52.797310620851235</v>
          </cell>
          <cell r="E15">
            <v>52.460471481951494</v>
          </cell>
          <cell r="F15">
            <v>52.488688974196272</v>
          </cell>
          <cell r="G15">
            <v>54.825350997568805</v>
          </cell>
          <cell r="H15">
            <v>56.92</v>
          </cell>
          <cell r="I15">
            <v>61.386839999999999</v>
          </cell>
          <cell r="J15">
            <v>65.283850000000001</v>
          </cell>
        </row>
        <row r="16">
          <cell r="C16">
            <v>39.727680770679839</v>
          </cell>
          <cell r="D16">
            <v>45.139238759182142</v>
          </cell>
          <cell r="E16">
            <v>46.627131804164158</v>
          </cell>
          <cell r="F16">
            <v>48.122314081303209</v>
          </cell>
          <cell r="G16">
            <v>50.2937322719145</v>
          </cell>
          <cell r="H16">
            <v>52.23</v>
          </cell>
          <cell r="I16">
            <v>55.529260000000001</v>
          </cell>
          <cell r="J16">
            <v>61.430140000000002</v>
          </cell>
        </row>
        <row r="17">
          <cell r="C17">
            <v>51.371218445274728</v>
          </cell>
          <cell r="D17">
            <v>59.155353266577968</v>
          </cell>
          <cell r="E17">
            <v>62.92857388854101</v>
          </cell>
          <cell r="F17">
            <v>68.475240112711333</v>
          </cell>
          <cell r="G17">
            <v>71.798648406979126</v>
          </cell>
          <cell r="H17">
            <v>75.72</v>
          </cell>
          <cell r="I17">
            <v>82.667259999999999</v>
          </cell>
          <cell r="J17">
            <v>90.215479999999999</v>
          </cell>
        </row>
        <row r="18">
          <cell r="C18">
            <v>44.28278425673404</v>
          </cell>
          <cell r="D18">
            <v>50.407676162950722</v>
          </cell>
          <cell r="E18">
            <v>52.13367219996919</v>
          </cell>
          <cell r="F18">
            <v>53.269683230627017</v>
          </cell>
          <cell r="G18">
            <v>55.417669457793103</v>
          </cell>
          <cell r="H18">
            <v>57.9</v>
          </cell>
          <cell r="I18">
            <v>63.903820000000003</v>
          </cell>
          <cell r="J18">
            <v>70.882249999999999</v>
          </cell>
        </row>
        <row r="19">
          <cell r="C19">
            <v>37.641022119864097</v>
          </cell>
          <cell r="D19">
            <v>43.743997054720204</v>
          </cell>
          <cell r="E19">
            <v>44.128326631611507</v>
          </cell>
          <cell r="F19">
            <v>47.147867343025055</v>
          </cell>
          <cell r="G19">
            <v>49.138359447703145</v>
          </cell>
          <cell r="H19">
            <v>51.27</v>
          </cell>
          <cell r="I19">
            <v>59.141860000000001</v>
          </cell>
          <cell r="J19">
            <v>64.781949999999995</v>
          </cell>
        </row>
        <row r="20">
          <cell r="C20">
            <v>34.258392229576131</v>
          </cell>
          <cell r="D20">
            <v>38.208469914040116</v>
          </cell>
          <cell r="E20">
            <v>37.501872392913214</v>
          </cell>
          <cell r="F20">
            <v>37.487556354175133</v>
          </cell>
          <cell r="G20">
            <v>38.283417332687009</v>
          </cell>
          <cell r="H20">
            <v>40.82</v>
          </cell>
          <cell r="I20">
            <v>45.358510000000003</v>
          </cell>
          <cell r="J20">
            <v>50.411659999999998</v>
          </cell>
        </row>
        <row r="21">
          <cell r="C21">
            <v>33.791741202606048</v>
          </cell>
          <cell r="D21">
            <v>36.04614126880314</v>
          </cell>
          <cell r="E21">
            <v>34.349443344878779</v>
          </cell>
          <cell r="F21">
            <v>34.115438111975898</v>
          </cell>
          <cell r="G21">
            <v>34.538117356336265</v>
          </cell>
          <cell r="H21">
            <v>37.409999999999997</v>
          </cell>
          <cell r="I21">
            <v>40.66377</v>
          </cell>
          <cell r="J21">
            <v>44.770470000000003</v>
          </cell>
        </row>
        <row r="22">
          <cell r="C22">
            <v>36.208128517491303</v>
          </cell>
          <cell r="D22">
            <v>40.242319517530895</v>
          </cell>
          <cell r="E22">
            <v>40.312091985269127</v>
          </cell>
          <cell r="F22">
            <v>40.988240996996879</v>
          </cell>
          <cell r="G22">
            <v>42.319009021309192</v>
          </cell>
          <cell r="H22">
            <v>44.87</v>
          </cell>
          <cell r="I22">
            <v>49.452069999999999</v>
          </cell>
          <cell r="J22">
            <v>53.806179999999998</v>
          </cell>
        </row>
        <row r="23">
          <cell r="C23">
            <v>33.714308180129308</v>
          </cell>
          <cell r="D23">
            <v>39.622198567834332</v>
          </cell>
          <cell r="E23">
            <v>37.525989318950934</v>
          </cell>
          <cell r="F23">
            <v>37.77391368135067</v>
          </cell>
          <cell r="G23">
            <v>39.750026255583869</v>
          </cell>
          <cell r="H23">
            <v>42.77</v>
          </cell>
          <cell r="I23">
            <v>49.12473</v>
          </cell>
          <cell r="J23">
            <v>55.57593</v>
          </cell>
        </row>
        <row r="24">
          <cell r="C24">
            <v>35.480218580805271</v>
          </cell>
          <cell r="D24">
            <v>39.999932557539303</v>
          </cell>
          <cell r="E24">
            <v>40.867760275814078</v>
          </cell>
          <cell r="F24">
            <v>43.09740090145656</v>
          </cell>
          <cell r="G24">
            <v>45.488728140942797</v>
          </cell>
          <cell r="H24">
            <v>49.16</v>
          </cell>
          <cell r="I24">
            <v>54.710949999999997</v>
          </cell>
          <cell r="J24">
            <v>60.209690000000002</v>
          </cell>
        </row>
        <row r="25">
          <cell r="C25">
            <v>36.232708731886646</v>
          </cell>
          <cell r="D25">
            <v>42.307563867089662</v>
          </cell>
          <cell r="E25">
            <v>42.774392996751637</v>
          </cell>
          <cell r="F25">
            <v>45.224448958677044</v>
          </cell>
          <cell r="G25">
            <v>46.859517817001347</v>
          </cell>
          <cell r="H25">
            <v>51.33</v>
          </cell>
          <cell r="I25">
            <v>58.294269999999997</v>
          </cell>
          <cell r="J25">
            <v>64.791269999999997</v>
          </cell>
        </row>
        <row r="26">
          <cell r="C26">
            <v>63.114790015527959</v>
          </cell>
          <cell r="D26">
            <v>69.236727717337061</v>
          </cell>
          <cell r="E26">
            <v>65.762853749458174</v>
          </cell>
          <cell r="F26">
            <v>66.363292805326296</v>
          </cell>
          <cell r="G26">
            <v>67.274446818129505</v>
          </cell>
          <cell r="H26">
            <v>69.28</v>
          </cell>
          <cell r="I26">
            <v>75.362449999999995</v>
          </cell>
          <cell r="J26">
            <v>81.438580000000002</v>
          </cell>
        </row>
        <row r="27">
          <cell r="C27">
            <v>76.87122836002753</v>
          </cell>
          <cell r="D27">
            <v>80.144189924253979</v>
          </cell>
          <cell r="E27">
            <v>77.605631440918998</v>
          </cell>
          <cell r="F27">
            <v>78.121876774646324</v>
          </cell>
          <cell r="G27">
            <v>79.210640099703042</v>
          </cell>
          <cell r="H27">
            <v>80.73</v>
          </cell>
          <cell r="I27">
            <v>85.726100000000002</v>
          </cell>
          <cell r="J27">
            <v>91.803979999999996</v>
          </cell>
        </row>
        <row r="28">
          <cell r="C28">
            <v>50.108181857192136</v>
          </cell>
          <cell r="D28">
            <v>50.358968764082256</v>
          </cell>
          <cell r="E28">
            <v>47.254479039937515</v>
          </cell>
          <cell r="F28">
            <v>47.200711518046234</v>
          </cell>
          <cell r="G28">
            <v>47.401333618583557</v>
          </cell>
          <cell r="H28">
            <v>48.57</v>
          </cell>
          <cell r="I28">
            <v>51.963740000000001</v>
          </cell>
          <cell r="J28">
            <v>56.395269999999996</v>
          </cell>
        </row>
        <row r="29">
          <cell r="C29">
            <v>54.529167736090365</v>
          </cell>
          <cell r="D29">
            <v>61.190638095238093</v>
          </cell>
          <cell r="E29">
            <v>63.349411602742357</v>
          </cell>
          <cell r="F29">
            <v>66.14797337310975</v>
          </cell>
          <cell r="G29">
            <v>68.133447129993144</v>
          </cell>
          <cell r="H29">
            <v>68.64</v>
          </cell>
          <cell r="I29">
            <v>75.354849999999999</v>
          </cell>
          <cell r="J29">
            <v>81.656689999999998</v>
          </cell>
        </row>
        <row r="30">
          <cell r="C30">
            <v>76.661943334373419</v>
          </cell>
          <cell r="D30">
            <v>82.123460989884748</v>
          </cell>
          <cell r="E30">
            <v>81.819434733953273</v>
          </cell>
          <cell r="F30">
            <v>81.408749890372022</v>
          </cell>
          <cell r="G30">
            <v>85.543589877557864</v>
          </cell>
          <cell r="H30">
            <v>88.63</v>
          </cell>
          <cell r="I30">
            <v>94.694569999999999</v>
          </cell>
          <cell r="J30">
            <v>100.62352</v>
          </cell>
        </row>
        <row r="31">
          <cell r="C31">
            <v>51.48319208374695</v>
          </cell>
          <cell r="D31">
            <v>55.490646339526755</v>
          </cell>
          <cell r="E31">
            <v>59.093285871089705</v>
          </cell>
          <cell r="F31">
            <v>58.959970294368595</v>
          </cell>
          <cell r="G31">
            <v>61.71005554804438</v>
          </cell>
          <cell r="H31">
            <v>66.92</v>
          </cell>
          <cell r="I31">
            <v>72.339150000000004</v>
          </cell>
          <cell r="J31">
            <v>76.573120000000003</v>
          </cell>
        </row>
        <row r="32">
          <cell r="C32">
            <v>47.723529089864961</v>
          </cell>
          <cell r="D32">
            <v>51.854400048567307</v>
          </cell>
          <cell r="E32">
            <v>51.799576777497641</v>
          </cell>
          <cell r="F32">
            <v>53.348085764350309</v>
          </cell>
          <cell r="G32">
            <v>55.173206027906794</v>
          </cell>
          <cell r="H32">
            <v>57.65</v>
          </cell>
          <cell r="I32">
            <v>63.127989999999997</v>
          </cell>
          <cell r="J32">
            <v>68.990499999999997</v>
          </cell>
        </row>
      </sheetData>
      <sheetData sheetId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8">
          <cell r="B8">
            <v>0.12613928626541648</v>
          </cell>
          <cell r="C8">
            <v>1.7283082917389336E-2</v>
          </cell>
          <cell r="D8">
            <v>5.3567889652206491E-2</v>
          </cell>
          <cell r="E8">
            <v>4.2285244800018162E-2</v>
          </cell>
          <cell r="F8">
            <v>4.7316284486187854E-2</v>
          </cell>
          <cell r="G8">
            <v>9.6005011232071835E-2</v>
          </cell>
          <cell r="H8">
            <v>9.6281939481734691E-2</v>
          </cell>
          <cell r="I8">
            <v>5.3892238759117417E-2</v>
          </cell>
        </row>
        <row r="9">
          <cell r="B9">
            <v>8.4661519404469976E-2</v>
          </cell>
          <cell r="C9">
            <v>2.0165969347723856E-2</v>
          </cell>
          <cell r="D9">
            <v>6.2596032446377459E-2</v>
          </cell>
          <cell r="E9">
            <v>2.3618526561313802E-2</v>
          </cell>
          <cell r="F9">
            <v>3.5123210416226236E-2</v>
          </cell>
          <cell r="G9">
            <v>0.11179436418762267</v>
          </cell>
          <cell r="H9">
            <v>0.10447347706410404</v>
          </cell>
          <cell r="I9">
            <v>4.7641173270005721E-2</v>
          </cell>
        </row>
        <row r="10">
          <cell r="B10">
            <v>3.2186125538066657E-2</v>
          </cell>
          <cell r="C10">
            <v>3.316686546781189E-2</v>
          </cell>
          <cell r="D10">
            <v>4.6381324099404875E-3</v>
          </cell>
          <cell r="E10">
            <v>6.0212529182981811E-2</v>
          </cell>
          <cell r="F10">
            <v>6.5764257089995448E-2</v>
          </cell>
          <cell r="G10">
            <v>0.10566388261851034</v>
          </cell>
          <cell r="H10">
            <v>0.11031787690347117</v>
          </cell>
          <cell r="I10">
            <v>4.2528430576988852E-2</v>
          </cell>
        </row>
        <row r="11">
          <cell r="B11">
            <v>3.083307666763746E-2</v>
          </cell>
          <cell r="C11">
            <v>-3.4670766688678079E-3</v>
          </cell>
          <cell r="D11">
            <v>-1.1801295510360799E-4</v>
          </cell>
          <cell r="E11">
            <v>2.7317397775067809E-2</v>
          </cell>
          <cell r="F11">
            <v>4.369930142793943E-2</v>
          </cell>
          <cell r="G11">
            <v>0.1050632638389648</v>
          </cell>
          <cell r="H11">
            <v>0.11735147608257668</v>
          </cell>
          <cell r="I11">
            <v>2.845461487647527E-2</v>
          </cell>
        </row>
        <row r="12">
          <cell r="B12">
            <v>0.10224118520281511</v>
          </cell>
          <cell r="C12">
            <v>-3.4502535590238415E-3</v>
          </cell>
          <cell r="D12">
            <v>3.8528361346612527E-4</v>
          </cell>
          <cell r="E12">
            <v>2.2815600618118381E-2</v>
          </cell>
          <cell r="F12">
            <v>5.8456809060352777E-2</v>
          </cell>
          <cell r="G12">
            <v>0.11904119253527545</v>
          </cell>
          <cell r="H12">
            <v>0.11720340601419488</v>
          </cell>
          <cell r="I12">
            <v>4.1720840854930774E-2</v>
          </cell>
        </row>
        <row r="13">
          <cell r="B13">
            <v>6.0469299368311802E-2</v>
          </cell>
          <cell r="C13">
            <v>-2.4609929035263267E-2</v>
          </cell>
          <cell r="D13">
            <v>7.8705022165241889E-3</v>
          </cell>
          <cell r="E13">
            <v>3.1280714236347817E-2</v>
          </cell>
          <cell r="F13">
            <v>4.8151080823984893E-2</v>
          </cell>
          <cell r="G13">
            <v>7.5986150234741645E-2</v>
          </cell>
          <cell r="H13">
            <v>7.4472571400272525E-2</v>
          </cell>
          <cell r="I13">
            <v>2.7911011475888037E-2</v>
          </cell>
        </row>
        <row r="14">
          <cell r="B14">
            <v>5.1072667046455855E-2</v>
          </cell>
          <cell r="C14">
            <v>-2.4192148537220182E-2</v>
          </cell>
          <cell r="D14">
            <v>-1.2452960740645169E-2</v>
          </cell>
          <cell r="E14">
            <v>2.9177214725371048E-2</v>
          </cell>
          <cell r="F14">
            <v>4.8664257112716491E-2</v>
          </cell>
          <cell r="G14">
            <v>8.6302273850716871E-2</v>
          </cell>
          <cell r="H14">
            <v>9.9315181474975089E-2</v>
          </cell>
          <cell r="I14">
            <v>2.4853378144886085E-2</v>
          </cell>
        </row>
        <row r="15">
          <cell r="B15">
            <v>0.10059931954872159</v>
          </cell>
          <cell r="C15">
            <v>-1.8920832356148498E-3</v>
          </cell>
          <cell r="D15">
            <v>4.2592583856871036E-2</v>
          </cell>
          <cell r="E15">
            <v>2.2440662814367629E-2</v>
          </cell>
          <cell r="F15">
            <v>7.289910608457939E-2</v>
          </cell>
          <cell r="G15">
            <v>0.1209049671127238</v>
          </cell>
          <cell r="H15">
            <v>0.1377742524893415</v>
          </cell>
          <cell r="I15">
            <v>5.0125061483003996E-2</v>
          </cell>
        </row>
        <row r="16">
          <cell r="B16">
            <v>8.0245446324829217E-2</v>
          </cell>
          <cell r="C16">
            <v>-4.01559994832561E-2</v>
          </cell>
          <cell r="D16">
            <v>6.1958434998199419E-3</v>
          </cell>
          <cell r="E16">
            <v>3.680856497843199E-2</v>
          </cell>
          <cell r="F16">
            <v>5.4489427947484126E-2</v>
          </cell>
          <cell r="G16">
            <v>0.1103929719797887</v>
          </cell>
          <cell r="H16">
            <v>0.13039162495907131</v>
          </cell>
          <cell r="I16">
            <v>3.4333157216710486E-2</v>
          </cell>
        </row>
        <row r="17">
          <cell r="B17">
            <v>6.716363944691861E-2</v>
          </cell>
          <cell r="C17">
            <v>-6.3798541050443802E-3</v>
          </cell>
          <cell r="D17">
            <v>5.3788102637408741E-4</v>
          </cell>
          <cell r="E17">
            <v>4.4517439262414138E-2</v>
          </cell>
          <cell r="F17">
            <v>3.8205847556253447E-2</v>
          </cell>
          <cell r="G17">
            <v>7.8475755446240303E-2</v>
          </cell>
          <cell r="H17">
            <v>6.3482824657532522E-2</v>
          </cell>
          <cell r="I17">
            <v>3.1299786957875719E-2</v>
          </cell>
        </row>
        <row r="18">
          <cell r="B18">
            <v>0.13621630771097482</v>
          </cell>
          <cell r="C18">
            <v>3.2962298122038103E-2</v>
          </cell>
          <cell r="D18">
            <v>3.2066786424240767E-2</v>
          </cell>
          <cell r="E18">
            <v>4.5122896354125031E-2</v>
          </cell>
          <cell r="F18">
            <v>3.8499185497250732E-2</v>
          </cell>
          <cell r="G18">
            <v>6.3167911162167467E-2</v>
          </cell>
          <cell r="H18">
            <v>0.10626613788838535</v>
          </cell>
          <cell r="I18">
            <v>4.9000088382089801E-2</v>
          </cell>
        </row>
        <row r="19">
          <cell r="B19">
            <v>0.15152715969927022</v>
          </cell>
          <cell r="C19">
            <v>6.3784939377496075E-2</v>
          </cell>
          <cell r="D19">
            <v>8.814225210306792E-2</v>
          </cell>
          <cell r="E19">
            <v>4.8534452581654453E-2</v>
          </cell>
          <cell r="F19">
            <v>5.461595280726339E-2</v>
          </cell>
          <cell r="G19">
            <v>9.1749339672477559E-2</v>
          </cell>
          <cell r="H19">
            <v>9.1308457544135413E-2</v>
          </cell>
          <cell r="I19">
            <v>7.0326404723100922E-2</v>
          </cell>
        </row>
        <row r="20">
          <cell r="B20">
            <v>0.138313161853306</v>
          </cell>
          <cell r="C20">
            <v>3.4240738085979494E-2</v>
          </cell>
          <cell r="D20">
            <v>2.179035127816098E-2</v>
          </cell>
          <cell r="E20">
            <v>4.032286465580337E-2</v>
          </cell>
          <cell r="F20">
            <v>4.4793124043180477E-2</v>
          </cell>
          <cell r="G20">
            <v>0.10369291882556131</v>
          </cell>
          <cell r="H20">
            <v>0.1092020789993462</v>
          </cell>
          <cell r="I20">
            <v>5.3794641389838249E-2</v>
          </cell>
        </row>
        <row r="21">
          <cell r="B21">
            <v>0.16213627024850141</v>
          </cell>
          <cell r="C21">
            <v>8.7858815556003389E-3</v>
          </cell>
          <cell r="D21">
            <v>6.8426358801706444E-2</v>
          </cell>
          <cell r="E21">
            <v>4.2218072987187938E-2</v>
          </cell>
          <cell r="F21">
            <v>4.3380376883878524E-2</v>
          </cell>
          <cell r="G21">
            <v>0.15353735127755019</v>
          </cell>
          <cell r="H21">
            <v>9.5365448431956601E-2</v>
          </cell>
          <cell r="I21">
            <v>6.6678072024789037E-2</v>
          </cell>
        </row>
        <row r="22">
          <cell r="B22">
            <v>0.11530248290676592</v>
          </cell>
          <cell r="C22">
            <v>-1.8493216889254538E-2</v>
          </cell>
          <cell r="D22">
            <v>-3.817419724564397E-4</v>
          </cell>
          <cell r="E22">
            <v>2.12300041910638E-2</v>
          </cell>
          <cell r="F22">
            <v>6.6258000043982967E-2</v>
          </cell>
          <cell r="G22">
            <v>0.11118348848603632</v>
          </cell>
          <cell r="H22">
            <v>0.11140467356621708</v>
          </cell>
          <cell r="I22">
            <v>4.0909841382202217E-2</v>
          </cell>
        </row>
        <row r="23">
          <cell r="B23">
            <v>6.6714528046374566E-2</v>
          </cell>
          <cell r="C23">
            <v>-4.7070167962549814E-2</v>
          </cell>
          <cell r="D23">
            <v>-6.8124898139803047E-3</v>
          </cell>
          <cell r="E23">
            <v>1.2389676573199004E-2</v>
          </cell>
          <cell r="F23">
            <v>8.3151105604106323E-2</v>
          </cell>
          <cell r="G23">
            <v>8.6975942261427575E-2</v>
          </cell>
          <cell r="H23">
            <v>0.10099161981291949</v>
          </cell>
          <cell r="I23">
            <v>2.6798665806563315E-2</v>
          </cell>
        </row>
        <row r="24">
          <cell r="B24">
            <v>0.11141672230009814</v>
          </cell>
          <cell r="C24">
            <v>1.7338083036648744E-3</v>
          </cell>
          <cell r="D24">
            <v>1.6772858426073123E-2</v>
          </cell>
          <cell r="E24">
            <v>3.2467068406517363E-2</v>
          </cell>
          <cell r="F24">
            <v>6.0280026344810889E-2</v>
          </cell>
          <cell r="G24">
            <v>0.10211878760864734</v>
          </cell>
          <cell r="H24">
            <v>8.8047072650345948E-2</v>
          </cell>
          <cell r="I24">
            <v>4.5537877679123984E-2</v>
          </cell>
        </row>
        <row r="25">
          <cell r="B25">
            <v>0.1752339201546198</v>
          </cell>
          <cell r="C25">
            <v>-5.2904920086517371E-2</v>
          </cell>
          <cell r="D25">
            <v>6.6067375410814311E-3</v>
          </cell>
          <cell r="E25">
            <v>5.2314213213464855E-2</v>
          </cell>
          <cell r="F25">
            <v>7.597413206719339E-2</v>
          </cell>
          <cell r="G25">
            <v>0.1485791442599953</v>
          </cell>
          <cell r="H25">
            <v>0.13132285917907338</v>
          </cell>
          <cell r="I25">
            <v>5.5249444018766303E-2</v>
          </cell>
        </row>
        <row r="26">
          <cell r="B26">
            <v>0.12738686957185741</v>
          </cell>
          <cell r="C26">
            <v>2.1695729537204E-2</v>
          </cell>
          <cell r="D26">
            <v>5.455744603067969E-2</v>
          </cell>
          <cell r="E26">
            <v>5.5486576672084675E-2</v>
          </cell>
          <cell r="F26">
            <v>8.0707287477506329E-2</v>
          </cell>
          <cell r="G26">
            <v>0.11291598860862484</v>
          </cell>
          <cell r="H26">
            <v>0.10050529190226087</v>
          </cell>
          <cell r="I26">
            <v>6.3823818874460203E-2</v>
          </cell>
        </row>
        <row r="27">
          <cell r="B27">
            <v>0.1676621855725855</v>
          </cell>
          <cell r="C27">
            <v>1.1034176563049725E-2</v>
          </cell>
          <cell r="D27">
            <v>5.7278567625996812E-2</v>
          </cell>
          <cell r="E27">
            <v>3.6154533575816883E-2</v>
          </cell>
          <cell r="F27">
            <v>9.5401796502837533E-2</v>
          </cell>
          <cell r="G27">
            <v>0.13567640755893229</v>
          </cell>
          <cell r="H27">
            <v>0.11145177733592004</v>
          </cell>
          <cell r="I27">
            <v>7.0295207472554022E-2</v>
          </cell>
        </row>
        <row r="28">
          <cell r="B28">
            <v>9.6996879816964254E-2</v>
          </cell>
          <cell r="C28">
            <v>-5.0173861220899618E-2</v>
          </cell>
          <cell r="D28">
            <v>9.1303680061645132E-3</v>
          </cell>
          <cell r="E28">
            <v>1.3729789078972265E-2</v>
          </cell>
          <cell r="F28">
            <v>2.9811515021332502E-2</v>
          </cell>
          <cell r="G28">
            <v>8.7795178983833599E-2</v>
          </cell>
          <cell r="H28">
            <v>8.0625430834586842E-2</v>
          </cell>
          <cell r="I28">
            <v>2.5659978531125116E-2</v>
          </cell>
        </row>
        <row r="29">
          <cell r="B29">
            <v>4.2577198700370467E-2</v>
          </cell>
          <cell r="C29">
            <v>-3.1674891039939701E-2</v>
          </cell>
          <cell r="D29">
            <v>6.6521633049316797E-3</v>
          </cell>
          <cell r="E29">
            <v>1.3936727713255159E-2</v>
          </cell>
          <cell r="F29">
            <v>1.9181260224441221E-2</v>
          </cell>
          <cell r="G29">
            <v>6.1886535364796158E-2</v>
          </cell>
          <cell r="H29">
            <v>7.0898827778237861E-2</v>
          </cell>
          <cell r="I29">
            <v>1.5697019260500822E-2</v>
          </cell>
        </row>
        <row r="30">
          <cell r="B30">
            <v>5.0049093300743586E-3</v>
          </cell>
          <cell r="C30">
            <v>-6.1647206055557069E-2</v>
          </cell>
          <cell r="D30">
            <v>-1.1378291113068872E-3</v>
          </cell>
          <cell r="E30">
            <v>4.2504041588571351E-3</v>
          </cell>
          <cell r="F30">
            <v>2.4654715220043366E-2</v>
          </cell>
          <cell r="G30">
            <v>6.9873172740374745E-2</v>
          </cell>
          <cell r="H30">
            <v>8.5281198004608427E-2</v>
          </cell>
          <cell r="I30">
            <v>5.2080668436500499E-3</v>
          </cell>
        </row>
        <row r="31">
          <cell r="B31">
            <v>0.12216343354785519</v>
          </cell>
          <cell r="C31">
            <v>3.5279473702240383E-2</v>
          </cell>
          <cell r="D31">
            <v>4.4176602427136835E-2</v>
          </cell>
          <cell r="E31">
            <v>3.0015640020961243E-2</v>
          </cell>
          <cell r="F31">
            <v>7.4347165943386972E-3</v>
          </cell>
          <cell r="G31">
            <v>9.7827068764568814E-2</v>
          </cell>
          <cell r="H31">
            <v>8.3628857333005069E-2</v>
          </cell>
          <cell r="I31">
            <v>4.729470013493442E-2</v>
          </cell>
        </row>
        <row r="32">
          <cell r="B32">
            <v>7.124157591061886E-2</v>
          </cell>
          <cell r="C32">
            <v>-3.7020633600539643E-3</v>
          </cell>
          <cell r="D32">
            <v>-5.0194045573236368E-3</v>
          </cell>
          <cell r="E32">
            <v>5.0791100376236908E-2</v>
          </cell>
          <cell r="F32">
            <v>3.607996960216231E-2</v>
          </cell>
          <cell r="G32">
            <v>6.8425702358118068E-2</v>
          </cell>
          <cell r="H32">
            <v>6.2611298620396161E-2</v>
          </cell>
          <cell r="I32">
            <v>3.0638744151187725E-2</v>
          </cell>
        </row>
        <row r="33">
          <cell r="B33">
            <v>7.7840050190767895E-2</v>
          </cell>
          <cell r="C33">
            <v>6.4923365814118172E-2</v>
          </cell>
          <cell r="D33">
            <v>-2.2560190173200878E-3</v>
          </cell>
          <cell r="E33">
            <v>4.6643260502769568E-2</v>
          </cell>
          <cell r="F33">
            <v>8.4426183150968281E-2</v>
          </cell>
          <cell r="G33">
            <v>8.0979527794381445E-2</v>
          </cell>
          <cell r="H33">
            <v>5.8529440835287661E-2</v>
          </cell>
          <cell r="I33">
            <v>4.9786862650890384E-2</v>
          </cell>
        </row>
        <row r="34">
          <cell r="B34">
            <v>8.6558371467537087E-2</v>
          </cell>
          <cell r="C34">
            <v>-1.0572539845860041E-3</v>
          </cell>
          <cell r="D34">
            <v>2.9894240130652117E-2</v>
          </cell>
          <cell r="E34">
            <v>3.4211541752752428E-2</v>
          </cell>
          <cell r="F34">
            <v>4.4891246139302288E-2</v>
          </cell>
          <cell r="G34">
            <v>9.502150910667817E-2</v>
          </cell>
          <cell r="H34">
            <v>9.2867046772754813E-2</v>
          </cell>
          <cell r="I34">
            <v>4.0772072245963686E-2</v>
          </cell>
        </row>
      </sheetData>
      <sheetData sheetId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an-1"/>
    </sheetNames>
    <sheetDataSet>
      <sheetData sheetId="0">
        <row r="2">
          <cell r="B2">
            <v>2001</v>
          </cell>
          <cell r="D2" t="str">
            <v>Datenstand: 23.9.2002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 t="str">
            <v>ZH</v>
          </cell>
          <cell r="B7">
            <v>230</v>
          </cell>
          <cell r="C7">
            <v>253.7</v>
          </cell>
          <cell r="D7">
            <v>262.2</v>
          </cell>
          <cell r="E7">
            <v>287</v>
          </cell>
          <cell r="F7">
            <v>345.7</v>
          </cell>
        </row>
        <row r="8">
          <cell r="A8" t="str">
            <v>BE</v>
          </cell>
          <cell r="B8">
            <v>227</v>
          </cell>
          <cell r="C8">
            <v>244</v>
          </cell>
          <cell r="D8">
            <v>248.1</v>
          </cell>
          <cell r="E8">
            <v>272.7</v>
          </cell>
          <cell r="F8">
            <v>331.3</v>
          </cell>
        </row>
        <row r="9">
          <cell r="A9" t="str">
            <v>LU</v>
          </cell>
          <cell r="B9">
            <v>191.6</v>
          </cell>
          <cell r="C9">
            <v>201.7</v>
          </cell>
          <cell r="D9">
            <v>206</v>
          </cell>
          <cell r="E9">
            <v>227.9</v>
          </cell>
          <cell r="F9">
            <v>237.2</v>
          </cell>
        </row>
        <row r="10">
          <cell r="A10" t="str">
            <v>UR</v>
          </cell>
          <cell r="B10">
            <v>172</v>
          </cell>
          <cell r="C10">
            <v>197.6</v>
          </cell>
          <cell r="D10">
            <v>199.7</v>
          </cell>
          <cell r="E10">
            <v>205</v>
          </cell>
          <cell r="F10">
            <v>205</v>
          </cell>
        </row>
        <row r="11">
          <cell r="A11" t="str">
            <v>SZ</v>
          </cell>
          <cell r="B11">
            <v>190</v>
          </cell>
          <cell r="C11">
            <v>204.7</v>
          </cell>
          <cell r="D11">
            <v>213</v>
          </cell>
          <cell r="E11">
            <v>219.6</v>
          </cell>
          <cell r="F11">
            <v>251.5</v>
          </cell>
        </row>
        <row r="12">
          <cell r="A12" t="str">
            <v>OW</v>
          </cell>
          <cell r="B12">
            <v>178</v>
          </cell>
          <cell r="C12">
            <v>182</v>
          </cell>
          <cell r="D12">
            <v>188.5</v>
          </cell>
          <cell r="E12">
            <v>199</v>
          </cell>
          <cell r="F12">
            <v>210.8</v>
          </cell>
        </row>
        <row r="13">
          <cell r="A13" t="str">
            <v>NW</v>
          </cell>
          <cell r="B13">
            <v>163.80000000000001</v>
          </cell>
          <cell r="C13">
            <v>179.6</v>
          </cell>
          <cell r="D13">
            <v>179.6</v>
          </cell>
          <cell r="E13">
            <v>191</v>
          </cell>
          <cell r="F13">
            <v>202.55</v>
          </cell>
        </row>
        <row r="14">
          <cell r="A14" t="str">
            <v>GL</v>
          </cell>
          <cell r="B14">
            <v>184</v>
          </cell>
          <cell r="C14">
            <v>210.5</v>
          </cell>
          <cell r="D14">
            <v>220.6</v>
          </cell>
          <cell r="E14">
            <v>220.6</v>
          </cell>
          <cell r="F14">
            <v>224</v>
          </cell>
        </row>
        <row r="15">
          <cell r="A15" t="str">
            <v>ZG</v>
          </cell>
          <cell r="B15">
            <v>188.9</v>
          </cell>
          <cell r="C15">
            <v>209.4</v>
          </cell>
          <cell r="D15">
            <v>211.6</v>
          </cell>
          <cell r="E15">
            <v>216</v>
          </cell>
          <cell r="F15">
            <v>216</v>
          </cell>
        </row>
        <row r="16">
          <cell r="A16" t="str">
            <v>FR</v>
          </cell>
          <cell r="B16">
            <v>217.8</v>
          </cell>
          <cell r="C16">
            <v>235.8</v>
          </cell>
          <cell r="D16">
            <v>254.25</v>
          </cell>
          <cell r="E16">
            <v>266</v>
          </cell>
          <cell r="F16">
            <v>299</v>
          </cell>
        </row>
        <row r="17">
          <cell r="A17" t="str">
            <v>SO</v>
          </cell>
          <cell r="B17">
            <v>221</v>
          </cell>
          <cell r="C17">
            <v>229</v>
          </cell>
          <cell r="D17">
            <v>237.5</v>
          </cell>
          <cell r="E17">
            <v>248.6</v>
          </cell>
          <cell r="F17">
            <v>270.89999999999998</v>
          </cell>
        </row>
        <row r="18">
          <cell r="A18" t="str">
            <v>BS</v>
          </cell>
          <cell r="B18">
            <v>299.8</v>
          </cell>
          <cell r="C18">
            <v>354</v>
          </cell>
          <cell r="D18">
            <v>354</v>
          </cell>
          <cell r="E18">
            <v>360.1</v>
          </cell>
          <cell r="F18">
            <v>404.5</v>
          </cell>
        </row>
        <row r="19">
          <cell r="A19" t="str">
            <v>BL</v>
          </cell>
          <cell r="B19">
            <v>246</v>
          </cell>
          <cell r="C19">
            <v>257</v>
          </cell>
          <cell r="D19">
            <v>274.10000000000002</v>
          </cell>
          <cell r="E19">
            <v>286</v>
          </cell>
          <cell r="F19">
            <v>303.7</v>
          </cell>
        </row>
        <row r="20">
          <cell r="A20" t="str">
            <v>SH</v>
          </cell>
          <cell r="B20">
            <v>217</v>
          </cell>
          <cell r="C20">
            <v>244</v>
          </cell>
          <cell r="D20">
            <v>253.8</v>
          </cell>
          <cell r="E20">
            <v>276.7</v>
          </cell>
          <cell r="F20">
            <v>303.89999999999998</v>
          </cell>
        </row>
        <row r="21">
          <cell r="A21" t="str">
            <v>AR</v>
          </cell>
          <cell r="B21">
            <v>168</v>
          </cell>
          <cell r="C21">
            <v>195.4</v>
          </cell>
          <cell r="D21">
            <v>199.7</v>
          </cell>
          <cell r="E21">
            <v>199.7</v>
          </cell>
          <cell r="F21">
            <v>211</v>
          </cell>
        </row>
        <row r="22">
          <cell r="A22" t="str">
            <v>AI</v>
          </cell>
          <cell r="B22">
            <v>163</v>
          </cell>
          <cell r="C22">
            <v>171.4</v>
          </cell>
          <cell r="D22">
            <v>173</v>
          </cell>
          <cell r="E22">
            <v>176</v>
          </cell>
          <cell r="F22">
            <v>185.6</v>
          </cell>
        </row>
        <row r="23">
          <cell r="A23" t="str">
            <v>SG</v>
          </cell>
          <cell r="B23">
            <v>186.8</v>
          </cell>
          <cell r="C23">
            <v>198</v>
          </cell>
          <cell r="D23">
            <v>204.65</v>
          </cell>
          <cell r="E23">
            <v>224.5</v>
          </cell>
          <cell r="F23">
            <v>251</v>
          </cell>
        </row>
        <row r="24">
          <cell r="A24" t="str">
            <v>GR</v>
          </cell>
          <cell r="B24">
            <v>191</v>
          </cell>
          <cell r="C24">
            <v>214.3</v>
          </cell>
          <cell r="D24">
            <v>214.3</v>
          </cell>
          <cell r="E24">
            <v>221.8</v>
          </cell>
          <cell r="F24">
            <v>228</v>
          </cell>
        </row>
        <row r="25">
          <cell r="A25" t="str">
            <v>AG</v>
          </cell>
          <cell r="B25">
            <v>217</v>
          </cell>
          <cell r="C25">
            <v>229</v>
          </cell>
          <cell r="D25">
            <v>231.6</v>
          </cell>
          <cell r="E25">
            <v>243</v>
          </cell>
          <cell r="F25">
            <v>243</v>
          </cell>
        </row>
        <row r="26">
          <cell r="A26" t="str">
            <v>TG</v>
          </cell>
          <cell r="B26">
            <v>224.4</v>
          </cell>
          <cell r="C26">
            <v>241.5</v>
          </cell>
          <cell r="D26">
            <v>259.10000000000002</v>
          </cell>
          <cell r="E26">
            <v>261</v>
          </cell>
          <cell r="F26">
            <v>261.8</v>
          </cell>
        </row>
        <row r="27">
          <cell r="A27" t="str">
            <v>TI</v>
          </cell>
          <cell r="B27">
            <v>276.8</v>
          </cell>
          <cell r="C27">
            <v>295</v>
          </cell>
          <cell r="D27">
            <v>309</v>
          </cell>
          <cell r="E27">
            <v>315.7</v>
          </cell>
          <cell r="F27">
            <v>329</v>
          </cell>
        </row>
        <row r="28">
          <cell r="A28" t="str">
            <v>VD</v>
          </cell>
          <cell r="B28">
            <v>297</v>
          </cell>
          <cell r="C28">
            <v>317.39999999999998</v>
          </cell>
          <cell r="D28">
            <v>334</v>
          </cell>
          <cell r="E28">
            <v>356.8</v>
          </cell>
          <cell r="F28">
            <v>419</v>
          </cell>
        </row>
        <row r="29">
          <cell r="A29" t="str">
            <v>VS</v>
          </cell>
          <cell r="B29">
            <v>165</v>
          </cell>
          <cell r="C29">
            <v>198</v>
          </cell>
          <cell r="D29">
            <v>219.9</v>
          </cell>
          <cell r="E29">
            <v>225.8</v>
          </cell>
          <cell r="F29">
            <v>242.5</v>
          </cell>
        </row>
        <row r="30">
          <cell r="A30" t="str">
            <v>NE</v>
          </cell>
          <cell r="B30">
            <v>280.8</v>
          </cell>
          <cell r="C30">
            <v>295</v>
          </cell>
          <cell r="D30">
            <v>311.8</v>
          </cell>
          <cell r="E30">
            <v>340</v>
          </cell>
          <cell r="F30">
            <v>374</v>
          </cell>
        </row>
        <row r="31">
          <cell r="A31" t="str">
            <v>GE</v>
          </cell>
          <cell r="B31">
            <v>346.8</v>
          </cell>
          <cell r="C31">
            <v>349</v>
          </cell>
          <cell r="D31">
            <v>375</v>
          </cell>
          <cell r="E31">
            <v>421.1</v>
          </cell>
          <cell r="F31">
            <v>442</v>
          </cell>
        </row>
        <row r="32">
          <cell r="A32" t="str">
            <v>JU</v>
          </cell>
          <cell r="B32">
            <v>266</v>
          </cell>
          <cell r="C32">
            <v>276</v>
          </cell>
          <cell r="D32">
            <v>309</v>
          </cell>
          <cell r="E32">
            <v>310</v>
          </cell>
          <cell r="F32">
            <v>335.55</v>
          </cell>
        </row>
        <row r="33">
          <cell r="A33" t="str">
            <v>CH</v>
          </cell>
          <cell r="B33">
            <v>198</v>
          </cell>
          <cell r="C33">
            <v>227.9</v>
          </cell>
          <cell r="D33">
            <v>253.9</v>
          </cell>
          <cell r="E33">
            <v>307.2</v>
          </cell>
          <cell r="F33">
            <v>375</v>
          </cell>
        </row>
      </sheetData>
      <sheetData sheetId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 t="str">
            <v>ZH</v>
          </cell>
          <cell r="B7">
            <v>167.5</v>
          </cell>
          <cell r="C7">
            <v>180.55</v>
          </cell>
          <cell r="D7">
            <v>196.7</v>
          </cell>
          <cell r="E7">
            <v>212.2</v>
          </cell>
          <cell r="F7">
            <v>252.8</v>
          </cell>
        </row>
        <row r="8">
          <cell r="A8" t="str">
            <v>BE</v>
          </cell>
          <cell r="B8">
            <v>160.6</v>
          </cell>
          <cell r="C8">
            <v>173.7</v>
          </cell>
          <cell r="D8">
            <v>186.05</v>
          </cell>
          <cell r="E8">
            <v>194</v>
          </cell>
          <cell r="F8">
            <v>231.9</v>
          </cell>
        </row>
        <row r="9">
          <cell r="A9" t="str">
            <v>LU</v>
          </cell>
          <cell r="B9">
            <v>138.5</v>
          </cell>
          <cell r="C9">
            <v>141.69999999999999</v>
          </cell>
          <cell r="D9">
            <v>154.5</v>
          </cell>
          <cell r="E9">
            <v>163.5</v>
          </cell>
          <cell r="F9">
            <v>175.1</v>
          </cell>
        </row>
        <row r="10">
          <cell r="A10" t="str">
            <v>UR</v>
          </cell>
          <cell r="B10">
            <v>129.1</v>
          </cell>
          <cell r="C10">
            <v>138.9</v>
          </cell>
          <cell r="D10">
            <v>150.80000000000001</v>
          </cell>
          <cell r="E10">
            <v>153.80000000000001</v>
          </cell>
          <cell r="F10">
            <v>153.80000000000001</v>
          </cell>
        </row>
        <row r="11">
          <cell r="A11" t="str">
            <v>SZ</v>
          </cell>
          <cell r="B11">
            <v>143.80000000000001</v>
          </cell>
          <cell r="C11">
            <v>152.75</v>
          </cell>
          <cell r="D11">
            <v>159.80000000000001</v>
          </cell>
          <cell r="E11">
            <v>162</v>
          </cell>
          <cell r="F11">
            <v>176</v>
          </cell>
        </row>
        <row r="12">
          <cell r="A12" t="str">
            <v>OW</v>
          </cell>
          <cell r="B12">
            <v>124.15</v>
          </cell>
          <cell r="C12">
            <v>134.4</v>
          </cell>
          <cell r="D12">
            <v>136.5</v>
          </cell>
          <cell r="E12">
            <v>147.6</v>
          </cell>
          <cell r="F12">
            <v>150</v>
          </cell>
        </row>
        <row r="13">
          <cell r="A13" t="str">
            <v>NW</v>
          </cell>
          <cell r="B13">
            <v>120</v>
          </cell>
          <cell r="C13">
            <v>128</v>
          </cell>
          <cell r="D13">
            <v>134.69999999999999</v>
          </cell>
          <cell r="E13">
            <v>143.30000000000001</v>
          </cell>
          <cell r="F13">
            <v>147.6</v>
          </cell>
        </row>
        <row r="14">
          <cell r="A14" t="str">
            <v>GL</v>
          </cell>
          <cell r="B14">
            <v>133.6</v>
          </cell>
          <cell r="C14">
            <v>152.80000000000001</v>
          </cell>
          <cell r="D14">
            <v>165.5</v>
          </cell>
          <cell r="E14">
            <v>165.5</v>
          </cell>
          <cell r="F14">
            <v>168</v>
          </cell>
        </row>
        <row r="15">
          <cell r="A15" t="str">
            <v>ZG</v>
          </cell>
          <cell r="B15">
            <v>138</v>
          </cell>
          <cell r="C15">
            <v>148.69999999999999</v>
          </cell>
          <cell r="D15">
            <v>157.1</v>
          </cell>
          <cell r="E15">
            <v>162</v>
          </cell>
          <cell r="F15">
            <v>170.9</v>
          </cell>
        </row>
        <row r="16">
          <cell r="A16" t="str">
            <v>FR</v>
          </cell>
          <cell r="B16">
            <v>161</v>
          </cell>
          <cell r="C16">
            <v>176.3</v>
          </cell>
          <cell r="D16">
            <v>199.5</v>
          </cell>
          <cell r="E16">
            <v>207.3</v>
          </cell>
          <cell r="F16">
            <v>236.2</v>
          </cell>
        </row>
        <row r="17">
          <cell r="A17" t="str">
            <v>SO</v>
          </cell>
          <cell r="B17">
            <v>156</v>
          </cell>
          <cell r="C17">
            <v>171.8</v>
          </cell>
          <cell r="D17">
            <v>171.85</v>
          </cell>
          <cell r="E17">
            <v>179.3</v>
          </cell>
          <cell r="F17">
            <v>192.8</v>
          </cell>
        </row>
        <row r="18">
          <cell r="A18" t="str">
            <v>BS</v>
          </cell>
          <cell r="B18">
            <v>247.65</v>
          </cell>
          <cell r="C18">
            <v>251.1</v>
          </cell>
          <cell r="D18">
            <v>265.5</v>
          </cell>
          <cell r="E18">
            <v>265.5</v>
          </cell>
          <cell r="F18">
            <v>299.3</v>
          </cell>
        </row>
        <row r="19">
          <cell r="A19" t="str">
            <v>BL</v>
          </cell>
          <cell r="B19">
            <v>172</v>
          </cell>
          <cell r="C19">
            <v>186.3</v>
          </cell>
          <cell r="D19">
            <v>199.5</v>
          </cell>
          <cell r="E19">
            <v>213.8</v>
          </cell>
          <cell r="F19">
            <v>226</v>
          </cell>
        </row>
        <row r="20">
          <cell r="A20" t="str">
            <v>SH</v>
          </cell>
          <cell r="B20">
            <v>152</v>
          </cell>
          <cell r="C20">
            <v>171</v>
          </cell>
          <cell r="D20">
            <v>179.2</v>
          </cell>
          <cell r="E20">
            <v>207.6</v>
          </cell>
          <cell r="F20">
            <v>212.7</v>
          </cell>
        </row>
        <row r="21">
          <cell r="A21" t="str">
            <v>AR</v>
          </cell>
          <cell r="B21">
            <v>124.15</v>
          </cell>
          <cell r="C21">
            <v>139.19999999999999</v>
          </cell>
          <cell r="D21">
            <v>146.6</v>
          </cell>
          <cell r="E21">
            <v>149.80000000000001</v>
          </cell>
          <cell r="F21">
            <v>158.30000000000001</v>
          </cell>
        </row>
        <row r="22">
          <cell r="A22" t="str">
            <v>AI</v>
          </cell>
          <cell r="B22">
            <v>114</v>
          </cell>
          <cell r="C22">
            <v>123.9</v>
          </cell>
          <cell r="D22">
            <v>129.80000000000001</v>
          </cell>
          <cell r="E22">
            <v>132</v>
          </cell>
          <cell r="F22">
            <v>139.19999999999999</v>
          </cell>
        </row>
        <row r="23">
          <cell r="A23" t="str">
            <v>SG</v>
          </cell>
          <cell r="B23">
            <v>139.75</v>
          </cell>
          <cell r="C23">
            <v>148.5</v>
          </cell>
          <cell r="D23">
            <v>153</v>
          </cell>
          <cell r="E23">
            <v>165</v>
          </cell>
          <cell r="F23">
            <v>179</v>
          </cell>
        </row>
        <row r="24">
          <cell r="A24" t="str">
            <v>GR</v>
          </cell>
          <cell r="B24">
            <v>137</v>
          </cell>
          <cell r="C24">
            <v>160.80000000000001</v>
          </cell>
          <cell r="D24">
            <v>160.80000000000001</v>
          </cell>
          <cell r="E24">
            <v>166.4</v>
          </cell>
          <cell r="F24">
            <v>171</v>
          </cell>
        </row>
        <row r="25">
          <cell r="A25" t="str">
            <v>AG</v>
          </cell>
          <cell r="B25">
            <v>158.85</v>
          </cell>
          <cell r="C25">
            <v>162.69999999999999</v>
          </cell>
          <cell r="D25">
            <v>170</v>
          </cell>
          <cell r="E25">
            <v>182.3</v>
          </cell>
          <cell r="F25">
            <v>182.3</v>
          </cell>
        </row>
        <row r="26">
          <cell r="A26" t="str">
            <v>TG</v>
          </cell>
          <cell r="B26">
            <v>163</v>
          </cell>
          <cell r="C26">
            <v>169.6</v>
          </cell>
          <cell r="D26">
            <v>194.4</v>
          </cell>
          <cell r="E26">
            <v>195.8</v>
          </cell>
          <cell r="F26">
            <v>196.4</v>
          </cell>
        </row>
        <row r="27">
          <cell r="A27" t="str">
            <v>TI</v>
          </cell>
          <cell r="B27">
            <v>206</v>
          </cell>
          <cell r="C27">
            <v>218.5</v>
          </cell>
          <cell r="D27">
            <v>236.8</v>
          </cell>
          <cell r="E27">
            <v>246.8</v>
          </cell>
          <cell r="F27">
            <v>309</v>
          </cell>
        </row>
        <row r="28">
          <cell r="A28" t="str">
            <v>VD</v>
          </cell>
          <cell r="B28">
            <v>226.3</v>
          </cell>
          <cell r="C28">
            <v>239.4</v>
          </cell>
          <cell r="D28">
            <v>253.4</v>
          </cell>
          <cell r="E28">
            <v>281.3</v>
          </cell>
          <cell r="F28">
            <v>319</v>
          </cell>
        </row>
        <row r="29">
          <cell r="A29" t="str">
            <v>VS</v>
          </cell>
          <cell r="B29">
            <v>123</v>
          </cell>
          <cell r="C29">
            <v>148.25</v>
          </cell>
          <cell r="D29">
            <v>165</v>
          </cell>
          <cell r="E29">
            <v>178.8</v>
          </cell>
          <cell r="F29">
            <v>199</v>
          </cell>
        </row>
        <row r="30">
          <cell r="A30" t="str">
            <v>NE</v>
          </cell>
          <cell r="B30">
            <v>207</v>
          </cell>
          <cell r="C30">
            <v>240.35</v>
          </cell>
          <cell r="D30">
            <v>252.3</v>
          </cell>
          <cell r="E30">
            <v>280.39999999999998</v>
          </cell>
          <cell r="F30">
            <v>345.7</v>
          </cell>
        </row>
        <row r="31">
          <cell r="A31" t="str">
            <v>GE</v>
          </cell>
          <cell r="B31">
            <v>260.3</v>
          </cell>
          <cell r="C31">
            <v>274.8</v>
          </cell>
          <cell r="D31">
            <v>300.8</v>
          </cell>
          <cell r="E31">
            <v>331.5</v>
          </cell>
          <cell r="F31">
            <v>366.2</v>
          </cell>
        </row>
        <row r="32">
          <cell r="A32" t="str">
            <v>JU</v>
          </cell>
          <cell r="B32">
            <v>215</v>
          </cell>
          <cell r="C32">
            <v>224.1</v>
          </cell>
          <cell r="D32">
            <v>232.5</v>
          </cell>
          <cell r="E32">
            <v>232.5</v>
          </cell>
          <cell r="F32">
            <v>266</v>
          </cell>
        </row>
        <row r="33">
          <cell r="A33" t="str">
            <v>CH</v>
          </cell>
          <cell r="B33">
            <v>143</v>
          </cell>
          <cell r="C33">
            <v>165</v>
          </cell>
          <cell r="D33">
            <v>184</v>
          </cell>
          <cell r="E33">
            <v>230.2</v>
          </cell>
          <cell r="F33">
            <v>299</v>
          </cell>
        </row>
      </sheetData>
      <sheetData sheetId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 t="str">
            <v>ZH</v>
          </cell>
          <cell r="B7">
            <v>57</v>
          </cell>
          <cell r="C7">
            <v>63.6</v>
          </cell>
          <cell r="D7">
            <v>66.3</v>
          </cell>
          <cell r="E7">
            <v>73.5</v>
          </cell>
          <cell r="F7">
            <v>92.4</v>
          </cell>
        </row>
        <row r="8">
          <cell r="A8" t="str">
            <v>BE</v>
          </cell>
          <cell r="B8">
            <v>60</v>
          </cell>
          <cell r="C8">
            <v>64.099999999999994</v>
          </cell>
          <cell r="D8">
            <v>69.3</v>
          </cell>
          <cell r="E8">
            <v>71.099999999999994</v>
          </cell>
          <cell r="F8">
            <v>86.1</v>
          </cell>
        </row>
        <row r="9">
          <cell r="A9" t="str">
            <v>LU</v>
          </cell>
          <cell r="B9">
            <v>47.9</v>
          </cell>
          <cell r="C9">
            <v>51.5</v>
          </cell>
          <cell r="D9">
            <v>53.4</v>
          </cell>
          <cell r="E9">
            <v>56.1</v>
          </cell>
          <cell r="F9">
            <v>65.400000000000006</v>
          </cell>
        </row>
        <row r="10">
          <cell r="A10" t="str">
            <v>UR</v>
          </cell>
          <cell r="B10">
            <v>43.1</v>
          </cell>
          <cell r="C10">
            <v>51.3</v>
          </cell>
          <cell r="D10">
            <v>51.3</v>
          </cell>
          <cell r="E10">
            <v>52.8</v>
          </cell>
          <cell r="F10">
            <v>56.3</v>
          </cell>
        </row>
        <row r="11">
          <cell r="A11" t="str">
            <v>SZ</v>
          </cell>
          <cell r="B11">
            <v>48</v>
          </cell>
          <cell r="C11">
            <v>53.3</v>
          </cell>
          <cell r="D11">
            <v>53.3</v>
          </cell>
          <cell r="E11">
            <v>57.25</v>
          </cell>
          <cell r="F11">
            <v>61.5</v>
          </cell>
        </row>
        <row r="12">
          <cell r="A12" t="str">
            <v>OW</v>
          </cell>
          <cell r="B12">
            <v>45.5</v>
          </cell>
          <cell r="C12">
            <v>45.5</v>
          </cell>
          <cell r="D12">
            <v>49</v>
          </cell>
          <cell r="E12">
            <v>50.4</v>
          </cell>
          <cell r="F12">
            <v>55.9</v>
          </cell>
        </row>
        <row r="13">
          <cell r="A13" t="str">
            <v>NW</v>
          </cell>
          <cell r="B13">
            <v>45.3</v>
          </cell>
          <cell r="C13">
            <v>47.8</v>
          </cell>
          <cell r="D13">
            <v>48.1</v>
          </cell>
          <cell r="E13">
            <v>48.1</v>
          </cell>
          <cell r="F13">
            <v>52.05</v>
          </cell>
        </row>
        <row r="14">
          <cell r="A14" t="str">
            <v>GL</v>
          </cell>
          <cell r="B14">
            <v>48.3</v>
          </cell>
          <cell r="C14">
            <v>52.8</v>
          </cell>
          <cell r="D14">
            <v>56</v>
          </cell>
          <cell r="E14">
            <v>61.8</v>
          </cell>
          <cell r="F14">
            <v>61.8</v>
          </cell>
        </row>
        <row r="15">
          <cell r="A15" t="str">
            <v>ZG</v>
          </cell>
          <cell r="B15">
            <v>48</v>
          </cell>
          <cell r="C15">
            <v>54</v>
          </cell>
          <cell r="D15">
            <v>54</v>
          </cell>
          <cell r="E15">
            <v>57</v>
          </cell>
          <cell r="F15">
            <v>58.7</v>
          </cell>
        </row>
        <row r="16">
          <cell r="A16" t="str">
            <v>FR</v>
          </cell>
          <cell r="B16">
            <v>58.8</v>
          </cell>
          <cell r="C16">
            <v>61</v>
          </cell>
          <cell r="D16">
            <v>66.099999999999994</v>
          </cell>
          <cell r="E16">
            <v>66.5</v>
          </cell>
          <cell r="F16">
            <v>77.400000000000006</v>
          </cell>
        </row>
        <row r="17">
          <cell r="A17" t="str">
            <v>SO</v>
          </cell>
          <cell r="B17">
            <v>56</v>
          </cell>
          <cell r="C17">
            <v>57.3</v>
          </cell>
          <cell r="D17">
            <v>62</v>
          </cell>
          <cell r="E17">
            <v>64.349999999999994</v>
          </cell>
          <cell r="F17">
            <v>68.8</v>
          </cell>
        </row>
        <row r="18">
          <cell r="A18" t="str">
            <v>BS</v>
          </cell>
          <cell r="B18">
            <v>81</v>
          </cell>
          <cell r="C18">
            <v>88.5</v>
          </cell>
          <cell r="D18">
            <v>88.5</v>
          </cell>
          <cell r="E18">
            <v>92.15</v>
          </cell>
          <cell r="F18">
            <v>102</v>
          </cell>
        </row>
        <row r="19">
          <cell r="A19" t="str">
            <v>BL</v>
          </cell>
          <cell r="B19">
            <v>62.1</v>
          </cell>
          <cell r="C19">
            <v>66.5</v>
          </cell>
          <cell r="D19">
            <v>71.3</v>
          </cell>
          <cell r="E19">
            <v>74.3</v>
          </cell>
          <cell r="F19">
            <v>80</v>
          </cell>
        </row>
        <row r="20">
          <cell r="A20" t="str">
            <v>SH</v>
          </cell>
          <cell r="B20">
            <v>54.3</v>
          </cell>
          <cell r="C20">
            <v>61</v>
          </cell>
          <cell r="D20">
            <v>62.8</v>
          </cell>
          <cell r="E20">
            <v>70.2</v>
          </cell>
          <cell r="F20">
            <v>77.5</v>
          </cell>
        </row>
        <row r="21">
          <cell r="A21" t="str">
            <v>AR</v>
          </cell>
          <cell r="B21">
            <v>40.1</v>
          </cell>
          <cell r="C21">
            <v>46.85</v>
          </cell>
          <cell r="D21">
            <v>50.1</v>
          </cell>
          <cell r="E21">
            <v>52.8</v>
          </cell>
          <cell r="F21">
            <v>56</v>
          </cell>
        </row>
        <row r="22">
          <cell r="A22" t="str">
            <v>AI</v>
          </cell>
          <cell r="B22">
            <v>36.700000000000003</v>
          </cell>
          <cell r="C22">
            <v>43.3</v>
          </cell>
          <cell r="D22">
            <v>44.1</v>
          </cell>
          <cell r="E22">
            <v>46</v>
          </cell>
          <cell r="F22">
            <v>52</v>
          </cell>
        </row>
        <row r="23">
          <cell r="A23" t="str">
            <v>SG</v>
          </cell>
          <cell r="B23">
            <v>49.5</v>
          </cell>
          <cell r="C23">
            <v>49.5</v>
          </cell>
          <cell r="D23">
            <v>51</v>
          </cell>
          <cell r="E23">
            <v>55</v>
          </cell>
          <cell r="F23">
            <v>66.900000000000006</v>
          </cell>
        </row>
        <row r="24">
          <cell r="A24" t="str">
            <v>GR</v>
          </cell>
          <cell r="B24">
            <v>45</v>
          </cell>
          <cell r="C24">
            <v>53.6</v>
          </cell>
          <cell r="D24">
            <v>53.6</v>
          </cell>
          <cell r="E24">
            <v>58.3</v>
          </cell>
          <cell r="F24">
            <v>66</v>
          </cell>
        </row>
        <row r="25">
          <cell r="A25" t="str">
            <v>AG</v>
          </cell>
          <cell r="B25">
            <v>52.8</v>
          </cell>
          <cell r="C25">
            <v>57.3</v>
          </cell>
          <cell r="D25">
            <v>59.5</v>
          </cell>
          <cell r="E25">
            <v>61.85</v>
          </cell>
          <cell r="F25">
            <v>68.099999999999994</v>
          </cell>
        </row>
        <row r="26">
          <cell r="A26" t="str">
            <v>TG</v>
          </cell>
          <cell r="B26">
            <v>55</v>
          </cell>
          <cell r="C26">
            <v>62</v>
          </cell>
          <cell r="D26">
            <v>65</v>
          </cell>
          <cell r="E26">
            <v>65.3</v>
          </cell>
          <cell r="F26">
            <v>73.400000000000006</v>
          </cell>
        </row>
        <row r="27">
          <cell r="A27" t="str">
            <v>TI</v>
          </cell>
          <cell r="B27">
            <v>74</v>
          </cell>
          <cell r="C27">
            <v>76.7</v>
          </cell>
          <cell r="D27">
            <v>80.349999999999994</v>
          </cell>
          <cell r="E27">
            <v>88.4</v>
          </cell>
          <cell r="F27">
            <v>88.4</v>
          </cell>
        </row>
        <row r="28">
          <cell r="A28" t="str">
            <v>VD</v>
          </cell>
          <cell r="B28">
            <v>84.8</v>
          </cell>
          <cell r="C28">
            <v>88.7</v>
          </cell>
          <cell r="D28">
            <v>90.5</v>
          </cell>
          <cell r="E28">
            <v>94.8</v>
          </cell>
          <cell r="F28">
            <v>109</v>
          </cell>
        </row>
        <row r="29">
          <cell r="A29" t="str">
            <v>VS</v>
          </cell>
          <cell r="B29">
            <v>44</v>
          </cell>
          <cell r="C29">
            <v>53.3</v>
          </cell>
          <cell r="D29">
            <v>56</v>
          </cell>
          <cell r="E29">
            <v>61.8</v>
          </cell>
          <cell r="F29">
            <v>66.8</v>
          </cell>
        </row>
        <row r="30">
          <cell r="A30" t="str">
            <v>NE</v>
          </cell>
          <cell r="B30">
            <v>65</v>
          </cell>
          <cell r="C30">
            <v>74</v>
          </cell>
          <cell r="D30">
            <v>77.900000000000006</v>
          </cell>
          <cell r="E30">
            <v>89.45</v>
          </cell>
          <cell r="F30">
            <v>99.7</v>
          </cell>
        </row>
        <row r="31">
          <cell r="A31" t="str">
            <v>GE</v>
          </cell>
          <cell r="B31">
            <v>85</v>
          </cell>
          <cell r="C31">
            <v>94</v>
          </cell>
          <cell r="D31">
            <v>98</v>
          </cell>
          <cell r="E31">
            <v>108.1</v>
          </cell>
          <cell r="F31">
            <v>115.9</v>
          </cell>
        </row>
        <row r="32">
          <cell r="A32" t="str">
            <v>JU</v>
          </cell>
          <cell r="B32">
            <v>65</v>
          </cell>
          <cell r="C32">
            <v>72.099999999999994</v>
          </cell>
          <cell r="D32">
            <v>77.5</v>
          </cell>
          <cell r="E32">
            <v>79.2</v>
          </cell>
          <cell r="F32">
            <v>85.8</v>
          </cell>
        </row>
        <row r="33">
          <cell r="A33" t="str">
            <v>CH</v>
          </cell>
          <cell r="B33">
            <v>49.5</v>
          </cell>
          <cell r="C33">
            <v>57.3</v>
          </cell>
          <cell r="D33">
            <v>65.7</v>
          </cell>
          <cell r="E33">
            <v>77.5</v>
          </cell>
          <cell r="F33">
            <v>97.8</v>
          </cell>
        </row>
      </sheetData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1656431</v>
          </cell>
          <cell r="C7" t="str">
            <v>–</v>
          </cell>
          <cell r="D7">
            <v>0.23300000000000001</v>
          </cell>
          <cell r="E7">
            <v>821972</v>
          </cell>
          <cell r="F7" t="str">
            <v>–</v>
          </cell>
          <cell r="G7">
            <v>1508.6632014229194</v>
          </cell>
          <cell r="H7">
            <v>901.63486133741753</v>
          </cell>
        </row>
        <row r="8">
          <cell r="B8">
            <v>1955994</v>
          </cell>
          <cell r="C8">
            <v>0.1808484627491275</v>
          </cell>
          <cell r="D8">
            <v>0.27500000000000002</v>
          </cell>
          <cell r="E8">
            <v>988940</v>
          </cell>
          <cell r="F8">
            <v>0.203131006895612</v>
          </cell>
          <cell r="G8">
            <v>2016.5343367646167</v>
          </cell>
          <cell r="H8">
            <v>1019.5488672255641</v>
          </cell>
        </row>
        <row r="9">
          <cell r="B9">
            <v>2240522</v>
          </cell>
          <cell r="C9">
            <v>0.14546465888954668</v>
          </cell>
          <cell r="D9">
            <v>0.314</v>
          </cell>
          <cell r="E9">
            <v>1178551</v>
          </cell>
          <cell r="F9">
            <v>0.19173155095354621</v>
          </cell>
          <cell r="G9">
            <v>2075.8295126812504</v>
          </cell>
          <cell r="H9">
            <v>1091.9200739827595</v>
          </cell>
        </row>
        <row r="10">
          <cell r="B10">
            <v>2334267</v>
          </cell>
          <cell r="C10">
            <v>4.1840696052080718E-2</v>
          </cell>
          <cell r="D10">
            <v>0.32570843248350928</v>
          </cell>
          <cell r="E10">
            <v>1230090</v>
          </cell>
          <cell r="F10">
            <v>4.3730818606916459E-2</v>
          </cell>
          <cell r="G10">
            <v>2186.5653545675523</v>
          </cell>
          <cell r="H10">
            <v>1152.2555804455958</v>
          </cell>
        </row>
        <row r="11">
          <cell r="B11">
            <v>2337717</v>
          </cell>
          <cell r="C11">
            <v>1.4779800254212565E-3</v>
          </cell>
          <cell r="D11">
            <v>0.32427568045795824</v>
          </cell>
          <cell r="E11">
            <v>1242695</v>
          </cell>
          <cell r="F11">
            <v>1.0247217683258949E-2</v>
          </cell>
          <cell r="G11">
            <v>2048</v>
          </cell>
          <cell r="H11">
            <v>1088.8085894058177</v>
          </cell>
        </row>
        <row r="12">
          <cell r="B12">
            <v>2376421</v>
          </cell>
          <cell r="C12">
            <v>1.6556323969068969E-2</v>
          </cell>
          <cell r="D12">
            <v>0.32731543251630535</v>
          </cell>
          <cell r="E12">
            <v>1268943</v>
          </cell>
          <cell r="F12">
            <v>2.1121836009640339E-2</v>
          </cell>
          <cell r="G12">
            <v>2094.0647990098846</v>
          </cell>
          <cell r="H12">
            <v>1118.1726084098736</v>
          </cell>
        </row>
      </sheetData>
      <sheetData sheetId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an-1"/>
      <sheetName val="data an"/>
    </sheetNames>
    <sheetDataSet>
      <sheetData sheetId="0">
        <row r="2">
          <cell r="B2">
            <v>2001</v>
          </cell>
          <cell r="D2" t="str">
            <v xml:space="preserve">Datenstand: 21.10.02 </v>
          </cell>
        </row>
      </sheetData>
      <sheetData sheetId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8">
          <cell r="B8">
            <v>184577</v>
          </cell>
          <cell r="C8">
            <v>214110</v>
          </cell>
          <cell r="D8">
            <v>398687</v>
          </cell>
          <cell r="E8">
            <v>4.1246402398575063E-2</v>
          </cell>
          <cell r="F8">
            <v>0.30294878444297091</v>
          </cell>
          <cell r="G8">
            <v>0.34025843176953136</v>
          </cell>
          <cell r="H8">
            <v>0.32190468500837688</v>
          </cell>
        </row>
        <row r="9">
          <cell r="B9">
            <v>161434</v>
          </cell>
          <cell r="C9">
            <v>188841</v>
          </cell>
          <cell r="D9">
            <v>350275</v>
          </cell>
          <cell r="E9">
            <v>3.2625999386806916E-2</v>
          </cell>
          <cell r="F9">
            <v>0.34823782179328433</v>
          </cell>
          <cell r="G9">
            <v>0.38559754643318034</v>
          </cell>
          <cell r="H9">
            <v>0.36743032172116102</v>
          </cell>
        </row>
        <row r="10">
          <cell r="B10">
            <v>59137</v>
          </cell>
          <cell r="C10">
            <v>65116</v>
          </cell>
          <cell r="D10">
            <v>124253</v>
          </cell>
          <cell r="E10">
            <v>4.9886353074381704E-2</v>
          </cell>
          <cell r="F10">
            <v>0.3455172212322164</v>
          </cell>
          <cell r="G10">
            <v>0.36799095789771119</v>
          </cell>
          <cell r="H10">
            <v>0.35694115281308803</v>
          </cell>
        </row>
        <row r="11">
          <cell r="B11">
            <v>5765</v>
          </cell>
          <cell r="C11">
            <v>5996</v>
          </cell>
          <cell r="D11">
            <v>11761</v>
          </cell>
          <cell r="E11">
            <v>-0.216925228044477</v>
          </cell>
          <cell r="F11">
            <v>0.33689808321645631</v>
          </cell>
          <cell r="G11">
            <v>0.35171281088690753</v>
          </cell>
          <cell r="H11">
            <v>0.34429156908665104</v>
          </cell>
        </row>
        <row r="12">
          <cell r="B12">
            <v>15381</v>
          </cell>
          <cell r="C12">
            <v>16564</v>
          </cell>
          <cell r="D12">
            <v>31945</v>
          </cell>
          <cell r="E12">
            <v>-9.0271745874177939E-3</v>
          </cell>
          <cell r="F12">
            <v>0.23429859704175363</v>
          </cell>
          <cell r="G12">
            <v>0.2563332765904765</v>
          </cell>
          <cell r="H12">
            <v>0.24522899298358744</v>
          </cell>
        </row>
        <row r="13">
          <cell r="B13">
            <v>7832</v>
          </cell>
          <cell r="C13">
            <v>8511</v>
          </cell>
          <cell r="D13">
            <v>16343</v>
          </cell>
          <cell r="E13">
            <v>3.837600864095559E-2</v>
          </cell>
          <cell r="F13">
            <v>0.47872860635696823</v>
          </cell>
          <cell r="G13">
            <v>0.52771577380952384</v>
          </cell>
          <cell r="H13">
            <v>0.50304727899532131</v>
          </cell>
        </row>
        <row r="14">
          <cell r="B14">
            <v>7974</v>
          </cell>
          <cell r="C14">
            <v>8608</v>
          </cell>
          <cell r="D14">
            <v>16582</v>
          </cell>
          <cell r="E14">
            <v>0.25554630120390703</v>
          </cell>
          <cell r="F14">
            <v>0.4213029006181645</v>
          </cell>
          <cell r="G14">
            <v>0.46620450606585789</v>
          </cell>
          <cell r="H14">
            <v>0.44347570270920811</v>
          </cell>
        </row>
        <row r="15">
          <cell r="B15">
            <v>4890</v>
          </cell>
          <cell r="C15">
            <v>5273</v>
          </cell>
          <cell r="D15">
            <v>10163</v>
          </cell>
          <cell r="E15">
            <v>-2.0999903670166652E-2</v>
          </cell>
          <cell r="F15">
            <v>0.26025866198307518</v>
          </cell>
          <cell r="G15">
            <v>0.27427828348504552</v>
          </cell>
          <cell r="H15">
            <v>0.26734887146840636</v>
          </cell>
        </row>
        <row r="16">
          <cell r="B16">
            <v>18261</v>
          </cell>
          <cell r="C16">
            <v>18991</v>
          </cell>
          <cell r="D16">
            <v>37252</v>
          </cell>
          <cell r="E16">
            <v>6.303684045315755E-2</v>
          </cell>
          <cell r="F16">
            <v>0.36380117541587809</v>
          </cell>
          <cell r="G16">
            <v>0.37947088678415858</v>
          </cell>
          <cell r="H16">
            <v>0.37162438523159186</v>
          </cell>
        </row>
        <row r="17">
          <cell r="B17">
            <v>50073</v>
          </cell>
          <cell r="C17">
            <v>44592</v>
          </cell>
          <cell r="D17">
            <v>94665</v>
          </cell>
          <cell r="E17">
            <v>1.4923932970956226E-2</v>
          </cell>
          <cell r="F17">
            <v>0.41912964869547747</v>
          </cell>
          <cell r="G17">
            <v>0.37031316176287399</v>
          </cell>
          <cell r="H17">
            <v>0.39462494684975363</v>
          </cell>
        </row>
        <row r="18">
          <cell r="B18">
            <v>34038</v>
          </cell>
          <cell r="C18">
            <v>36823</v>
          </cell>
          <cell r="D18">
            <v>70861</v>
          </cell>
          <cell r="E18">
            <v>0.11144049187527448</v>
          </cell>
          <cell r="F18">
            <v>0.285065826940471</v>
          </cell>
          <cell r="G18">
            <v>0.29829720359029194</v>
          </cell>
          <cell r="H18">
            <v>0.29179157332981948</v>
          </cell>
        </row>
        <row r="19">
          <cell r="B19">
            <v>25265</v>
          </cell>
          <cell r="C19">
            <v>30670</v>
          </cell>
          <cell r="D19">
            <v>55935</v>
          </cell>
          <cell r="E19">
            <v>1.5320106732497141E-2</v>
          </cell>
          <cell r="F19">
            <v>0.28088451105082934</v>
          </cell>
          <cell r="G19">
            <v>0.30618255148798529</v>
          </cell>
          <cell r="H19">
            <v>0.29421356322685505</v>
          </cell>
        </row>
        <row r="20">
          <cell r="B20">
            <v>51418</v>
          </cell>
          <cell r="C20">
            <v>54713</v>
          </cell>
          <cell r="D20">
            <v>106131</v>
          </cell>
          <cell r="E20">
            <v>2.4463503098080702E-3</v>
          </cell>
          <cell r="F20">
            <v>0.4058664267051868</v>
          </cell>
          <cell r="G20">
            <v>0.41440452025327962</v>
          </cell>
          <cell r="H20">
            <v>0.41022360512533096</v>
          </cell>
        </row>
        <row r="21">
          <cell r="B21">
            <v>11823</v>
          </cell>
          <cell r="C21">
            <v>12319</v>
          </cell>
          <cell r="D21">
            <v>24142</v>
          </cell>
          <cell r="E21">
            <v>-0.10498999036108846</v>
          </cell>
          <cell r="F21">
            <v>0.33493866681775686</v>
          </cell>
          <cell r="G21">
            <v>0.32814789163847524</v>
          </cell>
          <cell r="H21">
            <v>0.33143876990664473</v>
          </cell>
        </row>
        <row r="22">
          <cell r="B22">
            <v>7396</v>
          </cell>
          <cell r="C22">
            <v>7726</v>
          </cell>
          <cell r="D22">
            <v>15122</v>
          </cell>
          <cell r="E22">
            <v>-0.16939470504229376</v>
          </cell>
          <cell r="F22">
            <v>0.28090698469368375</v>
          </cell>
          <cell r="G22">
            <v>0.29027652539825671</v>
          </cell>
          <cell r="H22">
            <v>0.28561714987250919</v>
          </cell>
        </row>
        <row r="23">
          <cell r="B23">
            <v>4478</v>
          </cell>
          <cell r="C23">
            <v>4316</v>
          </cell>
          <cell r="D23">
            <v>8794</v>
          </cell>
          <cell r="E23">
            <v>6.639194139194139E-3</v>
          </cell>
          <cell r="F23">
            <v>0.59866310160427805</v>
          </cell>
          <cell r="G23">
            <v>0.59687456783294146</v>
          </cell>
          <cell r="H23">
            <v>0.59778397117803006</v>
          </cell>
        </row>
        <row r="24">
          <cell r="B24">
            <v>74431</v>
          </cell>
          <cell r="C24">
            <v>81177</v>
          </cell>
          <cell r="D24">
            <v>155608</v>
          </cell>
          <cell r="E24">
            <v>2.2149820016290497E-2</v>
          </cell>
          <cell r="F24">
            <v>0.33389707333704177</v>
          </cell>
          <cell r="G24">
            <v>0.35602229716987338</v>
          </cell>
          <cell r="H24">
            <v>0.34508468111246388</v>
          </cell>
        </row>
        <row r="25">
          <cell r="B25">
            <v>26306</v>
          </cell>
          <cell r="C25">
            <v>29840</v>
          </cell>
          <cell r="D25">
            <v>56146</v>
          </cell>
          <cell r="E25">
            <v>-0.17007627268964701</v>
          </cell>
          <cell r="F25">
            <v>0.28241381901725232</v>
          </cell>
          <cell r="G25">
            <v>0.31373538565060138</v>
          </cell>
          <cell r="H25">
            <v>0.298238065643608</v>
          </cell>
        </row>
        <row r="26">
          <cell r="B26">
            <v>58309</v>
          </cell>
          <cell r="C26">
            <v>62158</v>
          </cell>
          <cell r="D26">
            <v>120467</v>
          </cell>
          <cell r="E26">
            <v>0.12863393200108678</v>
          </cell>
          <cell r="F26">
            <v>0.21457722299706705</v>
          </cell>
          <cell r="G26">
            <v>0.22654313788377992</v>
          </cell>
          <cell r="H26">
            <v>0.22058907006765974</v>
          </cell>
        </row>
        <row r="27">
          <cell r="B27">
            <v>49629</v>
          </cell>
          <cell r="C27">
            <v>52359</v>
          </cell>
          <cell r="D27">
            <v>101988</v>
          </cell>
          <cell r="E27">
            <v>-5.3493206622614892E-2</v>
          </cell>
          <cell r="F27">
            <v>0.43986421810188958</v>
          </cell>
          <cell r="G27">
            <v>0.45636712281007585</v>
          </cell>
          <cell r="H27">
            <v>0.44818463864157709</v>
          </cell>
        </row>
        <row r="28">
          <cell r="B28">
            <v>35546</v>
          </cell>
          <cell r="C28">
            <v>47642</v>
          </cell>
          <cell r="D28">
            <v>83188</v>
          </cell>
          <cell r="E28">
            <v>-8.2617040807811074E-3</v>
          </cell>
          <cell r="F28">
            <v>0.24540885366325149</v>
          </cell>
          <cell r="G28">
            <v>0.29759138495365167</v>
          </cell>
          <cell r="H28">
            <v>0.27280478526641655</v>
          </cell>
        </row>
        <row r="29">
          <cell r="B29">
            <v>67029</v>
          </cell>
          <cell r="C29">
            <v>82519</v>
          </cell>
          <cell r="D29">
            <v>149548</v>
          </cell>
          <cell r="E29">
            <v>5.7698564254897798E-2</v>
          </cell>
          <cell r="F29">
            <v>0.21858898266393603</v>
          </cell>
          <cell r="G29">
            <v>0.25209188084451195</v>
          </cell>
          <cell r="H29">
            <v>0.23588719535758959</v>
          </cell>
        </row>
        <row r="30">
          <cell r="B30">
            <v>43724</v>
          </cell>
          <cell r="C30">
            <v>52282</v>
          </cell>
          <cell r="D30">
            <v>96006</v>
          </cell>
          <cell r="E30">
            <v>2.1373022543272658E-2</v>
          </cell>
          <cell r="F30">
            <v>0.32443422126586036</v>
          </cell>
          <cell r="G30">
            <v>0.37422873749158947</v>
          </cell>
          <cell r="H30">
            <v>0.34977921566912956</v>
          </cell>
        </row>
        <row r="31">
          <cell r="B31">
            <v>26260</v>
          </cell>
          <cell r="C31">
            <v>32135</v>
          </cell>
          <cell r="D31">
            <v>58395</v>
          </cell>
          <cell r="E31">
            <v>-3.836969946480033E-2</v>
          </cell>
          <cell r="F31">
            <v>0.32585496599990071</v>
          </cell>
          <cell r="G31">
            <v>0.37314646013074931</v>
          </cell>
          <cell r="H31">
            <v>0.35028523097410424</v>
          </cell>
        </row>
        <row r="32">
          <cell r="B32">
            <v>70700</v>
          </cell>
          <cell r="C32">
            <v>85441</v>
          </cell>
          <cell r="D32">
            <v>156141</v>
          </cell>
          <cell r="E32">
            <v>-4.0419621676765938E-2</v>
          </cell>
          <cell r="F32">
            <v>0.35694271246169301</v>
          </cell>
          <cell r="G32">
            <v>0.39295142434025959</v>
          </cell>
          <cell r="H32">
            <v>0.37578609162344617</v>
          </cell>
        </row>
        <row r="33">
          <cell r="B33">
            <v>11424</v>
          </cell>
          <cell r="C33">
            <v>14599</v>
          </cell>
          <cell r="D33">
            <v>26023</v>
          </cell>
          <cell r="E33">
            <v>-2.3343966973165698E-2</v>
          </cell>
          <cell r="F33">
            <v>0.34664401019541208</v>
          </cell>
          <cell r="G33">
            <v>0.42492068574089703</v>
          </cell>
          <cell r="H33">
            <v>0.38659694264109457</v>
          </cell>
        </row>
        <row r="34">
          <cell r="B34">
            <v>1113100</v>
          </cell>
          <cell r="C34">
            <v>1263321</v>
          </cell>
          <cell r="D34">
            <v>2376421</v>
          </cell>
          <cell r="E34">
            <v>1.6556323969068969E-2</v>
          </cell>
          <cell r="F34">
            <v>0.31318353269674348</v>
          </cell>
          <cell r="G34">
            <v>0.34086756949786479</v>
          </cell>
          <cell r="H34">
            <v>0.32731543251630535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100089</v>
          </cell>
          <cell r="C7">
            <v>95244</v>
          </cell>
          <cell r="D7">
            <v>195333</v>
          </cell>
          <cell r="E7">
            <v>8.2196294343468604E-2</v>
          </cell>
        </row>
        <row r="8">
          <cell r="B8">
            <v>108419</v>
          </cell>
          <cell r="C8">
            <v>103450</v>
          </cell>
          <cell r="D8">
            <v>211869</v>
          </cell>
          <cell r="E8">
            <v>8.9154657360795919E-2</v>
          </cell>
        </row>
        <row r="9">
          <cell r="B9">
            <v>97697</v>
          </cell>
          <cell r="C9">
            <v>92587</v>
          </cell>
          <cell r="D9">
            <v>190284</v>
          </cell>
          <cell r="E9">
            <v>8.007167080243778E-2</v>
          </cell>
        </row>
        <row r="10">
          <cell r="B10">
            <v>47848</v>
          </cell>
          <cell r="C10">
            <v>45554</v>
          </cell>
          <cell r="D10">
            <v>93402</v>
          </cell>
          <cell r="E10">
            <v>3.9303641905201143E-2</v>
          </cell>
        </row>
        <row r="11">
          <cell r="B11">
            <v>33797</v>
          </cell>
          <cell r="C11">
            <v>32705</v>
          </cell>
          <cell r="D11">
            <v>66502</v>
          </cell>
          <cell r="E11">
            <v>2.7984098777110621E-2</v>
          </cell>
        </row>
        <row r="12">
          <cell r="B12">
            <v>87791</v>
          </cell>
          <cell r="C12">
            <v>91461</v>
          </cell>
          <cell r="D12">
            <v>179252</v>
          </cell>
          <cell r="E12">
            <v>7.5429395717341335E-2</v>
          </cell>
        </row>
        <row r="13">
          <cell r="B13">
            <v>75555</v>
          </cell>
          <cell r="C13">
            <v>87705</v>
          </cell>
          <cell r="D13">
            <v>163260</v>
          </cell>
          <cell r="E13">
            <v>6.8699948367734506E-2</v>
          </cell>
        </row>
        <row r="14">
          <cell r="B14">
            <v>84896</v>
          </cell>
          <cell r="C14">
            <v>107395</v>
          </cell>
          <cell r="D14">
            <v>192291</v>
          </cell>
          <cell r="E14">
            <v>8.0916218128016873E-2</v>
          </cell>
        </row>
        <row r="15">
          <cell r="B15">
            <v>98094</v>
          </cell>
          <cell r="C15">
            <v>112738</v>
          </cell>
          <cell r="D15">
            <v>210832</v>
          </cell>
          <cell r="E15">
            <v>8.871828686920373E-2</v>
          </cell>
        </row>
        <row r="16">
          <cell r="B16">
            <v>83594</v>
          </cell>
          <cell r="C16">
            <v>83841</v>
          </cell>
          <cell r="D16">
            <v>167435</v>
          </cell>
          <cell r="E16">
            <v>7.0456791957317327E-2</v>
          </cell>
        </row>
        <row r="17">
          <cell r="B17">
            <v>58771</v>
          </cell>
          <cell r="C17">
            <v>56394</v>
          </cell>
          <cell r="D17">
            <v>115165</v>
          </cell>
          <cell r="E17">
            <v>4.8461531016600175E-2</v>
          </cell>
        </row>
        <row r="18">
          <cell r="B18">
            <v>42724</v>
          </cell>
          <cell r="C18">
            <v>43067</v>
          </cell>
          <cell r="D18">
            <v>85791</v>
          </cell>
          <cell r="E18">
            <v>3.6100926561413151E-2</v>
          </cell>
        </row>
        <row r="19">
          <cell r="B19">
            <v>32326</v>
          </cell>
          <cell r="C19">
            <v>37867</v>
          </cell>
          <cell r="D19">
            <v>70193</v>
          </cell>
          <cell r="E19">
            <v>2.9537274750559769E-2</v>
          </cell>
        </row>
        <row r="20">
          <cell r="B20">
            <v>29446</v>
          </cell>
          <cell r="C20">
            <v>41481</v>
          </cell>
          <cell r="D20">
            <v>70927</v>
          </cell>
          <cell r="E20">
            <v>2.9846142581638521E-2</v>
          </cell>
        </row>
        <row r="21">
          <cell r="B21">
            <v>33328</v>
          </cell>
          <cell r="C21">
            <v>44761</v>
          </cell>
          <cell r="D21">
            <v>78089</v>
          </cell>
          <cell r="E21">
            <v>3.2859918339385154E-2</v>
          </cell>
        </row>
        <row r="22">
          <cell r="B22">
            <v>28020</v>
          </cell>
          <cell r="C22">
            <v>46999</v>
          </cell>
          <cell r="D22">
            <v>75019</v>
          </cell>
          <cell r="E22">
            <v>3.1568059699859576E-2</v>
          </cell>
        </row>
        <row r="23">
          <cell r="B23">
            <v>24144</v>
          </cell>
          <cell r="C23">
            <v>47622</v>
          </cell>
          <cell r="D23">
            <v>71766</v>
          </cell>
          <cell r="E23">
            <v>3.0199194502994207E-2</v>
          </cell>
        </row>
        <row r="24">
          <cell r="B24">
            <v>16247</v>
          </cell>
          <cell r="C24">
            <v>37721</v>
          </cell>
          <cell r="D24">
            <v>53968</v>
          </cell>
          <cell r="E24">
            <v>2.2709780800624132E-2</v>
          </cell>
        </row>
        <row r="25">
          <cell r="B25">
            <v>9286</v>
          </cell>
          <cell r="C25">
            <v>28834</v>
          </cell>
          <cell r="D25">
            <v>38120</v>
          </cell>
          <cell r="E25">
            <v>1.6040928774825672E-2</v>
          </cell>
        </row>
        <row r="26">
          <cell r="B26">
            <v>3169</v>
          </cell>
          <cell r="C26">
            <v>13364</v>
          </cell>
          <cell r="D26">
            <v>16533</v>
          </cell>
          <cell r="E26">
            <v>6.9571006147479764E-3</v>
          </cell>
        </row>
        <row r="27">
          <cell r="B27">
            <v>678</v>
          </cell>
          <cell r="C27">
            <v>3495</v>
          </cell>
          <cell r="D27">
            <v>4173</v>
          </cell>
          <cell r="E27">
            <v>1.7560019878632616E-3</v>
          </cell>
        </row>
        <row r="28">
          <cell r="B28">
            <v>12652</v>
          </cell>
          <cell r="C28">
            <v>13565</v>
          </cell>
          <cell r="D28">
            <v>26217</v>
          </cell>
          <cell r="E28">
            <v>1.1032136140860562E-2</v>
          </cell>
        </row>
        <row r="29">
          <cell r="B29">
            <v>1108571</v>
          </cell>
          <cell r="C29">
            <v>1267850</v>
          </cell>
          <cell r="D29">
            <v>2376421</v>
          </cell>
          <cell r="E29">
            <v>1</v>
          </cell>
        </row>
      </sheetData>
      <sheetData sheetId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an-1"/>
      <sheetName val="data an"/>
    </sheetNames>
    <sheetDataSet>
      <sheetData sheetId="0">
        <row r="2">
          <cell r="B2">
            <v>2001</v>
          </cell>
        </row>
      </sheetData>
      <sheetData sheetId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8">
          <cell r="B8">
            <v>189628</v>
          </cell>
          <cell r="C8">
            <v>33595</v>
          </cell>
          <cell r="D8">
            <v>14824</v>
          </cell>
          <cell r="E8">
            <v>14155</v>
          </cell>
          <cell r="F8">
            <v>8075</v>
          </cell>
          <cell r="G8">
            <v>57</v>
          </cell>
          <cell r="H8">
            <v>260334</v>
          </cell>
          <cell r="I8">
            <v>4.1327669378644974E-2</v>
          </cell>
        </row>
        <row r="9">
          <cell r="B9">
            <v>118463</v>
          </cell>
          <cell r="C9">
            <v>32291</v>
          </cell>
          <cell r="D9">
            <v>16053</v>
          </cell>
          <cell r="E9">
            <v>23385</v>
          </cell>
          <cell r="F9">
            <v>14165</v>
          </cell>
          <cell r="G9">
            <v>19</v>
          </cell>
          <cell r="H9">
            <v>204376</v>
          </cell>
          <cell r="I9">
            <v>4.443990188062142E-2</v>
          </cell>
        </row>
        <row r="10">
          <cell r="B10">
            <v>24821</v>
          </cell>
          <cell r="C10">
            <v>8515</v>
          </cell>
          <cell r="D10">
            <v>4783</v>
          </cell>
          <cell r="E10">
            <v>8015</v>
          </cell>
          <cell r="F10">
            <v>6557</v>
          </cell>
          <cell r="G10">
            <v>0</v>
          </cell>
          <cell r="H10">
            <v>52691</v>
          </cell>
          <cell r="I10">
            <v>6.1826169316647521E-2</v>
          </cell>
        </row>
        <row r="11">
          <cell r="B11">
            <v>1929</v>
          </cell>
          <cell r="C11">
            <v>914</v>
          </cell>
          <cell r="D11">
            <v>407</v>
          </cell>
          <cell r="E11">
            <v>794</v>
          </cell>
          <cell r="F11">
            <v>669</v>
          </cell>
          <cell r="G11">
            <v>0</v>
          </cell>
          <cell r="H11">
            <v>4713</v>
          </cell>
          <cell r="I11">
            <v>-0.31086416142710921</v>
          </cell>
        </row>
        <row r="12">
          <cell r="B12">
            <v>8677</v>
          </cell>
          <cell r="C12">
            <v>1596</v>
          </cell>
          <cell r="D12">
            <v>1012</v>
          </cell>
          <cell r="E12">
            <v>1526</v>
          </cell>
          <cell r="F12">
            <v>1266</v>
          </cell>
          <cell r="G12">
            <v>3727</v>
          </cell>
          <cell r="H12">
            <v>17804</v>
          </cell>
          <cell r="I12">
            <v>2.0871559633027524E-2</v>
          </cell>
        </row>
        <row r="13">
          <cell r="B13">
            <v>3541</v>
          </cell>
          <cell r="C13">
            <v>1233</v>
          </cell>
          <cell r="D13">
            <v>693</v>
          </cell>
          <cell r="E13">
            <v>1047</v>
          </cell>
          <cell r="F13">
            <v>622</v>
          </cell>
          <cell r="G13">
            <v>0</v>
          </cell>
          <cell r="H13">
            <v>7136</v>
          </cell>
          <cell r="I13">
            <v>3.3304373008977699E-2</v>
          </cell>
        </row>
        <row r="14">
          <cell r="B14">
            <v>4134</v>
          </cell>
          <cell r="C14">
            <v>1380</v>
          </cell>
          <cell r="D14">
            <v>588</v>
          </cell>
          <cell r="E14">
            <v>1052</v>
          </cell>
          <cell r="F14">
            <v>622</v>
          </cell>
          <cell r="G14">
            <v>0</v>
          </cell>
          <cell r="H14">
            <v>7776</v>
          </cell>
          <cell r="I14">
            <v>0.30011703728473499</v>
          </cell>
        </row>
        <row r="15">
          <cell r="B15">
            <v>3348</v>
          </cell>
          <cell r="C15">
            <v>654</v>
          </cell>
          <cell r="D15">
            <v>350</v>
          </cell>
          <cell r="E15">
            <v>552</v>
          </cell>
          <cell r="F15">
            <v>416</v>
          </cell>
          <cell r="G15">
            <v>0</v>
          </cell>
          <cell r="H15">
            <v>5320</v>
          </cell>
          <cell r="I15">
            <v>-8.1967213114754092E-2</v>
          </cell>
        </row>
        <row r="16">
          <cell r="B16">
            <v>10846</v>
          </cell>
          <cell r="C16">
            <v>2811</v>
          </cell>
          <cell r="D16">
            <v>1711</v>
          </cell>
          <cell r="E16">
            <v>2477</v>
          </cell>
          <cell r="F16">
            <v>1091</v>
          </cell>
          <cell r="G16">
            <v>0</v>
          </cell>
          <cell r="H16">
            <v>18936</v>
          </cell>
          <cell r="I16">
            <v>7.1525577184246264E-2</v>
          </cell>
        </row>
        <row r="17">
          <cell r="B17">
            <v>17788</v>
          </cell>
          <cell r="C17">
            <v>6392</v>
          </cell>
          <cell r="D17">
            <v>3844</v>
          </cell>
          <cell r="E17">
            <v>6247</v>
          </cell>
          <cell r="F17">
            <v>3761</v>
          </cell>
          <cell r="G17">
            <v>0</v>
          </cell>
          <cell r="H17">
            <v>38032</v>
          </cell>
          <cell r="I17">
            <v>2.4044804652790866E-2</v>
          </cell>
        </row>
        <row r="18">
          <cell r="B18">
            <v>9101</v>
          </cell>
          <cell r="C18">
            <v>4630</v>
          </cell>
          <cell r="D18">
            <v>3425</v>
          </cell>
          <cell r="E18">
            <v>5881</v>
          </cell>
          <cell r="F18">
            <v>3495</v>
          </cell>
          <cell r="G18">
            <v>0</v>
          </cell>
          <cell r="H18">
            <v>26532</v>
          </cell>
          <cell r="I18">
            <v>0.13157333560796691</v>
          </cell>
        </row>
        <row r="19">
          <cell r="B19">
            <v>18379</v>
          </cell>
          <cell r="C19">
            <v>3625</v>
          </cell>
          <cell r="D19">
            <v>2041</v>
          </cell>
          <cell r="E19">
            <v>2204</v>
          </cell>
          <cell r="F19">
            <v>1154</v>
          </cell>
          <cell r="G19">
            <v>0</v>
          </cell>
          <cell r="H19">
            <v>27403</v>
          </cell>
          <cell r="I19">
            <v>-0.14293309980295874</v>
          </cell>
        </row>
        <row r="20">
          <cell r="B20">
            <v>17378</v>
          </cell>
          <cell r="C20">
            <v>9634</v>
          </cell>
          <cell r="D20">
            <v>5933</v>
          </cell>
          <cell r="E20">
            <v>8180</v>
          </cell>
          <cell r="F20">
            <v>3338</v>
          </cell>
          <cell r="G20">
            <v>4925</v>
          </cell>
          <cell r="H20">
            <v>49388</v>
          </cell>
          <cell r="I20">
            <v>4.9758751886411462E-2</v>
          </cell>
        </row>
        <row r="21">
          <cell r="B21">
            <v>6296</v>
          </cell>
          <cell r="C21">
            <v>2126</v>
          </cell>
          <cell r="D21">
            <v>1020</v>
          </cell>
          <cell r="E21">
            <v>1576</v>
          </cell>
          <cell r="F21">
            <v>804</v>
          </cell>
          <cell r="G21">
            <v>0</v>
          </cell>
          <cell r="H21">
            <v>11822</v>
          </cell>
          <cell r="I21">
            <v>-3.7766563568289106E-2</v>
          </cell>
        </row>
        <row r="22">
          <cell r="B22">
            <v>2291</v>
          </cell>
          <cell r="C22">
            <v>874</v>
          </cell>
          <cell r="D22">
            <v>564</v>
          </cell>
          <cell r="E22">
            <v>1050</v>
          </cell>
          <cell r="F22">
            <v>955</v>
          </cell>
          <cell r="G22">
            <v>0</v>
          </cell>
          <cell r="H22">
            <v>5734</v>
          </cell>
          <cell r="I22">
            <v>-0.18504832291074474</v>
          </cell>
        </row>
        <row r="23">
          <cell r="B23">
            <v>1116</v>
          </cell>
          <cell r="C23">
            <v>760</v>
          </cell>
          <cell r="D23">
            <v>296</v>
          </cell>
          <cell r="E23">
            <v>543</v>
          </cell>
          <cell r="F23">
            <v>583</v>
          </cell>
          <cell r="G23">
            <v>0</v>
          </cell>
          <cell r="H23">
            <v>3298</v>
          </cell>
          <cell r="I23">
            <v>4.7649301143583227E-2</v>
          </cell>
        </row>
        <row r="24">
          <cell r="B24">
            <v>25535</v>
          </cell>
          <cell r="C24">
            <v>11747</v>
          </cell>
          <cell r="D24">
            <v>5749</v>
          </cell>
          <cell r="E24">
            <v>10716</v>
          </cell>
          <cell r="F24">
            <v>8737</v>
          </cell>
          <cell r="G24">
            <v>0</v>
          </cell>
          <cell r="H24">
            <v>62484</v>
          </cell>
          <cell r="I24">
            <v>8.7501210810112685E-3</v>
          </cell>
        </row>
        <row r="25">
          <cell r="B25">
            <v>15173</v>
          </cell>
          <cell r="C25">
            <v>4268</v>
          </cell>
          <cell r="D25">
            <v>2283</v>
          </cell>
          <cell r="E25">
            <v>3633</v>
          </cell>
          <cell r="F25">
            <v>2101</v>
          </cell>
          <cell r="G25">
            <v>0</v>
          </cell>
          <cell r="H25">
            <v>27458</v>
          </cell>
          <cell r="I25">
            <v>-7.3335358239681417E-2</v>
          </cell>
        </row>
        <row r="26">
          <cell r="B26">
            <v>21432</v>
          </cell>
          <cell r="C26">
            <v>6392</v>
          </cell>
          <cell r="D26">
            <v>5350</v>
          </cell>
          <cell r="E26">
            <v>8946</v>
          </cell>
          <cell r="F26">
            <v>6426</v>
          </cell>
          <cell r="G26">
            <v>0</v>
          </cell>
          <cell r="H26">
            <v>48546</v>
          </cell>
          <cell r="I26">
            <v>0.2337916486644471</v>
          </cell>
        </row>
        <row r="27">
          <cell r="B27">
            <v>35605</v>
          </cell>
          <cell r="C27">
            <v>13651</v>
          </cell>
          <cell r="D27">
            <v>5341</v>
          </cell>
          <cell r="E27">
            <v>3259</v>
          </cell>
          <cell r="F27">
            <v>2105</v>
          </cell>
          <cell r="G27">
            <v>0</v>
          </cell>
          <cell r="H27">
            <v>59961</v>
          </cell>
          <cell r="I27">
            <v>8.5615286281369839E-3</v>
          </cell>
        </row>
        <row r="28">
          <cell r="B28">
            <v>34341</v>
          </cell>
          <cell r="C28">
            <v>10576</v>
          </cell>
          <cell r="D28">
            <v>3064</v>
          </cell>
          <cell r="E28">
            <v>2971</v>
          </cell>
          <cell r="F28">
            <v>1184</v>
          </cell>
          <cell r="G28">
            <v>0</v>
          </cell>
          <cell r="H28">
            <v>52136</v>
          </cell>
          <cell r="I28">
            <v>-1.2800121184579263E-2</v>
          </cell>
        </row>
        <row r="29">
          <cell r="B29">
            <v>42219</v>
          </cell>
          <cell r="C29">
            <v>13340</v>
          </cell>
          <cell r="D29">
            <v>7337</v>
          </cell>
          <cell r="E29">
            <v>8544</v>
          </cell>
          <cell r="F29">
            <v>4579</v>
          </cell>
          <cell r="G29">
            <v>0</v>
          </cell>
          <cell r="H29">
            <v>76019</v>
          </cell>
          <cell r="I29">
            <v>-3.9569712136895479E-3</v>
          </cell>
        </row>
        <row r="30">
          <cell r="B30">
            <v>31816</v>
          </cell>
          <cell r="C30">
            <v>6027</v>
          </cell>
          <cell r="D30">
            <v>3773</v>
          </cell>
          <cell r="E30">
            <v>5813</v>
          </cell>
          <cell r="F30">
            <v>3305</v>
          </cell>
          <cell r="G30">
            <v>0</v>
          </cell>
          <cell r="H30">
            <v>50734</v>
          </cell>
          <cell r="I30">
            <v>2.8503081414206943E-2</v>
          </cell>
        </row>
        <row r="31">
          <cell r="B31">
            <v>21144</v>
          </cell>
          <cell r="C31">
            <v>5834</v>
          </cell>
          <cell r="D31">
            <v>2489</v>
          </cell>
          <cell r="E31">
            <v>2990</v>
          </cell>
          <cell r="F31">
            <v>1166</v>
          </cell>
          <cell r="G31">
            <v>0</v>
          </cell>
          <cell r="H31">
            <v>33623</v>
          </cell>
          <cell r="I31">
            <v>-2.9162937083128809E-2</v>
          </cell>
        </row>
        <row r="32">
          <cell r="B32">
            <v>64649</v>
          </cell>
          <cell r="C32">
            <v>19906</v>
          </cell>
          <cell r="D32">
            <v>8507</v>
          </cell>
          <cell r="E32">
            <v>6993</v>
          </cell>
          <cell r="F32">
            <v>2218</v>
          </cell>
          <cell r="G32">
            <v>466</v>
          </cell>
          <cell r="H32">
            <v>102739</v>
          </cell>
          <cell r="I32">
            <v>-4.0252970629997761E-2</v>
          </cell>
        </row>
        <row r="33">
          <cell r="B33">
            <v>8726</v>
          </cell>
          <cell r="C33">
            <v>2310</v>
          </cell>
          <cell r="D33">
            <v>765</v>
          </cell>
          <cell r="E33">
            <v>1108</v>
          </cell>
          <cell r="F33">
            <v>1039</v>
          </cell>
          <cell r="G33">
            <v>0</v>
          </cell>
          <cell r="H33">
            <v>13948</v>
          </cell>
          <cell r="I33">
            <v>-1.5458459800945861E-2</v>
          </cell>
        </row>
        <row r="34">
          <cell r="B34">
            <v>738376</v>
          </cell>
          <cell r="C34">
            <v>205081</v>
          </cell>
          <cell r="D34">
            <v>102202</v>
          </cell>
          <cell r="E34">
            <v>133657</v>
          </cell>
          <cell r="F34">
            <v>80433</v>
          </cell>
          <cell r="G34">
            <v>9194</v>
          </cell>
          <cell r="H34">
            <v>1268943</v>
          </cell>
          <cell r="I34">
            <v>2.1121836009640339E-2</v>
          </cell>
        </row>
      </sheetData>
      <sheetData sheetId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8">
          <cell r="B8">
            <v>77808</v>
          </cell>
          <cell r="C8">
            <v>60782</v>
          </cell>
          <cell r="D8">
            <v>75353</v>
          </cell>
          <cell r="E8">
            <v>35181</v>
          </cell>
          <cell r="F8">
            <v>7098</v>
          </cell>
          <cell r="G8">
            <v>4055</v>
          </cell>
          <cell r="H8">
            <v>57</v>
          </cell>
          <cell r="I8">
            <v>260334</v>
          </cell>
        </row>
        <row r="9">
          <cell r="B9">
            <v>35374</v>
          </cell>
          <cell r="C9">
            <v>42562</v>
          </cell>
          <cell r="D9">
            <v>43987</v>
          </cell>
          <cell r="E9">
            <v>51461</v>
          </cell>
          <cell r="F9">
            <v>15005</v>
          </cell>
          <cell r="G9">
            <v>15968</v>
          </cell>
          <cell r="H9">
            <v>19</v>
          </cell>
          <cell r="I9">
            <v>204376</v>
          </cell>
        </row>
        <row r="10">
          <cell r="B10">
            <v>7333</v>
          </cell>
          <cell r="C10">
            <v>8217</v>
          </cell>
          <cell r="D10">
            <v>27703</v>
          </cell>
          <cell r="E10">
            <v>5209</v>
          </cell>
          <cell r="F10">
            <v>3067</v>
          </cell>
          <cell r="G10">
            <v>1162</v>
          </cell>
          <cell r="H10">
            <v>0</v>
          </cell>
          <cell r="I10">
            <v>52691</v>
          </cell>
        </row>
        <row r="11">
          <cell r="B11">
            <v>553</v>
          </cell>
          <cell r="C11">
            <v>915</v>
          </cell>
          <cell r="D11">
            <v>2293</v>
          </cell>
          <cell r="E11">
            <v>585</v>
          </cell>
          <cell r="F11">
            <v>284</v>
          </cell>
          <cell r="G11">
            <v>83</v>
          </cell>
          <cell r="H11">
            <v>0</v>
          </cell>
          <cell r="I11">
            <v>4713</v>
          </cell>
        </row>
        <row r="12">
          <cell r="B12">
            <v>469</v>
          </cell>
          <cell r="C12">
            <v>6029</v>
          </cell>
          <cell r="D12">
            <v>5742</v>
          </cell>
          <cell r="E12">
            <v>1383</v>
          </cell>
          <cell r="F12">
            <v>326</v>
          </cell>
          <cell r="G12">
            <v>128</v>
          </cell>
          <cell r="H12">
            <v>3727</v>
          </cell>
          <cell r="I12">
            <v>17804</v>
          </cell>
        </row>
        <row r="13">
          <cell r="B13">
            <v>1704</v>
          </cell>
          <cell r="C13">
            <v>1213</v>
          </cell>
          <cell r="D13">
            <v>3136</v>
          </cell>
          <cell r="E13">
            <v>839</v>
          </cell>
          <cell r="F13">
            <v>194</v>
          </cell>
          <cell r="G13">
            <v>50</v>
          </cell>
          <cell r="H13">
            <v>0</v>
          </cell>
          <cell r="I13">
            <v>7136</v>
          </cell>
        </row>
        <row r="14">
          <cell r="B14">
            <v>2215</v>
          </cell>
          <cell r="C14">
            <v>2469</v>
          </cell>
          <cell r="D14">
            <v>2535</v>
          </cell>
          <cell r="E14">
            <v>456</v>
          </cell>
          <cell r="F14">
            <v>81</v>
          </cell>
          <cell r="G14">
            <v>20</v>
          </cell>
          <cell r="H14">
            <v>0</v>
          </cell>
          <cell r="I14">
            <v>7776</v>
          </cell>
        </row>
        <row r="15">
          <cell r="B15">
            <v>608</v>
          </cell>
          <cell r="C15">
            <v>1729</v>
          </cell>
          <cell r="D15">
            <v>2230</v>
          </cell>
          <cell r="E15">
            <v>428</v>
          </cell>
          <cell r="F15">
            <v>229</v>
          </cell>
          <cell r="G15">
            <v>96</v>
          </cell>
          <cell r="H15">
            <v>0</v>
          </cell>
          <cell r="I15">
            <v>5320</v>
          </cell>
        </row>
        <row r="16">
          <cell r="B16">
            <v>4775</v>
          </cell>
          <cell r="C16">
            <v>5122</v>
          </cell>
          <cell r="D16">
            <v>7128</v>
          </cell>
          <cell r="E16">
            <v>1434</v>
          </cell>
          <cell r="F16">
            <v>351</v>
          </cell>
          <cell r="G16">
            <v>126</v>
          </cell>
          <cell r="H16">
            <v>0</v>
          </cell>
          <cell r="I16">
            <v>18936</v>
          </cell>
        </row>
        <row r="17">
          <cell r="B17">
            <v>1519</v>
          </cell>
          <cell r="C17">
            <v>8596</v>
          </cell>
          <cell r="D17">
            <v>16052</v>
          </cell>
          <cell r="E17">
            <v>5449</v>
          </cell>
          <cell r="F17">
            <v>4190</v>
          </cell>
          <cell r="G17">
            <v>2226</v>
          </cell>
          <cell r="H17">
            <v>0</v>
          </cell>
          <cell r="I17">
            <v>38032</v>
          </cell>
        </row>
        <row r="18">
          <cell r="B18">
            <v>2004</v>
          </cell>
          <cell r="C18">
            <v>7193</v>
          </cell>
          <cell r="D18">
            <v>10726</v>
          </cell>
          <cell r="E18">
            <v>4424</v>
          </cell>
          <cell r="F18">
            <v>1350</v>
          </cell>
          <cell r="G18">
            <v>835</v>
          </cell>
          <cell r="H18">
            <v>0</v>
          </cell>
          <cell r="I18">
            <v>26532</v>
          </cell>
        </row>
        <row r="19">
          <cell r="B19">
            <v>3856</v>
          </cell>
          <cell r="C19">
            <v>2848</v>
          </cell>
          <cell r="D19">
            <v>7181</v>
          </cell>
          <cell r="E19">
            <v>7436</v>
          </cell>
          <cell r="F19">
            <v>3554</v>
          </cell>
          <cell r="G19">
            <v>2528</v>
          </cell>
          <cell r="H19">
            <v>0</v>
          </cell>
          <cell r="I19">
            <v>27403</v>
          </cell>
        </row>
        <row r="20">
          <cell r="B20">
            <v>9185</v>
          </cell>
          <cell r="C20">
            <v>11132</v>
          </cell>
          <cell r="D20">
            <v>19701</v>
          </cell>
          <cell r="E20">
            <v>3755</v>
          </cell>
          <cell r="F20">
            <v>584</v>
          </cell>
          <cell r="G20">
            <v>106</v>
          </cell>
          <cell r="H20">
            <v>4925</v>
          </cell>
          <cell r="I20">
            <v>49388</v>
          </cell>
        </row>
        <row r="21">
          <cell r="B21">
            <v>2251</v>
          </cell>
          <cell r="C21">
            <v>4462</v>
          </cell>
          <cell r="D21">
            <v>3374</v>
          </cell>
          <cell r="E21">
            <v>1186</v>
          </cell>
          <cell r="F21">
            <v>432</v>
          </cell>
          <cell r="G21">
            <v>117</v>
          </cell>
          <cell r="H21">
            <v>0</v>
          </cell>
          <cell r="I21">
            <v>11822</v>
          </cell>
        </row>
        <row r="22">
          <cell r="B22">
            <v>536</v>
          </cell>
          <cell r="C22">
            <v>575</v>
          </cell>
          <cell r="D22">
            <v>2210</v>
          </cell>
          <cell r="E22">
            <v>797</v>
          </cell>
          <cell r="F22">
            <v>697</v>
          </cell>
          <cell r="G22">
            <v>919</v>
          </cell>
          <cell r="H22">
            <v>0</v>
          </cell>
          <cell r="I22">
            <v>5734</v>
          </cell>
        </row>
        <row r="23">
          <cell r="B23">
            <v>1035</v>
          </cell>
          <cell r="C23">
            <v>738</v>
          </cell>
          <cell r="D23">
            <v>989</v>
          </cell>
          <cell r="E23">
            <v>286</v>
          </cell>
          <cell r="F23">
            <v>84</v>
          </cell>
          <cell r="G23">
            <v>166</v>
          </cell>
          <cell r="H23">
            <v>0</v>
          </cell>
          <cell r="I23">
            <v>3298</v>
          </cell>
        </row>
        <row r="24">
          <cell r="B24">
            <v>12087</v>
          </cell>
          <cell r="C24">
            <v>11406</v>
          </cell>
          <cell r="D24">
            <v>29573</v>
          </cell>
          <cell r="E24">
            <v>5126</v>
          </cell>
          <cell r="F24">
            <v>3621</v>
          </cell>
          <cell r="G24">
            <v>671</v>
          </cell>
          <cell r="H24">
            <v>0</v>
          </cell>
          <cell r="I24">
            <v>62484</v>
          </cell>
        </row>
        <row r="25">
          <cell r="B25">
            <v>5869</v>
          </cell>
          <cell r="C25">
            <v>6674</v>
          </cell>
          <cell r="D25">
            <v>11341</v>
          </cell>
          <cell r="E25">
            <v>2247</v>
          </cell>
          <cell r="F25">
            <v>1026</v>
          </cell>
          <cell r="G25">
            <v>301</v>
          </cell>
          <cell r="H25">
            <v>0</v>
          </cell>
          <cell r="I25">
            <v>27458</v>
          </cell>
        </row>
        <row r="26">
          <cell r="B26">
            <v>4280</v>
          </cell>
          <cell r="C26">
            <v>6512</v>
          </cell>
          <cell r="D26">
            <v>19437</v>
          </cell>
          <cell r="E26">
            <v>9439</v>
          </cell>
          <cell r="F26">
            <v>5492</v>
          </cell>
          <cell r="G26">
            <v>3386</v>
          </cell>
          <cell r="H26">
            <v>0</v>
          </cell>
          <cell r="I26">
            <v>48546</v>
          </cell>
        </row>
        <row r="27">
          <cell r="B27">
            <v>9123</v>
          </cell>
          <cell r="C27">
            <v>34703</v>
          </cell>
          <cell r="D27">
            <v>10936</v>
          </cell>
          <cell r="E27">
            <v>3924</v>
          </cell>
          <cell r="F27">
            <v>1174</v>
          </cell>
          <cell r="G27">
            <v>101</v>
          </cell>
          <cell r="H27">
            <v>0</v>
          </cell>
          <cell r="I27">
            <v>59961</v>
          </cell>
        </row>
        <row r="28">
          <cell r="B28">
            <v>4044</v>
          </cell>
          <cell r="C28">
            <v>5747</v>
          </cell>
          <cell r="D28">
            <v>19773</v>
          </cell>
          <cell r="E28">
            <v>13799</v>
          </cell>
          <cell r="F28">
            <v>4318</v>
          </cell>
          <cell r="G28">
            <v>4455</v>
          </cell>
          <cell r="H28">
            <v>0</v>
          </cell>
          <cell r="I28">
            <v>52136</v>
          </cell>
        </row>
        <row r="29">
          <cell r="B29">
            <v>1777</v>
          </cell>
          <cell r="C29">
            <v>3755</v>
          </cell>
          <cell r="D29">
            <v>12183</v>
          </cell>
          <cell r="E29">
            <v>30069</v>
          </cell>
          <cell r="F29">
            <v>11180</v>
          </cell>
          <cell r="G29">
            <v>17055</v>
          </cell>
          <cell r="H29">
            <v>0</v>
          </cell>
          <cell r="I29">
            <v>76019</v>
          </cell>
        </row>
        <row r="30">
          <cell r="B30">
            <v>40</v>
          </cell>
          <cell r="C30">
            <v>6029</v>
          </cell>
          <cell r="D30">
            <v>28725</v>
          </cell>
          <cell r="E30">
            <v>5652</v>
          </cell>
          <cell r="F30">
            <v>5864</v>
          </cell>
          <cell r="G30">
            <v>4424</v>
          </cell>
          <cell r="H30">
            <v>0</v>
          </cell>
          <cell r="I30">
            <v>50734</v>
          </cell>
        </row>
        <row r="31">
          <cell r="B31">
            <v>5696</v>
          </cell>
          <cell r="C31">
            <v>5343</v>
          </cell>
          <cell r="D31">
            <v>6889</v>
          </cell>
          <cell r="E31">
            <v>10468</v>
          </cell>
          <cell r="F31">
            <v>1652</v>
          </cell>
          <cell r="G31">
            <v>3575</v>
          </cell>
          <cell r="H31">
            <v>0</v>
          </cell>
          <cell r="I31">
            <v>33623</v>
          </cell>
        </row>
        <row r="32">
          <cell r="B32">
            <v>9374</v>
          </cell>
          <cell r="C32">
            <v>43474</v>
          </cell>
          <cell r="D32">
            <v>15662</v>
          </cell>
          <cell r="E32">
            <v>11580</v>
          </cell>
          <cell r="F32">
            <v>16962</v>
          </cell>
          <cell r="G32">
            <v>5221</v>
          </cell>
          <cell r="H32">
            <v>466</v>
          </cell>
          <cell r="I32">
            <v>102739</v>
          </cell>
        </row>
        <row r="33">
          <cell r="B33">
            <v>2511</v>
          </cell>
          <cell r="C33">
            <v>2343</v>
          </cell>
          <cell r="D33">
            <v>4089</v>
          </cell>
          <cell r="E33">
            <v>3387</v>
          </cell>
          <cell r="F33">
            <v>654</v>
          </cell>
          <cell r="G33">
            <v>964</v>
          </cell>
          <cell r="H33">
            <v>0</v>
          </cell>
          <cell r="I33">
            <v>13948</v>
          </cell>
        </row>
        <row r="34">
          <cell r="B34">
            <v>206026</v>
          </cell>
          <cell r="C34">
            <v>290568</v>
          </cell>
          <cell r="D34">
            <v>388948</v>
          </cell>
          <cell r="E34">
            <v>216000</v>
          </cell>
          <cell r="F34">
            <v>89469</v>
          </cell>
          <cell r="G34">
            <v>68738</v>
          </cell>
          <cell r="H34">
            <v>9194</v>
          </cell>
          <cell r="I34">
            <v>1268943</v>
          </cell>
        </row>
      </sheetData>
      <sheetData sheetId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36000</v>
          </cell>
          <cell r="C7">
            <v>36000</v>
          </cell>
          <cell r="D7">
            <v>36000</v>
          </cell>
          <cell r="E7">
            <v>36000</v>
          </cell>
          <cell r="F7">
            <v>44600</v>
          </cell>
          <cell r="G7">
            <v>44600</v>
          </cell>
          <cell r="H7">
            <v>44600</v>
          </cell>
          <cell r="I7">
            <v>44600</v>
          </cell>
        </row>
        <row r="8">
          <cell r="B8">
            <v>35200</v>
          </cell>
          <cell r="C8">
            <v>47200</v>
          </cell>
          <cell r="D8">
            <v>55700</v>
          </cell>
          <cell r="E8">
            <v>64200</v>
          </cell>
          <cell r="F8">
            <v>45500</v>
          </cell>
          <cell r="G8">
            <v>54000</v>
          </cell>
          <cell r="H8">
            <v>62500</v>
          </cell>
          <cell r="I8">
            <v>71000</v>
          </cell>
        </row>
        <row r="9">
          <cell r="B9">
            <v>24000</v>
          </cell>
          <cell r="C9">
            <v>30300</v>
          </cell>
          <cell r="D9">
            <v>36700</v>
          </cell>
          <cell r="E9">
            <v>43000</v>
          </cell>
          <cell r="F9">
            <v>48700</v>
          </cell>
          <cell r="G9">
            <v>55000</v>
          </cell>
          <cell r="H9">
            <v>61400</v>
          </cell>
          <cell r="I9">
            <v>67700</v>
          </cell>
        </row>
        <row r="10">
          <cell r="B10">
            <v>20500</v>
          </cell>
          <cell r="C10">
            <v>26000</v>
          </cell>
          <cell r="D10">
            <v>30500</v>
          </cell>
          <cell r="E10">
            <v>37000</v>
          </cell>
          <cell r="F10">
            <v>42000</v>
          </cell>
          <cell r="G10">
            <v>48000</v>
          </cell>
          <cell r="H10">
            <v>55000</v>
          </cell>
          <cell r="I10">
            <v>55000</v>
          </cell>
        </row>
        <row r="11">
          <cell r="B11">
            <v>29999</v>
          </cell>
          <cell r="C11">
            <v>41999</v>
          </cell>
          <cell r="D11">
            <v>49499</v>
          </cell>
          <cell r="E11">
            <v>52499</v>
          </cell>
          <cell r="F11">
            <v>40499</v>
          </cell>
          <cell r="G11">
            <v>50999</v>
          </cell>
          <cell r="H11">
            <v>58499</v>
          </cell>
          <cell r="I11">
            <v>61499</v>
          </cell>
        </row>
        <row r="12">
          <cell r="B12">
            <v>28700</v>
          </cell>
          <cell r="C12">
            <v>36600</v>
          </cell>
          <cell r="D12">
            <v>44600</v>
          </cell>
          <cell r="E12">
            <v>52500</v>
          </cell>
          <cell r="F12">
            <v>59000</v>
          </cell>
          <cell r="G12">
            <v>66900</v>
          </cell>
          <cell r="H12">
            <v>74800</v>
          </cell>
          <cell r="I12">
            <v>82800</v>
          </cell>
        </row>
        <row r="13">
          <cell r="B13">
            <v>34000</v>
          </cell>
          <cell r="C13">
            <v>43000</v>
          </cell>
          <cell r="D13">
            <v>52000</v>
          </cell>
          <cell r="E13">
            <v>61000</v>
          </cell>
          <cell r="F13">
            <v>68000</v>
          </cell>
          <cell r="G13">
            <v>78000</v>
          </cell>
          <cell r="H13">
            <v>87000</v>
          </cell>
          <cell r="I13">
            <v>96000</v>
          </cell>
        </row>
        <row r="14">
          <cell r="B14">
            <v>36180</v>
          </cell>
          <cell r="C14">
            <v>45000</v>
          </cell>
          <cell r="D14">
            <v>46860</v>
          </cell>
          <cell r="E14">
            <v>50000</v>
          </cell>
          <cell r="F14">
            <v>50370</v>
          </cell>
          <cell r="G14">
            <v>56975</v>
          </cell>
          <cell r="H14">
            <v>60000</v>
          </cell>
          <cell r="I14">
            <v>66045</v>
          </cell>
        </row>
        <row r="15">
          <cell r="B15">
            <v>33500</v>
          </cell>
          <cell r="C15">
            <v>47600</v>
          </cell>
          <cell r="D15">
            <v>61600</v>
          </cell>
          <cell r="E15">
            <v>75700</v>
          </cell>
          <cell r="F15">
            <v>67900</v>
          </cell>
          <cell r="G15">
            <v>81900</v>
          </cell>
          <cell r="H15">
            <v>96000</v>
          </cell>
          <cell r="I15">
            <v>110000</v>
          </cell>
        </row>
        <row r="16">
          <cell r="B16">
            <v>35000</v>
          </cell>
          <cell r="C16">
            <v>52000</v>
          </cell>
          <cell r="D16">
            <v>61000</v>
          </cell>
          <cell r="E16">
            <v>70000</v>
          </cell>
          <cell r="F16">
            <v>52000</v>
          </cell>
          <cell r="G16">
            <v>61000</v>
          </cell>
          <cell r="H16">
            <v>70000</v>
          </cell>
          <cell r="I16">
            <v>79000</v>
          </cell>
        </row>
        <row r="17">
          <cell r="B17">
            <v>24900</v>
          </cell>
          <cell r="C17">
            <v>36100</v>
          </cell>
          <cell r="D17">
            <v>47300</v>
          </cell>
          <cell r="E17">
            <v>58500</v>
          </cell>
          <cell r="F17">
            <v>43900</v>
          </cell>
          <cell r="G17">
            <v>54100</v>
          </cell>
          <cell r="H17">
            <v>64300</v>
          </cell>
          <cell r="I17">
            <v>73500</v>
          </cell>
        </row>
        <row r="18">
          <cell r="B18">
            <v>39000</v>
          </cell>
          <cell r="C18">
            <v>39000</v>
          </cell>
          <cell r="D18">
            <v>39000</v>
          </cell>
          <cell r="E18">
            <v>39000</v>
          </cell>
          <cell r="F18">
            <v>64000</v>
          </cell>
          <cell r="G18">
            <v>74000</v>
          </cell>
          <cell r="H18">
            <v>82000</v>
          </cell>
          <cell r="I18">
            <v>88000</v>
          </cell>
        </row>
        <row r="19">
          <cell r="B19">
            <v>40000</v>
          </cell>
          <cell r="C19">
            <v>50000</v>
          </cell>
          <cell r="D19">
            <v>65000</v>
          </cell>
          <cell r="E19">
            <v>80000</v>
          </cell>
          <cell r="F19">
            <v>80000</v>
          </cell>
          <cell r="G19">
            <v>105000</v>
          </cell>
          <cell r="H19">
            <v>105000</v>
          </cell>
          <cell r="I19">
            <v>120000</v>
          </cell>
        </row>
        <row r="20">
          <cell r="B20">
            <v>26000</v>
          </cell>
          <cell r="C20">
            <v>32500</v>
          </cell>
          <cell r="D20">
            <v>39000</v>
          </cell>
          <cell r="E20">
            <v>45500</v>
          </cell>
          <cell r="F20">
            <v>46000</v>
          </cell>
          <cell r="G20">
            <v>52500</v>
          </cell>
          <cell r="H20">
            <v>59000</v>
          </cell>
          <cell r="I20">
            <v>65500</v>
          </cell>
        </row>
        <row r="21">
          <cell r="B21">
            <v>24272</v>
          </cell>
          <cell r="C21">
            <v>31664</v>
          </cell>
          <cell r="D21">
            <v>38295</v>
          </cell>
          <cell r="E21">
            <v>46449</v>
          </cell>
          <cell r="F21">
            <v>40143</v>
          </cell>
          <cell r="G21">
            <v>47535</v>
          </cell>
          <cell r="H21">
            <v>54927</v>
          </cell>
          <cell r="I21">
            <v>62320</v>
          </cell>
        </row>
        <row r="22">
          <cell r="B22">
            <v>31860</v>
          </cell>
          <cell r="C22">
            <v>40150</v>
          </cell>
          <cell r="D22">
            <v>48440</v>
          </cell>
          <cell r="E22">
            <v>56730</v>
          </cell>
          <cell r="F22">
            <v>63720</v>
          </cell>
          <cell r="G22">
            <v>72000</v>
          </cell>
          <cell r="H22">
            <v>80300</v>
          </cell>
          <cell r="I22">
            <v>88600</v>
          </cell>
        </row>
        <row r="23">
          <cell r="B23">
            <v>22500</v>
          </cell>
          <cell r="C23">
            <v>33200</v>
          </cell>
          <cell r="D23">
            <v>46400</v>
          </cell>
          <cell r="E23">
            <v>59600</v>
          </cell>
          <cell r="F23">
            <v>45000</v>
          </cell>
          <cell r="G23">
            <v>53200</v>
          </cell>
          <cell r="H23">
            <v>66400</v>
          </cell>
          <cell r="I23">
            <v>79600</v>
          </cell>
        </row>
        <row r="24">
          <cell r="B24">
            <v>26263</v>
          </cell>
          <cell r="C24">
            <v>30000</v>
          </cell>
          <cell r="D24">
            <v>36047</v>
          </cell>
          <cell r="E24">
            <v>40000</v>
          </cell>
          <cell r="F24">
            <v>43609</v>
          </cell>
          <cell r="G24">
            <v>49217</v>
          </cell>
          <cell r="H24">
            <v>50440</v>
          </cell>
          <cell r="I24">
            <v>55600</v>
          </cell>
        </row>
        <row r="25">
          <cell r="B25">
            <v>23800</v>
          </cell>
          <cell r="C25">
            <v>32600</v>
          </cell>
          <cell r="D25">
            <v>41500</v>
          </cell>
          <cell r="E25">
            <v>50400</v>
          </cell>
          <cell r="F25">
            <v>48800</v>
          </cell>
          <cell r="G25">
            <v>57600</v>
          </cell>
          <cell r="H25">
            <v>66500</v>
          </cell>
          <cell r="I25">
            <v>75400</v>
          </cell>
        </row>
        <row r="26">
          <cell r="B26">
            <v>29800</v>
          </cell>
          <cell r="C26">
            <v>29800</v>
          </cell>
          <cell r="D26">
            <v>29800</v>
          </cell>
          <cell r="E26">
            <v>29800</v>
          </cell>
          <cell r="F26">
            <v>34800</v>
          </cell>
          <cell r="G26">
            <v>34800</v>
          </cell>
          <cell r="H26">
            <v>34800</v>
          </cell>
          <cell r="I26">
            <v>34800</v>
          </cell>
        </row>
        <row r="27">
          <cell r="B27">
            <v>22000</v>
          </cell>
          <cell r="C27">
            <v>34000</v>
          </cell>
          <cell r="D27">
            <v>34000</v>
          </cell>
          <cell r="E27">
            <v>34000</v>
          </cell>
          <cell r="F27">
            <v>34000</v>
          </cell>
          <cell r="G27">
            <v>34000</v>
          </cell>
          <cell r="H27">
            <v>34000</v>
          </cell>
          <cell r="I27">
            <v>34000</v>
          </cell>
        </row>
        <row r="28">
          <cell r="B28">
            <v>30000</v>
          </cell>
          <cell r="C28">
            <v>52000</v>
          </cell>
          <cell r="D28">
            <v>59000</v>
          </cell>
          <cell r="E28">
            <v>66000</v>
          </cell>
          <cell r="F28">
            <v>45000</v>
          </cell>
          <cell r="G28">
            <v>52000</v>
          </cell>
          <cell r="H28">
            <v>59000</v>
          </cell>
          <cell r="I28">
            <v>66000</v>
          </cell>
        </row>
        <row r="29">
          <cell r="B29">
            <v>29000</v>
          </cell>
          <cell r="C29">
            <v>49650</v>
          </cell>
          <cell r="D29">
            <v>61150</v>
          </cell>
          <cell r="E29">
            <v>71650</v>
          </cell>
          <cell r="F29">
            <v>43500</v>
          </cell>
          <cell r="G29">
            <v>54000</v>
          </cell>
          <cell r="H29">
            <v>65500</v>
          </cell>
          <cell r="I29">
            <v>76000</v>
          </cell>
        </row>
        <row r="30">
          <cell r="B30">
            <v>40000</v>
          </cell>
          <cell r="C30">
            <v>49000</v>
          </cell>
          <cell r="D30">
            <v>58000</v>
          </cell>
          <cell r="E30">
            <v>67000</v>
          </cell>
          <cell r="F30">
            <v>59000</v>
          </cell>
          <cell r="G30">
            <v>68000</v>
          </cell>
          <cell r="H30">
            <v>77000</v>
          </cell>
          <cell r="I30">
            <v>86000</v>
          </cell>
        </row>
        <row r="31">
          <cell r="B31">
            <v>35000</v>
          </cell>
          <cell r="C31">
            <v>56000</v>
          </cell>
          <cell r="D31">
            <v>62000</v>
          </cell>
          <cell r="E31">
            <v>68000</v>
          </cell>
          <cell r="F31">
            <v>50000</v>
          </cell>
          <cell r="G31">
            <v>56000</v>
          </cell>
          <cell r="H31">
            <v>62000</v>
          </cell>
          <cell r="I31">
            <v>68000</v>
          </cell>
        </row>
        <row r="32">
          <cell r="B32">
            <v>33000</v>
          </cell>
          <cell r="C32">
            <v>47000</v>
          </cell>
          <cell r="D32">
            <v>51000</v>
          </cell>
          <cell r="E32">
            <v>57000</v>
          </cell>
          <cell r="F32">
            <v>38000</v>
          </cell>
          <cell r="G32">
            <v>47000</v>
          </cell>
          <cell r="H32">
            <v>51000</v>
          </cell>
          <cell r="I32">
            <v>57000</v>
          </cell>
        </row>
      </sheetData>
      <sheetData sheetId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2470.5</v>
          </cell>
          <cell r="C7" t="str">
            <v>–</v>
          </cell>
          <cell r="D7">
            <v>0.26510074357417535</v>
          </cell>
          <cell r="E7">
            <v>1815.5686129999999</v>
          </cell>
          <cell r="F7" t="str">
            <v>–</v>
          </cell>
          <cell r="G7">
            <v>1493.4959349999999</v>
          </cell>
          <cell r="H7" t="str">
            <v>–</v>
          </cell>
        </row>
        <row r="8">
          <cell r="B8">
            <v>2716.0039999999999</v>
          </cell>
          <cell r="C8">
            <v>9.9374215745800409E-2</v>
          </cell>
          <cell r="D8">
            <v>0.23152856917736497</v>
          </cell>
          <cell r="E8">
            <v>2087.17148</v>
          </cell>
          <cell r="F8">
            <v>0.14959658646621474</v>
          </cell>
          <cell r="G8">
            <v>1994.2314670000001</v>
          </cell>
          <cell r="H8">
            <v>0.33527746561961697</v>
          </cell>
        </row>
        <row r="9">
          <cell r="B9">
            <v>2972.5</v>
          </cell>
          <cell r="C9">
            <v>9.4438741621882774E-2</v>
          </cell>
          <cell r="D9">
            <v>0.23858957510513035</v>
          </cell>
          <cell r="E9">
            <v>2263.292488</v>
          </cell>
          <cell r="F9">
            <v>8.4382624852654686E-2</v>
          </cell>
          <cell r="G9">
            <v>2446.4709480000001</v>
          </cell>
          <cell r="H9">
            <v>0.22677381662236104</v>
          </cell>
        </row>
        <row r="10">
          <cell r="B10">
            <v>3270</v>
          </cell>
          <cell r="C10">
            <v>0.10008410428931876</v>
          </cell>
          <cell r="D10">
            <v>0.24261539724770631</v>
          </cell>
          <cell r="E10">
            <v>2476.6476510000002</v>
          </cell>
          <cell r="F10">
            <v>9.4267605327730042E-2</v>
          </cell>
          <cell r="G10">
            <v>2689.6721769999999</v>
          </cell>
          <cell r="H10">
            <v>9.9408999399243941E-2</v>
          </cell>
        </row>
        <row r="11">
          <cell r="B11">
            <v>3319.5</v>
          </cell>
          <cell r="C11">
            <v>1.5137614678899083E-2</v>
          </cell>
          <cell r="D11">
            <v>0.23698356288597677</v>
          </cell>
          <cell r="E11">
            <v>2532.833063</v>
          </cell>
          <cell r="F11">
            <v>2.2686074047438172E-2</v>
          </cell>
          <cell r="G11">
            <v>2545.3263492000001</v>
          </cell>
          <cell r="H11">
            <v>-5.3666699248456337E-2</v>
          </cell>
        </row>
        <row r="12">
          <cell r="B12">
            <v>3369</v>
          </cell>
          <cell r="C12">
            <v>1.4911884319927699E-2</v>
          </cell>
          <cell r="D12">
            <v>0.20699731491831064</v>
          </cell>
          <cell r="E12">
            <v>2671.6260460402113</v>
          </cell>
          <cell r="F12">
            <v>5.4797524980118008E-2</v>
          </cell>
          <cell r="G12">
            <v>2657.2488682500002</v>
          </cell>
          <cell r="H12">
            <v>4.3971775597725429E-2</v>
          </cell>
        </row>
        <row r="13">
          <cell r="B13">
            <v>3420</v>
          </cell>
          <cell r="C13">
            <v>1.5138023152270703E-2</v>
          </cell>
          <cell r="D13">
            <v>0.16729887017543854</v>
          </cell>
          <cell r="E13">
            <v>2847.8378640000001</v>
          </cell>
          <cell r="F13">
            <v>6.5956767497817884E-2</v>
          </cell>
          <cell r="G13" t="str">
            <v>–</v>
          </cell>
          <cell r="H13" t="str">
            <v>–</v>
          </cell>
        </row>
        <row r="14">
          <cell r="B14">
            <v>3471</v>
          </cell>
          <cell r="C14">
            <v>1.4912280701754385E-2</v>
          </cell>
          <cell r="D14" t="str">
            <v>–</v>
          </cell>
          <cell r="E14" t="str">
            <v>–</v>
          </cell>
          <cell r="F14" t="str">
            <v>–</v>
          </cell>
          <cell r="G14" t="str">
            <v>–</v>
          </cell>
          <cell r="H14" t="str">
            <v>–</v>
          </cell>
        </row>
      </sheetData>
      <sheetData sheetId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6">
          <cell r="B6">
            <v>1998</v>
          </cell>
        </row>
        <row r="7">
          <cell r="C7" t="str">
            <v>2001/02</v>
          </cell>
          <cell r="D7">
            <v>2000</v>
          </cell>
        </row>
        <row r="9">
          <cell r="B9">
            <v>1201200</v>
          </cell>
          <cell r="C9">
            <v>157</v>
          </cell>
          <cell r="D9">
            <v>101</v>
          </cell>
          <cell r="E9">
            <v>283462203.16971135</v>
          </cell>
          <cell r="F9">
            <v>285133672.57420468</v>
          </cell>
          <cell r="G9">
            <v>1.0058966217922627</v>
          </cell>
          <cell r="H9">
            <v>568595875.74391603</v>
          </cell>
          <cell r="I9">
            <v>2.6731727729627508E-3</v>
          </cell>
        </row>
        <row r="10">
          <cell r="B10">
            <v>947400</v>
          </cell>
          <cell r="C10">
            <v>66</v>
          </cell>
          <cell r="D10">
            <v>97</v>
          </cell>
          <cell r="E10">
            <v>341077023.24827003</v>
          </cell>
          <cell r="F10">
            <v>104036641.14424881</v>
          </cell>
          <cell r="G10">
            <v>0.30502389212104891</v>
          </cell>
          <cell r="H10">
            <v>445113664.39251888</v>
          </cell>
          <cell r="I10">
            <v>-1.1712970183838545E-2</v>
          </cell>
        </row>
        <row r="11">
          <cell r="B11">
            <v>341900</v>
          </cell>
          <cell r="C11">
            <v>72</v>
          </cell>
          <cell r="D11">
            <v>77</v>
          </cell>
          <cell r="E11">
            <v>113139789.46502876</v>
          </cell>
          <cell r="F11">
            <v>41459370.567679524</v>
          </cell>
          <cell r="G11">
            <v>0.366443766279895</v>
          </cell>
          <cell r="H11">
            <v>154599160.03270829</v>
          </cell>
          <cell r="I11">
            <v>1.4349634996230654E-2</v>
          </cell>
        </row>
        <row r="12">
          <cell r="B12">
            <v>34700</v>
          </cell>
          <cell r="C12">
            <v>67</v>
          </cell>
          <cell r="D12">
            <v>74</v>
          </cell>
          <cell r="E12">
            <v>11720653.549839299</v>
          </cell>
          <cell r="F12">
            <v>3878004.2534806076</v>
          </cell>
          <cell r="G12">
            <v>0.33086928446355951</v>
          </cell>
          <cell r="H12">
            <v>15598657.803319907</v>
          </cell>
          <cell r="I12">
            <v>1.4720621965368608E-2</v>
          </cell>
        </row>
        <row r="13">
          <cell r="B13">
            <v>125100</v>
          </cell>
          <cell r="C13">
            <v>96</v>
          </cell>
          <cell r="D13">
            <v>76</v>
          </cell>
          <cell r="E13">
            <v>36179008.660611346</v>
          </cell>
          <cell r="F13">
            <v>20277876.127539281</v>
          </cell>
          <cell r="G13">
            <v>0.56048733445856191</v>
          </cell>
          <cell r="H13">
            <v>56456884.788150623</v>
          </cell>
          <cell r="I13">
            <v>2.9231923251862302E-2</v>
          </cell>
        </row>
        <row r="14">
          <cell r="B14">
            <v>31800</v>
          </cell>
          <cell r="C14">
            <v>40</v>
          </cell>
          <cell r="D14">
            <v>73</v>
          </cell>
          <cell r="E14">
            <v>12563369.252881108</v>
          </cell>
          <cell r="F14">
            <v>1703590.8288173229</v>
          </cell>
          <cell r="G14">
            <v>0.13559983747406334</v>
          </cell>
          <cell r="H14">
            <v>14266960.081698431</v>
          </cell>
          <cell r="I14">
            <v>2.7042313707301258E-2</v>
          </cell>
        </row>
        <row r="15">
          <cell r="B15">
            <v>36300</v>
          </cell>
          <cell r="C15">
            <v>124</v>
          </cell>
          <cell r="D15">
            <v>69</v>
          </cell>
          <cell r="E15">
            <v>8858940.8021972291</v>
          </cell>
          <cell r="F15">
            <v>7298789.743362736</v>
          </cell>
          <cell r="G15">
            <v>0.82388966201833769</v>
          </cell>
          <cell r="H15">
            <v>16157730.545559965</v>
          </cell>
          <cell r="I15">
            <v>2.4248206240041537E-2</v>
          </cell>
        </row>
        <row r="16">
          <cell r="B16">
            <v>38300</v>
          </cell>
          <cell r="C16">
            <v>78</v>
          </cell>
          <cell r="D16">
            <v>74</v>
          </cell>
          <cell r="E16">
            <v>12154041.309216226</v>
          </cell>
          <cell r="F16">
            <v>5062921.050067706</v>
          </cell>
          <cell r="G16">
            <v>0.41656276470185843</v>
          </cell>
          <cell r="H16">
            <v>17216962.359283932</v>
          </cell>
          <cell r="I16">
            <v>1.1269679216705297E-2</v>
          </cell>
        </row>
        <row r="17">
          <cell r="B17">
            <v>95700</v>
          </cell>
          <cell r="C17">
            <v>218</v>
          </cell>
          <cell r="D17">
            <v>74</v>
          </cell>
          <cell r="E17">
            <v>15809695.869843952</v>
          </cell>
          <cell r="F17">
            <v>27210233.576199718</v>
          </cell>
          <cell r="G17">
            <v>1.7211105008099243</v>
          </cell>
          <cell r="H17">
            <v>43019929.44604367</v>
          </cell>
          <cell r="I17">
            <v>3.3528752255920891E-2</v>
          </cell>
        </row>
        <row r="18">
          <cell r="B18">
            <v>232900</v>
          </cell>
          <cell r="C18">
            <v>52</v>
          </cell>
          <cell r="D18">
            <v>97</v>
          </cell>
          <cell r="E18">
            <v>90572178.333998203</v>
          </cell>
          <cell r="F18">
            <v>18850422.929478303</v>
          </cell>
          <cell r="G18">
            <v>0.20812597506449057</v>
          </cell>
          <cell r="H18">
            <v>109422601.26347651</v>
          </cell>
          <cell r="I18">
            <v>3.0607488392651705E-2</v>
          </cell>
        </row>
        <row r="19">
          <cell r="B19">
            <v>240700</v>
          </cell>
          <cell r="C19">
            <v>87</v>
          </cell>
          <cell r="D19">
            <v>96</v>
          </cell>
          <cell r="E19">
            <v>77332424.789312989</v>
          </cell>
          <cell r="F19">
            <v>35542405.769827507</v>
          </cell>
          <cell r="G19">
            <v>0.45960547424525239</v>
          </cell>
          <cell r="H19">
            <v>112874830.5591405</v>
          </cell>
          <cell r="I19">
            <v>2.624877419698679E-2</v>
          </cell>
        </row>
        <row r="20">
          <cell r="B20">
            <v>194800</v>
          </cell>
          <cell r="C20">
            <v>158</v>
          </cell>
          <cell r="D20">
            <v>133</v>
          </cell>
          <cell r="E20">
            <v>51283160.970772862</v>
          </cell>
          <cell r="F20">
            <v>46427844.217069358</v>
          </cell>
          <cell r="G20">
            <v>0.90532337200371416</v>
          </cell>
          <cell r="H20">
            <v>97711005.18784222</v>
          </cell>
          <cell r="I20">
            <v>1.8494147740736988E-2</v>
          </cell>
        </row>
        <row r="21">
          <cell r="B21">
            <v>253900</v>
          </cell>
          <cell r="C21">
            <v>120</v>
          </cell>
          <cell r="D21">
            <v>101</v>
          </cell>
          <cell r="E21">
            <v>70419767.445830196</v>
          </cell>
          <cell r="F21">
            <v>49765458.038169354</v>
          </cell>
          <cell r="G21">
            <v>0.70669727894871293</v>
          </cell>
          <cell r="H21">
            <v>120185225.48399955</v>
          </cell>
          <cell r="I21">
            <v>2.5467821057617801E-2</v>
          </cell>
        </row>
        <row r="22">
          <cell r="B22">
            <v>73200</v>
          </cell>
          <cell r="C22">
            <v>106</v>
          </cell>
          <cell r="D22">
            <v>91</v>
          </cell>
          <cell r="E22">
            <v>21047920.562048391</v>
          </cell>
          <cell r="F22">
            <v>12955788.252057454</v>
          </cell>
          <cell r="G22">
            <v>0.61553768287296273</v>
          </cell>
          <cell r="H22">
            <v>34003708.814105846</v>
          </cell>
          <cell r="I22">
            <v>1.5069020720339443E-2</v>
          </cell>
        </row>
        <row r="23">
          <cell r="B23">
            <v>53500</v>
          </cell>
          <cell r="C23">
            <v>59</v>
          </cell>
          <cell r="D23">
            <v>71</v>
          </cell>
          <cell r="E23">
            <v>18784667.961378366</v>
          </cell>
          <cell r="F23">
            <v>5123494.6266908441</v>
          </cell>
          <cell r="G23">
            <v>0.27274874579762848</v>
          </cell>
          <cell r="H23">
            <v>23908162.588069208</v>
          </cell>
          <cell r="I23">
            <v>1.6809418857016922E-2</v>
          </cell>
        </row>
        <row r="24">
          <cell r="B24">
            <v>14500</v>
          </cell>
          <cell r="C24">
            <v>60</v>
          </cell>
          <cell r="D24">
            <v>63</v>
          </cell>
          <cell r="E24">
            <v>4959025.482833853</v>
          </cell>
          <cell r="F24">
            <v>1418386.9154987824</v>
          </cell>
          <cell r="G24">
            <v>0.28602130003337672</v>
          </cell>
          <cell r="H24">
            <v>6377412.3983326349</v>
          </cell>
          <cell r="I24">
            <v>1.8665173029726034E-2</v>
          </cell>
        </row>
        <row r="25">
          <cell r="B25">
            <v>443800</v>
          </cell>
          <cell r="C25">
            <v>82</v>
          </cell>
          <cell r="D25">
            <v>78</v>
          </cell>
          <cell r="E25">
            <v>139290390.20831907</v>
          </cell>
          <cell r="F25">
            <v>61777212.99437882</v>
          </cell>
          <cell r="G25">
            <v>0.44351381959650221</v>
          </cell>
          <cell r="H25">
            <v>201067603.20269787</v>
          </cell>
          <cell r="I25">
            <v>1.371368851348409E-2</v>
          </cell>
        </row>
        <row r="26">
          <cell r="B26">
            <v>187300</v>
          </cell>
          <cell r="C26">
            <v>75</v>
          </cell>
          <cell r="D26">
            <v>73</v>
          </cell>
          <cell r="E26">
            <v>60283759.004766636</v>
          </cell>
          <cell r="F26">
            <v>23747738.583350219</v>
          </cell>
          <cell r="G26">
            <v>0.39393261096197546</v>
          </cell>
          <cell r="H26">
            <v>84031497.588116854</v>
          </cell>
          <cell r="I26">
            <v>1.9899166067449681E-3</v>
          </cell>
        </row>
        <row r="27">
          <cell r="B27">
            <v>533200</v>
          </cell>
          <cell r="C27">
            <v>100</v>
          </cell>
          <cell r="D27">
            <v>83</v>
          </cell>
          <cell r="E27">
            <v>154244200.68358219</v>
          </cell>
          <cell r="F27">
            <v>89679625.610353902</v>
          </cell>
          <cell r="G27">
            <v>0.58141327332185033</v>
          </cell>
          <cell r="H27">
            <v>243923826.29393607</v>
          </cell>
          <cell r="I27">
            <v>3.0874691501307616E-2</v>
          </cell>
        </row>
        <row r="28">
          <cell r="B28">
            <v>225700</v>
          </cell>
          <cell r="C28">
            <v>87</v>
          </cell>
          <cell r="D28">
            <v>85</v>
          </cell>
          <cell r="E28">
            <v>70322221.863297105</v>
          </cell>
          <cell r="F28">
            <v>33327465.651225872</v>
          </cell>
          <cell r="G28">
            <v>0.47392509463100874</v>
          </cell>
          <cell r="H28">
            <v>103649687.51452297</v>
          </cell>
          <cell r="I28">
            <v>2.5580037160671143E-2</v>
          </cell>
        </row>
        <row r="29">
          <cell r="B29">
            <v>301800</v>
          </cell>
          <cell r="C29">
            <v>78</v>
          </cell>
          <cell r="D29">
            <v>117</v>
          </cell>
          <cell r="E29">
            <v>107225130.02605823</v>
          </cell>
          <cell r="F29">
            <v>39895289.109932989</v>
          </cell>
          <cell r="G29">
            <v>0.37207032624010339</v>
          </cell>
          <cell r="H29">
            <v>147120419.13599122</v>
          </cell>
          <cell r="I29">
            <v>2.4262462191641632E-2</v>
          </cell>
        </row>
        <row r="30">
          <cell r="B30">
            <v>619900</v>
          </cell>
          <cell r="C30">
            <v>95</v>
          </cell>
          <cell r="D30">
            <v>130</v>
          </cell>
          <cell r="E30">
            <v>209780313.74042439</v>
          </cell>
          <cell r="F30">
            <v>99518193.831426635</v>
          </cell>
          <cell r="G30">
            <v>0.47439243490963284</v>
          </cell>
          <cell r="H30">
            <v>309298507.57185102</v>
          </cell>
          <cell r="I30">
            <v>2.417265613049735E-2</v>
          </cell>
        </row>
        <row r="31">
          <cell r="B31">
            <v>270300</v>
          </cell>
          <cell r="C31">
            <v>30</v>
          </cell>
          <cell r="D31">
            <v>81</v>
          </cell>
          <cell r="E31">
            <v>115408057.04050756</v>
          </cell>
          <cell r="F31">
            <v>7769421.3808267862</v>
          </cell>
          <cell r="G31">
            <v>6.7321308235002736E-2</v>
          </cell>
          <cell r="H31">
            <v>123177478.42133434</v>
          </cell>
          <cell r="I31">
            <v>1.2044782471517967E-2</v>
          </cell>
        </row>
        <row r="32">
          <cell r="B32">
            <v>166000</v>
          </cell>
          <cell r="C32">
            <v>58</v>
          </cell>
          <cell r="D32">
            <v>120</v>
          </cell>
          <cell r="E32">
            <v>65806926.520887151</v>
          </cell>
          <cell r="F32">
            <v>15553663.706391558</v>
          </cell>
          <cell r="G32">
            <v>0.23635298787970013</v>
          </cell>
          <cell r="H32">
            <v>81360590.227278709</v>
          </cell>
          <cell r="I32">
            <v>2.0605151332639737E-2</v>
          </cell>
        </row>
        <row r="33">
          <cell r="B33">
            <v>400600</v>
          </cell>
          <cell r="C33">
            <v>130</v>
          </cell>
          <cell r="D33">
            <v>151</v>
          </cell>
          <cell r="E33">
            <v>123827169.31303599</v>
          </cell>
          <cell r="F33">
            <v>83475933.046544403</v>
          </cell>
          <cell r="G33">
            <v>0.67413261168489313</v>
          </cell>
          <cell r="H33">
            <v>207303102.3595804</v>
          </cell>
          <cell r="I33">
            <v>3.8004804761605726E-2</v>
          </cell>
        </row>
        <row r="34">
          <cell r="B34">
            <v>67400</v>
          </cell>
          <cell r="C34">
            <v>31</v>
          </cell>
          <cell r="D34">
            <v>112</v>
          </cell>
          <cell r="E34">
            <v>30447960.725347478</v>
          </cell>
          <cell r="F34">
            <v>2110555.4711765051</v>
          </cell>
          <cell r="G34">
            <v>6.9316808774634905E-2</v>
          </cell>
          <cell r="H34">
            <v>32558516.196523983</v>
          </cell>
          <cell r="I34">
            <v>2.2706764436904558E-2</v>
          </cell>
        </row>
        <row r="35">
          <cell r="B35">
            <v>7131900</v>
          </cell>
          <cell r="C35">
            <v>100</v>
          </cell>
          <cell r="D35">
            <v>100</v>
          </cell>
          <cell r="E35">
            <v>2246000000</v>
          </cell>
          <cell r="F35">
            <v>1123000000</v>
          </cell>
          <cell r="G35">
            <v>0.5</v>
          </cell>
          <cell r="H35">
            <v>3368999999.999999</v>
          </cell>
          <cell r="I35">
            <v>1.4911884319927404E-2</v>
          </cell>
        </row>
      </sheetData>
      <sheetData sheetId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an-1"/>
      <sheetName val="data an"/>
    </sheetNames>
    <sheetDataSet>
      <sheetData sheetId="0">
        <row r="2">
          <cell r="B2">
            <v>2001</v>
          </cell>
        </row>
      </sheetData>
      <sheetData sheetId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8">
          <cell r="B8">
            <v>0.34135998058188621</v>
          </cell>
          <cell r="C8">
            <v>186699551</v>
          </cell>
          <cell r="D8">
            <v>187800449</v>
          </cell>
          <cell r="E8">
            <v>374500000</v>
          </cell>
          <cell r="F8">
            <v>0.65864002180815528</v>
          </cell>
          <cell r="G8">
            <v>0.3208013607632727</v>
          </cell>
        </row>
        <row r="9">
          <cell r="B9">
            <v>0</v>
          </cell>
          <cell r="C9">
            <v>341077023.24827003</v>
          </cell>
          <cell r="D9">
            <v>104036641.14424881</v>
          </cell>
          <cell r="E9">
            <v>445113664.39251888</v>
          </cell>
          <cell r="F9">
            <v>1</v>
          </cell>
          <cell r="G9">
            <v>-1.1712970183838545E-2</v>
          </cell>
        </row>
        <row r="10">
          <cell r="B10">
            <v>0.41526212561630227</v>
          </cell>
          <cell r="C10">
            <v>66157120</v>
          </cell>
          <cell r="D10">
            <v>24242880</v>
          </cell>
          <cell r="E10">
            <v>90400000</v>
          </cell>
          <cell r="F10">
            <v>0.58473797646037806</v>
          </cell>
          <cell r="G10">
            <v>0.18625750598203816</v>
          </cell>
        </row>
        <row r="11">
          <cell r="B11">
            <v>0.4</v>
          </cell>
          <cell r="C11">
            <v>7032392.1299035791</v>
          </cell>
          <cell r="D11">
            <v>2326802</v>
          </cell>
          <cell r="E11">
            <v>9359194.1299035791</v>
          </cell>
          <cell r="F11">
            <v>0.59999996460667504</v>
          </cell>
          <cell r="G11">
            <v>-6.798797284038649E-3</v>
          </cell>
        </row>
        <row r="12">
          <cell r="B12">
            <v>0.5</v>
          </cell>
          <cell r="C12">
            <v>18089504.330305673</v>
          </cell>
          <cell r="D12">
            <v>10138938.06376964</v>
          </cell>
          <cell r="E12">
            <v>28228442.394075312</v>
          </cell>
          <cell r="F12">
            <v>0.5</v>
          </cell>
          <cell r="G12">
            <v>2.9231923251862302E-2</v>
          </cell>
        </row>
        <row r="13">
          <cell r="B13">
            <v>0</v>
          </cell>
          <cell r="C13">
            <v>12563369.252881108</v>
          </cell>
          <cell r="D13">
            <v>1703590.8288173229</v>
          </cell>
          <cell r="E13">
            <v>14266960.081698431</v>
          </cell>
          <cell r="F13">
            <v>1</v>
          </cell>
          <cell r="G13">
            <v>2.7042313707301258E-2</v>
          </cell>
        </row>
        <row r="14">
          <cell r="B14">
            <v>0.5</v>
          </cell>
          <cell r="C14">
            <v>4429470.4010986146</v>
          </cell>
          <cell r="D14">
            <v>3649394.871681368</v>
          </cell>
          <cell r="E14">
            <v>8078865.2727799825</v>
          </cell>
          <cell r="F14">
            <v>0.5</v>
          </cell>
          <cell r="G14">
            <v>2.4248206240041537E-2</v>
          </cell>
        </row>
        <row r="15">
          <cell r="B15">
            <v>0.4</v>
          </cell>
          <cell r="C15">
            <v>7292424.7855297355</v>
          </cell>
          <cell r="D15">
            <v>3037752.6300406237</v>
          </cell>
          <cell r="E15">
            <v>10330177.41557036</v>
          </cell>
          <cell r="F15">
            <v>0.60000000000000009</v>
          </cell>
          <cell r="G15">
            <v>1.1269679216705297E-2</v>
          </cell>
        </row>
        <row r="16">
          <cell r="B16">
            <v>0.5</v>
          </cell>
          <cell r="C16">
            <v>7904847.9349219762</v>
          </cell>
          <cell r="D16">
            <v>13605116.788099859</v>
          </cell>
          <cell r="E16">
            <v>21509964.723021835</v>
          </cell>
          <cell r="F16">
            <v>0.5</v>
          </cell>
          <cell r="G16">
            <v>3.3528752255920891E-2</v>
          </cell>
        </row>
        <row r="17">
          <cell r="B17">
            <v>0</v>
          </cell>
          <cell r="C17">
            <v>90572178.333998203</v>
          </cell>
          <cell r="D17">
            <v>18850422.929478303</v>
          </cell>
          <cell r="E17">
            <v>109422601.26347651</v>
          </cell>
          <cell r="F17">
            <v>1</v>
          </cell>
          <cell r="G17">
            <v>3.0607488392651705E-2</v>
          </cell>
        </row>
        <row r="18">
          <cell r="B18">
            <v>0.4</v>
          </cell>
          <cell r="C18">
            <v>46399454.873587795</v>
          </cell>
          <cell r="D18">
            <v>21325444.461896505</v>
          </cell>
          <cell r="E18">
            <v>67724899.335484296</v>
          </cell>
          <cell r="F18">
            <v>0.60000000885937099</v>
          </cell>
          <cell r="G18">
            <v>2.6248789350184376E-2</v>
          </cell>
        </row>
        <row r="19">
          <cell r="B19">
            <v>0</v>
          </cell>
          <cell r="C19">
            <v>51283160.970772862</v>
          </cell>
          <cell r="D19">
            <v>46427844.217069358</v>
          </cell>
          <cell r="E19">
            <v>97711005.18784222</v>
          </cell>
          <cell r="F19">
            <v>1</v>
          </cell>
          <cell r="G19">
            <v>1.8494147740736988E-2</v>
          </cell>
        </row>
        <row r="20">
          <cell r="B20">
            <v>0.4120968940738608</v>
          </cell>
          <cell r="C20">
            <v>41400000</v>
          </cell>
          <cell r="D20">
            <v>29200000</v>
          </cell>
          <cell r="E20">
            <v>70600000</v>
          </cell>
          <cell r="F20">
            <v>0.58742661350998659</v>
          </cell>
          <cell r="G20">
            <v>2.533972661675099E-2</v>
          </cell>
        </row>
        <row r="21">
          <cell r="B21">
            <v>0.38242711617612785</v>
          </cell>
          <cell r="C21">
            <v>12998625</v>
          </cell>
          <cell r="D21">
            <v>8001375</v>
          </cell>
          <cell r="E21">
            <v>21000000</v>
          </cell>
          <cell r="F21">
            <v>0.61757969152142944</v>
          </cell>
          <cell r="G21">
            <v>-3.2284636169455427E-2</v>
          </cell>
        </row>
        <row r="22">
          <cell r="B22">
            <v>0.26</v>
          </cell>
          <cell r="C22">
            <v>13900654.29141999</v>
          </cell>
          <cell r="D22">
            <v>3791387.0237512244</v>
          </cell>
          <cell r="E22">
            <v>17692041.315171216</v>
          </cell>
          <cell r="F22">
            <v>0.74000004182671919</v>
          </cell>
          <cell r="G22">
            <v>-0.11477763237177097</v>
          </cell>
        </row>
        <row r="23">
          <cell r="B23">
            <v>0.3</v>
          </cell>
          <cell r="C23">
            <v>3471317.8379836967</v>
          </cell>
          <cell r="D23">
            <v>992869.84084914764</v>
          </cell>
          <cell r="E23">
            <v>4464187.6788328439</v>
          </cell>
          <cell r="F23">
            <v>0.6999998431965917</v>
          </cell>
          <cell r="G23">
            <v>1.8664944843767239E-2</v>
          </cell>
        </row>
        <row r="24">
          <cell r="B24">
            <v>0.46</v>
          </cell>
          <cell r="C24">
            <v>75216810.712492302</v>
          </cell>
          <cell r="D24">
            <v>33359695.016964566</v>
          </cell>
          <cell r="E24">
            <v>108576505.72945687</v>
          </cell>
          <cell r="F24">
            <v>0.54000000000000015</v>
          </cell>
          <cell r="G24">
            <v>1.371368851348409E-2</v>
          </cell>
        </row>
        <row r="25">
          <cell r="B25">
            <v>0.45</v>
          </cell>
          <cell r="C25">
            <v>33156067.452621654</v>
          </cell>
          <cell r="D25">
            <v>13061256.220842622</v>
          </cell>
          <cell r="E25">
            <v>46217323.673464276</v>
          </cell>
          <cell r="F25">
            <v>0.55000000000000004</v>
          </cell>
          <cell r="G25">
            <v>2.8929152602146457E-2</v>
          </cell>
        </row>
        <row r="26">
          <cell r="B26">
            <v>0.5</v>
          </cell>
          <cell r="C26">
            <v>77122100.341791093</v>
          </cell>
          <cell r="D26">
            <v>44839812.805176951</v>
          </cell>
          <cell r="E26">
            <v>121961913.14696804</v>
          </cell>
          <cell r="F26">
            <v>0.5</v>
          </cell>
          <cell r="G26">
            <v>3.0874691501307616E-2</v>
          </cell>
        </row>
        <row r="27">
          <cell r="B27">
            <v>0</v>
          </cell>
          <cell r="C27">
            <v>70322221.863297105</v>
          </cell>
          <cell r="D27">
            <v>33327465.651225872</v>
          </cell>
          <cell r="E27">
            <v>103649687.51452297</v>
          </cell>
          <cell r="F27">
            <v>1</v>
          </cell>
          <cell r="G27">
            <v>2.5580037160671143E-2</v>
          </cell>
        </row>
        <row r="28">
          <cell r="B28">
            <v>0</v>
          </cell>
          <cell r="C28">
            <v>107225130.02605823</v>
          </cell>
          <cell r="D28">
            <v>39895289.109932989</v>
          </cell>
          <cell r="E28">
            <v>147120419.13599122</v>
          </cell>
          <cell r="F28">
            <v>1</v>
          </cell>
          <cell r="G28">
            <v>2.4262462191641632E-2</v>
          </cell>
        </row>
        <row r="29">
          <cell r="B29">
            <v>0</v>
          </cell>
          <cell r="C29">
            <v>209780313.74042439</v>
          </cell>
          <cell r="D29">
            <v>99518193.831426635</v>
          </cell>
          <cell r="E29">
            <v>309298507.57185102</v>
          </cell>
          <cell r="F29">
            <v>1</v>
          </cell>
          <cell r="G29">
            <v>2.417265613049735E-2</v>
          </cell>
        </row>
        <row r="30">
          <cell r="B30">
            <v>0</v>
          </cell>
          <cell r="C30">
            <v>115408057.04050756</v>
          </cell>
          <cell r="D30">
            <v>7769421.3808267862</v>
          </cell>
          <cell r="E30">
            <v>123177478.42133434</v>
          </cell>
          <cell r="F30">
            <v>1</v>
          </cell>
          <cell r="G30">
            <v>1.2044782471517967E-2</v>
          </cell>
        </row>
        <row r="31">
          <cell r="B31">
            <v>0</v>
          </cell>
          <cell r="C31">
            <v>65806926.520887151</v>
          </cell>
          <cell r="D31">
            <v>15553663.706391558</v>
          </cell>
          <cell r="E31">
            <v>81360590.227278709</v>
          </cell>
          <cell r="F31">
            <v>1</v>
          </cell>
          <cell r="G31">
            <v>2.0605151332639737E-2</v>
          </cell>
        </row>
        <row r="32">
          <cell r="B32">
            <v>0</v>
          </cell>
          <cell r="C32">
            <v>123827169.31303599</v>
          </cell>
          <cell r="D32">
            <v>83475933.046544403</v>
          </cell>
          <cell r="E32">
            <v>207303102.3595804</v>
          </cell>
          <cell r="F32">
            <v>1</v>
          </cell>
          <cell r="G32">
            <v>3.8004804761605726E-2</v>
          </cell>
        </row>
        <row r="33">
          <cell r="B33">
            <v>0</v>
          </cell>
          <cell r="C33">
            <v>30447960.725347478</v>
          </cell>
          <cell r="D33">
            <v>2110555.4711765051</v>
          </cell>
          <cell r="E33">
            <v>32558516.196523983</v>
          </cell>
          <cell r="F33">
            <v>1</v>
          </cell>
          <cell r="G33">
            <v>2.2706764436904558E-2</v>
          </cell>
        </row>
        <row r="34">
          <cell r="B34">
            <v>0.20699731458374926</v>
          </cell>
          <cell r="C34">
            <v>1819583852.1271365</v>
          </cell>
          <cell r="D34">
            <v>852042195.0402112</v>
          </cell>
          <cell r="E34">
            <v>2671626047.1673479</v>
          </cell>
          <cell r="F34">
            <v>0.79300268541625074</v>
          </cell>
          <cell r="G34">
            <v>5.479752542512828E-2</v>
          </cell>
        </row>
      </sheetData>
      <sheetData sheetId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8">
          <cell r="B8">
            <v>374440101.64999998</v>
          </cell>
          <cell r="C8">
            <v>1881452.05</v>
          </cell>
          <cell r="D8">
            <v>376321553.69999999</v>
          </cell>
          <cell r="E8">
            <v>4.6251030239507156E-2</v>
          </cell>
          <cell r="F8">
            <v>1445.2172068159036</v>
          </cell>
          <cell r="G8">
            <v>943.90224336384176</v>
          </cell>
        </row>
        <row r="9">
          <cell r="B9">
            <v>443919470.14999998</v>
          </cell>
          <cell r="C9">
            <v>1163018.75</v>
          </cell>
          <cell r="D9">
            <v>445082488.89999998</v>
          </cell>
          <cell r="E9">
            <v>-9.7418380215126433E-3</v>
          </cell>
          <cell r="F9">
            <v>2177.2729398009997</v>
          </cell>
          <cell r="G9">
            <v>1270.6658736706872</v>
          </cell>
        </row>
        <row r="10">
          <cell r="B10">
            <v>96237242.950000003</v>
          </cell>
          <cell r="C10">
            <v>0</v>
          </cell>
          <cell r="D10">
            <v>96237242.950000003</v>
          </cell>
          <cell r="E10">
            <v>9.0843570461673309E-2</v>
          </cell>
          <cell r="F10">
            <v>1826.4455590138734</v>
          </cell>
          <cell r="G10">
            <v>774.52651404795063</v>
          </cell>
        </row>
        <row r="11">
          <cell r="B11">
            <v>8041201</v>
          </cell>
          <cell r="C11">
            <v>239747</v>
          </cell>
          <cell r="D11">
            <v>8280948</v>
          </cell>
          <cell r="E11">
            <v>-0.17325436619979856</v>
          </cell>
          <cell r="F11">
            <v>1757.0439210693826</v>
          </cell>
          <cell r="G11">
            <v>704.1023722472579</v>
          </cell>
        </row>
        <row r="12">
          <cell r="B12">
            <v>28445140.25</v>
          </cell>
          <cell r="C12">
            <v>0</v>
          </cell>
          <cell r="D12">
            <v>28445140.25</v>
          </cell>
          <cell r="E12">
            <v>3.4843985641740585E-2</v>
          </cell>
          <cell r="F12">
            <v>1597.6825572904966</v>
          </cell>
          <cell r="G12">
            <v>890.44107841602749</v>
          </cell>
        </row>
        <row r="13">
          <cell r="B13">
            <v>12062616</v>
          </cell>
          <cell r="C13">
            <v>0</v>
          </cell>
          <cell r="D13">
            <v>12062616</v>
          </cell>
          <cell r="E13">
            <v>5.7778298465203659E-2</v>
          </cell>
          <cell r="F13">
            <v>1690.3890134529147</v>
          </cell>
          <cell r="G13">
            <v>738.09068102551555</v>
          </cell>
        </row>
        <row r="14">
          <cell r="B14">
            <v>9903862</v>
          </cell>
          <cell r="C14">
            <v>378311</v>
          </cell>
          <cell r="D14">
            <v>10282173</v>
          </cell>
          <cell r="E14">
            <v>0.38514322156099057</v>
          </cell>
          <cell r="F14">
            <v>1322.2959104938273</v>
          </cell>
          <cell r="G14">
            <v>620.08038837293452</v>
          </cell>
        </row>
        <row r="15">
          <cell r="B15">
            <v>10167991.5</v>
          </cell>
          <cell r="C15">
            <v>1768.2</v>
          </cell>
          <cell r="D15">
            <v>10169759.699999999</v>
          </cell>
          <cell r="E15">
            <v>3.9227196047270693E-2</v>
          </cell>
          <cell r="F15">
            <v>1911.6089661654134</v>
          </cell>
          <cell r="G15">
            <v>1000.6651284069663</v>
          </cell>
        </row>
        <row r="16">
          <cell r="B16">
            <v>25867753</v>
          </cell>
          <cell r="C16">
            <v>1087118</v>
          </cell>
          <cell r="D16">
            <v>26954871</v>
          </cell>
          <cell r="E16">
            <v>0.12319179007251216</v>
          </cell>
          <cell r="F16">
            <v>1423.4722750316857</v>
          </cell>
          <cell r="G16">
            <v>723.58184795447221</v>
          </cell>
        </row>
        <row r="17">
          <cell r="B17">
            <v>104999033.7</v>
          </cell>
          <cell r="C17">
            <v>0</v>
          </cell>
          <cell r="D17">
            <v>104999033.7</v>
          </cell>
          <cell r="E17">
            <v>2.710732609324995E-3</v>
          </cell>
          <cell r="F17">
            <v>2760.8075751998317</v>
          </cell>
          <cell r="G17">
            <v>1109.1642497227065</v>
          </cell>
        </row>
        <row r="18">
          <cell r="B18">
            <v>62367949.649999999</v>
          </cell>
          <cell r="C18">
            <v>4030296.35</v>
          </cell>
          <cell r="D18">
            <v>66398246</v>
          </cell>
          <cell r="E18">
            <v>0.14324903969644681</v>
          </cell>
          <cell r="F18">
            <v>2502.5722146841549</v>
          </cell>
          <cell r="G18">
            <v>937.02101296905209</v>
          </cell>
        </row>
        <row r="19">
          <cell r="B19">
            <v>90306536</v>
          </cell>
          <cell r="C19">
            <v>102610</v>
          </cell>
          <cell r="D19">
            <v>90409146</v>
          </cell>
          <cell r="E19">
            <v>1.6049314134386417E-2</v>
          </cell>
          <cell r="F19">
            <v>3299.2426376674089</v>
          </cell>
          <cell r="G19">
            <v>1616.3251273799947</v>
          </cell>
        </row>
        <row r="20">
          <cell r="B20">
            <v>75818869.599999994</v>
          </cell>
          <cell r="C20">
            <v>11940841.199999999</v>
          </cell>
          <cell r="D20">
            <v>87759710.799999997</v>
          </cell>
          <cell r="E20">
            <v>0.34452627157455284</v>
          </cell>
          <cell r="F20">
            <v>1776.944010690856</v>
          </cell>
          <cell r="G20">
            <v>826.8998765676381</v>
          </cell>
        </row>
        <row r="21">
          <cell r="B21">
            <v>21087974.850000001</v>
          </cell>
          <cell r="C21">
            <v>666344.75</v>
          </cell>
          <cell r="D21">
            <v>21754319.600000001</v>
          </cell>
          <cell r="E21">
            <v>-9.7843859216650328E-2</v>
          </cell>
          <cell r="F21">
            <v>1840.155608188124</v>
          </cell>
          <cell r="G21">
            <v>901.09848396984512</v>
          </cell>
        </row>
        <row r="22">
          <cell r="B22">
            <v>17653650.449999999</v>
          </cell>
          <cell r="C22">
            <v>356177.35</v>
          </cell>
          <cell r="D22">
            <v>18009827.800000001</v>
          </cell>
          <cell r="E22">
            <v>6.0228657303288337E-2</v>
          </cell>
          <cell r="F22">
            <v>3140.8838158353683</v>
          </cell>
          <cell r="G22">
            <v>1190.968641714059</v>
          </cell>
        </row>
        <row r="23">
          <cell r="B23">
            <v>4891527.5999999996</v>
          </cell>
          <cell r="C23">
            <v>75617</v>
          </cell>
          <cell r="D23">
            <v>4967144.5999999996</v>
          </cell>
          <cell r="E23">
            <v>8.9425619421434593E-2</v>
          </cell>
          <cell r="F23">
            <v>1506.1081261370527</v>
          </cell>
          <cell r="G23">
            <v>564.83336365703883</v>
          </cell>
        </row>
        <row r="24">
          <cell r="B24">
            <v>101485157.25</v>
          </cell>
          <cell r="C24">
            <v>2436311.5499999998</v>
          </cell>
          <cell r="D24">
            <v>103921468.8</v>
          </cell>
          <cell r="E24">
            <v>4.9916142543154053E-2</v>
          </cell>
          <cell r="F24">
            <v>1663.1692721336663</v>
          </cell>
          <cell r="G24">
            <v>667.8414271759807</v>
          </cell>
        </row>
        <row r="25">
          <cell r="B25">
            <v>40286632.25</v>
          </cell>
          <cell r="C25">
            <v>218805.65</v>
          </cell>
          <cell r="D25">
            <v>40505437.899999999</v>
          </cell>
          <cell r="E25">
            <v>-8.7457593018310742E-2</v>
          </cell>
          <cell r="F25">
            <v>1475.1780136936411</v>
          </cell>
          <cell r="G25">
            <v>721.43051864781103</v>
          </cell>
        </row>
        <row r="26">
          <cell r="B26">
            <v>120425977.45</v>
          </cell>
          <cell r="C26">
            <v>201825.3</v>
          </cell>
          <cell r="D26">
            <v>120627802.75</v>
          </cell>
          <cell r="E26">
            <v>0.47875564463082471</v>
          </cell>
          <cell r="F26">
            <v>2484.8144594817286</v>
          </cell>
          <cell r="G26">
            <v>1001.3348282102153</v>
          </cell>
        </row>
        <row r="27">
          <cell r="B27">
            <v>87590000</v>
          </cell>
          <cell r="C27">
            <v>854060</v>
          </cell>
          <cell r="D27">
            <v>88444060</v>
          </cell>
          <cell r="E27">
            <v>4.8649938638950445E-2</v>
          </cell>
          <cell r="F27">
            <v>1475.0264338486684</v>
          </cell>
          <cell r="G27">
            <v>867.20065105698711</v>
          </cell>
        </row>
        <row r="28">
          <cell r="B28">
            <v>145428184.5</v>
          </cell>
          <cell r="C28">
            <v>3030283.3</v>
          </cell>
          <cell r="D28">
            <v>148458467.80000001</v>
          </cell>
          <cell r="E28">
            <v>-5.6965975207933775E-3</v>
          </cell>
          <cell r="F28">
            <v>2847.5231663342029</v>
          </cell>
          <cell r="G28">
            <v>1784.613980381786</v>
          </cell>
        </row>
        <row r="29">
          <cell r="B29">
            <v>295439111.85000002</v>
          </cell>
          <cell r="C29">
            <v>0</v>
          </cell>
          <cell r="D29">
            <v>295439111.85000002</v>
          </cell>
          <cell r="E29">
            <v>4.6292508510014832E-2</v>
          </cell>
          <cell r="F29">
            <v>3886.3851385837756</v>
          </cell>
          <cell r="G29">
            <v>1975.5470608099074</v>
          </cell>
        </row>
        <row r="30">
          <cell r="B30">
            <v>119466315.5</v>
          </cell>
          <cell r="C30">
            <v>3726759</v>
          </cell>
          <cell r="D30">
            <v>123193074.5</v>
          </cell>
          <cell r="E30">
            <v>1.1996582448213763E-2</v>
          </cell>
          <cell r="F30">
            <v>2428.2152895494146</v>
          </cell>
          <cell r="G30">
            <v>1283.1809938962149</v>
          </cell>
        </row>
        <row r="31">
          <cell r="B31">
            <v>81762380.599999994</v>
          </cell>
          <cell r="C31">
            <v>0</v>
          </cell>
          <cell r="D31">
            <v>81762380.599999994</v>
          </cell>
          <cell r="E31">
            <v>3.0718225773104409E-2</v>
          </cell>
          <cell r="F31">
            <v>2431.7396008684532</v>
          </cell>
          <cell r="G31">
            <v>1400.1606404657932</v>
          </cell>
        </row>
        <row r="32">
          <cell r="B32">
            <v>205996388.5</v>
          </cell>
          <cell r="C32">
            <v>8207937.5499999998</v>
          </cell>
          <cell r="D32">
            <v>214204326.05000001</v>
          </cell>
          <cell r="E32">
            <v>-3.1984137821326468E-2</v>
          </cell>
          <cell r="F32">
            <v>2075.5227561649144</v>
          </cell>
          <cell r="G32">
            <v>1371.8646995343952</v>
          </cell>
        </row>
        <row r="33">
          <cell r="B33">
            <v>30681378.399999999</v>
          </cell>
          <cell r="C33">
            <v>1877137.6</v>
          </cell>
          <cell r="D33">
            <v>32558516</v>
          </cell>
          <cell r="E33">
            <v>2.270677432611946E-2</v>
          </cell>
          <cell r="F33">
            <v>2334.2784628620589</v>
          </cell>
          <cell r="G33">
            <v>1251.1438343004265</v>
          </cell>
        </row>
        <row r="34">
          <cell r="B34">
            <v>2614772446.6500001</v>
          </cell>
          <cell r="C34">
            <v>42476421.600000001</v>
          </cell>
          <cell r="D34">
            <v>2657248868.25</v>
          </cell>
          <cell r="E34">
            <v>4.3971775597725464E-2</v>
          </cell>
          <cell r="F34">
            <v>2093.1262313786715</v>
          </cell>
          <cell r="G34">
            <v>1118.1726084098734</v>
          </cell>
        </row>
      </sheetData>
      <sheetData sheetId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"/>
    </sheetNames>
    <sheetDataSet>
      <sheetData sheetId="0">
        <row r="1">
          <cell r="E1" t="str">
            <v>Etat des données: 28.9.2002</v>
          </cell>
        </row>
        <row r="2">
          <cell r="B2">
            <v>2001</v>
          </cell>
        </row>
      </sheetData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>
            <v>1057650000</v>
          </cell>
          <cell r="C7">
            <v>318.09835740161776</v>
          </cell>
          <cell r="D7">
            <v>983235000</v>
          </cell>
          <cell r="E7">
            <v>295.71733412733857</v>
          </cell>
          <cell r="F7">
            <v>3324915</v>
          </cell>
          <cell r="G7">
            <v>6.8528664295382902E-2</v>
          </cell>
        </row>
        <row r="8">
          <cell r="A8">
            <v>1995</v>
          </cell>
          <cell r="B8">
            <v>1078822000</v>
          </cell>
          <cell r="C8">
            <v>329.71181366833588</v>
          </cell>
          <cell r="D8">
            <v>1017388000</v>
          </cell>
          <cell r="E8">
            <v>310.93622737059582</v>
          </cell>
          <cell r="F8">
            <v>3272015</v>
          </cell>
          <cell r="G8">
            <v>-1.591018116252596E-2</v>
          </cell>
        </row>
        <row r="9">
          <cell r="A9">
            <v>1996</v>
          </cell>
          <cell r="B9">
            <v>834293460.30999994</v>
          </cell>
          <cell r="C9">
            <v>376.29671172369871</v>
          </cell>
          <cell r="D9">
            <v>872501911.04999995</v>
          </cell>
          <cell r="E9">
            <v>393.53011346722496</v>
          </cell>
          <cell r="F9">
            <v>2217116</v>
          </cell>
          <cell r="G9">
            <v>-0.32240041686850457</v>
          </cell>
        </row>
        <row r="10">
          <cell r="A10">
            <v>1997</v>
          </cell>
          <cell r="B10">
            <v>560570162</v>
          </cell>
          <cell r="C10">
            <v>392.67</v>
          </cell>
          <cell r="D10">
            <v>621526120</v>
          </cell>
          <cell r="E10">
            <v>435.36</v>
          </cell>
          <cell r="F10">
            <v>1427603</v>
          </cell>
          <cell r="G10">
            <v>-0.35609909449934057</v>
          </cell>
        </row>
        <row r="11">
          <cell r="A11">
            <v>1998</v>
          </cell>
          <cell r="B11">
            <v>511396331</v>
          </cell>
          <cell r="C11">
            <v>426.81</v>
          </cell>
          <cell r="D11">
            <v>456362591</v>
          </cell>
          <cell r="E11">
            <v>380.88</v>
          </cell>
          <cell r="F11">
            <v>1198191</v>
          </cell>
          <cell r="G11">
            <v>-0.16069733672456557</v>
          </cell>
        </row>
        <row r="12">
          <cell r="A12">
            <v>1999</v>
          </cell>
          <cell r="B12">
            <v>464483007</v>
          </cell>
          <cell r="C12">
            <v>435.18</v>
          </cell>
          <cell r="D12">
            <v>412149153</v>
          </cell>
          <cell r="E12">
            <v>386.14</v>
          </cell>
          <cell r="F12">
            <v>1067344</v>
          </cell>
          <cell r="G12">
            <v>-0.1092037913821753</v>
          </cell>
        </row>
        <row r="13">
          <cell r="A13">
            <v>2000</v>
          </cell>
          <cell r="B13">
            <v>439226020</v>
          </cell>
          <cell r="C13">
            <v>461.5</v>
          </cell>
          <cell r="D13">
            <v>381639920</v>
          </cell>
          <cell r="E13">
            <v>400.99</v>
          </cell>
          <cell r="F13">
            <v>951742</v>
          </cell>
          <cell r="G13">
            <v>-0.10830809935690837</v>
          </cell>
        </row>
        <row r="14">
          <cell r="A14">
            <v>2001</v>
          </cell>
          <cell r="B14">
            <v>400711889.14999998</v>
          </cell>
          <cell r="C14">
            <v>461.25</v>
          </cell>
          <cell r="D14">
            <v>351971371</v>
          </cell>
          <cell r="E14">
            <v>405.14</v>
          </cell>
          <cell r="F14">
            <v>868760</v>
          </cell>
          <cell r="G14">
            <v>-8.7189595499620701E-2</v>
          </cell>
        </row>
      </sheetData>
      <sheetData sheetId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>
        <row r="2">
          <cell r="B2">
            <v>2001</v>
          </cell>
          <cell r="D2" t="str">
            <v>Datenstand: 27.09.2002</v>
          </cell>
        </row>
      </sheetData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>
            <v>1062816459</v>
          </cell>
          <cell r="C7" t="str">
            <v>–</v>
          </cell>
          <cell r="D7">
            <v>1094518000</v>
          </cell>
          <cell r="E7" t="str">
            <v>–</v>
          </cell>
          <cell r="F7">
            <v>-31701541</v>
          </cell>
          <cell r="G7" t="str">
            <v>–</v>
          </cell>
        </row>
        <row r="8">
          <cell r="A8">
            <v>1995</v>
          </cell>
          <cell r="B8">
            <v>1085790660</v>
          </cell>
          <cell r="C8">
            <v>2.1616339119942065E-2</v>
          </cell>
          <cell r="D8">
            <v>1112474000</v>
          </cell>
          <cell r="E8">
            <v>1.6405394886150799E-2</v>
          </cell>
          <cell r="F8">
            <v>-26683340</v>
          </cell>
          <cell r="G8">
            <v>0.15829517561938078</v>
          </cell>
        </row>
        <row r="9">
          <cell r="A9">
            <v>1996</v>
          </cell>
          <cell r="B9">
            <v>842626041.5999999</v>
          </cell>
          <cell r="C9">
            <v>-0.22395165786377283</v>
          </cell>
          <cell r="D9">
            <v>918792074.10000002</v>
          </cell>
          <cell r="E9">
            <v>-0.174100182026726</v>
          </cell>
          <cell r="F9">
            <v>-76164233.309999987</v>
          </cell>
          <cell r="G9">
            <v>-1.8543740517491432</v>
          </cell>
        </row>
        <row r="10">
          <cell r="A10">
            <v>1997</v>
          </cell>
          <cell r="B10">
            <v>582586264.20000005</v>
          </cell>
          <cell r="C10">
            <v>-0.30860638594343665</v>
          </cell>
          <cell r="D10">
            <v>600844654.99000001</v>
          </cell>
          <cell r="E10">
            <v>-0.34604937076916387</v>
          </cell>
          <cell r="F10">
            <v>-18258290.829999998</v>
          </cell>
          <cell r="G10">
            <v>0.76027736331716245</v>
          </cell>
        </row>
        <row r="11">
          <cell r="A11">
            <v>1998</v>
          </cell>
          <cell r="B11">
            <v>506597985.24000001</v>
          </cell>
          <cell r="C11">
            <v>-0.13043266487641306</v>
          </cell>
          <cell r="D11">
            <v>466707907.44999999</v>
          </cell>
          <cell r="E11">
            <v>-0.22324696812395292</v>
          </cell>
          <cell r="F11">
            <v>39890107.789999999</v>
          </cell>
          <cell r="G11">
            <v>3.1847668087561076</v>
          </cell>
        </row>
        <row r="12">
          <cell r="A12">
            <v>1999</v>
          </cell>
          <cell r="B12">
            <v>464005598.98000002</v>
          </cell>
          <cell r="C12">
            <v>-8.4075317117224449E-2</v>
          </cell>
          <cell r="D12">
            <v>422158429.66000003</v>
          </cell>
          <cell r="E12">
            <v>-9.5454731061681661E-2</v>
          </cell>
          <cell r="F12">
            <v>41847169.719999999</v>
          </cell>
          <cell r="G12">
            <v>4.9061334712427351E-2</v>
          </cell>
        </row>
        <row r="13">
          <cell r="A13">
            <v>2000</v>
          </cell>
          <cell r="B13">
            <v>458973777.85000002</v>
          </cell>
          <cell r="C13">
            <v>-1.0844311234737667E-2</v>
          </cell>
          <cell r="D13">
            <v>416527371.23000002</v>
          </cell>
          <cell r="E13">
            <v>-1.3338732651945802E-2</v>
          </cell>
          <cell r="F13">
            <v>42446406.640000001</v>
          </cell>
          <cell r="G13">
            <v>1.4319652296905794E-2</v>
          </cell>
        </row>
        <row r="14">
          <cell r="A14">
            <v>2001</v>
          </cell>
          <cell r="B14">
            <v>405199384.91000003</v>
          </cell>
          <cell r="C14">
            <v>-0.11716223351996011</v>
          </cell>
          <cell r="D14">
            <v>389159829.98000002</v>
          </cell>
          <cell r="E14">
            <v>-6.5704064463240439E-2</v>
          </cell>
          <cell r="F14">
            <v>16039554.960000001</v>
          </cell>
          <cell r="G14">
            <v>-0.62212219526529045</v>
          </cell>
        </row>
      </sheetData>
      <sheetData sheetId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97</v>
          </cell>
          <cell r="C7">
            <v>53</v>
          </cell>
          <cell r="D7">
            <v>100</v>
          </cell>
          <cell r="E7">
            <v>-1.9607843137254902E-2</v>
          </cell>
        </row>
        <row r="8">
          <cell r="E8" t="str">
            <v/>
          </cell>
        </row>
        <row r="9">
          <cell r="B9">
            <v>253199</v>
          </cell>
          <cell r="C9">
            <v>192547</v>
          </cell>
          <cell r="D9">
            <v>445746</v>
          </cell>
          <cell r="E9">
            <v>-8.2031965962284195E-2</v>
          </cell>
        </row>
        <row r="10">
          <cell r="B10">
            <v>308649</v>
          </cell>
          <cell r="C10">
            <v>114365</v>
          </cell>
          <cell r="D10">
            <v>423014</v>
          </cell>
          <cell r="E10">
            <v>-9.2562043748645864E-2</v>
          </cell>
        </row>
        <row r="11">
          <cell r="B11">
            <v>561848</v>
          </cell>
          <cell r="C11">
            <v>306912</v>
          </cell>
          <cell r="D11">
            <v>868760</v>
          </cell>
          <cell r="E11">
            <v>-8.7189595499620701E-2</v>
          </cell>
        </row>
        <row r="12">
          <cell r="E12" t="str">
            <v/>
          </cell>
        </row>
        <row r="13">
          <cell r="B13">
            <v>78140365</v>
          </cell>
          <cell r="C13">
            <v>192028462</v>
          </cell>
          <cell r="D13">
            <v>270168827</v>
          </cell>
          <cell r="E13">
            <v>-0.1086091559398397</v>
          </cell>
        </row>
        <row r="14">
          <cell r="B14">
            <v>46582481</v>
          </cell>
          <cell r="C14">
            <v>83960581.150000006</v>
          </cell>
          <cell r="D14">
            <v>130543062.15000001</v>
          </cell>
          <cell r="E14">
            <v>-4.1105914705470363E-2</v>
          </cell>
        </row>
        <row r="15">
          <cell r="B15">
            <v>124722846</v>
          </cell>
          <cell r="C15">
            <v>275989043.14999998</v>
          </cell>
          <cell r="D15">
            <v>400711889.14999998</v>
          </cell>
          <cell r="E15">
            <v>-8.7686359860920868E-2</v>
          </cell>
        </row>
        <row r="16">
          <cell r="E16" t="str">
            <v/>
          </cell>
        </row>
        <row r="17">
          <cell r="B17">
            <v>308.61</v>
          </cell>
          <cell r="C17">
            <v>997.31</v>
          </cell>
          <cell r="D17">
            <v>606.1</v>
          </cell>
          <cell r="E17">
            <v>-2.8966003396456035E-2</v>
          </cell>
        </row>
        <row r="18">
          <cell r="B18">
            <v>150.91999999999999</v>
          </cell>
          <cell r="C18">
            <v>734.15</v>
          </cell>
          <cell r="D18">
            <v>308.60000000000002</v>
          </cell>
          <cell r="E18">
            <v>5.6704561019038494E-2</v>
          </cell>
        </row>
        <row r="19">
          <cell r="B19">
            <v>221.99</v>
          </cell>
          <cell r="C19">
            <v>899.24</v>
          </cell>
          <cell r="D19">
            <v>461.25</v>
          </cell>
          <cell r="E19">
            <v>-5.4171180931744309E-4</v>
          </cell>
        </row>
        <row r="20">
          <cell r="E20" t="str">
            <v/>
          </cell>
        </row>
        <row r="21">
          <cell r="B21">
            <v>74157578</v>
          </cell>
          <cell r="C21">
            <v>177890578</v>
          </cell>
          <cell r="D21">
            <v>252048156</v>
          </cell>
          <cell r="E21">
            <v>-2.4664373352897409E-2</v>
          </cell>
        </row>
        <row r="22">
          <cell r="B22">
            <v>36252828</v>
          </cell>
          <cell r="C22">
            <v>63670387</v>
          </cell>
          <cell r="D22">
            <v>99923215</v>
          </cell>
          <cell r="E22">
            <v>-0.18905308340307697</v>
          </cell>
        </row>
        <row r="23">
          <cell r="B23">
            <v>110410406</v>
          </cell>
          <cell r="C23">
            <v>241560965</v>
          </cell>
          <cell r="D23">
            <v>351971371</v>
          </cell>
          <cell r="E23">
            <v>-7.7739637404808173E-2</v>
          </cell>
        </row>
        <row r="24">
          <cell r="B24">
            <v>2831051</v>
          </cell>
          <cell r="C24">
            <v>15776091</v>
          </cell>
          <cell r="D24">
            <v>18607142</v>
          </cell>
          <cell r="E24">
            <v>7.8128050882594526E-3</v>
          </cell>
        </row>
        <row r="25">
          <cell r="E25" t="str">
            <v/>
          </cell>
        </row>
        <row r="26">
          <cell r="B26">
            <v>292.88</v>
          </cell>
          <cell r="C26">
            <v>923.88</v>
          </cell>
          <cell r="D26">
            <v>565.45000000000005</v>
          </cell>
          <cell r="E26">
            <v>6.2496476822187542E-2</v>
          </cell>
        </row>
        <row r="27">
          <cell r="B27">
            <v>117.46</v>
          </cell>
          <cell r="C27">
            <v>556.73</v>
          </cell>
          <cell r="D27">
            <v>236.22</v>
          </cell>
          <cell r="E27">
            <v>-0.10631053268765131</v>
          </cell>
        </row>
        <row r="28">
          <cell r="B28">
            <v>196.51</v>
          </cell>
          <cell r="C28">
            <v>787.07</v>
          </cell>
          <cell r="D28">
            <v>405.14</v>
          </cell>
          <cell r="E28">
            <v>1.0349385271453097E-2</v>
          </cell>
        </row>
      </sheetData>
      <sheetData sheetId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5">
          <cell r="C5">
            <v>368885366.50999999</v>
          </cell>
          <cell r="D5">
            <v>31826531.510000002</v>
          </cell>
          <cell r="E5">
            <v>400711898.01999998</v>
          </cell>
        </row>
        <row r="6">
          <cell r="C6">
            <v>-1996785.36</v>
          </cell>
          <cell r="D6">
            <v>-95171.44</v>
          </cell>
          <cell r="E6">
            <v>-2091956.8</v>
          </cell>
        </row>
        <row r="7">
          <cell r="C7">
            <v>34927.980000000003</v>
          </cell>
          <cell r="D7">
            <v>1216.6099999999999</v>
          </cell>
          <cell r="E7">
            <v>36144.589999999997</v>
          </cell>
        </row>
        <row r="8">
          <cell r="C8">
            <v>366924085.47000003</v>
          </cell>
          <cell r="D8">
            <v>31732576.690000001</v>
          </cell>
          <cell r="E8">
            <v>398656662.16000003</v>
          </cell>
        </row>
        <row r="9">
          <cell r="C9">
            <v>-2084373.44</v>
          </cell>
          <cell r="D9">
            <v>-163809.32999999999</v>
          </cell>
          <cell r="E9">
            <v>-2248182.77</v>
          </cell>
        </row>
        <row r="10">
          <cell r="C10">
            <v>364839712.02999997</v>
          </cell>
          <cell r="D10">
            <v>31568767.359999999</v>
          </cell>
          <cell r="E10">
            <v>396408479.38999999</v>
          </cell>
        </row>
        <row r="11">
          <cell r="C11">
            <v>19109755.550000001</v>
          </cell>
          <cell r="D11">
            <v>97095.4</v>
          </cell>
          <cell r="E11">
            <v>19206850.949999999</v>
          </cell>
        </row>
        <row r="12">
          <cell r="C12">
            <v>-18856100.699999999</v>
          </cell>
          <cell r="D12">
            <v>-55787.9</v>
          </cell>
          <cell r="E12">
            <v>-18911888.600000001</v>
          </cell>
        </row>
        <row r="13">
          <cell r="C13">
            <v>6041481.8200000003</v>
          </cell>
          <cell r="D13">
            <v>153909.17000000001</v>
          </cell>
          <cell r="E13">
            <v>6195390.9900000002</v>
          </cell>
        </row>
        <row r="14">
          <cell r="C14">
            <v>371134848.69999999</v>
          </cell>
          <cell r="D14">
            <v>31763984.030000001</v>
          </cell>
          <cell r="E14">
            <v>402898832.73000002</v>
          </cell>
        </row>
        <row r="15">
          <cell r="C15">
            <v>323425904.62</v>
          </cell>
          <cell r="D15">
            <v>28545480.109999999</v>
          </cell>
          <cell r="E15">
            <v>351971384.73000002</v>
          </cell>
        </row>
        <row r="16">
          <cell r="C16">
            <v>0</v>
          </cell>
          <cell r="D16">
            <v>0</v>
          </cell>
          <cell r="E16">
            <v>0</v>
          </cell>
        </row>
        <row r="17">
          <cell r="C17">
            <v>323425904.62</v>
          </cell>
          <cell r="D17">
            <v>28545480.109999999</v>
          </cell>
          <cell r="E17">
            <v>351971384.73000002</v>
          </cell>
        </row>
        <row r="18">
          <cell r="C18">
            <v>723293.63</v>
          </cell>
          <cell r="D18">
            <v>23319.68</v>
          </cell>
          <cell r="E18">
            <v>746613.31</v>
          </cell>
        </row>
        <row r="19">
          <cell r="C19">
            <v>-600179.03</v>
          </cell>
          <cell r="D19">
            <v>362414.22</v>
          </cell>
          <cell r="E19">
            <v>-237764.81</v>
          </cell>
        </row>
        <row r="20">
          <cell r="C20">
            <v>323549019.22000003</v>
          </cell>
          <cell r="D20">
            <v>28931214</v>
          </cell>
          <cell r="E20">
            <v>352480233.22000003</v>
          </cell>
        </row>
        <row r="21">
          <cell r="C21">
            <v>-2857959.17</v>
          </cell>
          <cell r="D21">
            <v>-53621.68</v>
          </cell>
          <cell r="E21">
            <v>-2911580.85</v>
          </cell>
        </row>
        <row r="22">
          <cell r="C22">
            <v>0</v>
          </cell>
          <cell r="D22">
            <v>0</v>
          </cell>
          <cell r="E22">
            <v>0</v>
          </cell>
        </row>
        <row r="23">
          <cell r="C23">
            <v>320691060.05000001</v>
          </cell>
          <cell r="D23">
            <v>28877592.32</v>
          </cell>
          <cell r="E23">
            <v>349568652.37</v>
          </cell>
        </row>
        <row r="24">
          <cell r="C24">
            <v>36251321.509999998</v>
          </cell>
          <cell r="D24">
            <v>3320833.15</v>
          </cell>
          <cell r="E24">
            <v>39572154.659999996</v>
          </cell>
        </row>
        <row r="25">
          <cell r="C25">
            <v>17482.77</v>
          </cell>
          <cell r="D25">
            <v>1540.17</v>
          </cell>
          <cell r="E25">
            <v>19022.939999999999</v>
          </cell>
        </row>
        <row r="26">
          <cell r="C26">
            <v>36268804.280000001</v>
          </cell>
          <cell r="D26">
            <v>3322373.32</v>
          </cell>
          <cell r="E26">
            <v>39591177.600000001</v>
          </cell>
        </row>
        <row r="27">
          <cell r="C27">
            <v>356959864.32999998</v>
          </cell>
          <cell r="D27">
            <v>32199965.649999999</v>
          </cell>
          <cell r="E27">
            <v>389159829.98000002</v>
          </cell>
        </row>
        <row r="28">
          <cell r="C28">
            <v>14174984.369999999</v>
          </cell>
          <cell r="D28">
            <v>-435981.61</v>
          </cell>
          <cell r="E28">
            <v>13739002.76</v>
          </cell>
        </row>
        <row r="29">
          <cell r="C29">
            <v>2445972.63</v>
          </cell>
          <cell r="D29">
            <v>-145420.45000000001</v>
          </cell>
          <cell r="E29">
            <v>2300552.1800000002</v>
          </cell>
        </row>
        <row r="30">
          <cell r="C30">
            <v>16620957.02</v>
          </cell>
          <cell r="D30">
            <v>-581402.06000000006</v>
          </cell>
          <cell r="E30">
            <v>16039554.960000001</v>
          </cell>
        </row>
      </sheetData>
      <sheetData sheetId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5">
          <cell r="C5">
            <v>112217248.27</v>
          </cell>
          <cell r="D5">
            <v>12505603.130000001</v>
          </cell>
          <cell r="E5">
            <v>124722851.40000001</v>
          </cell>
        </row>
        <row r="6">
          <cell r="C6">
            <v>-578911.81000000006</v>
          </cell>
          <cell r="D6">
            <v>-28964.95</v>
          </cell>
          <cell r="E6">
            <v>-607876.76</v>
          </cell>
        </row>
        <row r="7">
          <cell r="C7">
            <v>13204.23</v>
          </cell>
          <cell r="D7">
            <v>1146.58</v>
          </cell>
          <cell r="E7">
            <v>14350.81</v>
          </cell>
        </row>
        <row r="8">
          <cell r="C8">
            <v>111652117.03</v>
          </cell>
          <cell r="D8">
            <v>12477784.76</v>
          </cell>
          <cell r="E8">
            <v>124129901.79000001</v>
          </cell>
        </row>
        <row r="9">
          <cell r="C9">
            <v>-888511.49</v>
          </cell>
          <cell r="D9">
            <v>-154737.73000000001</v>
          </cell>
          <cell r="E9">
            <v>-1043249.22</v>
          </cell>
        </row>
        <row r="10">
          <cell r="C10">
            <v>110763605.54000001</v>
          </cell>
          <cell r="D10">
            <v>12323047.029999999</v>
          </cell>
          <cell r="E10">
            <v>123086652.56999999</v>
          </cell>
        </row>
        <row r="11">
          <cell r="C11">
            <v>253654.85</v>
          </cell>
          <cell r="D11">
            <v>41307.5</v>
          </cell>
          <cell r="E11">
            <v>294962.34999999998</v>
          </cell>
        </row>
        <row r="12">
          <cell r="C12">
            <v>0</v>
          </cell>
          <cell r="D12">
            <v>0</v>
          </cell>
          <cell r="E12">
            <v>0</v>
          </cell>
        </row>
        <row r="13">
          <cell r="C13">
            <v>1912959.03</v>
          </cell>
          <cell r="D13">
            <v>84279.69</v>
          </cell>
          <cell r="E13">
            <v>1997238.72</v>
          </cell>
        </row>
        <row r="14">
          <cell r="C14">
            <v>112930219.42</v>
          </cell>
          <cell r="D14">
            <v>12448634.220000001</v>
          </cell>
          <cell r="E14">
            <v>125378853.64</v>
          </cell>
        </row>
        <row r="15">
          <cell r="C15">
            <v>99873670.010000005</v>
          </cell>
          <cell r="D15">
            <v>10536746.24</v>
          </cell>
          <cell r="E15">
            <v>110410416.25</v>
          </cell>
        </row>
        <row r="16">
          <cell r="C16">
            <v>0</v>
          </cell>
          <cell r="D16">
            <v>0</v>
          </cell>
          <cell r="E16">
            <v>0</v>
          </cell>
        </row>
        <row r="17">
          <cell r="C17">
            <v>99873670.010000005</v>
          </cell>
          <cell r="D17">
            <v>10536746.24</v>
          </cell>
          <cell r="E17">
            <v>110410416.25</v>
          </cell>
        </row>
        <row r="18">
          <cell r="C18">
            <v>85261.09</v>
          </cell>
          <cell r="D18">
            <v>7367.97</v>
          </cell>
          <cell r="E18">
            <v>92629.06</v>
          </cell>
        </row>
        <row r="19">
          <cell r="C19">
            <v>-6703729.5499999998</v>
          </cell>
          <cell r="D19">
            <v>-653045.72</v>
          </cell>
          <cell r="E19">
            <v>-7356775.2699999996</v>
          </cell>
        </row>
        <row r="20">
          <cell r="C20">
            <v>93255201.560000002</v>
          </cell>
          <cell r="D20">
            <v>9891068.4800000004</v>
          </cell>
          <cell r="E20">
            <v>103146270.04000001</v>
          </cell>
        </row>
        <row r="21">
          <cell r="C21">
            <v>-1145662.01</v>
          </cell>
          <cell r="D21">
            <v>-50778.15</v>
          </cell>
          <cell r="E21">
            <v>-1196440.1599999999</v>
          </cell>
        </row>
        <row r="22">
          <cell r="C22">
            <v>0</v>
          </cell>
          <cell r="D22">
            <v>0</v>
          </cell>
          <cell r="E22">
            <v>0</v>
          </cell>
        </row>
        <row r="23">
          <cell r="C23">
            <v>92109539.549999997</v>
          </cell>
          <cell r="D23">
            <v>9840290.3300000001</v>
          </cell>
          <cell r="E23">
            <v>101949829.88</v>
          </cell>
        </row>
        <row r="24">
          <cell r="C24">
            <v>11357149.43</v>
          </cell>
          <cell r="D24">
            <v>1296570.18</v>
          </cell>
          <cell r="E24">
            <v>12653719.609999999</v>
          </cell>
        </row>
        <row r="25">
          <cell r="C25">
            <v>9131.99</v>
          </cell>
          <cell r="D25">
            <v>1520.67</v>
          </cell>
          <cell r="E25">
            <v>10652.66</v>
          </cell>
        </row>
        <row r="26">
          <cell r="C26">
            <v>11366281.42</v>
          </cell>
          <cell r="D26">
            <v>1298090.8500000001</v>
          </cell>
          <cell r="E26">
            <v>12664372.27</v>
          </cell>
        </row>
        <row r="27">
          <cell r="C27">
            <v>103475820.97</v>
          </cell>
          <cell r="D27">
            <v>11138381.18</v>
          </cell>
          <cell r="E27">
            <v>114614202.15000001</v>
          </cell>
        </row>
        <row r="28">
          <cell r="C28">
            <v>9454398.4499999993</v>
          </cell>
          <cell r="D28">
            <v>1310253.05</v>
          </cell>
          <cell r="E28">
            <v>10764651.5</v>
          </cell>
        </row>
        <row r="29">
          <cell r="C29">
            <v>3450262.24</v>
          </cell>
          <cell r="D29">
            <v>203162.25</v>
          </cell>
          <cell r="E29">
            <v>3653424.49</v>
          </cell>
        </row>
        <row r="30">
          <cell r="C30">
            <v>12904660.699999999</v>
          </cell>
          <cell r="D30">
            <v>1513415.3</v>
          </cell>
          <cell r="E30">
            <v>14418076</v>
          </cell>
        </row>
      </sheetData>
      <sheetData sheetId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5">
          <cell r="C5">
            <v>256668118.24000001</v>
          </cell>
          <cell r="D5">
            <v>19320928.379999999</v>
          </cell>
          <cell r="E5">
            <v>275989046.62</v>
          </cell>
        </row>
        <row r="6">
          <cell r="C6">
            <v>-1417873.55</v>
          </cell>
          <cell r="D6">
            <v>-66206.490000000005</v>
          </cell>
          <cell r="E6">
            <v>-1484080.04</v>
          </cell>
        </row>
        <row r="7">
          <cell r="C7">
            <v>21723.75</v>
          </cell>
          <cell r="D7">
            <v>70.03</v>
          </cell>
          <cell r="E7">
            <v>21793.78</v>
          </cell>
        </row>
        <row r="8">
          <cell r="C8">
            <v>255271968.44</v>
          </cell>
          <cell r="D8">
            <v>19254791.93</v>
          </cell>
          <cell r="E8">
            <v>274526760.37</v>
          </cell>
        </row>
        <row r="9">
          <cell r="C9">
            <v>-1195861.95</v>
          </cell>
          <cell r="D9">
            <v>-9071.6</v>
          </cell>
          <cell r="E9">
            <v>-1204933.55</v>
          </cell>
        </row>
        <row r="10">
          <cell r="C10">
            <v>254076106.49000001</v>
          </cell>
          <cell r="D10">
            <v>19245720.329999998</v>
          </cell>
          <cell r="E10">
            <v>273321826.81999999</v>
          </cell>
        </row>
        <row r="11">
          <cell r="C11">
            <v>18856100.699999999</v>
          </cell>
          <cell r="D11">
            <v>55787.9</v>
          </cell>
          <cell r="E11">
            <v>18911888.600000001</v>
          </cell>
        </row>
        <row r="12">
          <cell r="C12">
            <v>-18856100.699999999</v>
          </cell>
          <cell r="D12">
            <v>-55787.9</v>
          </cell>
          <cell r="E12">
            <v>-18911888.600000001</v>
          </cell>
        </row>
        <row r="13">
          <cell r="C13">
            <v>4128522.79</v>
          </cell>
          <cell r="D13">
            <v>69629.48</v>
          </cell>
          <cell r="E13">
            <v>4198152.2699999996</v>
          </cell>
        </row>
        <row r="14">
          <cell r="C14">
            <v>258204629.28</v>
          </cell>
          <cell r="D14">
            <v>19315349.809999999</v>
          </cell>
          <cell r="E14">
            <v>277519979.08999997</v>
          </cell>
        </row>
        <row r="15">
          <cell r="C15">
            <v>223552234.61000001</v>
          </cell>
          <cell r="D15">
            <v>18008733.870000001</v>
          </cell>
          <cell r="E15">
            <v>241560968.47999999</v>
          </cell>
        </row>
        <row r="16">
          <cell r="C16">
            <v>0</v>
          </cell>
          <cell r="D16">
            <v>0</v>
          </cell>
          <cell r="E16">
            <v>0</v>
          </cell>
        </row>
        <row r="17">
          <cell r="C17">
            <v>223552234.61000001</v>
          </cell>
          <cell r="D17">
            <v>18008733.870000001</v>
          </cell>
          <cell r="E17">
            <v>241560968.47999999</v>
          </cell>
        </row>
        <row r="18">
          <cell r="C18">
            <v>638032.54</v>
          </cell>
          <cell r="D18">
            <v>15951.71</v>
          </cell>
          <cell r="E18">
            <v>653984.25</v>
          </cell>
        </row>
        <row r="19">
          <cell r="C19">
            <v>6103550.5199999996</v>
          </cell>
          <cell r="D19">
            <v>1015459.94</v>
          </cell>
          <cell r="E19">
            <v>7119010.46</v>
          </cell>
        </row>
        <row r="20">
          <cell r="C20">
            <v>230293817.66</v>
          </cell>
          <cell r="D20">
            <v>19040145.52</v>
          </cell>
          <cell r="E20">
            <v>249333963.18000001</v>
          </cell>
        </row>
        <row r="21">
          <cell r="C21">
            <v>-1712297.16</v>
          </cell>
          <cell r="D21">
            <v>-2843.53</v>
          </cell>
          <cell r="E21">
            <v>-1715140.69</v>
          </cell>
        </row>
        <row r="22">
          <cell r="C22">
            <v>0</v>
          </cell>
          <cell r="D22">
            <v>0</v>
          </cell>
          <cell r="E22">
            <v>0</v>
          </cell>
        </row>
        <row r="23">
          <cell r="C23">
            <v>228581520.5</v>
          </cell>
          <cell r="D23">
            <v>19037301.989999998</v>
          </cell>
          <cell r="E23">
            <v>247618822.49000001</v>
          </cell>
        </row>
        <row r="24">
          <cell r="C24">
            <v>24894172.079999998</v>
          </cell>
          <cell r="D24">
            <v>2024262.97</v>
          </cell>
          <cell r="E24">
            <v>26918435.050000001</v>
          </cell>
        </row>
        <row r="25">
          <cell r="C25">
            <v>8350.7800000000007</v>
          </cell>
          <cell r="D25">
            <v>19.5</v>
          </cell>
          <cell r="E25">
            <v>8370.2800000000007</v>
          </cell>
        </row>
        <row r="26">
          <cell r="C26">
            <v>24902522.859999999</v>
          </cell>
          <cell r="D26">
            <v>2024282.47</v>
          </cell>
          <cell r="E26">
            <v>26926805.329999998</v>
          </cell>
        </row>
        <row r="27">
          <cell r="C27">
            <v>253484043.36000001</v>
          </cell>
          <cell r="D27">
            <v>21061584.469999999</v>
          </cell>
          <cell r="E27">
            <v>274545627.82999998</v>
          </cell>
        </row>
        <row r="28">
          <cell r="C28">
            <v>4720585.92</v>
          </cell>
          <cell r="D28">
            <v>-1746234.66</v>
          </cell>
          <cell r="E28">
            <v>2974351.26</v>
          </cell>
        </row>
        <row r="29">
          <cell r="C29">
            <v>-1004289.61</v>
          </cell>
          <cell r="D29">
            <v>-348582.7</v>
          </cell>
          <cell r="E29">
            <v>-1352872.31</v>
          </cell>
        </row>
        <row r="30">
          <cell r="C30">
            <v>3716296.32</v>
          </cell>
          <cell r="D30">
            <v>-2094817.36</v>
          </cell>
          <cell r="E30">
            <v>1621478.96</v>
          </cell>
        </row>
      </sheetData>
      <sheetData sheetId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>
            <v>4198316767</v>
          </cell>
          <cell r="C7" t="str">
            <v>–</v>
          </cell>
          <cell r="D7">
            <v>3818641000</v>
          </cell>
          <cell r="E7" t="str">
            <v>–</v>
          </cell>
          <cell r="F7">
            <v>379675767</v>
          </cell>
          <cell r="G7" t="str">
            <v>–</v>
          </cell>
        </row>
        <row r="8">
          <cell r="A8">
            <v>1995</v>
          </cell>
          <cell r="B8">
            <v>4392004810</v>
          </cell>
          <cell r="C8">
            <v>4.6134690103053863E-2</v>
          </cell>
          <cell r="D8">
            <v>4165379000</v>
          </cell>
          <cell r="E8">
            <v>9.0801413382404897E-2</v>
          </cell>
          <cell r="F8">
            <v>226625810</v>
          </cell>
          <cell r="G8">
            <v>-0.40310699365756469</v>
          </cell>
        </row>
        <row r="9">
          <cell r="A9">
            <v>1996</v>
          </cell>
          <cell r="B9">
            <v>4599022226.4899998</v>
          </cell>
          <cell r="C9">
            <v>4.7135061423122571E-2</v>
          </cell>
          <cell r="D9">
            <v>4507461189</v>
          </cell>
          <cell r="E9">
            <v>8.2125105302542703E-2</v>
          </cell>
          <cell r="F9">
            <v>91699445.469999999</v>
          </cell>
          <cell r="G9">
            <v>-0.59537068849307151</v>
          </cell>
        </row>
        <row r="10">
          <cell r="A10">
            <v>1997</v>
          </cell>
          <cell r="B10">
            <v>4851626656</v>
          </cell>
          <cell r="C10">
            <v>5.4925681388321837E-2</v>
          </cell>
          <cell r="D10">
            <v>4710142665.8999996</v>
          </cell>
          <cell r="E10">
            <v>4.4965773059704457E-2</v>
          </cell>
          <cell r="F10">
            <v>141483990.28999999</v>
          </cell>
          <cell r="G10">
            <v>0.54290998778490207</v>
          </cell>
        </row>
        <row r="11">
          <cell r="A11">
            <v>1998</v>
          </cell>
          <cell r="B11">
            <v>4992640209.6999998</v>
          </cell>
          <cell r="C11">
            <v>2.9065211257673453E-2</v>
          </cell>
          <cell r="D11">
            <v>4882154897.6999998</v>
          </cell>
          <cell r="E11">
            <v>3.6519537517476157E-2</v>
          </cell>
          <cell r="F11">
            <v>110485312.03</v>
          </cell>
          <cell r="G11">
            <v>-0.2190967203883771</v>
          </cell>
        </row>
        <row r="12">
          <cell r="A12">
            <v>1999</v>
          </cell>
          <cell r="B12">
            <v>4257016347.5999999</v>
          </cell>
          <cell r="C12">
            <v>-0.14734165315393363</v>
          </cell>
          <cell r="D12">
            <v>4120691131.5999999</v>
          </cell>
          <cell r="E12">
            <v>-0.15596878469766048</v>
          </cell>
          <cell r="F12">
            <v>136325216.02000001</v>
          </cell>
          <cell r="G12">
            <v>0.23387637248092957</v>
          </cell>
        </row>
        <row r="13">
          <cell r="A13">
            <v>2000</v>
          </cell>
          <cell r="B13">
            <v>3297340718.6999998</v>
          </cell>
          <cell r="C13">
            <v>-0.22543386037054836</v>
          </cell>
          <cell r="D13">
            <v>3197872772.4000001</v>
          </cell>
          <cell r="E13">
            <v>-0.22394747136548521</v>
          </cell>
          <cell r="F13">
            <v>99467946.299999997</v>
          </cell>
          <cell r="G13">
            <v>-0.27036281911772475</v>
          </cell>
        </row>
        <row r="14">
          <cell r="A14">
            <v>2001</v>
          </cell>
          <cell r="B14">
            <v>2297775177.9000001</v>
          </cell>
          <cell r="C14">
            <v>-0.30314293428374778</v>
          </cell>
          <cell r="D14">
            <v>2245296158.4000001</v>
          </cell>
          <cell r="E14">
            <v>-0.29787820898362138</v>
          </cell>
          <cell r="F14">
            <v>52479019.649999999</v>
          </cell>
          <cell r="G14">
            <v>-0.4724027025578591</v>
          </cell>
        </row>
      </sheetData>
      <sheetData sheetId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"/>
    </sheetNames>
    <sheetDataSet>
      <sheetData sheetId="0">
        <row r="2">
          <cell r="B2">
            <v>2001</v>
          </cell>
          <cell r="D2" t="str">
            <v>Datenstand: 27.09.2002</v>
          </cell>
        </row>
      </sheetData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9">
          <cell r="B9">
            <v>2217571025.8000002</v>
          </cell>
          <cell r="C9">
            <v>68900467.310000002</v>
          </cell>
          <cell r="D9">
            <v>8512530.7899999991</v>
          </cell>
          <cell r="E9">
            <v>2294984023.9000001</v>
          </cell>
          <cell r="F9">
            <v>-0.30529410154143283</v>
          </cell>
        </row>
        <row r="10">
          <cell r="B10">
            <v>2235376533.6999998</v>
          </cell>
          <cell r="C10">
            <v>39935392.799999997</v>
          </cell>
          <cell r="D10">
            <v>8524491.4100000001</v>
          </cell>
          <cell r="E10">
            <v>2283836417.9000001</v>
          </cell>
          <cell r="F10">
            <v>-0.30865780337776433</v>
          </cell>
        </row>
        <row r="11">
          <cell r="B11">
            <v>2286300.35</v>
          </cell>
          <cell r="C11">
            <v>523940.94</v>
          </cell>
          <cell r="D11">
            <v>-19087.330000000002</v>
          </cell>
          <cell r="E11">
            <v>2791153.96</v>
          </cell>
          <cell r="F11">
            <v>1.450730194636686</v>
          </cell>
        </row>
        <row r="12">
          <cell r="B12">
            <v>2219857326.1999998</v>
          </cell>
          <cell r="C12">
            <v>69424408.25</v>
          </cell>
          <cell r="D12">
            <v>8493443.4600000009</v>
          </cell>
          <cell r="E12">
            <v>2297775177.9000001</v>
          </cell>
          <cell r="F12">
            <v>-0.30314293428374778</v>
          </cell>
        </row>
        <row r="13">
          <cell r="B13">
            <v>1853356304.7</v>
          </cell>
          <cell r="C13">
            <v>63677436.43</v>
          </cell>
          <cell r="D13">
            <v>8439538.8800000008</v>
          </cell>
          <cell r="E13">
            <v>1925473280</v>
          </cell>
          <cell r="F13">
            <v>-0.29380335455277307</v>
          </cell>
        </row>
        <row r="14">
          <cell r="B14">
            <v>1864426093</v>
          </cell>
          <cell r="C14">
            <v>63677436.43</v>
          </cell>
          <cell r="D14">
            <v>8439538.8800000008</v>
          </cell>
          <cell r="E14">
            <v>1936543068.3</v>
          </cell>
          <cell r="F14">
            <v>-0.2916144121813809</v>
          </cell>
        </row>
        <row r="15">
          <cell r="B15">
            <v>312792441.88999999</v>
          </cell>
          <cell r="C15">
            <v>5671320.4000000004</v>
          </cell>
          <cell r="D15">
            <v>1359116.15</v>
          </cell>
          <cell r="E15">
            <v>319822878.44</v>
          </cell>
          <cell r="F15">
            <v>-0.32145019343569137</v>
          </cell>
        </row>
        <row r="16">
          <cell r="B16">
            <v>2166148746.5999999</v>
          </cell>
          <cell r="C16">
            <v>69348756.829999998</v>
          </cell>
          <cell r="D16">
            <v>9798655.0199999996</v>
          </cell>
          <cell r="E16">
            <v>2245296158.4000001</v>
          </cell>
          <cell r="F16">
            <v>-0.29787820898362138</v>
          </cell>
        </row>
        <row r="17">
          <cell r="B17">
            <v>53708579.789999999</v>
          </cell>
          <cell r="C17">
            <v>75651.42</v>
          </cell>
          <cell r="D17">
            <v>-1305211.56</v>
          </cell>
          <cell r="E17">
            <v>52479019.649999999</v>
          </cell>
          <cell r="F17">
            <v>-0.4724027025578591</v>
          </cell>
        </row>
      </sheetData>
      <sheetData sheetId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5">
          <cell r="C5">
            <v>2162884330</v>
          </cell>
          <cell r="D5">
            <v>120823608.69</v>
          </cell>
          <cell r="E5">
            <v>2283707938.6999998</v>
          </cell>
        </row>
        <row r="6">
          <cell r="C6">
            <v>-47406000.689999998</v>
          </cell>
          <cell r="D6">
            <v>-1811481.88</v>
          </cell>
          <cell r="E6">
            <v>-49217482.57</v>
          </cell>
        </row>
        <row r="7">
          <cell r="C7">
            <v>819827.46</v>
          </cell>
          <cell r="D7">
            <v>66250.080000000002</v>
          </cell>
          <cell r="E7">
            <v>886077.54</v>
          </cell>
        </row>
        <row r="8">
          <cell r="C8">
            <v>2116298156.8</v>
          </cell>
          <cell r="D8">
            <v>119078376.89</v>
          </cell>
          <cell r="E8">
            <v>2235376533.6999998</v>
          </cell>
        </row>
        <row r="9">
          <cell r="C9">
            <v>-23134361.010000002</v>
          </cell>
          <cell r="D9">
            <v>-2181479.35</v>
          </cell>
          <cell r="E9">
            <v>-25315840.359999999</v>
          </cell>
        </row>
        <row r="10">
          <cell r="C10">
            <v>2093163795.8</v>
          </cell>
          <cell r="D10">
            <v>116896897.54000001</v>
          </cell>
          <cell r="E10">
            <v>2210060693.4000001</v>
          </cell>
        </row>
        <row r="11">
          <cell r="C11">
            <v>34537397.159999996</v>
          </cell>
          <cell r="D11">
            <v>2158395.19</v>
          </cell>
          <cell r="E11">
            <v>36695792.350000001</v>
          </cell>
        </row>
        <row r="12">
          <cell r="C12">
            <v>-35638741.399999999</v>
          </cell>
          <cell r="D12">
            <v>-2267783.35</v>
          </cell>
          <cell r="E12">
            <v>-37906524.75</v>
          </cell>
        </row>
        <row r="13">
          <cell r="C13">
            <v>8578661.2300000004</v>
          </cell>
          <cell r="D13">
            <v>142403.65</v>
          </cell>
          <cell r="E13">
            <v>8721064.8800000008</v>
          </cell>
        </row>
        <row r="14">
          <cell r="C14">
            <v>2100641112.8</v>
          </cell>
          <cell r="D14">
            <v>116929913.03</v>
          </cell>
          <cell r="E14">
            <v>2217571025.8000002</v>
          </cell>
        </row>
        <row r="15">
          <cell r="C15">
            <v>1739234467.5999999</v>
          </cell>
          <cell r="D15">
            <v>67355362.390000001</v>
          </cell>
          <cell r="E15">
            <v>1806589830</v>
          </cell>
        </row>
        <row r="16">
          <cell r="C16">
            <v>-26938113.510000002</v>
          </cell>
          <cell r="D16">
            <v>-1127109.1200000001</v>
          </cell>
          <cell r="E16">
            <v>-28065222.629999999</v>
          </cell>
        </row>
        <row r="17">
          <cell r="C17">
            <v>1712296354.0999999</v>
          </cell>
          <cell r="D17">
            <v>66228253.270000003</v>
          </cell>
          <cell r="E17">
            <v>1778524607.3</v>
          </cell>
        </row>
        <row r="18">
          <cell r="C18">
            <v>9628354.3800000008</v>
          </cell>
          <cell r="D18">
            <v>321507.67</v>
          </cell>
          <cell r="E18">
            <v>9949862.0500000007</v>
          </cell>
        </row>
        <row r="19">
          <cell r="C19">
            <v>69634744.840000004</v>
          </cell>
          <cell r="D19">
            <v>6316878.8300000001</v>
          </cell>
          <cell r="E19">
            <v>75951623.670000002</v>
          </cell>
        </row>
        <row r="20">
          <cell r="C20">
            <v>1791559453.3</v>
          </cell>
          <cell r="D20">
            <v>72866639.760000005</v>
          </cell>
          <cell r="E20">
            <v>1864426093</v>
          </cell>
        </row>
        <row r="21">
          <cell r="C21">
            <v>-10798569.41</v>
          </cell>
          <cell r="D21">
            <v>-271218.94</v>
          </cell>
          <cell r="E21">
            <v>-11069788.35</v>
          </cell>
        </row>
        <row r="22">
          <cell r="C22">
            <v>0</v>
          </cell>
          <cell r="D22">
            <v>0</v>
          </cell>
          <cell r="E22">
            <v>0</v>
          </cell>
        </row>
        <row r="23">
          <cell r="C23">
            <v>1780760883.9000001</v>
          </cell>
          <cell r="D23">
            <v>72595420.819999993</v>
          </cell>
          <cell r="E23">
            <v>1853356304.7</v>
          </cell>
        </row>
        <row r="24">
          <cell r="C24">
            <v>292591331.26999998</v>
          </cell>
          <cell r="D24">
            <v>17726442.710000001</v>
          </cell>
          <cell r="E24">
            <v>310317773.98000002</v>
          </cell>
        </row>
        <row r="25">
          <cell r="C25">
            <v>2324062.56</v>
          </cell>
          <cell r="D25">
            <v>150605.35</v>
          </cell>
          <cell r="E25">
            <v>2474667.91</v>
          </cell>
        </row>
        <row r="26">
          <cell r="C26">
            <v>294915393.81999999</v>
          </cell>
          <cell r="D26">
            <v>17877048.07</v>
          </cell>
          <cell r="E26">
            <v>312792441.88999999</v>
          </cell>
        </row>
        <row r="27">
          <cell r="C27">
            <v>2075676277.7</v>
          </cell>
          <cell r="D27">
            <v>90472468.890000001</v>
          </cell>
          <cell r="E27">
            <v>2166148746.5999999</v>
          </cell>
        </row>
        <row r="28">
          <cell r="C28">
            <v>24964099.510000002</v>
          </cell>
          <cell r="D28">
            <v>26457444.140000001</v>
          </cell>
          <cell r="E28">
            <v>51421543.649999999</v>
          </cell>
        </row>
        <row r="29">
          <cell r="C29">
            <v>1784916.59</v>
          </cell>
          <cell r="D29">
            <v>501383.76</v>
          </cell>
          <cell r="E29">
            <v>2286300.35</v>
          </cell>
        </row>
        <row r="30">
          <cell r="C30">
            <v>26749751.710000001</v>
          </cell>
          <cell r="D30">
            <v>26958828.079999998</v>
          </cell>
          <cell r="E30">
            <v>53708579.789999999</v>
          </cell>
        </row>
      </sheetData>
      <sheetData sheetId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5">
          <cell r="C5">
            <v>38958718.979999997</v>
          </cell>
          <cell r="D5">
            <v>1029064.72</v>
          </cell>
          <cell r="E5">
            <v>39987783.700000003</v>
          </cell>
        </row>
        <row r="6">
          <cell r="C6">
            <v>-51066.64</v>
          </cell>
          <cell r="D6">
            <v>-1324.26</v>
          </cell>
          <cell r="E6">
            <v>-52390.9</v>
          </cell>
        </row>
        <row r="7">
          <cell r="C7">
            <v>0</v>
          </cell>
          <cell r="D7">
            <v>0</v>
          </cell>
          <cell r="E7">
            <v>0</v>
          </cell>
        </row>
        <row r="8">
          <cell r="C8">
            <v>38907652.340000004</v>
          </cell>
          <cell r="D8">
            <v>1027740.46</v>
          </cell>
          <cell r="E8">
            <v>39935392.799999997</v>
          </cell>
        </row>
        <row r="9">
          <cell r="C9">
            <v>0</v>
          </cell>
          <cell r="D9">
            <v>0</v>
          </cell>
          <cell r="E9">
            <v>0</v>
          </cell>
        </row>
        <row r="10">
          <cell r="C10">
            <v>38907652.340000004</v>
          </cell>
          <cell r="D10">
            <v>1027740.46</v>
          </cell>
          <cell r="E10">
            <v>39935392.799999997</v>
          </cell>
        </row>
        <row r="11">
          <cell r="C11">
            <v>28216408.82</v>
          </cell>
          <cell r="D11">
            <v>743306.59</v>
          </cell>
          <cell r="E11">
            <v>28959715.41</v>
          </cell>
        </row>
        <row r="12">
          <cell r="C12">
            <v>0</v>
          </cell>
          <cell r="D12">
            <v>0</v>
          </cell>
          <cell r="E12">
            <v>0</v>
          </cell>
        </row>
        <row r="13">
          <cell r="C13">
            <v>5223.46</v>
          </cell>
          <cell r="D13">
            <v>135.63999999999999</v>
          </cell>
          <cell r="E13">
            <v>5359.1</v>
          </cell>
        </row>
        <row r="14">
          <cell r="C14">
            <v>67129284.620000005</v>
          </cell>
          <cell r="D14">
            <v>1771182.69</v>
          </cell>
          <cell r="E14">
            <v>68900467.310000002</v>
          </cell>
        </row>
        <row r="15">
          <cell r="C15">
            <v>64748126.100000001</v>
          </cell>
          <cell r="D15">
            <v>1725241.2</v>
          </cell>
          <cell r="E15">
            <v>66473367.299999997</v>
          </cell>
        </row>
        <row r="16">
          <cell r="C16">
            <v>-3981142.72</v>
          </cell>
          <cell r="D16">
            <v>-45259.13</v>
          </cell>
          <cell r="E16">
            <v>-4026401.85</v>
          </cell>
        </row>
        <row r="17">
          <cell r="C17">
            <v>60766983.380000003</v>
          </cell>
          <cell r="D17">
            <v>1679982.07</v>
          </cell>
          <cell r="E17">
            <v>62446965.450000003</v>
          </cell>
        </row>
        <row r="18">
          <cell r="C18">
            <v>22482.47</v>
          </cell>
          <cell r="D18">
            <v>583.26</v>
          </cell>
          <cell r="E18">
            <v>23065.73</v>
          </cell>
        </row>
        <row r="19">
          <cell r="C19">
            <v>1176803.08</v>
          </cell>
          <cell r="D19">
            <v>30602.17</v>
          </cell>
          <cell r="E19">
            <v>1207405.25</v>
          </cell>
        </row>
        <row r="20">
          <cell r="C20">
            <v>61966268.93</v>
          </cell>
          <cell r="D20">
            <v>1711167.5</v>
          </cell>
          <cell r="E20">
            <v>63677436.43</v>
          </cell>
        </row>
        <row r="21">
          <cell r="C21">
            <v>0</v>
          </cell>
          <cell r="D21">
            <v>0</v>
          </cell>
          <cell r="E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</row>
        <row r="23">
          <cell r="C23">
            <v>61966268.93</v>
          </cell>
          <cell r="D23">
            <v>1711167.5</v>
          </cell>
          <cell r="E23">
            <v>63677436.43</v>
          </cell>
        </row>
        <row r="24">
          <cell r="C24">
            <v>5485092.5700000003</v>
          </cell>
          <cell r="D24">
            <v>146339.51999999999</v>
          </cell>
          <cell r="E24">
            <v>5631432.0899999999</v>
          </cell>
        </row>
        <row r="25">
          <cell r="C25">
            <v>38879.5</v>
          </cell>
          <cell r="D25">
            <v>1008.81</v>
          </cell>
          <cell r="E25">
            <v>39888.31</v>
          </cell>
        </row>
        <row r="26">
          <cell r="C26">
            <v>5523972.0700000003</v>
          </cell>
          <cell r="D26">
            <v>147348.32999999999</v>
          </cell>
          <cell r="E26">
            <v>5671320.4000000004</v>
          </cell>
        </row>
        <row r="27">
          <cell r="C27">
            <v>67490241</v>
          </cell>
          <cell r="D27">
            <v>1858515.83</v>
          </cell>
          <cell r="E27">
            <v>69348756.829999998</v>
          </cell>
        </row>
        <row r="28">
          <cell r="C28">
            <v>-360956.38</v>
          </cell>
          <cell r="D28">
            <v>-87333.14</v>
          </cell>
          <cell r="E28">
            <v>-448289.52</v>
          </cell>
        </row>
        <row r="29">
          <cell r="C29">
            <v>510448.65</v>
          </cell>
          <cell r="D29">
            <v>13492.29</v>
          </cell>
          <cell r="E29">
            <v>523940.94</v>
          </cell>
        </row>
        <row r="30">
          <cell r="C30">
            <v>149492.26999999999</v>
          </cell>
          <cell r="D30">
            <v>-73840.850000000006</v>
          </cell>
          <cell r="E30">
            <v>75651.42</v>
          </cell>
        </row>
      </sheetData>
      <sheetData sheetId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5">
          <cell r="C5">
            <v>8594755.3200000003</v>
          </cell>
          <cell r="D5">
            <v>31154.1</v>
          </cell>
          <cell r="E5">
            <v>8625909.4199999999</v>
          </cell>
        </row>
        <row r="6">
          <cell r="C6">
            <v>-101380.97</v>
          </cell>
          <cell r="D6">
            <v>-37.700000000000003</v>
          </cell>
          <cell r="E6">
            <v>-101418.67</v>
          </cell>
        </row>
        <row r="7">
          <cell r="C7">
            <v>0.66</v>
          </cell>
          <cell r="D7">
            <v>0</v>
          </cell>
          <cell r="E7">
            <v>0.66</v>
          </cell>
        </row>
        <row r="8">
          <cell r="C8">
            <v>8493375.0099999998</v>
          </cell>
          <cell r="D8">
            <v>31116.400000000001</v>
          </cell>
          <cell r="E8">
            <v>8524491.4100000001</v>
          </cell>
        </row>
        <row r="9">
          <cell r="C9">
            <v>-11271.58</v>
          </cell>
          <cell r="D9">
            <v>-743.84</v>
          </cell>
          <cell r="E9">
            <v>-12015.42</v>
          </cell>
        </row>
        <row r="10">
          <cell r="C10">
            <v>8482103.4299999997</v>
          </cell>
          <cell r="D10">
            <v>30372.560000000001</v>
          </cell>
          <cell r="E10">
            <v>8512475.9900000002</v>
          </cell>
        </row>
        <row r="11">
          <cell r="C11">
            <v>0</v>
          </cell>
          <cell r="D11">
            <v>0</v>
          </cell>
          <cell r="E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</row>
        <row r="13">
          <cell r="C13">
            <v>54.8</v>
          </cell>
          <cell r="D13">
            <v>0</v>
          </cell>
          <cell r="E13">
            <v>54.8</v>
          </cell>
        </row>
        <row r="14">
          <cell r="C14">
            <v>8482158.2300000004</v>
          </cell>
          <cell r="D14">
            <v>30372.560000000001</v>
          </cell>
          <cell r="E14">
            <v>8512530.7899999991</v>
          </cell>
        </row>
        <row r="15">
          <cell r="C15">
            <v>8217668.1500000004</v>
          </cell>
          <cell r="D15">
            <v>257117.5</v>
          </cell>
          <cell r="E15">
            <v>8474785.6500000004</v>
          </cell>
        </row>
        <row r="16">
          <cell r="C16">
            <v>-186390.53</v>
          </cell>
          <cell r="D16">
            <v>-8449.09</v>
          </cell>
          <cell r="E16">
            <v>-194839.62</v>
          </cell>
        </row>
        <row r="17">
          <cell r="C17">
            <v>8031277.6200000001</v>
          </cell>
          <cell r="D17">
            <v>248668.41</v>
          </cell>
          <cell r="E17">
            <v>8279946.0300000003</v>
          </cell>
        </row>
        <row r="18">
          <cell r="C18">
            <v>6311.83</v>
          </cell>
          <cell r="D18">
            <v>223.56</v>
          </cell>
          <cell r="E18">
            <v>6535.39</v>
          </cell>
        </row>
        <row r="19">
          <cell r="C19">
            <v>139600.32999999999</v>
          </cell>
          <cell r="D19">
            <v>13457.13</v>
          </cell>
          <cell r="E19">
            <v>153057.46</v>
          </cell>
        </row>
        <row r="20">
          <cell r="C20">
            <v>8177189.7800000003</v>
          </cell>
          <cell r="D20">
            <v>262349.09999999998</v>
          </cell>
          <cell r="E20">
            <v>8439538.8800000008</v>
          </cell>
        </row>
        <row r="21">
          <cell r="C21">
            <v>0</v>
          </cell>
          <cell r="D21">
            <v>0</v>
          </cell>
          <cell r="E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</row>
        <row r="23">
          <cell r="C23">
            <v>8177189.7800000003</v>
          </cell>
          <cell r="D23">
            <v>262349.09999999998</v>
          </cell>
          <cell r="E23">
            <v>8439538.8800000008</v>
          </cell>
        </row>
        <row r="24">
          <cell r="C24">
            <v>1310762.96</v>
          </cell>
          <cell r="D24">
            <v>40523.480000000003</v>
          </cell>
          <cell r="E24">
            <v>1351286.44</v>
          </cell>
        </row>
        <row r="25">
          <cell r="C25">
            <v>7600.11</v>
          </cell>
          <cell r="D25">
            <v>229.6</v>
          </cell>
          <cell r="E25">
            <v>7829.71</v>
          </cell>
        </row>
        <row r="26">
          <cell r="C26">
            <v>1318363.07</v>
          </cell>
          <cell r="D26">
            <v>40753.08</v>
          </cell>
          <cell r="E26">
            <v>1359116.15</v>
          </cell>
        </row>
        <row r="27">
          <cell r="C27">
            <v>9495552.8399999999</v>
          </cell>
          <cell r="D27">
            <v>303102.18</v>
          </cell>
          <cell r="E27">
            <v>9798655.0199999996</v>
          </cell>
        </row>
        <row r="28">
          <cell r="C28">
            <v>-1013394.61</v>
          </cell>
          <cell r="D28">
            <v>-272729.62</v>
          </cell>
          <cell r="E28">
            <v>-1286124.23</v>
          </cell>
        </row>
        <row r="29">
          <cell r="C29">
            <v>-18830.93</v>
          </cell>
          <cell r="D29">
            <v>-256.39999999999998</v>
          </cell>
          <cell r="E29">
            <v>-19087.330000000002</v>
          </cell>
        </row>
        <row r="30">
          <cell r="C30">
            <v>-1032225.54</v>
          </cell>
          <cell r="D30">
            <v>-272986.02</v>
          </cell>
          <cell r="E30">
            <v>-1305211.56</v>
          </cell>
        </row>
      </sheetData>
      <sheetData sheetId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1945</v>
          </cell>
          <cell r="B7">
            <v>1151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</row>
        <row r="8">
          <cell r="A8">
            <v>1950</v>
          </cell>
          <cell r="B8">
            <v>1154</v>
          </cell>
          <cell r="C8" t="str">
            <v>-</v>
          </cell>
          <cell r="D8" t="str">
            <v>-</v>
          </cell>
          <cell r="E8" t="str">
            <v>-</v>
          </cell>
          <cell r="F8" t="str">
            <v>-</v>
          </cell>
        </row>
        <row r="9">
          <cell r="A9">
            <v>1955</v>
          </cell>
          <cell r="B9">
            <v>1135</v>
          </cell>
          <cell r="C9" t="str">
            <v>-</v>
          </cell>
          <cell r="D9" t="str">
            <v>-</v>
          </cell>
          <cell r="E9" t="str">
            <v>-</v>
          </cell>
          <cell r="F9" t="str">
            <v>-</v>
          </cell>
        </row>
        <row r="10">
          <cell r="A10">
            <v>1960</v>
          </cell>
          <cell r="B10">
            <v>1088</v>
          </cell>
          <cell r="C10" t="str">
            <v>-</v>
          </cell>
          <cell r="D10" t="str">
            <v>-</v>
          </cell>
          <cell r="E10" t="str">
            <v>-</v>
          </cell>
          <cell r="F10" t="str">
            <v>-</v>
          </cell>
        </row>
        <row r="11">
          <cell r="A11">
            <v>1965</v>
          </cell>
          <cell r="B11">
            <v>984</v>
          </cell>
          <cell r="C11" t="str">
            <v>-</v>
          </cell>
          <cell r="D11" t="str">
            <v>-</v>
          </cell>
          <cell r="E11" t="str">
            <v>-</v>
          </cell>
          <cell r="F11" t="str">
            <v>-</v>
          </cell>
        </row>
        <row r="12">
          <cell r="A12">
            <v>1970</v>
          </cell>
          <cell r="B12">
            <v>815</v>
          </cell>
          <cell r="C12">
            <v>1</v>
          </cell>
          <cell r="D12">
            <v>26</v>
          </cell>
          <cell r="E12" t="str">
            <v>-</v>
          </cell>
          <cell r="F12" t="str">
            <v>-</v>
          </cell>
        </row>
        <row r="13">
          <cell r="A13">
            <v>1971</v>
          </cell>
          <cell r="B13">
            <v>793</v>
          </cell>
          <cell r="C13">
            <v>0</v>
          </cell>
          <cell r="D13">
            <v>22</v>
          </cell>
          <cell r="E13" t="str">
            <v>-</v>
          </cell>
          <cell r="F13" t="str">
            <v>-</v>
          </cell>
        </row>
        <row r="14">
          <cell r="A14">
            <v>1972</v>
          </cell>
          <cell r="B14">
            <v>763</v>
          </cell>
          <cell r="C14">
            <v>1</v>
          </cell>
          <cell r="D14">
            <v>31</v>
          </cell>
          <cell r="E14" t="str">
            <v>-</v>
          </cell>
          <cell r="F14" t="str">
            <v>-</v>
          </cell>
        </row>
        <row r="15">
          <cell r="A15">
            <v>1973</v>
          </cell>
          <cell r="B15">
            <v>735</v>
          </cell>
          <cell r="C15">
            <v>0</v>
          </cell>
          <cell r="D15">
            <v>28</v>
          </cell>
          <cell r="E15" t="str">
            <v>-</v>
          </cell>
          <cell r="F15" t="str">
            <v>-</v>
          </cell>
        </row>
        <row r="16">
          <cell r="A16">
            <v>1974</v>
          </cell>
          <cell r="B16">
            <v>707</v>
          </cell>
          <cell r="C16">
            <v>3</v>
          </cell>
          <cell r="D16">
            <v>31</v>
          </cell>
          <cell r="E16" t="str">
            <v>-</v>
          </cell>
          <cell r="F16" t="str">
            <v>-</v>
          </cell>
        </row>
        <row r="17">
          <cell r="A17">
            <v>1975</v>
          </cell>
          <cell r="B17">
            <v>662</v>
          </cell>
          <cell r="C17">
            <v>1</v>
          </cell>
          <cell r="D17">
            <v>46</v>
          </cell>
          <cell r="E17" t="str">
            <v>-</v>
          </cell>
          <cell r="F17" t="str">
            <v>-</v>
          </cell>
        </row>
        <row r="18">
          <cell r="A18">
            <v>1976</v>
          </cell>
          <cell r="B18">
            <v>634</v>
          </cell>
          <cell r="C18">
            <v>0</v>
          </cell>
          <cell r="D18">
            <v>28</v>
          </cell>
          <cell r="E18" t="str">
            <v>-</v>
          </cell>
          <cell r="F18" t="str">
            <v>-</v>
          </cell>
        </row>
        <row r="19">
          <cell r="A19">
            <v>1977</v>
          </cell>
          <cell r="B19">
            <v>615</v>
          </cell>
          <cell r="C19">
            <v>0</v>
          </cell>
          <cell r="D19">
            <v>19</v>
          </cell>
          <cell r="E19" t="str">
            <v>-</v>
          </cell>
          <cell r="F19" t="str">
            <v>-</v>
          </cell>
        </row>
        <row r="20">
          <cell r="A20">
            <v>1978</v>
          </cell>
          <cell r="B20">
            <v>598</v>
          </cell>
          <cell r="C20">
            <v>1</v>
          </cell>
          <cell r="D20">
            <v>18</v>
          </cell>
          <cell r="E20" t="str">
            <v>-</v>
          </cell>
          <cell r="F20" t="str">
            <v>-</v>
          </cell>
        </row>
        <row r="21">
          <cell r="A21">
            <v>1979</v>
          </cell>
          <cell r="B21">
            <v>577</v>
          </cell>
          <cell r="C21">
            <v>2</v>
          </cell>
          <cell r="D21">
            <v>23</v>
          </cell>
          <cell r="E21" t="str">
            <v>-</v>
          </cell>
          <cell r="F21" t="str">
            <v>-</v>
          </cell>
        </row>
        <row r="22">
          <cell r="A22">
            <v>1980</v>
          </cell>
          <cell r="B22">
            <v>555</v>
          </cell>
          <cell r="C22">
            <v>2</v>
          </cell>
          <cell r="D22">
            <v>24</v>
          </cell>
          <cell r="E22" t="str">
            <v>-</v>
          </cell>
          <cell r="F22" t="str">
            <v>-</v>
          </cell>
        </row>
        <row r="23">
          <cell r="A23">
            <v>1981</v>
          </cell>
          <cell r="B23">
            <v>537</v>
          </cell>
          <cell r="C23">
            <v>0</v>
          </cell>
          <cell r="D23">
            <v>18</v>
          </cell>
          <cell r="E23" t="str">
            <v>-</v>
          </cell>
          <cell r="F23" t="str">
            <v>-</v>
          </cell>
        </row>
        <row r="24">
          <cell r="A24">
            <v>1982</v>
          </cell>
          <cell r="B24">
            <v>514</v>
          </cell>
          <cell r="C24">
            <v>1</v>
          </cell>
          <cell r="D24">
            <v>24</v>
          </cell>
          <cell r="E24" t="str">
            <v>-</v>
          </cell>
          <cell r="F24" t="str">
            <v>-</v>
          </cell>
        </row>
        <row r="25">
          <cell r="A25">
            <v>1983</v>
          </cell>
          <cell r="B25">
            <v>492</v>
          </cell>
          <cell r="C25">
            <v>2</v>
          </cell>
          <cell r="D25">
            <v>24</v>
          </cell>
          <cell r="E25" t="str">
            <v>-</v>
          </cell>
          <cell r="F25" t="str">
            <v>-</v>
          </cell>
        </row>
        <row r="26">
          <cell r="A26">
            <v>1984</v>
          </cell>
          <cell r="B26">
            <v>461</v>
          </cell>
          <cell r="C26">
            <v>1</v>
          </cell>
          <cell r="D26">
            <v>32</v>
          </cell>
          <cell r="E26" t="str">
            <v>-</v>
          </cell>
          <cell r="F26" t="str">
            <v>-</v>
          </cell>
        </row>
        <row r="27">
          <cell r="A27">
            <v>1985</v>
          </cell>
          <cell r="B27">
            <v>449</v>
          </cell>
          <cell r="C27">
            <v>0</v>
          </cell>
          <cell r="D27">
            <v>12</v>
          </cell>
          <cell r="E27" t="str">
            <v>-</v>
          </cell>
          <cell r="F27" t="str">
            <v>-</v>
          </cell>
        </row>
        <row r="28">
          <cell r="A28">
            <v>1986</v>
          </cell>
          <cell r="B28">
            <v>432</v>
          </cell>
          <cell r="C28">
            <v>1</v>
          </cell>
          <cell r="D28">
            <v>18</v>
          </cell>
          <cell r="E28" t="str">
            <v>-</v>
          </cell>
          <cell r="F28" t="str">
            <v>-</v>
          </cell>
        </row>
        <row r="29">
          <cell r="A29">
            <v>1987</v>
          </cell>
          <cell r="B29">
            <v>385</v>
          </cell>
          <cell r="C29">
            <v>2</v>
          </cell>
          <cell r="D29">
            <v>49</v>
          </cell>
          <cell r="E29" t="str">
            <v>-</v>
          </cell>
          <cell r="F29" t="str">
            <v>-</v>
          </cell>
        </row>
        <row r="30">
          <cell r="A30">
            <v>1988</v>
          </cell>
          <cell r="B30">
            <v>370</v>
          </cell>
          <cell r="C30">
            <v>1</v>
          </cell>
          <cell r="D30">
            <v>16</v>
          </cell>
          <cell r="E30" t="str">
            <v>-</v>
          </cell>
          <cell r="F30" t="str">
            <v>-</v>
          </cell>
        </row>
        <row r="31">
          <cell r="A31">
            <v>1989</v>
          </cell>
          <cell r="B31">
            <v>269</v>
          </cell>
          <cell r="C31">
            <v>4</v>
          </cell>
          <cell r="D31">
            <v>105</v>
          </cell>
          <cell r="E31" t="str">
            <v>-</v>
          </cell>
          <cell r="F31" t="str">
            <v>-</v>
          </cell>
        </row>
        <row r="32">
          <cell r="A32">
            <v>1990</v>
          </cell>
          <cell r="B32">
            <v>246</v>
          </cell>
          <cell r="C32">
            <v>1</v>
          </cell>
          <cell r="D32">
            <v>24</v>
          </cell>
          <cell r="E32" t="str">
            <v>-</v>
          </cell>
          <cell r="F32" t="str">
            <v>-</v>
          </cell>
        </row>
        <row r="33">
          <cell r="A33">
            <v>1991</v>
          </cell>
          <cell r="B33">
            <v>228</v>
          </cell>
          <cell r="C33">
            <v>0</v>
          </cell>
          <cell r="D33">
            <v>18</v>
          </cell>
          <cell r="E33" t="str">
            <v>-</v>
          </cell>
          <cell r="F33" t="str">
            <v>-</v>
          </cell>
        </row>
        <row r="34">
          <cell r="A34">
            <v>1992</v>
          </cell>
          <cell r="B34">
            <v>213</v>
          </cell>
          <cell r="C34">
            <v>2</v>
          </cell>
          <cell r="D34">
            <v>17</v>
          </cell>
          <cell r="E34" t="str">
            <v>-</v>
          </cell>
          <cell r="F34" t="str">
            <v>-</v>
          </cell>
        </row>
        <row r="35">
          <cell r="A35">
            <v>1993</v>
          </cell>
          <cell r="B35">
            <v>207</v>
          </cell>
          <cell r="C35">
            <v>0</v>
          </cell>
          <cell r="D35">
            <v>6</v>
          </cell>
          <cell r="E35" t="str">
            <v>-</v>
          </cell>
          <cell r="F35" t="str">
            <v>-</v>
          </cell>
        </row>
        <row r="36">
          <cell r="A36">
            <v>1994</v>
          </cell>
          <cell r="B36">
            <v>198</v>
          </cell>
          <cell r="C36">
            <v>0</v>
          </cell>
          <cell r="D36">
            <v>9</v>
          </cell>
          <cell r="E36">
            <v>178</v>
          </cell>
          <cell r="F36">
            <v>186</v>
          </cell>
        </row>
        <row r="37">
          <cell r="A37">
            <v>1995</v>
          </cell>
          <cell r="B37">
            <v>184</v>
          </cell>
          <cell r="C37">
            <v>0</v>
          </cell>
          <cell r="D37">
            <v>14</v>
          </cell>
          <cell r="E37">
            <v>166</v>
          </cell>
          <cell r="F37">
            <v>174</v>
          </cell>
        </row>
        <row r="38">
          <cell r="A38">
            <v>1996</v>
          </cell>
          <cell r="B38">
            <v>159</v>
          </cell>
          <cell r="C38">
            <v>0</v>
          </cell>
          <cell r="D38">
            <v>25</v>
          </cell>
          <cell r="E38">
            <v>145</v>
          </cell>
          <cell r="F38">
            <v>150</v>
          </cell>
        </row>
        <row r="39">
          <cell r="A39">
            <v>1997</v>
          </cell>
          <cell r="B39">
            <v>142</v>
          </cell>
          <cell r="C39">
            <v>1</v>
          </cell>
          <cell r="D39">
            <v>18</v>
          </cell>
          <cell r="E39">
            <v>129</v>
          </cell>
          <cell r="F39">
            <v>134</v>
          </cell>
        </row>
        <row r="40">
          <cell r="A40">
            <v>1998</v>
          </cell>
          <cell r="B40">
            <v>127</v>
          </cell>
          <cell r="C40">
            <v>0</v>
          </cell>
          <cell r="D40">
            <v>15</v>
          </cell>
          <cell r="E40">
            <v>118</v>
          </cell>
          <cell r="F40">
            <v>115</v>
          </cell>
        </row>
        <row r="41">
          <cell r="A41">
            <v>1999</v>
          </cell>
          <cell r="B41">
            <v>119</v>
          </cell>
          <cell r="C41">
            <v>2</v>
          </cell>
          <cell r="D41">
            <v>10</v>
          </cell>
          <cell r="E41">
            <v>109</v>
          </cell>
          <cell r="F41">
            <v>109</v>
          </cell>
        </row>
        <row r="42">
          <cell r="A42">
            <v>2000</v>
          </cell>
          <cell r="B42">
            <v>110</v>
          </cell>
          <cell r="C42">
            <v>0</v>
          </cell>
          <cell r="D42">
            <v>9</v>
          </cell>
          <cell r="E42">
            <v>101</v>
          </cell>
          <cell r="F42">
            <v>102</v>
          </cell>
        </row>
        <row r="43">
          <cell r="B43">
            <v>108</v>
          </cell>
          <cell r="C43">
            <v>0</v>
          </cell>
          <cell r="D43">
            <v>2</v>
          </cell>
          <cell r="E43">
            <v>99</v>
          </cell>
          <cell r="F43">
            <v>100</v>
          </cell>
        </row>
      </sheetData>
      <sheetData sheetId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"/>
    </sheetNames>
    <sheetDataSet>
      <sheetData sheetId="0">
        <row r="2">
          <cell r="B2">
            <v>2001</v>
          </cell>
          <cell r="D2" t="str">
            <v>Datenstand: 27.09.2002</v>
          </cell>
        </row>
      </sheetData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8">
          <cell r="A8">
            <v>1945</v>
          </cell>
          <cell r="B8">
            <v>2122028</v>
          </cell>
          <cell r="C8" t="str">
            <v>-</v>
          </cell>
          <cell r="D8">
            <v>1318379</v>
          </cell>
          <cell r="E8" t="str">
            <v>-</v>
          </cell>
          <cell r="F8">
            <v>4412000</v>
          </cell>
          <cell r="G8">
            <v>0.48100000000000004</v>
          </cell>
        </row>
        <row r="9">
          <cell r="A9">
            <v>1950</v>
          </cell>
          <cell r="B9">
            <v>2574399</v>
          </cell>
          <cell r="C9">
            <v>0.21317861969776075</v>
          </cell>
          <cell r="D9">
            <v>1698199</v>
          </cell>
          <cell r="E9">
            <v>0.28809621512478589</v>
          </cell>
          <cell r="F9">
            <v>4694000</v>
          </cell>
          <cell r="G9">
            <v>0.54799999999999993</v>
          </cell>
        </row>
        <row r="10">
          <cell r="A10">
            <v>1955</v>
          </cell>
          <cell r="B10">
            <v>3158227</v>
          </cell>
          <cell r="C10">
            <v>0.22678225092536164</v>
          </cell>
          <cell r="D10">
            <v>2079143</v>
          </cell>
          <cell r="E10">
            <v>0.2243223556249887</v>
          </cell>
          <cell r="F10">
            <v>4980000</v>
          </cell>
          <cell r="G10">
            <v>0.63400000000000001</v>
          </cell>
        </row>
        <row r="11">
          <cell r="A11">
            <v>1960</v>
          </cell>
          <cell r="B11">
            <v>3888386</v>
          </cell>
          <cell r="C11">
            <v>0.2311926913423259</v>
          </cell>
          <cell r="D11">
            <v>2517206</v>
          </cell>
          <cell r="E11">
            <v>0.2106940215271389</v>
          </cell>
          <cell r="F11">
            <v>5362000</v>
          </cell>
          <cell r="G11">
            <v>0.7251745617306975</v>
          </cell>
        </row>
        <row r="12">
          <cell r="A12">
            <v>1965</v>
          </cell>
          <cell r="B12">
            <v>4893312</v>
          </cell>
          <cell r="C12">
            <v>0.25844296322433014</v>
          </cell>
          <cell r="D12">
            <v>3097656</v>
          </cell>
          <cell r="E12">
            <v>0.23059296696416576</v>
          </cell>
          <cell r="F12">
            <v>5943000</v>
          </cell>
          <cell r="G12">
            <v>0.82059717314487624</v>
          </cell>
        </row>
        <row r="13">
          <cell r="A13">
            <v>1970</v>
          </cell>
          <cell r="B13">
            <v>5603263</v>
          </cell>
          <cell r="C13">
            <v>0.14508598675089601</v>
          </cell>
          <cell r="D13">
            <v>3425013</v>
          </cell>
          <cell r="E13">
            <v>0.10567893917207072</v>
          </cell>
          <cell r="F13">
            <v>6267000</v>
          </cell>
          <cell r="G13">
            <v>0.88868677198021384</v>
          </cell>
        </row>
        <row r="14">
          <cell r="A14">
            <v>1971</v>
          </cell>
          <cell r="B14">
            <v>5732252</v>
          </cell>
          <cell r="C14">
            <v>2.3020336543189135E-2</v>
          </cell>
          <cell r="D14">
            <v>3520597</v>
          </cell>
          <cell r="E14">
            <v>2.790763129950169E-2</v>
          </cell>
          <cell r="F14">
            <v>6343300</v>
          </cell>
          <cell r="G14">
            <v>0.89822615988523324</v>
          </cell>
        </row>
        <row r="15">
          <cell r="A15">
            <v>1972</v>
          </cell>
          <cell r="B15">
            <v>5868657</v>
          </cell>
          <cell r="C15">
            <v>2.3796057814625016E-2</v>
          </cell>
          <cell r="D15">
            <v>3603527</v>
          </cell>
          <cell r="E15">
            <v>2.3555663996759568E-2</v>
          </cell>
          <cell r="F15">
            <v>6401400</v>
          </cell>
          <cell r="G15">
            <v>0.9108196644484019</v>
          </cell>
        </row>
        <row r="16">
          <cell r="A16">
            <v>1973</v>
          </cell>
          <cell r="B16">
            <v>5987857</v>
          </cell>
          <cell r="C16">
            <v>2.0311290981906094E-2</v>
          </cell>
          <cell r="D16">
            <v>3686319</v>
          </cell>
          <cell r="E16">
            <v>2.2975268396767889E-2</v>
          </cell>
          <cell r="F16">
            <v>6441100</v>
          </cell>
          <cell r="G16">
            <v>0.9235768735153933</v>
          </cell>
        </row>
        <row r="17">
          <cell r="A17">
            <v>1974</v>
          </cell>
          <cell r="B17">
            <v>6066165</v>
          </cell>
          <cell r="C17">
            <v>1.3077800622159241E-2</v>
          </cell>
          <cell r="D17">
            <v>3717245</v>
          </cell>
          <cell r="E17">
            <v>8.3893987470970988E-3</v>
          </cell>
          <cell r="F17">
            <v>6460000</v>
          </cell>
          <cell r="G17">
            <v>0.93341532507739933</v>
          </cell>
        </row>
        <row r="18">
          <cell r="A18">
            <v>1975</v>
          </cell>
          <cell r="B18">
            <v>6057210</v>
          </cell>
          <cell r="C18">
            <v>-1.4762209732178677E-3</v>
          </cell>
          <cell r="D18">
            <v>3695253</v>
          </cell>
          <cell r="E18">
            <v>-5.9162094508163898E-3</v>
          </cell>
          <cell r="F18">
            <v>6403500</v>
          </cell>
          <cell r="G18">
            <v>0.93983493402045748</v>
          </cell>
        </row>
        <row r="19">
          <cell r="A19">
            <v>1976</v>
          </cell>
          <cell r="B19">
            <v>6027653</v>
          </cell>
          <cell r="C19">
            <v>-4.8796393058850862E-3</v>
          </cell>
          <cell r="D19">
            <v>3659141</v>
          </cell>
          <cell r="E19">
            <v>-9.7725379020056069E-3</v>
          </cell>
          <cell r="F19">
            <v>6333300</v>
          </cell>
          <cell r="G19">
            <v>0.94580645161290322</v>
          </cell>
        </row>
        <row r="20">
          <cell r="A20">
            <v>1977</v>
          </cell>
          <cell r="B20">
            <v>6041206</v>
          </cell>
          <cell r="C20">
            <v>2.2484705075092037E-3</v>
          </cell>
          <cell r="D20">
            <v>3656189</v>
          </cell>
          <cell r="E20">
            <v>-8.0674672006353365E-4</v>
          </cell>
          <cell r="F20">
            <v>6316400</v>
          </cell>
          <cell r="G20">
            <v>0.94998511810524977</v>
          </cell>
        </row>
        <row r="21">
          <cell r="A21">
            <v>1978</v>
          </cell>
          <cell r="B21">
            <v>6088290</v>
          </cell>
          <cell r="C21">
            <v>7.7938080575301605E-3</v>
          </cell>
          <cell r="D21">
            <v>3695499</v>
          </cell>
          <cell r="E21">
            <v>1.0751632369114361E-2</v>
          </cell>
          <cell r="F21">
            <v>6332600</v>
          </cell>
          <cell r="G21">
            <v>0.95417648359283702</v>
          </cell>
        </row>
        <row r="22">
          <cell r="A22">
            <v>1979</v>
          </cell>
          <cell r="B22">
            <v>6144808</v>
          </cell>
          <cell r="C22">
            <v>9.2830663453942197E-3</v>
          </cell>
          <cell r="D22">
            <v>3748233</v>
          </cell>
          <cell r="E22">
            <v>1.426979144088536E-2</v>
          </cell>
          <cell r="F22">
            <v>6350800</v>
          </cell>
          <cell r="G22">
            <v>0.95995921773634818</v>
          </cell>
        </row>
        <row r="23">
          <cell r="A23">
            <v>1980</v>
          </cell>
          <cell r="B23">
            <v>6206832</v>
          </cell>
          <cell r="C23">
            <v>1.0093724653398528E-2</v>
          </cell>
          <cell r="D23">
            <v>3774704</v>
          </cell>
          <cell r="E23">
            <v>7.062261070749809E-3</v>
          </cell>
          <cell r="F23">
            <v>6385200</v>
          </cell>
          <cell r="G23">
            <v>0.96536365344859987</v>
          </cell>
        </row>
        <row r="24">
          <cell r="A24">
            <v>1981</v>
          </cell>
          <cell r="B24">
            <v>6283653</v>
          </cell>
          <cell r="C24">
            <v>1.2376845385858593E-2</v>
          </cell>
          <cell r="D24">
            <v>3802759</v>
          </cell>
          <cell r="E24">
            <v>7.4323708560988244E-3</v>
          </cell>
          <cell r="F24">
            <v>6429200</v>
          </cell>
          <cell r="G24">
            <v>0.97038869532756811</v>
          </cell>
        </row>
        <row r="25">
          <cell r="A25">
            <v>1982</v>
          </cell>
          <cell r="B25">
            <v>6344114</v>
          </cell>
          <cell r="C25">
            <v>9.621950798365253E-3</v>
          </cell>
          <cell r="D25">
            <v>3828481</v>
          </cell>
          <cell r="E25">
            <v>6.7640363220493605E-3</v>
          </cell>
          <cell r="F25">
            <v>6467200</v>
          </cell>
          <cell r="G25">
            <v>0.97375726744186042</v>
          </cell>
        </row>
        <row r="26">
          <cell r="A26">
            <v>1983</v>
          </cell>
          <cell r="B26">
            <v>6380457</v>
          </cell>
          <cell r="C26">
            <v>5.7286171087089777E-3</v>
          </cell>
          <cell r="D26">
            <v>3828883</v>
          </cell>
          <cell r="E26">
            <v>1.0500248009592816E-4</v>
          </cell>
          <cell r="F26">
            <v>6482000</v>
          </cell>
          <cell r="G26">
            <v>0.97709966059858067</v>
          </cell>
        </row>
        <row r="27">
          <cell r="A27">
            <v>1984</v>
          </cell>
          <cell r="B27">
            <v>6408942</v>
          </cell>
          <cell r="C27">
            <v>4.4644137559426422E-3</v>
          </cell>
          <cell r="D27">
            <v>3811388</v>
          </cell>
          <cell r="E27">
            <v>-4.5692177065739248E-3</v>
          </cell>
          <cell r="F27">
            <v>6505100</v>
          </cell>
          <cell r="G27">
            <v>0.97801632565218055</v>
          </cell>
        </row>
        <row r="28">
          <cell r="A28">
            <v>1985</v>
          </cell>
          <cell r="B28">
            <v>6453517</v>
          </cell>
          <cell r="C28">
            <v>6.9551261347036153E-3</v>
          </cell>
          <cell r="D28">
            <v>3790416</v>
          </cell>
          <cell r="E28">
            <v>-5.5024573724847814E-3</v>
          </cell>
          <cell r="F28">
            <v>6533300</v>
          </cell>
          <cell r="G28">
            <v>0.98021489905560744</v>
          </cell>
        </row>
        <row r="29">
          <cell r="A29">
            <v>1986</v>
          </cell>
          <cell r="B29">
            <v>6514603</v>
          </cell>
          <cell r="C29">
            <v>9.4655363889177835E-3</v>
          </cell>
          <cell r="D29">
            <v>3775843</v>
          </cell>
          <cell r="E29">
            <v>-3.8446967298576551E-3</v>
          </cell>
          <cell r="F29">
            <v>6572900</v>
          </cell>
          <cell r="G29">
            <v>0.98302119308067981</v>
          </cell>
        </row>
        <row r="30">
          <cell r="A30">
            <v>1987</v>
          </cell>
          <cell r="B30">
            <v>6590780</v>
          </cell>
          <cell r="C30">
            <v>1.169326818533678E-2</v>
          </cell>
          <cell r="D30">
            <v>3728037</v>
          </cell>
          <cell r="E30">
            <v>-1.2661013712699343E-2</v>
          </cell>
          <cell r="F30">
            <v>6619000</v>
          </cell>
          <cell r="G30">
            <v>0.98743631968575318</v>
          </cell>
        </row>
        <row r="31">
          <cell r="A31">
            <v>1988</v>
          </cell>
          <cell r="B31">
            <v>6674553</v>
          </cell>
          <cell r="C31">
            <v>1.2710635160026573E-2</v>
          </cell>
          <cell r="D31">
            <v>3702895</v>
          </cell>
          <cell r="E31">
            <v>-6.7440317786545689E-3</v>
          </cell>
          <cell r="F31">
            <v>6671500</v>
          </cell>
          <cell r="G31">
            <v>0.99262354792775243</v>
          </cell>
        </row>
        <row r="32">
          <cell r="A32">
            <v>1989</v>
          </cell>
          <cell r="B32">
            <v>6772464</v>
          </cell>
          <cell r="C32">
            <v>1.4669296955166944E-2</v>
          </cell>
          <cell r="D32">
            <v>3662088</v>
          </cell>
          <cell r="E32">
            <v>-1.1020296281693098E-2</v>
          </cell>
          <cell r="F32">
            <v>6723000</v>
          </cell>
          <cell r="G32">
            <v>0.99807095046854089</v>
          </cell>
        </row>
        <row r="33">
          <cell r="A33">
            <v>1990</v>
          </cell>
          <cell r="B33">
            <v>6874241</v>
          </cell>
          <cell r="C33">
            <v>1.5028060688104139E-2</v>
          </cell>
          <cell r="D33">
            <v>3596686</v>
          </cell>
          <cell r="E33">
            <v>-1.7859210373972423E-2</v>
          </cell>
          <cell r="F33">
            <v>6796300</v>
          </cell>
          <cell r="G33">
            <v>1.0026901402233568</v>
          </cell>
        </row>
        <row r="34">
          <cell r="A34">
            <v>1991</v>
          </cell>
          <cell r="B34">
            <v>6966976</v>
          </cell>
          <cell r="C34">
            <v>1.3490216592639159E-2</v>
          </cell>
          <cell r="D34">
            <v>3509250</v>
          </cell>
          <cell r="E34">
            <v>-2.4310156627517676E-2</v>
          </cell>
          <cell r="F34">
            <v>6880100</v>
          </cell>
          <cell r="G34">
            <v>1.0042370023691516</v>
          </cell>
        </row>
        <row r="35">
          <cell r="A35">
            <v>1992</v>
          </cell>
          <cell r="B35">
            <v>7016711</v>
          </cell>
          <cell r="C35">
            <v>7.13867824433434E-3</v>
          </cell>
          <cell r="D35">
            <v>3366134</v>
          </cell>
          <cell r="E35">
            <v>-4.0782503383913982E-2</v>
          </cell>
          <cell r="F35">
            <v>6943100</v>
          </cell>
          <cell r="G35">
            <v>1.0015536287825324</v>
          </cell>
        </row>
        <row r="36">
          <cell r="A36">
            <v>1993</v>
          </cell>
          <cell r="B36">
            <v>7056750</v>
          </cell>
          <cell r="C36">
            <v>5.7062347302032634E-3</v>
          </cell>
          <cell r="D36">
            <v>3111676</v>
          </cell>
          <cell r="E36">
            <v>-7.5593544404352286E-2</v>
          </cell>
          <cell r="F36">
            <v>6988900</v>
          </cell>
          <cell r="G36">
            <v>0.99930904720342251</v>
          </cell>
        </row>
        <row r="37">
          <cell r="A37">
            <v>1994</v>
          </cell>
          <cell r="B37">
            <v>7131653</v>
          </cell>
          <cell r="C37">
            <v>1.0614376306373297E-2</v>
          </cell>
          <cell r="D37">
            <v>3324915</v>
          </cell>
          <cell r="E37">
            <v>6.8528664295382846E-2</v>
          </cell>
          <cell r="F37">
            <v>7036851.9999999898</v>
          </cell>
          <cell r="G37">
            <v>1.0058592961739157</v>
          </cell>
        </row>
        <row r="38">
          <cell r="A38">
            <v>1995</v>
          </cell>
          <cell r="B38">
            <v>7166317</v>
          </cell>
          <cell r="C38">
            <v>4.8605842151883127E-3</v>
          </cell>
          <cell r="D38">
            <v>3272015</v>
          </cell>
          <cell r="E38">
            <v>-1.591018116252596E-2</v>
          </cell>
          <cell r="F38">
            <v>7080948</v>
          </cell>
          <cell r="G38">
            <v>1.0041696394324602</v>
          </cell>
        </row>
        <row r="39">
          <cell r="A39">
            <v>1996</v>
          </cell>
          <cell r="B39">
            <v>7194754</v>
          </cell>
          <cell r="C39">
            <v>3.9681470970374111E-3</v>
          </cell>
          <cell r="D39">
            <v>2217116</v>
          </cell>
          <cell r="E39">
            <v>-0.32240041686850462</v>
          </cell>
          <cell r="F39">
            <v>7105446</v>
          </cell>
          <cell r="G39">
            <v>1.0070044864178829</v>
          </cell>
        </row>
        <row r="40">
          <cell r="A40">
            <v>1997</v>
          </cell>
          <cell r="B40">
            <v>7214805</v>
          </cell>
          <cell r="C40">
            <v>2.7868916713482683E-3</v>
          </cell>
          <cell r="D40">
            <v>1427603</v>
          </cell>
          <cell r="E40">
            <v>-0.35609909449934063</v>
          </cell>
          <cell r="F40">
            <v>7113565</v>
          </cell>
          <cell r="G40">
            <v>1.0109999999999999</v>
          </cell>
        </row>
        <row r="41">
          <cell r="A41">
            <v>1998</v>
          </cell>
          <cell r="B41">
            <v>7248603</v>
          </cell>
          <cell r="C41">
            <v>4.6845340934369428E-3</v>
          </cell>
          <cell r="D41">
            <v>1198191</v>
          </cell>
          <cell r="E41">
            <v>-0.16069733672456554</v>
          </cell>
          <cell r="F41">
            <v>7131888</v>
          </cell>
          <cell r="G41">
            <v>1.014</v>
          </cell>
        </row>
        <row r="42">
          <cell r="A42">
            <v>1999</v>
          </cell>
          <cell r="B42">
            <v>7266534</v>
          </cell>
          <cell r="C42">
            <v>2.473718039186279E-3</v>
          </cell>
          <cell r="D42">
            <v>1067344</v>
          </cell>
          <cell r="E42">
            <v>-0.10920379138217529</v>
          </cell>
          <cell r="F42">
            <v>7166738</v>
          </cell>
          <cell r="G42">
            <v>1.012</v>
          </cell>
        </row>
        <row r="43">
          <cell r="A43">
            <v>2000</v>
          </cell>
          <cell r="B43">
            <v>7268111</v>
          </cell>
          <cell r="C43">
            <v>2.1702231077425083E-4</v>
          </cell>
          <cell r="D43">
            <v>951742</v>
          </cell>
          <cell r="E43">
            <v>-0.10830809935690833</v>
          </cell>
          <cell r="F43">
            <v>7209042</v>
          </cell>
          <cell r="G43">
            <v>1.006</v>
          </cell>
        </row>
        <row r="44">
          <cell r="A44">
            <v>2001</v>
          </cell>
          <cell r="B44">
            <v>7321287</v>
          </cell>
          <cell r="C44">
            <v>7.3163439578729506E-3</v>
          </cell>
          <cell r="D44">
            <v>868760</v>
          </cell>
          <cell r="E44">
            <v>-8.7189595499620687E-2</v>
          </cell>
          <cell r="F44">
            <v>7260339</v>
          </cell>
          <cell r="G44">
            <v>1.0052558151898967</v>
          </cell>
        </row>
      </sheetData>
      <sheetData sheetId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>
            <v>7432</v>
          </cell>
          <cell r="C7">
            <v>8360</v>
          </cell>
          <cell r="D7">
            <v>1890</v>
          </cell>
          <cell r="E7">
            <v>4483</v>
          </cell>
          <cell r="F7">
            <v>9322</v>
          </cell>
          <cell r="G7">
            <v>12843</v>
          </cell>
          <cell r="H7">
            <v>-9.98738435660219E-2</v>
          </cell>
        </row>
        <row r="8">
          <cell r="A8">
            <v>1995</v>
          </cell>
          <cell r="B8">
            <v>7879</v>
          </cell>
          <cell r="C8">
            <v>8650</v>
          </cell>
          <cell r="D8">
            <v>2188</v>
          </cell>
          <cell r="E8">
            <v>3968</v>
          </cell>
          <cell r="F8">
            <v>10067</v>
          </cell>
          <cell r="G8">
            <v>12618</v>
          </cell>
          <cell r="H8">
            <v>-1.751927119831815E-2</v>
          </cell>
        </row>
        <row r="9">
          <cell r="A9">
            <v>1996</v>
          </cell>
          <cell r="B9">
            <v>9308</v>
          </cell>
          <cell r="C9">
            <v>10220</v>
          </cell>
          <cell r="D9">
            <v>1567</v>
          </cell>
          <cell r="E9">
            <v>3269</v>
          </cell>
          <cell r="F9">
            <v>10875</v>
          </cell>
          <cell r="G9">
            <v>13489</v>
          </cell>
          <cell r="H9">
            <v>6.9028372166745913E-2</v>
          </cell>
        </row>
        <row r="10">
          <cell r="A10">
            <v>1997</v>
          </cell>
          <cell r="B10">
            <v>8951</v>
          </cell>
          <cell r="C10">
            <v>10373</v>
          </cell>
          <cell r="D10">
            <v>1382</v>
          </cell>
          <cell r="E10">
            <v>2676</v>
          </cell>
          <cell r="F10">
            <v>10333</v>
          </cell>
          <cell r="G10">
            <v>13049</v>
          </cell>
          <cell r="H10">
            <v>-3.2619171176514195E-2</v>
          </cell>
        </row>
        <row r="11">
          <cell r="A11">
            <v>1998</v>
          </cell>
          <cell r="B11">
            <v>9177</v>
          </cell>
          <cell r="C11">
            <v>10523</v>
          </cell>
          <cell r="D11">
            <v>1115</v>
          </cell>
          <cell r="E11">
            <v>2089</v>
          </cell>
          <cell r="F11">
            <v>10292</v>
          </cell>
          <cell r="G11">
            <v>12612</v>
          </cell>
          <cell r="H11">
            <v>-3.348915625718446E-2</v>
          </cell>
        </row>
        <row r="12">
          <cell r="A12">
            <v>1999</v>
          </cell>
          <cell r="B12">
            <v>8744</v>
          </cell>
          <cell r="C12">
            <v>10138</v>
          </cell>
          <cell r="D12">
            <v>985</v>
          </cell>
          <cell r="E12">
            <v>1782</v>
          </cell>
          <cell r="F12">
            <v>9729</v>
          </cell>
          <cell r="G12">
            <v>11920</v>
          </cell>
          <cell r="H12">
            <v>-5.4868379321281323E-2</v>
          </cell>
        </row>
        <row r="13">
          <cell r="A13">
            <v>2000</v>
          </cell>
          <cell r="B13">
            <v>9412</v>
          </cell>
          <cell r="C13">
            <v>10697</v>
          </cell>
          <cell r="D13">
            <v>792</v>
          </cell>
          <cell r="E13">
            <v>1395</v>
          </cell>
          <cell r="F13">
            <v>10204</v>
          </cell>
          <cell r="G13">
            <v>12092</v>
          </cell>
          <cell r="H13">
            <v>1.4429530201342283E-2</v>
          </cell>
        </row>
        <row r="14">
          <cell r="A14" t="str">
            <v>2001 1)</v>
          </cell>
          <cell r="B14">
            <v>7729</v>
          </cell>
          <cell r="C14">
            <v>8784</v>
          </cell>
          <cell r="D14">
            <v>583</v>
          </cell>
          <cell r="E14">
            <v>894</v>
          </cell>
          <cell r="F14">
            <v>8312</v>
          </cell>
          <cell r="G14">
            <v>9678</v>
          </cell>
          <cell r="H14">
            <v>-0.19963612305656633</v>
          </cell>
        </row>
      </sheetData>
      <sheetData sheetId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>
            <v>15937194000</v>
          </cell>
          <cell r="C7" t="str">
            <v>–</v>
          </cell>
          <cell r="D7">
            <v>15313505000</v>
          </cell>
          <cell r="E7" t="str">
            <v>–</v>
          </cell>
          <cell r="F7">
            <v>623688000</v>
          </cell>
          <cell r="G7" t="str">
            <v>–</v>
          </cell>
        </row>
        <row r="8">
          <cell r="A8">
            <v>1995</v>
          </cell>
          <cell r="B8">
            <v>16355832000</v>
          </cell>
          <cell r="C8">
            <v>2.6267986698285783E-2</v>
          </cell>
          <cell r="D8">
            <v>16098947000</v>
          </cell>
          <cell r="E8">
            <v>5.1290805076956582E-2</v>
          </cell>
          <cell r="F8">
            <v>256926000</v>
          </cell>
          <cell r="G8">
            <v>-0.58805364220571821</v>
          </cell>
        </row>
        <row r="9">
          <cell r="A9">
            <v>1996</v>
          </cell>
          <cell r="B9">
            <v>16879057940.52</v>
          </cell>
          <cell r="C9">
            <v>3.1990175768496547E-2</v>
          </cell>
          <cell r="D9">
            <v>17192470827.740002</v>
          </cell>
          <cell r="E9">
            <v>6.792517720196245E-2</v>
          </cell>
          <cell r="F9">
            <v>-313412887.24000007</v>
          </cell>
          <cell r="G9">
            <v>-2.2198566405891191</v>
          </cell>
        </row>
        <row r="10">
          <cell r="A10">
            <v>1997</v>
          </cell>
          <cell r="B10">
            <v>17865032287.75</v>
          </cell>
          <cell r="C10">
            <v>5.8414062603758338E-2</v>
          </cell>
          <cell r="D10">
            <v>17672056997.619999</v>
          </cell>
          <cell r="E10">
            <v>2.7895127738485754E-2</v>
          </cell>
          <cell r="F10">
            <v>192975290.09999996</v>
          </cell>
          <cell r="G10">
            <v>1.6157222563481461</v>
          </cell>
        </row>
        <row r="11">
          <cell r="A11">
            <v>1998</v>
          </cell>
          <cell r="B11">
            <v>18556339847.599998</v>
          </cell>
          <cell r="C11">
            <v>3.8696127088671761E-2</v>
          </cell>
          <cell r="D11">
            <v>18402610160.25</v>
          </cell>
          <cell r="E11">
            <v>4.1339452601832881E-2</v>
          </cell>
          <cell r="F11">
            <v>153728761.16999999</v>
          </cell>
          <cell r="G11">
            <v>-0.20337592916514022</v>
          </cell>
        </row>
        <row r="12">
          <cell r="A12">
            <v>1999</v>
          </cell>
          <cell r="B12">
            <v>18130009685.380001</v>
          </cell>
          <cell r="C12">
            <v>-2.2974905920099174E-2</v>
          </cell>
          <cell r="D12">
            <v>18002606410.59</v>
          </cell>
          <cell r="E12">
            <v>-2.1736250791423915E-2</v>
          </cell>
          <cell r="F12">
            <v>127403274.93000001</v>
          </cell>
          <cell r="G12">
            <v>-0.17124633048260959</v>
          </cell>
        </row>
        <row r="13">
          <cell r="A13">
            <v>2000</v>
          </cell>
          <cell r="B13">
            <v>17664531028.940002</v>
          </cell>
          <cell r="C13">
            <v>-2.5674484708927629E-2</v>
          </cell>
          <cell r="D13">
            <v>17831851511.68</v>
          </cell>
          <cell r="E13">
            <v>-9.4850098377729126E-3</v>
          </cell>
          <cell r="F13">
            <v>-167299750.25</v>
          </cell>
          <cell r="G13">
            <v>-2.3131510971120686</v>
          </cell>
        </row>
        <row r="14">
          <cell r="A14">
            <v>2001</v>
          </cell>
          <cell r="B14">
            <v>16854501683</v>
          </cell>
          <cell r="C14">
            <v>-4.5856261035909875E-2</v>
          </cell>
          <cell r="D14">
            <v>17581378780</v>
          </cell>
          <cell r="E14">
            <v>-1.4046367059300529E-2</v>
          </cell>
          <cell r="F14">
            <v>-724676858.32999992</v>
          </cell>
          <cell r="G14">
            <v>-3.3316075322712559</v>
          </cell>
        </row>
      </sheetData>
      <sheetData sheetId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5">
          <cell r="C5">
            <v>400711897.55000001</v>
          </cell>
          <cell r="D5">
            <v>2.3774769796615886E-2</v>
          </cell>
        </row>
        <row r="6">
          <cell r="C6">
            <v>411457429.19</v>
          </cell>
          <cell r="D6">
            <v>2.441231647952009E-2</v>
          </cell>
        </row>
        <row r="7">
          <cell r="C7">
            <v>-10745531.640000001</v>
          </cell>
          <cell r="D7">
            <v>-6.3754668290420563E-4</v>
          </cell>
        </row>
        <row r="8">
          <cell r="C8">
            <v>13997312395</v>
          </cell>
          <cell r="D8">
            <v>0.83047915970830188</v>
          </cell>
        </row>
        <row r="9">
          <cell r="C9">
            <v>2332321631.9000001</v>
          </cell>
          <cell r="D9">
            <v>0.13837974422301999</v>
          </cell>
        </row>
        <row r="10">
          <cell r="C10">
            <v>16730345925</v>
          </cell>
          <cell r="D10">
            <v>0.99263367376056999</v>
          </cell>
        </row>
        <row r="11">
          <cell r="C11">
            <v>-96029190.379999995</v>
          </cell>
          <cell r="D11">
            <v>-5.6975395764360193E-3</v>
          </cell>
        </row>
        <row r="12">
          <cell r="C12">
            <v>2903580.09</v>
          </cell>
          <cell r="D12">
            <v>1.7227326827043752E-4</v>
          </cell>
        </row>
        <row r="13">
          <cell r="C13">
            <v>16637220314</v>
          </cell>
          <cell r="D13">
            <v>0.98710840741027917</v>
          </cell>
        </row>
        <row r="14">
          <cell r="C14">
            <v>-44017703.369999997</v>
          </cell>
          <cell r="D14">
            <v>-2.6116288809889697E-3</v>
          </cell>
        </row>
        <row r="15">
          <cell r="C15">
            <v>16593202611</v>
          </cell>
          <cell r="D15">
            <v>0.98449677855124285</v>
          </cell>
        </row>
        <row r="16">
          <cell r="C16">
            <v>1461740326.4700003</v>
          </cell>
          <cell r="D16">
            <v>8.6726997567917366E-2</v>
          </cell>
        </row>
        <row r="17">
          <cell r="C17">
            <v>1258775120.2</v>
          </cell>
          <cell r="D17">
            <v>7.4684801952325991E-2</v>
          </cell>
        </row>
        <row r="18">
          <cell r="C18">
            <v>174037336.66</v>
          </cell>
          <cell r="D18">
            <v>1.0325866639862733E-2</v>
          </cell>
        </row>
        <row r="19">
          <cell r="C19">
            <v>36028344.960000001</v>
          </cell>
          <cell r="D19">
            <v>2.1376096213119944E-3</v>
          </cell>
        </row>
        <row r="20">
          <cell r="C20">
            <v>-7100475.3499999996</v>
          </cell>
          <cell r="D20">
            <v>-4.2128064558335598E-4</v>
          </cell>
        </row>
        <row r="21">
          <cell r="C21">
            <v>-1404859771</v>
          </cell>
          <cell r="D21">
            <v>-8.3352198565264463E-2</v>
          </cell>
        </row>
        <row r="22">
          <cell r="C22">
            <v>56880555.75</v>
          </cell>
          <cell r="D22">
            <v>3.374799019265671E-3</v>
          </cell>
        </row>
        <row r="23">
          <cell r="C23">
            <v>79808629.459999993</v>
          </cell>
          <cell r="D23">
            <v>4.7351521249956374E-3</v>
          </cell>
        </row>
        <row r="24">
          <cell r="C24">
            <v>16729891796</v>
          </cell>
          <cell r="D24">
            <v>0.99260672968304453</v>
          </cell>
        </row>
        <row r="25">
          <cell r="C25">
            <v>12492628.34</v>
          </cell>
          <cell r="D25">
            <v>7.4120425361495388E-4</v>
          </cell>
        </row>
        <row r="26">
          <cell r="C26">
            <v>12492628.34</v>
          </cell>
          <cell r="D26">
            <v>7.4120425361495388E-4</v>
          </cell>
        </row>
        <row r="27">
          <cell r="C27">
            <v>118085280.11999996</v>
          </cell>
          <cell r="D27">
            <v>7.0061567135565111E-3</v>
          </cell>
        </row>
        <row r="28">
          <cell r="C28">
            <v>369263022.33999997</v>
          </cell>
          <cell r="D28">
            <v>2.1908866205902173E-2</v>
          </cell>
        </row>
        <row r="29">
          <cell r="C29">
            <v>-180631179.40000001</v>
          </cell>
          <cell r="D29">
            <v>-1.0717088098913688E-2</v>
          </cell>
        </row>
        <row r="30">
          <cell r="C30">
            <v>-70608061.650000006</v>
          </cell>
          <cell r="D30">
            <v>-4.1892702008044297E-3</v>
          </cell>
        </row>
        <row r="31">
          <cell r="C31">
            <v>61498.83</v>
          </cell>
          <cell r="D31">
            <v>3.6488073724558542E-6</v>
          </cell>
        </row>
        <row r="32">
          <cell r="C32">
            <v>-5968021.8200000003</v>
          </cell>
          <cell r="D32">
            <v>-3.540906715752707E-4</v>
          </cell>
        </row>
        <row r="33">
          <cell r="C33">
            <v>124609886.52</v>
          </cell>
          <cell r="D33">
            <v>7.3932702884764367E-3</v>
          </cell>
        </row>
        <row r="34">
          <cell r="C34">
            <v>16854501683</v>
          </cell>
          <cell r="D34">
            <v>1</v>
          </cell>
        </row>
        <row r="35">
          <cell r="C35">
            <v>741031846.30999994</v>
          </cell>
          <cell r="D35" t="str">
            <v>–</v>
          </cell>
        </row>
        <row r="36">
          <cell r="C36">
            <v>17595533529</v>
          </cell>
          <cell r="D36" t="str">
            <v>–</v>
          </cell>
        </row>
      </sheetData>
      <sheetData sheetId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5">
          <cell r="C5">
            <v>351971384.35000002</v>
          </cell>
          <cell r="D5">
            <v>2.0019555278018988E-2</v>
          </cell>
        </row>
        <row r="6">
          <cell r="C6">
            <v>16386460812</v>
          </cell>
          <cell r="D6">
            <v>0.93203502507099734</v>
          </cell>
        </row>
        <row r="7">
          <cell r="C7">
            <v>-2432475993</v>
          </cell>
          <cell r="D7">
            <v>-0.13835524639097729</v>
          </cell>
        </row>
        <row r="8">
          <cell r="C8">
            <v>1881537982.9000001</v>
          </cell>
          <cell r="D8">
            <v>0.10701879564988248</v>
          </cell>
        </row>
        <row r="9">
          <cell r="C9">
            <v>16187494186</v>
          </cell>
          <cell r="D9">
            <v>0.92071812959370192</v>
          </cell>
        </row>
        <row r="10">
          <cell r="C10">
            <v>41260319.18</v>
          </cell>
          <cell r="D10">
            <v>2.3468193078768308E-3</v>
          </cell>
        </row>
        <row r="11">
          <cell r="C11">
            <v>118870461.75</v>
          </cell>
          <cell r="D11">
            <v>6.7611569739469543E-3</v>
          </cell>
        </row>
        <row r="12">
          <cell r="C12">
            <v>16347624967</v>
          </cell>
          <cell r="D12">
            <v>0.92982610587950709</v>
          </cell>
        </row>
        <row r="13">
          <cell r="C13">
            <v>-29953188.350000001</v>
          </cell>
          <cell r="D13">
            <v>-1.703688244523448E-3</v>
          </cell>
        </row>
        <row r="14">
          <cell r="C14">
            <v>-7666950.9800000004</v>
          </cell>
          <cell r="D14">
            <v>-4.3608360162979213E-4</v>
          </cell>
        </row>
        <row r="15">
          <cell r="C15">
            <v>16310004828</v>
          </cell>
          <cell r="D15">
            <v>0.92768633405212375</v>
          </cell>
        </row>
        <row r="16">
          <cell r="C16">
            <v>862416471.03999996</v>
          </cell>
          <cell r="D16">
            <v>4.9052834924474563E-2</v>
          </cell>
        </row>
        <row r="17">
          <cell r="C17">
            <v>88228199.159999996</v>
          </cell>
          <cell r="D17">
            <v>5.0182753164026879E-3</v>
          </cell>
        </row>
        <row r="18">
          <cell r="C18">
            <v>140727816.47999999</v>
          </cell>
          <cell r="D18">
            <v>8.004367475438692E-3</v>
          </cell>
        </row>
        <row r="19">
          <cell r="C19">
            <v>38902221.530000001</v>
          </cell>
          <cell r="D19">
            <v>2.2126945796909791E-3</v>
          </cell>
        </row>
        <row r="20">
          <cell r="C20">
            <v>100470737.8</v>
          </cell>
          <cell r="D20">
            <v>5.7146108423698954E-3</v>
          </cell>
        </row>
        <row r="21">
          <cell r="C21">
            <v>22604391.02</v>
          </cell>
          <cell r="D21">
            <v>1.2857007008866684E-3</v>
          </cell>
        </row>
        <row r="22">
          <cell r="C22">
            <v>362697630.19999999</v>
          </cell>
          <cell r="D22">
            <v>2.0629646556081991E-2</v>
          </cell>
        </row>
        <row r="23">
          <cell r="C23">
            <v>-439555383.89999998</v>
          </cell>
          <cell r="D23">
            <v>-2.5001189576782441E-2</v>
          </cell>
        </row>
        <row r="24">
          <cell r="C24">
            <v>1176491983.3</v>
          </cell>
          <cell r="D24">
            <v>6.6916935129020638E-2</v>
          </cell>
        </row>
        <row r="25">
          <cell r="C25">
            <v>89890508.480000004</v>
          </cell>
          <cell r="D25">
            <v>5.1128247451363998E-3</v>
          </cell>
        </row>
        <row r="26">
          <cell r="C26">
            <v>4991460.53</v>
          </cell>
          <cell r="D26">
            <v>2.8390609135149983E-4</v>
          </cell>
        </row>
        <row r="27">
          <cell r="C27">
            <v>1271373952.3</v>
          </cell>
          <cell r="D27">
            <v>7.2313665964939752E-2</v>
          </cell>
        </row>
        <row r="28">
          <cell r="C28">
            <v>17581378780</v>
          </cell>
          <cell r="D28">
            <v>1</v>
          </cell>
        </row>
        <row r="29">
          <cell r="C29">
            <v>16354987.98</v>
          </cell>
        </row>
        <row r="30">
          <cell r="C30">
            <v>17597733768</v>
          </cell>
        </row>
      </sheetData>
      <sheetData sheetId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>
            <v>4424721000</v>
          </cell>
          <cell r="C7">
            <v>7733883000</v>
          </cell>
          <cell r="D7">
            <v>7245197000</v>
          </cell>
          <cell r="E7">
            <v>4913392000</v>
          </cell>
          <cell r="F7">
            <v>12158596000</v>
          </cell>
          <cell r="G7" t="str">
            <v>–</v>
          </cell>
        </row>
        <row r="8">
          <cell r="A8">
            <v>1995</v>
          </cell>
          <cell r="B8">
            <v>4866523000</v>
          </cell>
          <cell r="C8">
            <v>8051465000</v>
          </cell>
          <cell r="D8">
            <v>7671754000</v>
          </cell>
          <cell r="E8">
            <v>5246769000</v>
          </cell>
          <cell r="F8">
            <v>12918536000</v>
          </cell>
          <cell r="G8">
            <v>6.2502282335888129E-2</v>
          </cell>
        </row>
        <row r="9">
          <cell r="A9">
            <v>1996</v>
          </cell>
          <cell r="B9">
            <v>4170906498.3500004</v>
          </cell>
          <cell r="C9">
            <v>8662528518.7900009</v>
          </cell>
          <cell r="D9">
            <v>8044141952.3000002</v>
          </cell>
          <cell r="E9">
            <v>4789293064.8400002</v>
          </cell>
          <cell r="F9">
            <v>12833435017.170002</v>
          </cell>
          <cell r="G9">
            <v>-6.5875098254165963E-3</v>
          </cell>
        </row>
        <row r="10">
          <cell r="A10">
            <v>1997</v>
          </cell>
          <cell r="B10">
            <v>4394709847.7299995</v>
          </cell>
          <cell r="C10">
            <v>9362350997.4099998</v>
          </cell>
          <cell r="D10">
            <v>9077911654.8700008</v>
          </cell>
          <cell r="E10">
            <v>4679149190.2700005</v>
          </cell>
          <cell r="F10">
            <v>13757060845.139999</v>
          </cell>
          <cell r="G10">
            <v>7.1970273487516612E-2</v>
          </cell>
        </row>
        <row r="11">
          <cell r="A11">
            <v>1998</v>
          </cell>
          <cell r="B11">
            <v>4492004206.21</v>
          </cell>
          <cell r="C11">
            <v>10278585833.719999</v>
          </cell>
          <cell r="D11">
            <v>9968547987.1800003</v>
          </cell>
          <cell r="E11">
            <v>4802042053.0199995</v>
          </cell>
          <cell r="F11">
            <v>14770590039.959999</v>
          </cell>
          <cell r="G11">
            <v>7.367338170769612E-2</v>
          </cell>
        </row>
        <row r="12">
          <cell r="A12">
            <v>1999</v>
          </cell>
          <cell r="B12">
            <v>4039072052.96</v>
          </cell>
          <cell r="C12">
            <v>10698624229.800001</v>
          </cell>
          <cell r="D12">
            <v>9829333068.8500004</v>
          </cell>
          <cell r="E12">
            <v>4908363213.9400005</v>
          </cell>
          <cell r="F12">
            <v>14737696282.75</v>
          </cell>
          <cell r="G12">
            <v>-2.2269765203021073E-3</v>
          </cell>
        </row>
        <row r="13">
          <cell r="A13">
            <v>2000</v>
          </cell>
          <cell r="B13">
            <v>4332012500.6399994</v>
          </cell>
          <cell r="C13">
            <v>10499430512.299999</v>
          </cell>
          <cell r="D13">
            <v>10459056308.799999</v>
          </cell>
          <cell r="E13">
            <v>4372386704.1300001</v>
          </cell>
          <cell r="F13">
            <v>14831443012.869999</v>
          </cell>
          <cell r="G13">
            <v>6.3610165606226036E-3</v>
          </cell>
        </row>
        <row r="14">
          <cell r="A14">
            <v>2001</v>
          </cell>
          <cell r="B14">
            <v>4480221295.5</v>
          </cell>
          <cell r="C14">
            <v>9101419286.2999992</v>
          </cell>
          <cell r="D14">
            <v>10583525388</v>
          </cell>
          <cell r="E14">
            <v>2998115193.5</v>
          </cell>
          <cell r="F14">
            <v>13581640582</v>
          </cell>
          <cell r="G14">
            <v>-8.4267082426536757E-2</v>
          </cell>
        </row>
      </sheetData>
      <sheetData sheetId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A7">
            <v>1994</v>
          </cell>
          <cell r="B7">
            <v>3986037000</v>
          </cell>
          <cell r="C7" t="str">
            <v>–</v>
          </cell>
          <cell r="D7">
            <v>0.27871248612656102</v>
          </cell>
          <cell r="E7" t="str">
            <v>–</v>
          </cell>
        </row>
        <row r="8">
          <cell r="A8">
            <v>1995</v>
          </cell>
          <cell r="B8">
            <v>4079950000</v>
          </cell>
          <cell r="C8">
            <v>2.3560493793710394E-2</v>
          </cell>
          <cell r="D8">
            <v>0.27928113796958481</v>
          </cell>
          <cell r="E8">
            <v>2.040281190579933E-3</v>
          </cell>
        </row>
        <row r="9">
          <cell r="A9">
            <v>1996</v>
          </cell>
          <cell r="B9">
            <v>4007836659.5999999</v>
          </cell>
          <cell r="C9">
            <v>-1.767505493939879E-2</v>
          </cell>
          <cell r="D9">
            <v>0.24196501185861982</v>
          </cell>
          <cell r="E9">
            <v>-0.13361491714857204</v>
          </cell>
        </row>
        <row r="10">
          <cell r="A10">
            <v>1997</v>
          </cell>
          <cell r="B10">
            <v>4017395607.9000001</v>
          </cell>
          <cell r="C10">
            <v>2.3850643406595857E-3</v>
          </cell>
          <cell r="D10">
            <v>0.22399999999999998</v>
          </cell>
          <cell r="E10">
            <v>-7.42463206586116E-2</v>
          </cell>
        </row>
        <row r="11">
          <cell r="A11">
            <v>1998</v>
          </cell>
          <cell r="B11">
            <v>4117666794.6999998</v>
          </cell>
          <cell r="C11">
            <v>2.4959251362455224E-2</v>
          </cell>
          <cell r="D11">
            <v>0.22</v>
          </cell>
          <cell r="E11">
            <v>-1.7857142857142752E-2</v>
          </cell>
        </row>
        <row r="12">
          <cell r="A12">
            <v>1999</v>
          </cell>
          <cell r="B12">
            <v>4531003557.1000004</v>
          </cell>
          <cell r="C12">
            <v>0.10038130402683906</v>
          </cell>
          <cell r="D12">
            <v>0.248</v>
          </cell>
          <cell r="E12">
            <v>0.12727272727272726</v>
          </cell>
        </row>
        <row r="13">
          <cell r="A13">
            <v>2000</v>
          </cell>
          <cell r="B13">
            <v>4046317342.6999998</v>
          </cell>
          <cell r="C13">
            <v>-0.10697105139997211</v>
          </cell>
          <cell r="D13">
            <v>0.22899999999999998</v>
          </cell>
          <cell r="E13">
            <v>-7.6612903225806522E-2</v>
          </cell>
        </row>
        <row r="14">
          <cell r="A14">
            <v>2001</v>
          </cell>
          <cell r="B14">
            <v>2721453787.0999999</v>
          </cell>
          <cell r="C14">
            <v>-0.32742453035479263</v>
          </cell>
          <cell r="D14">
            <v>0.16266572127677031</v>
          </cell>
          <cell r="E14">
            <v>-0.28966933940274964</v>
          </cell>
        </row>
      </sheetData>
      <sheetData sheetId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5">
          <cell r="C5">
            <v>4480221295.5</v>
          </cell>
          <cell r="D5">
            <v>0.32987335134149554</v>
          </cell>
        </row>
        <row r="6">
          <cell r="C6">
            <v>914598496.67999995</v>
          </cell>
          <cell r="D6">
            <v>6.7340796655459598E-2</v>
          </cell>
        </row>
        <row r="7">
          <cell r="C7">
            <v>2463299797.6999998</v>
          </cell>
          <cell r="D7">
            <v>0.18136982662938797</v>
          </cell>
        </row>
        <row r="8">
          <cell r="C8">
            <v>2621466606.8000002</v>
          </cell>
          <cell r="D8">
            <v>0.19301546017012691</v>
          </cell>
        </row>
        <row r="9">
          <cell r="C9">
            <v>-158245222.30000001</v>
          </cell>
          <cell r="D9">
            <v>-1.1651407011147485E-2</v>
          </cell>
        </row>
        <row r="10">
          <cell r="C10">
            <v>273742077.01999998</v>
          </cell>
          <cell r="D10">
            <v>2.0155302694638777E-2</v>
          </cell>
        </row>
        <row r="11">
          <cell r="C11">
            <v>292929898.74000001</v>
          </cell>
          <cell r="D11">
            <v>2.1568079126480892E-2</v>
          </cell>
        </row>
        <row r="12">
          <cell r="C12">
            <v>-19187821.719999999</v>
          </cell>
          <cell r="D12">
            <v>-1.412776431842113E-3</v>
          </cell>
        </row>
        <row r="13">
          <cell r="C13">
            <v>28948037.850000001</v>
          </cell>
          <cell r="D13">
            <v>2.1314095064748932E-3</v>
          </cell>
        </row>
        <row r="14">
          <cell r="C14">
            <v>316673700.51999998</v>
          </cell>
          <cell r="D14">
            <v>2.3316306937152607E-2</v>
          </cell>
        </row>
        <row r="15">
          <cell r="C15">
            <v>11209650.1</v>
          </cell>
          <cell r="D15">
            <v>8.2535316939960526E-4</v>
          </cell>
        </row>
        <row r="16">
          <cell r="C16">
            <v>471749535.64999998</v>
          </cell>
          <cell r="D16">
            <v>3.4734355750454651E-2</v>
          </cell>
        </row>
        <row r="17">
          <cell r="C17">
            <v>9101419286.2999992</v>
          </cell>
          <cell r="D17">
            <v>0.67012664864377869</v>
          </cell>
        </row>
        <row r="18">
          <cell r="C18">
            <v>7961457487</v>
          </cell>
          <cell r="D18">
            <v>0.58619262076125522</v>
          </cell>
        </row>
        <row r="19">
          <cell r="C19">
            <v>8396976720</v>
          </cell>
          <cell r="D19">
            <v>0.61825938253208301</v>
          </cell>
        </row>
        <row r="20">
          <cell r="C20">
            <v>-435519233</v>
          </cell>
          <cell r="D20">
            <v>-3.2066761770827727E-2</v>
          </cell>
        </row>
        <row r="21">
          <cell r="C21">
            <v>954931609.32000005</v>
          </cell>
          <cell r="D21">
            <v>7.0310475642065551E-2</v>
          </cell>
        </row>
        <row r="22">
          <cell r="C22">
            <v>1366213680.9000001</v>
          </cell>
          <cell r="D22">
            <v>0.10059268412025779</v>
          </cell>
        </row>
        <row r="23">
          <cell r="C23">
            <v>-411282071.60000002</v>
          </cell>
          <cell r="D23">
            <v>-3.0282208479664802E-2</v>
          </cell>
        </row>
        <row r="24">
          <cell r="C24">
            <v>185030189.91</v>
          </cell>
          <cell r="D24">
            <v>1.3623552235303881E-2</v>
          </cell>
        </row>
        <row r="25">
          <cell r="C25">
            <v>566562024.00999999</v>
          </cell>
          <cell r="D25">
            <v>4.1715286204884197E-2</v>
          </cell>
        </row>
        <row r="26">
          <cell r="C26">
            <v>-381531834.10000002</v>
          </cell>
          <cell r="D26">
            <v>-2.8091733969580319E-2</v>
          </cell>
        </row>
        <row r="27">
          <cell r="C27">
            <v>13581640582</v>
          </cell>
          <cell r="D27">
            <v>1</v>
          </cell>
        </row>
      </sheetData>
      <sheetData sheetId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5">
          <cell r="C5">
            <v>10583525388</v>
          </cell>
          <cell r="D5">
            <v>0.77925235350628719</v>
          </cell>
        </row>
        <row r="6">
          <cell r="C6">
            <v>569705175.32000005</v>
          </cell>
          <cell r="D6">
            <v>4.1946712687644001E-2</v>
          </cell>
        </row>
        <row r="7">
          <cell r="C7">
            <v>2490870573.1999998</v>
          </cell>
          <cell r="D7">
            <v>0.18339982995141227</v>
          </cell>
        </row>
        <row r="8">
          <cell r="C8">
            <v>269390212.12</v>
          </cell>
          <cell r="D8">
            <v>1.9834880071633455E-2</v>
          </cell>
        </row>
        <row r="9">
          <cell r="C9">
            <v>42513746.509999998</v>
          </cell>
          <cell r="D9">
            <v>3.1302364580567867E-3</v>
          </cell>
        </row>
        <row r="10">
          <cell r="C10">
            <v>11475654.1</v>
          </cell>
          <cell r="D10">
            <v>8.4493872671088769E-4</v>
          </cell>
        </row>
        <row r="11">
          <cell r="C11">
            <v>31255235.899999999</v>
          </cell>
          <cell r="D11">
            <v>2.3012857475718466E-3</v>
          </cell>
        </row>
        <row r="12">
          <cell r="C12">
            <v>883477486.74000001</v>
          </cell>
          <cell r="D12">
            <v>6.5049393805258635E-2</v>
          </cell>
        </row>
        <row r="13">
          <cell r="C13">
            <v>6284837304.3999996</v>
          </cell>
          <cell r="D13">
            <v>0.46274507607935161</v>
          </cell>
        </row>
        <row r="14">
          <cell r="C14">
            <v>3996358840.3000002</v>
          </cell>
          <cell r="D14">
            <v>0.29424713576918304</v>
          </cell>
        </row>
        <row r="15">
          <cell r="C15">
            <v>150686837.15000001</v>
          </cell>
          <cell r="D15">
            <v>1.1094892125897373E-2</v>
          </cell>
        </row>
        <row r="16">
          <cell r="C16">
            <v>102562631.03</v>
          </cell>
          <cell r="D16">
            <v>7.5515642172071726E-3</v>
          </cell>
        </row>
        <row r="17">
          <cell r="C17">
            <v>1830000</v>
          </cell>
          <cell r="D17">
            <v>1.3474071773224015E-4</v>
          </cell>
        </row>
        <row r="18">
          <cell r="C18">
            <v>1249113100.3</v>
          </cell>
          <cell r="D18">
            <v>9.1970708012658844E-2</v>
          </cell>
        </row>
        <row r="19">
          <cell r="C19">
            <v>175192487.65000001</v>
          </cell>
          <cell r="D19">
            <v>1.2899213949321104E-2</v>
          </cell>
        </row>
        <row r="20">
          <cell r="C20">
            <v>158169317.31</v>
          </cell>
          <cell r="D20">
            <v>1.1645818217250185E-2</v>
          </cell>
        </row>
        <row r="21">
          <cell r="C21">
            <v>450924090.68000001</v>
          </cell>
          <cell r="D21">
            <v>3.3201003071574288E-2</v>
          </cell>
        </row>
        <row r="22">
          <cell r="C22">
            <v>2998115193.5</v>
          </cell>
          <cell r="D22">
            <v>0.2207476464568984</v>
          </cell>
        </row>
        <row r="23">
          <cell r="C23">
            <v>276661406.35000002</v>
          </cell>
          <cell r="D23">
            <v>2.0370249431918005E-2</v>
          </cell>
        </row>
        <row r="24">
          <cell r="C24">
            <v>146061798.41999999</v>
          </cell>
          <cell r="D24">
            <v>1.0754356039547858E-2</v>
          </cell>
        </row>
        <row r="25">
          <cell r="C25">
            <v>82644496.549999997</v>
          </cell>
          <cell r="D25">
            <v>6.085015727741336E-3</v>
          </cell>
        </row>
        <row r="26">
          <cell r="C26">
            <v>47955111.380000003</v>
          </cell>
          <cell r="D26">
            <v>3.5308776646288077E-3</v>
          </cell>
        </row>
        <row r="27">
          <cell r="C27">
            <v>2721453787.0999999</v>
          </cell>
          <cell r="D27">
            <v>0.20037739702129898</v>
          </cell>
        </row>
        <row r="28">
          <cell r="C28">
            <v>2010488270.2</v>
          </cell>
          <cell r="D28">
            <v>0.14802985383551803</v>
          </cell>
        </row>
        <row r="29">
          <cell r="C29">
            <v>92151000</v>
          </cell>
          <cell r="D29">
            <v>6.784968240297084E-3</v>
          </cell>
        </row>
        <row r="30">
          <cell r="C30">
            <v>249734199.63</v>
          </cell>
          <cell r="D30">
            <v>1.8387631311711884E-2</v>
          </cell>
        </row>
        <row r="31">
          <cell r="C31">
            <v>-1242406.99</v>
          </cell>
          <cell r="D31">
            <v>-9.1476945108279848E-5</v>
          </cell>
        </row>
        <row r="32">
          <cell r="C32">
            <v>370084608.94999999</v>
          </cell>
          <cell r="D32">
            <v>2.7248888432556517E-2</v>
          </cell>
        </row>
        <row r="33">
          <cell r="C33">
            <v>238115.4</v>
          </cell>
          <cell r="D33">
            <v>1.7532152950327572E-5</v>
          </cell>
        </row>
        <row r="34">
          <cell r="C34">
            <v>13581640582</v>
          </cell>
          <cell r="D34">
            <v>1</v>
          </cell>
        </row>
      </sheetData>
      <sheetData sheetId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4">
          <cell r="B4">
            <v>4.2999999999999997E-2</v>
          </cell>
          <cell r="C4" t="str">
            <v>-</v>
          </cell>
          <cell r="D4" t="str">
            <v>-</v>
          </cell>
          <cell r="E4">
            <v>4.4000000000000004E-2</v>
          </cell>
          <cell r="F4" t="str">
            <v>-</v>
          </cell>
          <cell r="G4" t="str">
            <v>-</v>
          </cell>
          <cell r="H4">
            <v>4.4999999999999998E-2</v>
          </cell>
          <cell r="I4" t="str">
            <v>-</v>
          </cell>
          <cell r="J4" t="str">
            <v>-</v>
          </cell>
          <cell r="K4">
            <v>4.9000000000000002E-2</v>
          </cell>
          <cell r="L4">
            <v>4.5499999999999999E-2</v>
          </cell>
          <cell r="M4">
            <v>5.5999999999999994E-2</v>
          </cell>
          <cell r="N4">
            <v>5.5999999999999994E-2</v>
          </cell>
          <cell r="O4">
            <v>5.5E-2</v>
          </cell>
          <cell r="P4">
            <v>6.3E-2</v>
          </cell>
          <cell r="Q4">
            <v>7.2000000000000008E-2</v>
          </cell>
          <cell r="R4">
            <v>7.2000000000000008E-2</v>
          </cell>
          <cell r="S4">
            <v>7.400000000000001E-2</v>
          </cell>
          <cell r="T4">
            <v>7.2999999999999995E-2</v>
          </cell>
          <cell r="U4">
            <v>7.0000000000000007E-2</v>
          </cell>
          <cell r="V4">
            <v>7.0000000000000007E-2</v>
          </cell>
          <cell r="W4">
            <v>7.0000000000000007E-2</v>
          </cell>
          <cell r="X4">
            <v>7.2999999999999995E-2</v>
          </cell>
          <cell r="Y4">
            <v>7.2999999999999995E-2</v>
          </cell>
          <cell r="Z4">
            <v>7.2999999999999995E-2</v>
          </cell>
          <cell r="AA4">
            <v>7.400000000000001E-2</v>
          </cell>
          <cell r="AB4">
            <v>7.6999999999999999E-2</v>
          </cell>
          <cell r="AC4">
            <v>7.400000000000001E-2</v>
          </cell>
          <cell r="AD4">
            <v>7.2999999999999995E-2</v>
          </cell>
          <cell r="AE4">
            <v>7.400000000000001E-2</v>
          </cell>
          <cell r="AF4">
            <v>7.8E-2</v>
          </cell>
          <cell r="AG4">
            <v>0.08</v>
          </cell>
          <cell r="AH4">
            <v>8.1000000000000003E-2</v>
          </cell>
          <cell r="AI4">
            <v>8.1000000000000003E-2</v>
          </cell>
          <cell r="AJ4">
            <v>8.1000000000000003E-2</v>
          </cell>
          <cell r="AK4">
            <v>8.199999999999999E-2</v>
          </cell>
          <cell r="AL4">
            <v>8.3000000000000004E-2</v>
          </cell>
          <cell r="AM4">
            <v>8.4000000000000005E-2</v>
          </cell>
          <cell r="AN4">
            <v>8.5000000000000006E-2</v>
          </cell>
          <cell r="AO4" t="str">
            <v>-</v>
          </cell>
          <cell r="AP4" t="str">
            <v>-</v>
          </cell>
        </row>
        <row r="5">
          <cell r="B5">
            <v>3.4000000000000002E-2</v>
          </cell>
          <cell r="C5" t="str">
            <v>-</v>
          </cell>
          <cell r="D5" t="str">
            <v>-</v>
          </cell>
          <cell r="E5" t="str">
            <v>-</v>
          </cell>
          <cell r="F5" t="str">
            <v>-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>
            <v>0.04</v>
          </cell>
          <cell r="M5">
            <v>4.0999999999999995E-2</v>
          </cell>
          <cell r="N5">
            <v>4.2999999999999997E-2</v>
          </cell>
          <cell r="O5">
            <v>4.5999999999999999E-2</v>
          </cell>
          <cell r="P5">
            <v>4.5999999999999999E-2</v>
          </cell>
          <cell r="Q5">
            <v>5.7999999999999996E-2</v>
          </cell>
          <cell r="R5">
            <v>0.06</v>
          </cell>
          <cell r="S5">
            <v>6.5000000000000002E-2</v>
          </cell>
          <cell r="T5">
            <v>6.7000000000000004E-2</v>
          </cell>
          <cell r="U5">
            <v>6.7000000000000004E-2</v>
          </cell>
          <cell r="V5">
            <v>6.4000000000000001E-2</v>
          </cell>
          <cell r="W5">
            <v>6.9000000000000006E-2</v>
          </cell>
          <cell r="X5">
            <v>7.0999999999999994E-2</v>
          </cell>
          <cell r="Y5">
            <v>7.2999999999999995E-2</v>
          </cell>
          <cell r="Z5">
            <v>7.0999999999999994E-2</v>
          </cell>
          <cell r="AA5">
            <v>7.2000000000000008E-2</v>
          </cell>
          <cell r="AB5">
            <v>7.2999999999999995E-2</v>
          </cell>
          <cell r="AC5">
            <v>7.400000000000001E-2</v>
          </cell>
          <cell r="AD5">
            <v>7.400000000000001E-2</v>
          </cell>
          <cell r="AE5">
            <v>7.2999999999999995E-2</v>
          </cell>
          <cell r="AF5">
            <v>7.400000000000001E-2</v>
          </cell>
          <cell r="AG5">
            <v>7.6999999999999999E-2</v>
          </cell>
          <cell r="AH5">
            <v>7.9000000000000001E-2</v>
          </cell>
          <cell r="AI5">
            <v>8.1000000000000003E-2</v>
          </cell>
          <cell r="AJ5">
            <v>7.9000000000000001E-2</v>
          </cell>
          <cell r="AK5">
            <v>8.6999999999999994E-2</v>
          </cell>
          <cell r="AL5">
            <v>8.8000000000000009E-2</v>
          </cell>
          <cell r="AM5">
            <v>8.5000000000000006E-2</v>
          </cell>
          <cell r="AN5">
            <v>8.5000000000000006E-2</v>
          </cell>
          <cell r="AO5">
            <v>8.6999999999999994E-2</v>
          </cell>
          <cell r="AP5">
            <v>8.6999999999999994E-2</v>
          </cell>
        </row>
        <row r="6">
          <cell r="B6" t="str">
            <v>-</v>
          </cell>
          <cell r="C6" t="str">
            <v>-</v>
          </cell>
          <cell r="D6" t="str">
            <v>-</v>
          </cell>
          <cell r="E6" t="str">
            <v>-</v>
          </cell>
          <cell r="F6" t="str">
            <v>-</v>
          </cell>
          <cell r="G6" t="str">
            <v>-</v>
          </cell>
          <cell r="H6" t="str">
            <v>-</v>
          </cell>
          <cell r="I6" t="str">
            <v>-</v>
          </cell>
          <cell r="J6" t="str">
            <v>-</v>
          </cell>
          <cell r="K6" t="str">
            <v>-</v>
          </cell>
          <cell r="L6" t="str">
            <v>-</v>
          </cell>
          <cell r="M6">
            <v>0.08</v>
          </cell>
          <cell r="N6">
            <v>8.1000000000000003E-2</v>
          </cell>
          <cell r="O6">
            <v>7.9000000000000001E-2</v>
          </cell>
          <cell r="P6">
            <v>8.5999999999999993E-2</v>
          </cell>
          <cell r="Q6">
            <v>8.900000000000001E-2</v>
          </cell>
          <cell r="R6">
            <v>8.8000000000000009E-2</v>
          </cell>
          <cell r="S6">
            <v>8.5999999999999993E-2</v>
          </cell>
          <cell r="T6">
            <v>8.6999999999999994E-2</v>
          </cell>
          <cell r="U6">
            <v>8.8000000000000009E-2</v>
          </cell>
          <cell r="V6">
            <v>9.0999999999999998E-2</v>
          </cell>
          <cell r="W6">
            <v>9.3000000000000013E-2</v>
          </cell>
          <cell r="X6">
            <v>9.3000000000000013E-2</v>
          </cell>
          <cell r="Y6">
            <v>0.09</v>
          </cell>
          <cell r="Z6">
            <v>8.6999999999999994E-2</v>
          </cell>
          <cell r="AA6">
            <v>8.6999999999999994E-2</v>
          </cell>
          <cell r="AB6">
            <v>8.3000000000000004E-2</v>
          </cell>
          <cell r="AC6">
            <v>8.5999999999999993E-2</v>
          </cell>
          <cell r="AD6">
            <v>8.8000000000000009E-2</v>
          </cell>
          <cell r="AE6">
            <v>8.5999999999999993E-2</v>
          </cell>
          <cell r="AF6">
            <v>8.5000000000000006E-2</v>
          </cell>
          <cell r="AG6">
            <v>8.4000000000000005E-2</v>
          </cell>
          <cell r="AH6">
            <v>8.5000000000000006E-2</v>
          </cell>
          <cell r="AI6">
            <v>8.8000000000000009E-2</v>
          </cell>
          <cell r="AJ6">
            <v>8.5000000000000006E-2</v>
          </cell>
          <cell r="AK6">
            <v>8.199999999999999E-2</v>
          </cell>
          <cell r="AL6">
            <v>8.3000000000000004E-2</v>
          </cell>
          <cell r="AM6">
            <v>8.199999999999999E-2</v>
          </cell>
          <cell r="AN6">
            <v>8.4000000000000005E-2</v>
          </cell>
          <cell r="AO6">
            <v>8.5000000000000006E-2</v>
          </cell>
          <cell r="AP6">
            <v>8.3000000000000004E-2</v>
          </cell>
        </row>
        <row r="7">
          <cell r="B7">
            <v>4.8000000000000001E-2</v>
          </cell>
          <cell r="C7">
            <v>4.8000000000000001E-2</v>
          </cell>
          <cell r="D7">
            <v>0.05</v>
          </cell>
          <cell r="E7">
            <v>4.9000000000000002E-2</v>
          </cell>
          <cell r="F7">
            <v>4.9000000000000002E-2</v>
          </cell>
          <cell r="G7">
            <v>5.0999999999999997E-2</v>
          </cell>
          <cell r="H7">
            <v>5.5E-2</v>
          </cell>
          <cell r="I7">
            <v>5.7000000000000002E-2</v>
          </cell>
          <cell r="J7">
            <v>5.7999999999999996E-2</v>
          </cell>
          <cell r="K7">
            <v>5.7999999999999996E-2</v>
          </cell>
          <cell r="L7">
            <v>6.3E-2</v>
          </cell>
          <cell r="M7">
            <v>6.8000000000000005E-2</v>
          </cell>
          <cell r="N7">
            <v>7.0999999999999994E-2</v>
          </cell>
          <cell r="O7">
            <v>7.400000000000001E-2</v>
          </cell>
          <cell r="P7">
            <v>0.08</v>
          </cell>
          <cell r="Q7">
            <v>8.8000000000000009E-2</v>
          </cell>
          <cell r="R7">
            <v>8.6999999999999994E-2</v>
          </cell>
          <cell r="S7">
            <v>8.5999999999999993E-2</v>
          </cell>
          <cell r="T7">
            <v>8.6999999999999994E-2</v>
          </cell>
          <cell r="U7">
            <v>8.5000000000000006E-2</v>
          </cell>
          <cell r="V7">
            <v>8.8000000000000009E-2</v>
          </cell>
          <cell r="W7">
            <v>9.1999999999999998E-2</v>
          </cell>
          <cell r="X7">
            <v>9.0999999999999998E-2</v>
          </cell>
          <cell r="Y7">
            <v>0.09</v>
          </cell>
          <cell r="Z7">
            <v>9.0999999999999998E-2</v>
          </cell>
          <cell r="AA7">
            <v>9.3000000000000013E-2</v>
          </cell>
          <cell r="AB7">
            <v>9.0999999999999998E-2</v>
          </cell>
          <cell r="AC7">
            <v>9.1999999999999998E-2</v>
          </cell>
          <cell r="AD7">
            <v>9.4E-2</v>
          </cell>
          <cell r="AE7">
            <v>8.8000000000000009E-2</v>
          </cell>
          <cell r="AF7">
            <v>8.6999999999999994E-2</v>
          </cell>
          <cell r="AG7">
            <v>9.0999999999999998E-2</v>
          </cell>
          <cell r="AH7">
            <v>9.6999999999999989E-2</v>
          </cell>
          <cell r="AI7">
            <v>9.6999999999999989E-2</v>
          </cell>
          <cell r="AJ7">
            <v>9.8000000000000004E-2</v>
          </cell>
          <cell r="AK7">
            <v>0.10199999999999999</v>
          </cell>
          <cell r="AL7">
            <v>0.106</v>
          </cell>
          <cell r="AM7">
            <v>0.105</v>
          </cell>
          <cell r="AN7">
            <v>0.10300000000000001</v>
          </cell>
          <cell r="AO7" t="str">
            <v>-</v>
          </cell>
          <cell r="AP7" t="str">
            <v>-</v>
          </cell>
        </row>
        <row r="8">
          <cell r="B8">
            <v>3.9E-2</v>
          </cell>
          <cell r="C8">
            <v>3.9E-2</v>
          </cell>
          <cell r="D8">
            <v>4.0999999999999995E-2</v>
          </cell>
          <cell r="E8">
            <v>4.2999999999999997E-2</v>
          </cell>
          <cell r="F8">
            <v>4.4999999999999998E-2</v>
          </cell>
          <cell r="G8">
            <v>4.9000000000000002E-2</v>
          </cell>
          <cell r="H8">
            <v>5.0999999999999997E-2</v>
          </cell>
          <cell r="I8">
            <v>5.5999999999999994E-2</v>
          </cell>
          <cell r="J8">
            <v>5.7999999999999996E-2</v>
          </cell>
          <cell r="K8">
            <v>5.7999999999999996E-2</v>
          </cell>
          <cell r="L8">
            <v>5.5999999999999994E-2</v>
          </cell>
          <cell r="M8">
            <v>5.7000000000000002E-2</v>
          </cell>
          <cell r="N8">
            <v>5.9000000000000004E-2</v>
          </cell>
          <cell r="O8">
            <v>5.7000000000000002E-2</v>
          </cell>
          <cell r="P8">
            <v>5.7000000000000002E-2</v>
          </cell>
          <cell r="Q8">
            <v>6.2E-2</v>
          </cell>
          <cell r="R8">
            <v>6.5000000000000002E-2</v>
          </cell>
          <cell r="S8">
            <v>6.7000000000000004E-2</v>
          </cell>
          <cell r="T8">
            <v>6.7000000000000004E-2</v>
          </cell>
          <cell r="U8">
            <v>6.4000000000000001E-2</v>
          </cell>
          <cell r="V8">
            <v>6.4000000000000001E-2</v>
          </cell>
          <cell r="W8">
            <v>6.5000000000000002E-2</v>
          </cell>
          <cell r="X8">
            <v>6.7000000000000004E-2</v>
          </cell>
          <cell r="Y8">
            <v>6.8000000000000005E-2</v>
          </cell>
          <cell r="Z8">
            <v>6.8000000000000005E-2</v>
          </cell>
          <cell r="AA8">
            <v>7.2000000000000008E-2</v>
          </cell>
          <cell r="AB8">
            <v>7.2999999999999995E-2</v>
          </cell>
          <cell r="AC8">
            <v>7.400000000000001E-2</v>
          </cell>
          <cell r="AD8">
            <v>7.2000000000000008E-2</v>
          </cell>
          <cell r="AE8">
            <v>7.2000000000000008E-2</v>
          </cell>
          <cell r="AF8">
            <v>7.9000000000000001E-2</v>
          </cell>
          <cell r="AG8">
            <v>0.09</v>
          </cell>
          <cell r="AH8">
            <v>9.0999999999999998E-2</v>
          </cell>
          <cell r="AI8">
            <v>8.3000000000000004E-2</v>
          </cell>
          <cell r="AJ8">
            <v>7.8E-2</v>
          </cell>
          <cell r="AK8">
            <v>7.4999999999999997E-2</v>
          </cell>
          <cell r="AL8">
            <v>7.6999999999999999E-2</v>
          </cell>
          <cell r="AM8">
            <v>7.2999999999999995E-2</v>
          </cell>
          <cell r="AN8">
            <v>6.9000000000000006E-2</v>
          </cell>
          <cell r="AO8">
            <v>6.9000000000000006E-2</v>
          </cell>
          <cell r="AP8">
            <v>6.6000000000000003E-2</v>
          </cell>
        </row>
        <row r="9">
          <cell r="B9">
            <v>4.0999999999999995E-2</v>
          </cell>
          <cell r="C9">
            <v>4.4000000000000004E-2</v>
          </cell>
          <cell r="D9">
            <v>4.4999999999999998E-2</v>
          </cell>
          <cell r="E9">
            <v>4.7E-2</v>
          </cell>
          <cell r="F9">
            <v>4.9000000000000002E-2</v>
          </cell>
          <cell r="G9">
            <v>5.0999999999999997E-2</v>
          </cell>
          <cell r="H9">
            <v>5.2999999999999999E-2</v>
          </cell>
          <cell r="I9">
            <v>5.4000000000000006E-2</v>
          </cell>
          <cell r="J9">
            <v>5.2999999999999999E-2</v>
          </cell>
          <cell r="K9">
            <v>5.7000000000000002E-2</v>
          </cell>
          <cell r="L9">
            <v>5.7000000000000002E-2</v>
          </cell>
          <cell r="M9">
            <v>5.9000000000000004E-2</v>
          </cell>
          <cell r="N9">
            <v>0.06</v>
          </cell>
          <cell r="O9">
            <v>0.06</v>
          </cell>
          <cell r="P9">
            <v>6.0999999999999999E-2</v>
          </cell>
          <cell r="Q9">
            <v>6.8000000000000005E-2</v>
          </cell>
          <cell r="R9">
            <v>6.8000000000000005E-2</v>
          </cell>
          <cell r="S9">
            <v>6.8000000000000005E-2</v>
          </cell>
          <cell r="T9">
            <v>7.0999999999999994E-2</v>
          </cell>
          <cell r="U9">
            <v>7.2000000000000008E-2</v>
          </cell>
          <cell r="V9">
            <v>7.400000000000001E-2</v>
          </cell>
          <cell r="W9">
            <v>7.6999999999999999E-2</v>
          </cell>
          <cell r="X9">
            <v>7.8E-2</v>
          </cell>
          <cell r="Y9">
            <v>0.08</v>
          </cell>
          <cell r="Z9">
            <v>8.3000000000000004E-2</v>
          </cell>
          <cell r="AA9">
            <v>8.3000000000000004E-2</v>
          </cell>
          <cell r="AB9" t="str">
            <v>-</v>
          </cell>
          <cell r="AC9" t="str">
            <v>-</v>
          </cell>
          <cell r="AD9" t="str">
            <v>-</v>
          </cell>
          <cell r="AE9" t="str">
            <v>-</v>
          </cell>
          <cell r="AF9">
            <v>8.5999999999999993E-2</v>
          </cell>
          <cell r="AG9">
            <v>8.900000000000001E-2</v>
          </cell>
          <cell r="AH9">
            <v>9.0999999999999998E-2</v>
          </cell>
          <cell r="AI9">
            <v>9.5000000000000001E-2</v>
          </cell>
          <cell r="AJ9">
            <v>9.4E-2</v>
          </cell>
          <cell r="AK9">
            <v>9.6000000000000002E-2</v>
          </cell>
          <cell r="AL9">
            <v>9.6000000000000002E-2</v>
          </cell>
          <cell r="AM9">
            <v>9.4E-2</v>
          </cell>
          <cell r="AN9">
            <v>9.3000000000000013E-2</v>
          </cell>
          <cell r="AO9">
            <v>9.4E-2</v>
          </cell>
          <cell r="AP9">
            <v>9.5000000000000001E-2</v>
          </cell>
        </row>
        <row r="10">
          <cell r="B10">
            <v>3.9E-2</v>
          </cell>
          <cell r="C10">
            <v>0.04</v>
          </cell>
          <cell r="D10">
            <v>0.04</v>
          </cell>
          <cell r="E10">
            <v>4.0999999999999995E-2</v>
          </cell>
          <cell r="F10">
            <v>4.0999999999999995E-2</v>
          </cell>
          <cell r="G10">
            <v>4.0999999999999995E-2</v>
          </cell>
          <cell r="H10">
            <v>4.2000000000000003E-2</v>
          </cell>
          <cell r="I10">
            <v>4.4000000000000004E-2</v>
          </cell>
          <cell r="J10">
            <v>4.4999999999999998E-2</v>
          </cell>
          <cell r="K10">
            <v>4.4000000000000004E-2</v>
          </cell>
          <cell r="L10">
            <v>4.4999999999999998E-2</v>
          </cell>
          <cell r="M10">
            <v>4.5999999999999999E-2</v>
          </cell>
          <cell r="N10">
            <v>4.7E-2</v>
          </cell>
          <cell r="O10">
            <v>4.7E-2</v>
          </cell>
          <cell r="P10">
            <v>5.2000000000000005E-2</v>
          </cell>
          <cell r="Q10">
            <v>5.5E-2</v>
          </cell>
          <cell r="R10">
            <v>5.5E-2</v>
          </cell>
          <cell r="S10">
            <v>5.2999999999999999E-2</v>
          </cell>
          <cell r="T10">
            <v>5.2999999999999999E-2</v>
          </cell>
          <cell r="U10">
            <v>5.2999999999999999E-2</v>
          </cell>
          <cell r="V10">
            <v>5.5999999999999994E-2</v>
          </cell>
          <cell r="W10">
            <v>5.9000000000000004E-2</v>
          </cell>
          <cell r="X10">
            <v>5.7999999999999996E-2</v>
          </cell>
          <cell r="Y10">
            <v>0.06</v>
          </cell>
          <cell r="Z10">
            <v>0.06</v>
          </cell>
          <cell r="AA10">
            <v>5.9000000000000004E-2</v>
          </cell>
          <cell r="AB10">
            <v>5.9000000000000004E-2</v>
          </cell>
          <cell r="AC10">
            <v>0.06</v>
          </cell>
          <cell r="AD10">
            <v>5.9000000000000004E-2</v>
          </cell>
          <cell r="AE10">
            <v>5.9000000000000004E-2</v>
          </cell>
          <cell r="AF10">
            <v>0.06</v>
          </cell>
          <cell r="AG10">
            <v>6.5000000000000002E-2</v>
          </cell>
          <cell r="AH10">
            <v>6.9000000000000006E-2</v>
          </cell>
          <cell r="AI10">
            <v>6.9000000000000006E-2</v>
          </cell>
          <cell r="AJ10">
            <v>7.0000000000000007E-2</v>
          </cell>
          <cell r="AK10">
            <v>7.0000000000000007E-2</v>
          </cell>
          <cell r="AL10">
            <v>7.0000000000000007E-2</v>
          </cell>
          <cell r="AM10">
            <v>6.8000000000000005E-2</v>
          </cell>
          <cell r="AN10">
            <v>6.8000000000000005E-2</v>
          </cell>
          <cell r="AO10">
            <v>7.0999999999999994E-2</v>
          </cell>
          <cell r="AP10">
            <v>7.2999999999999995E-2</v>
          </cell>
        </row>
        <row r="11">
          <cell r="B11">
            <v>3.6000000000000004E-2</v>
          </cell>
          <cell r="C11">
            <v>3.6000000000000004E-2</v>
          </cell>
          <cell r="D11">
            <v>3.5000000000000003E-2</v>
          </cell>
          <cell r="E11">
            <v>3.7000000000000005E-2</v>
          </cell>
          <cell r="F11">
            <v>0.04</v>
          </cell>
          <cell r="G11">
            <v>4.2999999999999997E-2</v>
          </cell>
          <cell r="H11">
            <v>4.4999999999999998E-2</v>
          </cell>
          <cell r="I11">
            <v>4.7E-2</v>
          </cell>
          <cell r="J11">
            <v>4.8000000000000001E-2</v>
          </cell>
          <cell r="K11">
            <v>4.9000000000000002E-2</v>
          </cell>
          <cell r="L11">
            <v>5.0999999999999997E-2</v>
          </cell>
          <cell r="M11">
            <v>5.5E-2</v>
          </cell>
          <cell r="N11">
            <v>5.9000000000000004E-2</v>
          </cell>
          <cell r="O11">
            <v>5.9000000000000004E-2</v>
          </cell>
          <cell r="P11">
            <v>5.9000000000000004E-2</v>
          </cell>
          <cell r="Q11">
            <v>6.2E-2</v>
          </cell>
          <cell r="R11">
            <v>6.0999999999999999E-2</v>
          </cell>
          <cell r="S11">
            <v>5.7000000000000002E-2</v>
          </cell>
          <cell r="T11">
            <v>5.9000000000000004E-2</v>
          </cell>
          <cell r="U11">
            <v>6.0999999999999999E-2</v>
          </cell>
          <cell r="V11">
            <v>7.0000000000000007E-2</v>
          </cell>
          <cell r="W11">
            <v>6.9000000000000006E-2</v>
          </cell>
          <cell r="X11">
            <v>7.0000000000000007E-2</v>
          </cell>
          <cell r="Y11">
            <v>7.0999999999999994E-2</v>
          </cell>
          <cell r="Z11">
            <v>6.9000000000000006E-2</v>
          </cell>
          <cell r="AA11">
            <v>7.0000000000000007E-2</v>
          </cell>
          <cell r="AB11" t="str">
            <v>-</v>
          </cell>
          <cell r="AC11" t="str">
            <v>-</v>
          </cell>
          <cell r="AD11">
            <v>7.6999999999999999E-2</v>
          </cell>
          <cell r="AE11">
            <v>7.6999999999999999E-2</v>
          </cell>
          <cell r="AF11">
            <v>0.08</v>
          </cell>
          <cell r="AG11">
            <v>8.3000000000000004E-2</v>
          </cell>
          <cell r="AH11">
            <v>8.4000000000000005E-2</v>
          </cell>
          <cell r="AI11">
            <v>8.1000000000000003E-2</v>
          </cell>
          <cell r="AJ11">
            <v>7.8E-2</v>
          </cell>
          <cell r="AK11">
            <v>7.400000000000001E-2</v>
          </cell>
          <cell r="AL11">
            <v>7.4999999999999997E-2</v>
          </cell>
          <cell r="AM11">
            <v>7.6999999999999999E-2</v>
          </cell>
          <cell r="AN11">
            <v>7.6999999999999999E-2</v>
          </cell>
          <cell r="AO11">
            <v>7.8E-2</v>
          </cell>
          <cell r="AP11">
            <v>8.1000000000000003E-2</v>
          </cell>
        </row>
        <row r="12">
          <cell r="B12">
            <v>0.03</v>
          </cell>
          <cell r="C12">
            <v>3.4000000000000002E-2</v>
          </cell>
          <cell r="D12">
            <v>3.6000000000000004E-2</v>
          </cell>
          <cell r="E12">
            <v>3.9E-2</v>
          </cell>
          <cell r="F12">
            <v>3.5000000000000003E-2</v>
          </cell>
          <cell r="G12">
            <v>4.4999999999999998E-2</v>
          </cell>
          <cell r="H12">
            <v>4.5999999999999999E-2</v>
          </cell>
          <cell r="I12">
            <v>4.7E-2</v>
          </cell>
          <cell r="J12">
            <v>4.7E-2</v>
          </cell>
          <cell r="K12">
            <v>4.5999999999999999E-2</v>
          </cell>
          <cell r="L12">
            <v>4.4999999999999998E-2</v>
          </cell>
          <cell r="M12">
            <v>4.5999999999999999E-2</v>
          </cell>
          <cell r="N12">
            <v>4.7E-2</v>
          </cell>
          <cell r="O12">
            <v>4.5999999999999999E-2</v>
          </cell>
          <cell r="P12">
            <v>0.05</v>
          </cell>
          <cell r="Q12">
            <v>5.5999999999999994E-2</v>
          </cell>
          <cell r="R12">
            <v>5.5999999999999994E-2</v>
          </cell>
          <cell r="S12">
            <v>5.7000000000000002E-2</v>
          </cell>
          <cell r="T12">
            <v>5.9000000000000004E-2</v>
          </cell>
          <cell r="U12">
            <v>0.06</v>
          </cell>
          <cell r="V12">
            <v>6.4000000000000001E-2</v>
          </cell>
          <cell r="W12">
            <v>6.5000000000000002E-2</v>
          </cell>
          <cell r="X12">
            <v>6.7000000000000004E-2</v>
          </cell>
          <cell r="Y12">
            <v>6.8000000000000005E-2</v>
          </cell>
          <cell r="Z12">
            <v>6.5000000000000002E-2</v>
          </cell>
          <cell r="AA12">
            <v>6.6000000000000003E-2</v>
          </cell>
          <cell r="AB12">
            <v>6.6000000000000003E-2</v>
          </cell>
          <cell r="AC12">
            <v>6.6000000000000003E-2</v>
          </cell>
          <cell r="AD12">
            <v>6.3E-2</v>
          </cell>
          <cell r="AE12">
            <v>6.0999999999999999E-2</v>
          </cell>
          <cell r="AF12">
            <v>5.9000000000000004E-2</v>
          </cell>
          <cell r="AG12">
            <v>5.9000000000000004E-2</v>
          </cell>
          <cell r="AH12">
            <v>6.2E-2</v>
          </cell>
          <cell r="AI12">
            <v>6.4000000000000001E-2</v>
          </cell>
          <cell r="AJ12">
            <v>6.7000000000000004E-2</v>
          </cell>
          <cell r="AK12">
            <v>7.0000000000000007E-2</v>
          </cell>
          <cell r="AL12">
            <v>7.0000000000000007E-2</v>
          </cell>
          <cell r="AM12">
            <v>7.2000000000000008E-2</v>
          </cell>
          <cell r="AN12">
            <v>7.0999999999999994E-2</v>
          </cell>
          <cell r="AO12">
            <v>7.400000000000001E-2</v>
          </cell>
          <cell r="AP12" t="str">
            <v>-</v>
          </cell>
        </row>
        <row r="13">
          <cell r="B13" t="str">
            <v>-</v>
          </cell>
          <cell r="C13" t="str">
            <v>-</v>
          </cell>
          <cell r="D13" t="str">
            <v>-</v>
          </cell>
          <cell r="E13" t="str">
            <v>-</v>
          </cell>
          <cell r="F13" t="str">
            <v>-</v>
          </cell>
          <cell r="G13" t="str">
            <v>-</v>
          </cell>
          <cell r="H13" t="str">
            <v>-</v>
          </cell>
          <cell r="I13" t="str">
            <v>-</v>
          </cell>
          <cell r="J13" t="str">
            <v>-</v>
          </cell>
          <cell r="K13" t="str">
            <v>-</v>
          </cell>
          <cell r="L13" t="str">
            <v>-</v>
          </cell>
          <cell r="M13" t="str">
            <v>-</v>
          </cell>
          <cell r="N13">
            <v>6.9000000000000006E-2</v>
          </cell>
          <cell r="O13">
            <v>6.7000000000000004E-2</v>
          </cell>
          <cell r="P13">
            <v>6.8000000000000005E-2</v>
          </cell>
          <cell r="Q13">
            <v>7.2000000000000008E-2</v>
          </cell>
          <cell r="R13">
            <v>7.0000000000000007E-2</v>
          </cell>
          <cell r="S13">
            <v>7.0999999999999994E-2</v>
          </cell>
          <cell r="T13">
            <v>7.2000000000000008E-2</v>
          </cell>
          <cell r="U13">
            <v>7.400000000000001E-2</v>
          </cell>
          <cell r="V13">
            <v>7.4999999999999997E-2</v>
          </cell>
          <cell r="W13">
            <v>7.6999999999999999E-2</v>
          </cell>
          <cell r="X13">
            <v>7.9000000000000001E-2</v>
          </cell>
          <cell r="Y13">
            <v>7.8E-2</v>
          </cell>
          <cell r="Z13">
            <v>7.4999999999999997E-2</v>
          </cell>
          <cell r="AA13">
            <v>7.2999999999999995E-2</v>
          </cell>
          <cell r="AB13">
            <v>7.4999999999999997E-2</v>
          </cell>
          <cell r="AC13">
            <v>7.5999999999999998E-2</v>
          </cell>
          <cell r="AD13">
            <v>7.6999999999999999E-2</v>
          </cell>
          <cell r="AE13">
            <v>0.08</v>
          </cell>
          <cell r="AF13">
            <v>0.08</v>
          </cell>
          <cell r="AG13">
            <v>8.199999999999999E-2</v>
          </cell>
          <cell r="AH13">
            <v>8.4000000000000005E-2</v>
          </cell>
          <cell r="AI13">
            <v>8.5000000000000006E-2</v>
          </cell>
          <cell r="AJ13">
            <v>8.4000000000000005E-2</v>
          </cell>
          <cell r="AK13">
            <v>8.4000000000000005E-2</v>
          </cell>
          <cell r="AL13">
            <v>8.3000000000000004E-2</v>
          </cell>
          <cell r="AM13">
            <v>8.199999999999999E-2</v>
          </cell>
          <cell r="AN13">
            <v>8.1000000000000003E-2</v>
          </cell>
          <cell r="AO13">
            <v>8.199999999999999E-2</v>
          </cell>
          <cell r="AP13">
            <v>8.1000000000000003E-2</v>
          </cell>
        </row>
        <row r="14">
          <cell r="B14">
            <v>2.8999999999999998E-2</v>
          </cell>
          <cell r="C14">
            <v>3.1E-2</v>
          </cell>
          <cell r="D14">
            <v>3.3000000000000002E-2</v>
          </cell>
          <cell r="E14">
            <v>3.5000000000000003E-2</v>
          </cell>
          <cell r="F14">
            <v>3.6000000000000004E-2</v>
          </cell>
          <cell r="G14">
            <v>3.5000000000000003E-2</v>
          </cell>
          <cell r="H14">
            <v>3.7000000000000005E-2</v>
          </cell>
          <cell r="I14">
            <v>3.7000000000000005E-2</v>
          </cell>
          <cell r="J14">
            <v>3.9E-2</v>
          </cell>
          <cell r="K14">
            <v>4.0999999999999995E-2</v>
          </cell>
          <cell r="L14">
            <v>4.4000000000000004E-2</v>
          </cell>
          <cell r="M14">
            <v>4.7E-2</v>
          </cell>
          <cell r="N14">
            <v>5.2000000000000005E-2</v>
          </cell>
          <cell r="O14">
            <v>5.4000000000000006E-2</v>
          </cell>
          <cell r="P14">
            <v>5.4000000000000006E-2</v>
          </cell>
          <cell r="Q14">
            <v>5.9000000000000004E-2</v>
          </cell>
          <cell r="R14">
            <v>0.06</v>
          </cell>
          <cell r="S14">
            <v>6.2E-2</v>
          </cell>
          <cell r="T14">
            <v>6.8000000000000005E-2</v>
          </cell>
          <cell r="U14">
            <v>6.2E-2</v>
          </cell>
          <cell r="V14">
            <v>7.0000000000000007E-2</v>
          </cell>
          <cell r="W14">
            <v>6.8000000000000005E-2</v>
          </cell>
          <cell r="X14">
            <v>6.9000000000000006E-2</v>
          </cell>
          <cell r="Y14">
            <v>7.0999999999999994E-2</v>
          </cell>
          <cell r="Z14">
            <v>6.7000000000000004E-2</v>
          </cell>
          <cell r="AA14">
            <v>6.7000000000000004E-2</v>
          </cell>
          <cell r="AB14">
            <v>7.2000000000000008E-2</v>
          </cell>
          <cell r="AC14">
            <v>7.6999999999999999E-2</v>
          </cell>
          <cell r="AD14">
            <v>7.9000000000000001E-2</v>
          </cell>
          <cell r="AE14">
            <v>7.6999999999999999E-2</v>
          </cell>
          <cell r="AF14">
            <v>7.8E-2</v>
          </cell>
          <cell r="AG14">
            <v>8.1000000000000003E-2</v>
          </cell>
          <cell r="AH14">
            <v>8.199999999999999E-2</v>
          </cell>
          <cell r="AI14">
            <v>8.1000000000000003E-2</v>
          </cell>
          <cell r="AJ14">
            <v>0.08</v>
          </cell>
          <cell r="AK14">
            <v>0.08</v>
          </cell>
          <cell r="AL14">
            <v>0.08</v>
          </cell>
          <cell r="AM14">
            <v>0.08</v>
          </cell>
          <cell r="AN14">
            <v>8.5000000000000006E-2</v>
          </cell>
          <cell r="AO14">
            <v>8.5000000000000006E-2</v>
          </cell>
          <cell r="AP14" t="str">
            <v>-</v>
          </cell>
        </row>
        <row r="15">
          <cell r="B15">
            <v>4.2999999999999997E-2</v>
          </cell>
          <cell r="C15">
            <v>4.4999999999999998E-2</v>
          </cell>
          <cell r="D15">
            <v>4.4999999999999998E-2</v>
          </cell>
          <cell r="E15">
            <v>4.7E-2</v>
          </cell>
          <cell r="F15">
            <v>4.5999999999999999E-2</v>
          </cell>
          <cell r="G15">
            <v>4.4999999999999998E-2</v>
          </cell>
          <cell r="H15">
            <v>4.9000000000000002E-2</v>
          </cell>
          <cell r="I15">
            <v>5.2000000000000005E-2</v>
          </cell>
          <cell r="J15">
            <v>5.2999999999999999E-2</v>
          </cell>
          <cell r="K15">
            <v>5.2999999999999999E-2</v>
          </cell>
          <cell r="L15">
            <v>5.2999999999999999E-2</v>
          </cell>
          <cell r="M15">
            <v>5.2999999999999999E-2</v>
          </cell>
          <cell r="N15">
            <v>5.2000000000000005E-2</v>
          </cell>
          <cell r="O15">
            <v>5.4000000000000006E-2</v>
          </cell>
          <cell r="P15">
            <v>5.5E-2</v>
          </cell>
          <cell r="Q15">
            <v>7.0999999999999994E-2</v>
          </cell>
          <cell r="R15">
            <v>7.2999999999999995E-2</v>
          </cell>
          <cell r="S15">
            <v>7.2000000000000008E-2</v>
          </cell>
          <cell r="T15">
            <v>7.5999999999999998E-2</v>
          </cell>
          <cell r="U15">
            <v>7.4999999999999997E-2</v>
          </cell>
          <cell r="V15">
            <v>7.5999999999999998E-2</v>
          </cell>
          <cell r="W15">
            <v>6.7000000000000004E-2</v>
          </cell>
          <cell r="X15">
            <v>6.6000000000000003E-2</v>
          </cell>
          <cell r="Y15">
            <v>6.4000000000000001E-2</v>
          </cell>
          <cell r="Z15">
            <v>6.5000000000000002E-2</v>
          </cell>
          <cell r="AA15">
            <v>6.6000000000000003E-2</v>
          </cell>
          <cell r="AB15">
            <v>6.9000000000000006E-2</v>
          </cell>
          <cell r="AC15">
            <v>7.0000000000000007E-2</v>
          </cell>
          <cell r="AD15">
            <v>7.0000000000000007E-2</v>
          </cell>
          <cell r="AE15">
            <v>7.2000000000000008E-2</v>
          </cell>
          <cell r="AF15">
            <v>7.0999999999999994E-2</v>
          </cell>
          <cell r="AG15">
            <v>7.0999999999999994E-2</v>
          </cell>
          <cell r="AH15">
            <v>7.4999999999999997E-2</v>
          </cell>
          <cell r="AI15">
            <v>7.9000000000000001E-2</v>
          </cell>
          <cell r="AJ15">
            <v>7.9000000000000001E-2</v>
          </cell>
          <cell r="AK15">
            <v>8.5999999999999993E-2</v>
          </cell>
          <cell r="AL15">
            <v>8.6999999999999994E-2</v>
          </cell>
          <cell r="AM15">
            <v>0.08</v>
          </cell>
          <cell r="AN15">
            <v>0.08</v>
          </cell>
          <cell r="AO15">
            <v>8.1000000000000003E-2</v>
          </cell>
          <cell r="AP15">
            <v>0.08</v>
          </cell>
        </row>
        <row r="16">
          <cell r="B16">
            <v>4.4999999999999998E-2</v>
          </cell>
          <cell r="C16">
            <v>4.4999999999999998E-2</v>
          </cell>
          <cell r="D16">
            <v>4.5999999999999999E-2</v>
          </cell>
          <cell r="E16">
            <v>0.05</v>
          </cell>
          <cell r="F16">
            <v>5.0999999999999997E-2</v>
          </cell>
          <cell r="G16">
            <v>5.2999999999999999E-2</v>
          </cell>
          <cell r="H16">
            <v>5.7999999999999996E-2</v>
          </cell>
          <cell r="I16">
            <v>6.2E-2</v>
          </cell>
          <cell r="J16">
            <v>6.6000000000000003E-2</v>
          </cell>
          <cell r="K16">
            <v>6.7000000000000004E-2</v>
          </cell>
          <cell r="L16">
            <v>6.9000000000000006E-2</v>
          </cell>
          <cell r="M16">
            <v>7.2999999999999995E-2</v>
          </cell>
          <cell r="N16">
            <v>7.2999999999999995E-2</v>
          </cell>
          <cell r="O16">
            <v>7.2000000000000008E-2</v>
          </cell>
          <cell r="P16">
            <v>7.400000000000001E-2</v>
          </cell>
          <cell r="Q16">
            <v>7.6999999999999999E-2</v>
          </cell>
          <cell r="R16">
            <v>0.08</v>
          </cell>
          <cell r="S16">
            <v>8.8000000000000009E-2</v>
          </cell>
          <cell r="T16">
            <v>8.900000000000001E-2</v>
          </cell>
          <cell r="U16">
            <v>8.8000000000000009E-2</v>
          </cell>
          <cell r="V16">
            <v>9.0999999999999998E-2</v>
          </cell>
          <cell r="W16">
            <v>9.3000000000000013E-2</v>
          </cell>
          <cell r="X16">
            <v>9.4E-2</v>
          </cell>
          <cell r="Y16">
            <v>9.3000000000000013E-2</v>
          </cell>
          <cell r="Z16">
            <v>9.0999999999999998E-2</v>
          </cell>
          <cell r="AA16">
            <v>8.6999999999999994E-2</v>
          </cell>
          <cell r="AB16">
            <v>8.5000000000000006E-2</v>
          </cell>
          <cell r="AC16">
            <v>8.5000000000000006E-2</v>
          </cell>
          <cell r="AD16">
            <v>8.4000000000000005E-2</v>
          </cell>
          <cell r="AE16">
            <v>8.4000000000000005E-2</v>
          </cell>
          <cell r="AF16">
            <v>8.5000000000000006E-2</v>
          </cell>
          <cell r="AG16">
            <v>8.4000000000000005E-2</v>
          </cell>
          <cell r="AH16">
            <v>8.5999999999999993E-2</v>
          </cell>
          <cell r="AI16">
            <v>8.5999999999999993E-2</v>
          </cell>
          <cell r="AJ16">
            <v>8.199999999999999E-2</v>
          </cell>
          <cell r="AK16">
            <v>8.1000000000000003E-2</v>
          </cell>
          <cell r="AL16">
            <v>8.4000000000000005E-2</v>
          </cell>
          <cell r="AM16">
            <v>8.1000000000000003E-2</v>
          </cell>
          <cell r="AN16">
            <v>7.9000000000000001E-2</v>
          </cell>
          <cell r="AO16" t="str">
            <v>-</v>
          </cell>
          <cell r="AP16" t="str">
            <v>-</v>
          </cell>
        </row>
        <row r="17">
          <cell r="B17">
            <v>1.4999999999999999E-2</v>
          </cell>
          <cell r="C17">
            <v>1.6E-2</v>
          </cell>
          <cell r="D17">
            <v>1.7000000000000001E-2</v>
          </cell>
          <cell r="E17">
            <v>1.9E-2</v>
          </cell>
          <cell r="F17">
            <v>2.2000000000000002E-2</v>
          </cell>
          <cell r="G17">
            <v>2.5000000000000001E-2</v>
          </cell>
          <cell r="H17">
            <v>2.7000000000000003E-2</v>
          </cell>
          <cell r="I17">
            <v>2.8999999999999998E-2</v>
          </cell>
          <cell r="J17">
            <v>0.03</v>
          </cell>
          <cell r="K17">
            <v>3.2000000000000001E-2</v>
          </cell>
          <cell r="L17">
            <v>3.6000000000000004E-2</v>
          </cell>
          <cell r="M17">
            <v>0.04</v>
          </cell>
          <cell r="N17">
            <v>4.2000000000000003E-2</v>
          </cell>
          <cell r="O17">
            <v>4.0999999999999995E-2</v>
          </cell>
          <cell r="P17">
            <v>4.4999999999999998E-2</v>
          </cell>
          <cell r="Q17">
            <v>4.7E-2</v>
          </cell>
          <cell r="R17">
            <v>5.0999999999999997E-2</v>
          </cell>
          <cell r="S17">
            <v>5.4000000000000006E-2</v>
          </cell>
          <cell r="T17">
            <v>5.4000000000000006E-2</v>
          </cell>
          <cell r="U17">
            <v>5.2999999999999999E-2</v>
          </cell>
          <cell r="V17">
            <v>5.4000000000000006E-2</v>
          </cell>
          <cell r="W17">
            <v>5.5E-2</v>
          </cell>
          <cell r="X17">
            <v>5.5999999999999994E-2</v>
          </cell>
          <cell r="Y17">
            <v>5.7000000000000002E-2</v>
          </cell>
          <cell r="Z17">
            <v>5.5E-2</v>
          </cell>
          <cell r="AA17">
            <v>5.4000000000000006E-2</v>
          </cell>
          <cell r="AB17">
            <v>5.4000000000000006E-2</v>
          </cell>
          <cell r="AC17">
            <v>5.5E-2</v>
          </cell>
          <cell r="AD17">
            <v>6.0999999999999999E-2</v>
          </cell>
          <cell r="AE17">
            <v>6.3E-2</v>
          </cell>
          <cell r="AF17">
            <v>6.6000000000000003E-2</v>
          </cell>
          <cell r="AG17">
            <v>6.8000000000000005E-2</v>
          </cell>
          <cell r="AH17">
            <v>7.2000000000000008E-2</v>
          </cell>
          <cell r="AI17">
            <v>7.4999999999999997E-2</v>
          </cell>
          <cell r="AJ17">
            <v>7.400000000000001E-2</v>
          </cell>
          <cell r="AK17">
            <v>7.6999999999999999E-2</v>
          </cell>
          <cell r="AL17">
            <v>7.6999999999999999E-2</v>
          </cell>
          <cell r="AM17">
            <v>7.5999999999999998E-2</v>
          </cell>
          <cell r="AN17">
            <v>7.5999999999999998E-2</v>
          </cell>
          <cell r="AO17">
            <v>7.6999999999999999E-2</v>
          </cell>
          <cell r="AP17">
            <v>7.6999999999999999E-2</v>
          </cell>
        </row>
        <row r="18">
          <cell r="B18">
            <v>5.0999999999999997E-2</v>
          </cell>
          <cell r="C18">
            <v>5.2000000000000005E-2</v>
          </cell>
          <cell r="D18">
            <v>5.2999999999999999E-2</v>
          </cell>
          <cell r="E18">
            <v>5.4000000000000006E-2</v>
          </cell>
          <cell r="F18">
            <v>5.5999999999999994E-2</v>
          </cell>
          <cell r="G18">
            <v>5.5999999999999994E-2</v>
          </cell>
          <cell r="H18">
            <v>5.7000000000000002E-2</v>
          </cell>
          <cell r="I18">
            <v>0.06</v>
          </cell>
          <cell r="J18">
            <v>6.3E-2</v>
          </cell>
          <cell r="K18">
            <v>6.5000000000000002E-2</v>
          </cell>
          <cell r="L18">
            <v>6.9000000000000006E-2</v>
          </cell>
          <cell r="M18">
            <v>7.0999999999999994E-2</v>
          </cell>
          <cell r="N18">
            <v>7.2000000000000008E-2</v>
          </cell>
          <cell r="O18">
            <v>7.2000000000000008E-2</v>
          </cell>
          <cell r="P18">
            <v>7.4999999999999997E-2</v>
          </cell>
          <cell r="Q18">
            <v>7.8E-2</v>
          </cell>
          <cell r="R18">
            <v>0.08</v>
          </cell>
          <cell r="S18">
            <v>8.199999999999999E-2</v>
          </cell>
          <cell r="T18">
            <v>8.1000000000000003E-2</v>
          </cell>
          <cell r="U18">
            <v>8.199999999999999E-2</v>
          </cell>
          <cell r="V18">
            <v>8.6999999999999994E-2</v>
          </cell>
          <cell r="W18">
            <v>0.09</v>
          </cell>
          <cell r="X18">
            <v>9.8000000000000004E-2</v>
          </cell>
          <cell r="Y18">
            <v>9.9000000000000005E-2</v>
          </cell>
          <cell r="Z18">
            <v>9.8000000000000004E-2</v>
          </cell>
          <cell r="AA18">
            <v>0.1</v>
          </cell>
          <cell r="AB18">
            <v>0.10199999999999999</v>
          </cell>
          <cell r="AC18">
            <v>0.10400000000000001</v>
          </cell>
          <cell r="AD18">
            <v>0.10800000000000001</v>
          </cell>
          <cell r="AE18">
            <v>0.11199999999999999</v>
          </cell>
          <cell r="AF18">
            <v>0.11900000000000001</v>
          </cell>
          <cell r="AG18">
            <v>0.126</v>
          </cell>
          <cell r="AH18">
            <v>0.13</v>
          </cell>
          <cell r="AI18">
            <v>0.13300000000000001</v>
          </cell>
          <cell r="AJ18">
            <v>0.13200000000000001</v>
          </cell>
          <cell r="AK18">
            <v>0.13300000000000001</v>
          </cell>
          <cell r="AL18">
            <v>0.13200000000000001</v>
          </cell>
          <cell r="AM18">
            <v>0.13</v>
          </cell>
          <cell r="AN18">
            <v>0.129</v>
          </cell>
          <cell r="AO18">
            <v>0.13</v>
          </cell>
          <cell r="AP18">
            <v>0.13</v>
          </cell>
        </row>
        <row r="19">
          <cell r="B19">
            <v>4.9000000000000002E-2</v>
          </cell>
          <cell r="C19">
            <v>4.5999999999999999E-2</v>
          </cell>
          <cell r="D19">
            <v>4.4999999999999998E-2</v>
          </cell>
          <cell r="E19">
            <v>4.4000000000000004E-2</v>
          </cell>
          <cell r="F19">
            <v>4.4000000000000004E-2</v>
          </cell>
          <cell r="G19">
            <v>4.5999999999999999E-2</v>
          </cell>
          <cell r="H19">
            <v>0.05</v>
          </cell>
          <cell r="I19">
            <v>5.2999999999999999E-2</v>
          </cell>
          <cell r="J19">
            <v>5.4000000000000006E-2</v>
          </cell>
          <cell r="K19">
            <v>5.5E-2</v>
          </cell>
          <cell r="L19">
            <v>5.5999999999999994E-2</v>
          </cell>
          <cell r="M19">
            <v>5.7999999999999996E-2</v>
          </cell>
          <cell r="N19">
            <v>5.7999999999999996E-2</v>
          </cell>
          <cell r="O19">
            <v>5.9000000000000004E-2</v>
          </cell>
          <cell r="P19">
            <v>6.3E-2</v>
          </cell>
          <cell r="Q19">
            <v>7.2000000000000008E-2</v>
          </cell>
          <cell r="R19">
            <v>7.400000000000001E-2</v>
          </cell>
          <cell r="S19">
            <v>7.400000000000001E-2</v>
          </cell>
          <cell r="T19">
            <v>7.400000000000001E-2</v>
          </cell>
          <cell r="U19">
            <v>7.4999999999999997E-2</v>
          </cell>
          <cell r="V19">
            <v>7.5999999999999998E-2</v>
          </cell>
          <cell r="W19">
            <v>7.5999999999999998E-2</v>
          </cell>
          <cell r="X19">
            <v>7.8E-2</v>
          </cell>
          <cell r="Y19">
            <v>8.199999999999999E-2</v>
          </cell>
          <cell r="Z19">
            <v>0.08</v>
          </cell>
          <cell r="AA19">
            <v>0.08</v>
          </cell>
          <cell r="AB19">
            <v>8.199999999999999E-2</v>
          </cell>
          <cell r="AC19">
            <v>8.5000000000000006E-2</v>
          </cell>
          <cell r="AD19">
            <v>8.5000000000000006E-2</v>
          </cell>
          <cell r="AE19">
            <v>8.5999999999999993E-2</v>
          </cell>
          <cell r="AF19">
            <v>8.5000000000000006E-2</v>
          </cell>
          <cell r="AG19">
            <v>9.1999999999999998E-2</v>
          </cell>
          <cell r="AH19">
            <v>9.6000000000000002E-2</v>
          </cell>
          <cell r="AI19">
            <v>9.6000000000000002E-2</v>
          </cell>
          <cell r="AJ19">
            <v>9.8000000000000004E-2</v>
          </cell>
          <cell r="AK19">
            <v>0.1</v>
          </cell>
          <cell r="AL19">
            <v>0.10400000000000001</v>
          </cell>
          <cell r="AM19">
            <v>0.10400000000000001</v>
          </cell>
          <cell r="AN19">
            <v>0.106</v>
          </cell>
          <cell r="AO19">
            <v>0.107</v>
          </cell>
          <cell r="AP19">
            <v>0.107</v>
          </cell>
        </row>
      </sheetData>
      <sheetData sheetId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"/>
    </sheetNames>
    <sheetDataSet>
      <sheetData sheetId="0">
        <row r="2">
          <cell r="B2">
            <v>2001</v>
          </cell>
          <cell r="D2" t="str">
            <v>Datenstand: 17.11.2002</v>
          </cell>
        </row>
      </sheetData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5829.2</v>
          </cell>
          <cell r="C7">
            <v>13614.3</v>
          </cell>
          <cell r="D7">
            <v>4426</v>
          </cell>
          <cell r="E7">
            <v>11929.3</v>
          </cell>
          <cell r="F7">
            <v>362.1</v>
          </cell>
          <cell r="G7">
            <v>36160.9</v>
          </cell>
        </row>
        <row r="8">
          <cell r="B8">
            <v>6108.1</v>
          </cell>
          <cell r="C8">
            <v>14621.3</v>
          </cell>
          <cell r="D8">
            <v>4896.5</v>
          </cell>
          <cell r="E8">
            <v>11903.7</v>
          </cell>
          <cell r="F8">
            <v>378.7</v>
          </cell>
          <cell r="G8">
            <v>37908.300000000003</v>
          </cell>
        </row>
        <row r="9">
          <cell r="B9">
            <v>6058</v>
          </cell>
          <cell r="C9">
            <v>15271.7</v>
          </cell>
          <cell r="D9">
            <v>4463.3999999999996</v>
          </cell>
          <cell r="E9">
            <v>12489.9</v>
          </cell>
          <cell r="F9">
            <v>386.6</v>
          </cell>
          <cell r="G9">
            <v>38669.599999999999</v>
          </cell>
        </row>
        <row r="10">
          <cell r="B10">
            <v>6131.7</v>
          </cell>
          <cell r="C10">
            <v>15975.1</v>
          </cell>
          <cell r="D10">
            <v>4590.2</v>
          </cell>
          <cell r="E10">
            <v>13200.2</v>
          </cell>
          <cell r="F10">
            <v>395.2</v>
          </cell>
          <cell r="G10">
            <v>40292.399999999994</v>
          </cell>
        </row>
        <row r="11">
          <cell r="B11">
            <v>6416.6639269999996</v>
          </cell>
          <cell r="C11">
            <v>16596.671683952769</v>
          </cell>
          <cell r="D11">
            <v>4331.8999999999996</v>
          </cell>
          <cell r="E11">
            <v>13831.539584369208</v>
          </cell>
          <cell r="F11">
            <v>408.8</v>
          </cell>
          <cell r="G11">
            <v>41585.575195321981</v>
          </cell>
        </row>
        <row r="12">
          <cell r="B12">
            <v>6599.5077570000003</v>
          </cell>
          <cell r="C12">
            <v>17518.085264289613</v>
          </cell>
          <cell r="D12">
            <v>4546.7</v>
          </cell>
          <cell r="E12">
            <v>14257.299972696481</v>
          </cell>
          <cell r="F12">
            <v>443.72611837314082</v>
          </cell>
          <cell r="G12">
            <v>43365.319112359233</v>
          </cell>
        </row>
      </sheetData>
      <sheetData sheetId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8">
          <cell r="B8">
            <v>12612</v>
          </cell>
          <cell r="C8">
            <v>6027.7</v>
          </cell>
          <cell r="D8">
            <v>11275.1</v>
          </cell>
          <cell r="E8">
            <v>3400.9</v>
          </cell>
          <cell r="F8">
            <v>861.5</v>
          </cell>
          <cell r="G8">
            <v>1584.5</v>
          </cell>
          <cell r="H8">
            <v>399.2</v>
          </cell>
          <cell r="I8">
            <v>36160.9</v>
          </cell>
        </row>
        <row r="9">
          <cell r="B9">
            <v>13184</v>
          </cell>
          <cell r="C9">
            <v>6423.1</v>
          </cell>
          <cell r="D9">
            <v>11678.6</v>
          </cell>
          <cell r="E9">
            <v>3544.7</v>
          </cell>
          <cell r="F9">
            <v>869.1</v>
          </cell>
          <cell r="G9">
            <v>1796.9</v>
          </cell>
          <cell r="H9">
            <v>412</v>
          </cell>
          <cell r="I9">
            <v>37908.399999999994</v>
          </cell>
        </row>
        <row r="10">
          <cell r="B10">
            <v>13300.5</v>
          </cell>
          <cell r="C10">
            <v>6678.2</v>
          </cell>
          <cell r="D10">
            <v>11898.8</v>
          </cell>
          <cell r="E10">
            <v>3699.7</v>
          </cell>
          <cell r="F10">
            <v>820.1</v>
          </cell>
          <cell r="G10">
            <v>1853.8</v>
          </cell>
          <cell r="H10">
            <v>418.5</v>
          </cell>
          <cell r="I10">
            <v>38669.599999999999</v>
          </cell>
        </row>
        <row r="11">
          <cell r="B11">
            <v>13726.9</v>
          </cell>
          <cell r="C11">
            <v>6995</v>
          </cell>
          <cell r="D11">
            <v>12534.7</v>
          </cell>
          <cell r="E11">
            <v>3814.8</v>
          </cell>
          <cell r="F11">
            <v>825.8</v>
          </cell>
          <cell r="G11">
            <v>1952.6</v>
          </cell>
          <cell r="H11">
            <v>442.5</v>
          </cell>
          <cell r="I11">
            <v>40292.30000000001</v>
          </cell>
        </row>
        <row r="12">
          <cell r="B12">
            <v>14269.859986000003</v>
          </cell>
          <cell r="C12">
            <v>7117.1</v>
          </cell>
          <cell r="D12">
            <v>12923.16416135502</v>
          </cell>
          <cell r="E12">
            <v>3985</v>
          </cell>
          <cell r="F12">
            <v>869.4</v>
          </cell>
          <cell r="G12">
            <v>1951.2</v>
          </cell>
          <cell r="H12">
            <v>469.9</v>
          </cell>
          <cell r="I12">
            <v>41585.624147355018</v>
          </cell>
        </row>
        <row r="13">
          <cell r="B13">
            <v>14895.513251</v>
          </cell>
          <cell r="C13">
            <v>7563.9</v>
          </cell>
          <cell r="D13">
            <v>13440.733995653636</v>
          </cell>
          <cell r="E13">
            <v>4130.4973544495606</v>
          </cell>
          <cell r="F13">
            <v>886.60889900000006</v>
          </cell>
          <cell r="G13">
            <v>1968</v>
          </cell>
          <cell r="H13">
            <v>480.06561225603991</v>
          </cell>
          <cell r="I13">
            <v>43365.319112359233</v>
          </cell>
        </row>
      </sheetData>
      <sheetData sheetId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17333.90554142966</v>
          </cell>
          <cell r="C7">
            <v>10477.991507875635</v>
          </cell>
          <cell r="D7">
            <v>1295.152</v>
          </cell>
          <cell r="E7">
            <v>4304.3963117647054</v>
          </cell>
          <cell r="F7">
            <v>937.9318370004562</v>
          </cell>
          <cell r="G7">
            <v>1811.509058172177</v>
          </cell>
          <cell r="H7">
            <v>36160.886256242629</v>
          </cell>
        </row>
        <row r="8">
          <cell r="B8">
            <v>18184.040445464139</v>
          </cell>
          <cell r="C8">
            <v>10932.716294797674</v>
          </cell>
          <cell r="D8">
            <v>1268.9714576684796</v>
          </cell>
          <cell r="E8">
            <v>4540.3470588235296</v>
          </cell>
          <cell r="F8">
            <v>966.86547804090924</v>
          </cell>
          <cell r="G8">
            <v>2015.3489631466664</v>
          </cell>
          <cell r="H8">
            <v>37908.2896979414</v>
          </cell>
        </row>
        <row r="9">
          <cell r="B9">
            <v>18483.938030623332</v>
          </cell>
          <cell r="C9">
            <v>11172.859777209607</v>
          </cell>
          <cell r="D9">
            <v>1237.2489177234406</v>
          </cell>
          <cell r="E9">
            <v>4778.8981705882352</v>
          </cell>
          <cell r="F9">
            <v>938.77448458000003</v>
          </cell>
          <cell r="G9">
            <v>2057.9071603399998</v>
          </cell>
          <cell r="H9">
            <v>38669.626541064616</v>
          </cell>
        </row>
        <row r="10">
          <cell r="B10">
            <v>19029.318450073679</v>
          </cell>
          <cell r="C10">
            <v>11874.35810787395</v>
          </cell>
          <cell r="D10">
            <v>1356.5677703307178</v>
          </cell>
          <cell r="E10">
            <v>4913.3724305941168</v>
          </cell>
          <cell r="F10">
            <v>983.21470195428628</v>
          </cell>
          <cell r="G10">
            <v>2135.5628481599997</v>
          </cell>
          <cell r="H10">
            <v>40292.394308986753</v>
          </cell>
        </row>
        <row r="11">
          <cell r="B11">
            <v>19459.674308298851</v>
          </cell>
          <cell r="C11">
            <v>12357.690062899601</v>
          </cell>
          <cell r="D11">
            <v>1393.9774232153918</v>
          </cell>
          <cell r="E11">
            <v>5198.8475422014762</v>
          </cell>
          <cell r="F11">
            <v>1015.086034722207</v>
          </cell>
          <cell r="G11">
            <v>2160.2840630000001</v>
          </cell>
          <cell r="H11">
            <v>41585.55943433752</v>
          </cell>
        </row>
        <row r="12">
          <cell r="B12">
            <v>20309.111119965513</v>
          </cell>
          <cell r="C12">
            <v>12926.336575347925</v>
          </cell>
          <cell r="D12">
            <v>1430.1583748696057</v>
          </cell>
          <cell r="E12">
            <v>5475.438530920148</v>
          </cell>
          <cell r="F12">
            <v>1014.11623525604</v>
          </cell>
          <cell r="G12">
            <v>2210.1582759999997</v>
          </cell>
          <cell r="H12">
            <v>43365.319112359233</v>
          </cell>
        </row>
      </sheetData>
      <sheetData sheetId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8">
          <cell r="B8">
            <v>9640.2217637310241</v>
          </cell>
          <cell r="C8">
            <v>2262.7772533309189</v>
          </cell>
          <cell r="D8">
            <v>24257.887239180687</v>
          </cell>
          <cell r="E8">
            <v>36160.886256242629</v>
          </cell>
          <cell r="F8" t="str">
            <v>–</v>
          </cell>
        </row>
        <row r="9">
          <cell r="B9">
            <v>9402.673347426311</v>
          </cell>
          <cell r="C9">
            <v>2347.3352733385641</v>
          </cell>
          <cell r="D9">
            <v>26158.281077176533</v>
          </cell>
          <cell r="E9">
            <v>37908.289697941407</v>
          </cell>
          <cell r="F9">
            <v>4.8323025860493536E-2</v>
          </cell>
        </row>
        <row r="10">
          <cell r="B10">
            <v>9654.0910198338697</v>
          </cell>
          <cell r="C10">
            <v>2440.1947971126083</v>
          </cell>
          <cell r="D10">
            <v>26575.34072411813</v>
          </cell>
          <cell r="E10">
            <v>38669.626541064608</v>
          </cell>
          <cell r="F10">
            <v>2.0083650546876167E-2</v>
          </cell>
        </row>
        <row r="11">
          <cell r="B11">
            <v>9984.746050771746</v>
          </cell>
          <cell r="C11">
            <v>2593.5652962861982</v>
          </cell>
          <cell r="D11">
            <v>27714.082961928805</v>
          </cell>
          <cell r="E11">
            <v>40292.394308986753</v>
          </cell>
          <cell r="F11">
            <v>4.1964919578389825E-2</v>
          </cell>
        </row>
        <row r="12">
          <cell r="B12">
            <v>10656.904469976387</v>
          </cell>
          <cell r="C12">
            <v>2694.7311419763864</v>
          </cell>
          <cell r="D12">
            <v>28233.923822384764</v>
          </cell>
          <cell r="E12">
            <v>41585.559434337541</v>
          </cell>
          <cell r="F12">
            <v>3.2094521746064676E-2</v>
          </cell>
        </row>
        <row r="13">
          <cell r="B13">
            <v>10991.927290144806</v>
          </cell>
          <cell r="C13">
            <v>2792.2657321448069</v>
          </cell>
          <cell r="D13">
            <v>29581.126090069618</v>
          </cell>
          <cell r="E13">
            <v>43365.319112359226</v>
          </cell>
          <cell r="F13">
            <v>4.2797540834622561E-2</v>
          </cell>
        </row>
      </sheetData>
      <sheetData sheetId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8">
          <cell r="C8">
            <v>6108.1158740877472</v>
          </cell>
          <cell r="D8">
            <v>6057.9558227212619</v>
          </cell>
          <cell r="E8">
            <v>6131.7435544855471</v>
          </cell>
          <cell r="F8">
            <v>6416.6639279999999</v>
          </cell>
          <cell r="G8">
            <v>6599.5077579999997</v>
          </cell>
          <cell r="H8">
            <v>2.8495154499542208E-2</v>
          </cell>
        </row>
        <row r="9">
          <cell r="C9">
            <v>5465.9081581277478</v>
          </cell>
          <cell r="D9">
            <v>5435.5464213312616</v>
          </cell>
          <cell r="E9">
            <v>5512.5051154155472</v>
          </cell>
          <cell r="F9">
            <v>5756.5153119999995</v>
          </cell>
          <cell r="G9">
            <v>5930.8572569999997</v>
          </cell>
          <cell r="H9">
            <v>3.0286021238676852E-2</v>
          </cell>
        </row>
        <row r="10">
          <cell r="C10">
            <v>1.22879234</v>
          </cell>
          <cell r="D10">
            <v>1.4367488799999999</v>
          </cell>
          <cell r="E10">
            <v>1.09178445</v>
          </cell>
          <cell r="F10">
            <v>0</v>
          </cell>
          <cell r="G10">
            <v>8.7103999999999709E-2</v>
          </cell>
          <cell r="H10" t="str">
            <v>-</v>
          </cell>
        </row>
        <row r="11">
          <cell r="C11">
            <v>4561.2108923324313</v>
          </cell>
          <cell r="D11">
            <v>4493.7345884307188</v>
          </cell>
          <cell r="E11">
            <v>4484.1450291325427</v>
          </cell>
          <cell r="F11">
            <v>4716.8393980000001</v>
          </cell>
          <cell r="G11">
            <v>4850.2073449999998</v>
          </cell>
          <cell r="H11">
            <v>2.8274854356192369E-2</v>
          </cell>
        </row>
        <row r="12">
          <cell r="C12">
            <v>903.46847345531705</v>
          </cell>
          <cell r="D12">
            <v>940.375084020543</v>
          </cell>
          <cell r="E12">
            <v>1027.2683018330042</v>
          </cell>
          <cell r="F12">
            <v>1039.6759139999999</v>
          </cell>
          <cell r="G12">
            <v>1080.5628079999999</v>
          </cell>
          <cell r="H12">
            <v>3.9326576146881953E-2</v>
          </cell>
        </row>
        <row r="13">
          <cell r="C13">
            <v>642.20771595999986</v>
          </cell>
          <cell r="D13">
            <v>622.40940138999997</v>
          </cell>
          <cell r="E13">
            <v>619.23843907000003</v>
          </cell>
          <cell r="F13">
            <v>660.14861599999995</v>
          </cell>
          <cell r="G13">
            <v>668.65050099999996</v>
          </cell>
          <cell r="H13">
            <v>1.2878743958466554E-2</v>
          </cell>
        </row>
        <row r="14">
          <cell r="C14">
            <v>128.00199756999999</v>
          </cell>
          <cell r="D14">
            <v>116.05997135999999</v>
          </cell>
          <cell r="E14">
            <v>115.80022696</v>
          </cell>
          <cell r="F14">
            <v>126.03114400000001</v>
          </cell>
          <cell r="G14">
            <v>144.91864600000002</v>
          </cell>
          <cell r="H14">
            <v>0.14986376700666959</v>
          </cell>
        </row>
        <row r="15">
          <cell r="C15">
            <v>333.79677363999997</v>
          </cell>
          <cell r="D15">
            <v>337.00807221000002</v>
          </cell>
          <cell r="E15">
            <v>341.37449972000002</v>
          </cell>
          <cell r="F15">
            <v>374.90842400000002</v>
          </cell>
          <cell r="G15">
            <v>382.93682999999999</v>
          </cell>
          <cell r="H15">
            <v>2.141431209878597E-2</v>
          </cell>
        </row>
        <row r="16">
          <cell r="C16">
            <v>180.40894474999999</v>
          </cell>
          <cell r="D16">
            <v>169.34135782000001</v>
          </cell>
          <cell r="E16">
            <v>162.06371239000001</v>
          </cell>
          <cell r="F16">
            <v>159.209048</v>
          </cell>
          <cell r="G16">
            <v>140.79502499999998</v>
          </cell>
          <cell r="H16">
            <v>-0.11565940021197796</v>
          </cell>
        </row>
        <row r="18">
          <cell r="C18">
            <v>2881.6000000000004</v>
          </cell>
          <cell r="D18">
            <v>3011.3999999999996</v>
          </cell>
          <cell r="E18">
            <v>3176.3677925723964</v>
          </cell>
          <cell r="F18">
            <v>3314.4716839527723</v>
          </cell>
          <cell r="G18">
            <v>3458.985264289614</v>
          </cell>
          <cell r="H18">
            <v>4.3600788939158308E-2</v>
          </cell>
        </row>
        <row r="19">
          <cell r="C19">
            <v>1132.4000000000001</v>
          </cell>
          <cell r="D19">
            <v>1151.5</v>
          </cell>
          <cell r="E19">
            <v>1283.9227999999998</v>
          </cell>
          <cell r="F19">
            <v>1378.5406000000003</v>
          </cell>
          <cell r="G19">
            <v>1422.4462000000001</v>
          </cell>
          <cell r="H19">
            <v>3.18493339985777E-2</v>
          </cell>
        </row>
        <row r="20">
          <cell r="C20">
            <v>1712.7</v>
          </cell>
          <cell r="D20">
            <v>1822.7</v>
          </cell>
          <cell r="E20">
            <v>1857.0449925723965</v>
          </cell>
          <cell r="F20">
            <v>1894.8310839527724</v>
          </cell>
          <cell r="G20">
            <v>1993.5390642896139</v>
          </cell>
          <cell r="H20">
            <v>5.2093287455960757E-2</v>
          </cell>
        </row>
        <row r="21">
          <cell r="C21">
            <v>36.5</v>
          </cell>
          <cell r="D21">
            <v>37.200000000000003</v>
          </cell>
          <cell r="E21">
            <v>35.4</v>
          </cell>
          <cell r="F21">
            <v>41.1</v>
          </cell>
          <cell r="G21">
            <v>43</v>
          </cell>
          <cell r="H21">
            <v>4.6228710462287159E-2</v>
          </cell>
        </row>
        <row r="23">
          <cell r="C23">
            <v>623.0999999999998</v>
          </cell>
          <cell r="D23">
            <v>-213.59999999999997</v>
          </cell>
          <cell r="E23">
            <v>-306.40000000000003</v>
          </cell>
          <cell r="F23">
            <v>-200.29999999999927</v>
          </cell>
          <cell r="G23">
            <v>98.828987000000325</v>
          </cell>
          <cell r="H23">
            <v>1.4934048277583658</v>
          </cell>
        </row>
        <row r="24">
          <cell r="C24">
            <v>704.5</v>
          </cell>
          <cell r="D24">
            <v>335.5</v>
          </cell>
          <cell r="E24">
            <v>194.5</v>
          </cell>
          <cell r="F24">
            <v>332.70000000000073</v>
          </cell>
          <cell r="G24">
            <v>712.41100000000006</v>
          </cell>
          <cell r="H24">
            <v>1.1413014727983124</v>
          </cell>
        </row>
        <row r="25">
          <cell r="C25">
            <v>37.699999999999818</v>
          </cell>
          <cell r="D25">
            <v>-518.29999999999995</v>
          </cell>
          <cell r="E25">
            <v>-415.1</v>
          </cell>
          <cell r="F25">
            <v>-351.5</v>
          </cell>
          <cell r="G25">
            <v>-271.25196099999994</v>
          </cell>
          <cell r="H25">
            <v>0.22830167567567583</v>
          </cell>
        </row>
        <row r="26">
          <cell r="C26">
            <v>-119.1</v>
          </cell>
          <cell r="D26">
            <v>-30.8</v>
          </cell>
          <cell r="E26">
            <v>-85.8</v>
          </cell>
          <cell r="F26">
            <v>-181.5</v>
          </cell>
          <cell r="G26">
            <v>-342.3300519999998</v>
          </cell>
          <cell r="H26">
            <v>-0.88611598898071509</v>
          </cell>
        </row>
        <row r="28">
          <cell r="C28">
            <v>2760.2699999999995</v>
          </cell>
          <cell r="D28">
            <v>3024.9399999999996</v>
          </cell>
          <cell r="E28">
            <v>3270.2</v>
          </cell>
          <cell r="F28">
            <v>3620.5</v>
          </cell>
          <cell r="G28">
            <v>3725.7</v>
          </cell>
          <cell r="H28">
            <v>2.9056760116006108E-2</v>
          </cell>
        </row>
        <row r="29">
          <cell r="C29">
            <v>1815.57</v>
          </cell>
          <cell r="D29">
            <v>2087.14</v>
          </cell>
          <cell r="E29">
            <v>2263.1999999999998</v>
          </cell>
          <cell r="F29">
            <v>2476.6</v>
          </cell>
          <cell r="G29">
            <v>2532.8000000000002</v>
          </cell>
          <cell r="H29">
            <v>2.2692400872163621E-2</v>
          </cell>
        </row>
        <row r="30">
          <cell r="C30">
            <v>1364.8</v>
          </cell>
          <cell r="D30">
            <v>1526.3</v>
          </cell>
          <cell r="E30">
            <v>1601.2</v>
          </cell>
          <cell r="F30">
            <v>1699.6</v>
          </cell>
          <cell r="G30">
            <v>1740.4</v>
          </cell>
          <cell r="H30">
            <v>2.4005648387856127E-2</v>
          </cell>
        </row>
        <row r="31">
          <cell r="C31">
            <v>450.77</v>
          </cell>
          <cell r="D31">
            <v>560.84</v>
          </cell>
          <cell r="E31">
            <v>662</v>
          </cell>
          <cell r="F31">
            <v>777</v>
          </cell>
          <cell r="G31">
            <v>792.4</v>
          </cell>
          <cell r="H31">
            <v>1.9819819819819839E-2</v>
          </cell>
        </row>
        <row r="32">
          <cell r="C32">
            <v>293</v>
          </cell>
          <cell r="D32">
            <v>237.5</v>
          </cell>
          <cell r="E32">
            <v>264.40000000000003</v>
          </cell>
          <cell r="F32">
            <v>277.10000000000002</v>
          </cell>
          <cell r="G32">
            <v>317</v>
          </cell>
          <cell r="H32">
            <v>0.14399133886683502</v>
          </cell>
        </row>
        <row r="33">
          <cell r="C33">
            <v>64</v>
          </cell>
          <cell r="D33">
            <v>51.5</v>
          </cell>
          <cell r="E33">
            <v>56.6</v>
          </cell>
          <cell r="F33">
            <v>59.3</v>
          </cell>
          <cell r="G33">
            <v>69.099999999999994</v>
          </cell>
          <cell r="H33">
            <v>0.16526138279932545</v>
          </cell>
        </row>
        <row r="34">
          <cell r="C34">
            <v>229</v>
          </cell>
          <cell r="D34">
            <v>186</v>
          </cell>
          <cell r="E34">
            <v>207.8</v>
          </cell>
          <cell r="F34">
            <v>217.8</v>
          </cell>
          <cell r="G34">
            <v>247.9</v>
          </cell>
          <cell r="H34">
            <v>0.13820018365472908</v>
          </cell>
        </row>
        <row r="35">
          <cell r="C35">
            <v>203.5</v>
          </cell>
          <cell r="D35">
            <v>228.6</v>
          </cell>
          <cell r="E35">
            <v>266.2</v>
          </cell>
          <cell r="F35">
            <v>375.1</v>
          </cell>
          <cell r="G35">
            <v>378.5</v>
          </cell>
          <cell r="H35">
            <v>9.0642495334576356E-3</v>
          </cell>
        </row>
        <row r="36">
          <cell r="C36">
            <v>83.9</v>
          </cell>
          <cell r="D36">
            <v>87.4</v>
          </cell>
          <cell r="E36">
            <v>113.3</v>
          </cell>
          <cell r="F36">
            <v>190.8</v>
          </cell>
          <cell r="G36">
            <v>201.7</v>
          </cell>
          <cell r="H36">
            <v>5.7127882599580682E-2</v>
          </cell>
        </row>
        <row r="37">
          <cell r="C37">
            <v>119.6</v>
          </cell>
          <cell r="D37">
            <v>141.19999999999999</v>
          </cell>
          <cell r="E37">
            <v>152.9</v>
          </cell>
          <cell r="F37">
            <v>184.3</v>
          </cell>
          <cell r="G37">
            <v>176.8</v>
          </cell>
          <cell r="H37">
            <v>-4.0694519804666318E-2</v>
          </cell>
        </row>
        <row r="38">
          <cell r="C38">
            <v>448.20000000000005</v>
          </cell>
          <cell r="D38">
            <v>471.7</v>
          </cell>
          <cell r="E38">
            <v>476.40000000000003</v>
          </cell>
          <cell r="F38">
            <v>491.70000000000005</v>
          </cell>
          <cell r="G38">
            <v>497.4</v>
          </cell>
          <cell r="H38">
            <v>1.1592434411226149E-2</v>
          </cell>
        </row>
        <row r="39">
          <cell r="C39">
            <v>324.3</v>
          </cell>
          <cell r="D39">
            <v>340.4</v>
          </cell>
          <cell r="E39">
            <v>343.6</v>
          </cell>
          <cell r="F39">
            <v>354.3</v>
          </cell>
          <cell r="G39">
            <v>355.7</v>
          </cell>
          <cell r="H39">
            <v>3.9514535704205933E-3</v>
          </cell>
        </row>
        <row r="40">
          <cell r="C40">
            <v>123.9</v>
          </cell>
          <cell r="D40">
            <v>131.30000000000001</v>
          </cell>
          <cell r="E40">
            <v>132.80000000000001</v>
          </cell>
          <cell r="F40">
            <v>137.4</v>
          </cell>
          <cell r="G40">
            <v>141.69999999999999</v>
          </cell>
          <cell r="H40">
            <v>3.1295487627365226E-2</v>
          </cell>
        </row>
        <row r="42">
          <cell r="C42">
            <v>25156.514125912261</v>
          </cell>
          <cell r="D42">
            <v>26402.30417727874</v>
          </cell>
          <cell r="E42">
            <v>27625.288652942058</v>
          </cell>
          <cell r="F42">
            <v>28025.464388047221</v>
          </cell>
          <cell r="G42">
            <v>29038.570984696478</v>
          </cell>
          <cell r="H42">
            <v>3.614950256029803E-2</v>
          </cell>
        </row>
        <row r="43">
          <cell r="C43">
            <v>16013.1</v>
          </cell>
          <cell r="D43">
            <v>16937.3</v>
          </cell>
          <cell r="E43">
            <v>17695.3</v>
          </cell>
          <cell r="F43">
            <v>17814.400000000001</v>
          </cell>
          <cell r="G43">
            <v>18506.971013000002</v>
          </cell>
          <cell r="H43">
            <v>3.8877032793694921E-2</v>
          </cell>
        </row>
        <row r="44">
          <cell r="C44">
            <v>11035.2</v>
          </cell>
          <cell r="D44">
            <v>11924.8</v>
          </cell>
          <cell r="E44">
            <v>12604.2</v>
          </cell>
          <cell r="F44">
            <v>12949.5</v>
          </cell>
          <cell r="G44">
            <v>13346.689</v>
          </cell>
          <cell r="H44">
            <v>3.0672149503841784E-2</v>
          </cell>
        </row>
        <row r="45">
          <cell r="C45">
            <v>4337.5</v>
          </cell>
          <cell r="D45">
            <v>4410.6000000000004</v>
          </cell>
          <cell r="E45">
            <v>4453.3</v>
          </cell>
          <cell r="F45">
            <v>3766.7</v>
          </cell>
          <cell r="G45">
            <v>2917.3519609999998</v>
          </cell>
          <cell r="H45">
            <v>-0.22548863434836863</v>
          </cell>
        </row>
        <row r="46">
          <cell r="C46">
            <v>640.4</v>
          </cell>
          <cell r="D46">
            <v>601.9</v>
          </cell>
          <cell r="E46">
            <v>637.79999999999995</v>
          </cell>
          <cell r="F46">
            <v>1098.2</v>
          </cell>
          <cell r="G46">
            <v>2242.9300519999997</v>
          </cell>
          <cell r="H46">
            <v>1.0423693789837913</v>
          </cell>
        </row>
        <row r="47">
          <cell r="C47">
            <v>1770.8</v>
          </cell>
          <cell r="D47">
            <v>1884.4</v>
          </cell>
          <cell r="E47">
            <v>2155</v>
          </cell>
          <cell r="F47">
            <v>2249.6</v>
          </cell>
          <cell r="G47">
            <v>2343.1</v>
          </cell>
          <cell r="H47">
            <v>4.1562944523470868E-2</v>
          </cell>
        </row>
        <row r="48">
          <cell r="C48">
            <v>1678.5</v>
          </cell>
          <cell r="D48">
            <v>1778</v>
          </cell>
          <cell r="E48">
            <v>2097.1999999999998</v>
          </cell>
          <cell r="F48">
            <v>2189.9</v>
          </cell>
          <cell r="G48">
            <v>2288</v>
          </cell>
          <cell r="H48">
            <v>4.4796566053244335E-2</v>
          </cell>
        </row>
        <row r="49">
          <cell r="C49">
            <v>92.3</v>
          </cell>
          <cell r="D49">
            <v>106.4</v>
          </cell>
          <cell r="E49">
            <v>57.8</v>
          </cell>
          <cell r="F49">
            <v>59.7</v>
          </cell>
          <cell r="G49">
            <v>55.1</v>
          </cell>
          <cell r="H49">
            <v>-7.7051926298157492E-2</v>
          </cell>
        </row>
        <row r="50">
          <cell r="C50">
            <v>7372.6141259122578</v>
          </cell>
          <cell r="D50">
            <v>7580.6041772787394</v>
          </cell>
          <cell r="E50">
            <v>7774.9886529420592</v>
          </cell>
          <cell r="F50">
            <v>7961.4643880472222</v>
          </cell>
          <cell r="G50">
            <v>8188.4999716964776</v>
          </cell>
          <cell r="H50">
            <v>2.8516812056599949E-2</v>
          </cell>
        </row>
        <row r="52">
          <cell r="C52">
            <v>378.7</v>
          </cell>
          <cell r="D52">
            <v>386.6</v>
          </cell>
          <cell r="E52">
            <v>395.2</v>
          </cell>
          <cell r="F52">
            <v>408.8</v>
          </cell>
          <cell r="G52">
            <v>443.72611837314082</v>
          </cell>
          <cell r="H52">
            <v>8.5435710306117407E-2</v>
          </cell>
        </row>
        <row r="54">
          <cell r="C54">
            <v>37908.300000000003</v>
          </cell>
          <cell r="D54">
            <v>38669.599999999999</v>
          </cell>
          <cell r="E54">
            <v>40292.400000000001</v>
          </cell>
          <cell r="F54">
            <v>41585.599999999999</v>
          </cell>
          <cell r="G54">
            <v>43365.319112359233</v>
          </cell>
          <cell r="H54">
            <v>4.2796523612963044E-2</v>
          </cell>
        </row>
      </sheetData>
      <sheetData sheetId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8">
          <cell r="C8">
            <v>0.16112872046722609</v>
          </cell>
          <cell r="D8">
            <v>0.15665938677207061</v>
          </cell>
          <cell r="E8">
            <v>0.15218114469442245</v>
          </cell>
          <cell r="F8">
            <v>0.15430014062560118</v>
          </cell>
          <cell r="G8">
            <v>0.15218400078875755</v>
          </cell>
        </row>
        <row r="9">
          <cell r="C9">
            <v>0.14418763590368724</v>
          </cell>
          <cell r="D9">
            <v>0.1405638129520673</v>
          </cell>
          <cell r="E9">
            <v>0.13681252830349017</v>
          </cell>
          <cell r="F9">
            <v>0.13842568850756029</v>
          </cell>
          <cell r="G9">
            <v>0.13676498590113428</v>
          </cell>
        </row>
        <row r="10">
          <cell r="C10">
            <v>3.2414862708166811E-5</v>
          </cell>
          <cell r="D10">
            <v>3.7154480004965141E-5</v>
          </cell>
          <cell r="E10">
            <v>2.7096535574947136E-5</v>
          </cell>
          <cell r="F10">
            <v>0</v>
          </cell>
          <cell r="G10">
            <v>2.0086096858716494E-6</v>
          </cell>
        </row>
        <row r="11">
          <cell r="C11">
            <v>0.12032222210788748</v>
          </cell>
          <cell r="D11">
            <v>0.11620845802466845</v>
          </cell>
          <cell r="E11">
            <v>0.11129009513289212</v>
          </cell>
          <cell r="F11">
            <v>0.11342482489130853</v>
          </cell>
          <cell r="G11">
            <v>0.11184530505663171</v>
          </cell>
        </row>
        <row r="12">
          <cell r="C12">
            <v>2.3832998933091619E-2</v>
          </cell>
          <cell r="D12">
            <v>2.4318200447393898E-2</v>
          </cell>
          <cell r="E12">
            <v>2.5495336635023087E-2</v>
          </cell>
          <cell r="F12">
            <v>2.5000863616251777E-2</v>
          </cell>
          <cell r="G12">
            <v>2.4917672234816706E-2</v>
          </cell>
        </row>
        <row r="13">
          <cell r="C13">
            <v>1.694108456353885E-2</v>
          </cell>
          <cell r="D13">
            <v>1.609557382000331E-2</v>
          </cell>
          <cell r="E13">
            <v>1.5368616390932285E-2</v>
          </cell>
          <cell r="F13">
            <v>1.5874452118040859E-2</v>
          </cell>
          <cell r="G13">
            <v>1.5419014887623247E-2</v>
          </cell>
        </row>
        <row r="14">
          <cell r="C14">
            <v>3.3766219421604233E-3</v>
          </cell>
          <cell r="D14">
            <v>3.001323296853342E-3</v>
          </cell>
          <cell r="E14">
            <v>2.8739967577012041E-3</v>
          </cell>
          <cell r="F14">
            <v>3.0306438767265594E-3</v>
          </cell>
          <cell r="G14">
            <v>3.3418097448912306E-3</v>
          </cell>
        </row>
        <row r="15">
          <cell r="C15">
            <v>8.8053743808084225E-3</v>
          </cell>
          <cell r="D15">
            <v>8.7150648625793914E-3</v>
          </cell>
          <cell r="E15">
            <v>8.4724290367414207E-3</v>
          </cell>
          <cell r="F15">
            <v>9.0153424262244628E-3</v>
          </cell>
          <cell r="G15">
            <v>8.8304856931367987E-3</v>
          </cell>
        </row>
        <row r="16">
          <cell r="C16">
            <v>4.7590882405700065E-3</v>
          </cell>
          <cell r="D16">
            <v>4.3791856605705781E-3</v>
          </cell>
          <cell r="E16">
            <v>4.0221905964896608E-3</v>
          </cell>
          <cell r="F16">
            <v>3.828465815089839E-3</v>
          </cell>
          <cell r="G16">
            <v>3.2467194495952186E-3</v>
          </cell>
        </row>
        <row r="18">
          <cell r="C18">
            <v>7.6015015181371895E-2</v>
          </cell>
          <cell r="D18">
            <v>7.7875126714525095E-2</v>
          </cell>
          <cell r="E18">
            <v>7.883292612434098E-2</v>
          </cell>
          <cell r="F18">
            <v>7.9702389383651373E-2</v>
          </cell>
          <cell r="G18">
            <v>7.976386050169279E-2</v>
          </cell>
        </row>
        <row r="19">
          <cell r="C19">
            <v>2.9872086060308691E-2</v>
          </cell>
          <cell r="D19">
            <v>2.9777913399673131E-2</v>
          </cell>
          <cell r="E19">
            <v>3.1865135856886155E-2</v>
          </cell>
          <cell r="F19">
            <v>3.3149470008849227E-2</v>
          </cell>
          <cell r="G19">
            <v>3.2801469679364106E-2</v>
          </cell>
        </row>
        <row r="20">
          <cell r="C20">
            <v>4.5180079296618415E-2</v>
          </cell>
          <cell r="D20">
            <v>4.7135217328340612E-2</v>
          </cell>
          <cell r="E20">
            <v>4.6089212669694443E-2</v>
          </cell>
          <cell r="F20">
            <v>4.5564596493804885E-2</v>
          </cell>
          <cell r="G20">
            <v>4.5970815045183189E-2</v>
          </cell>
        </row>
        <row r="21">
          <cell r="C21">
            <v>9.628498244447785E-4</v>
          </cell>
          <cell r="D21">
            <v>9.6199598651136825E-4</v>
          </cell>
          <cell r="E21">
            <v>8.7857759776037165E-4</v>
          </cell>
          <cell r="F21">
            <v>9.8832288099726844E-4</v>
          </cell>
          <cell r="G21">
            <v>9.9157577714549506E-4</v>
          </cell>
        </row>
        <row r="23">
          <cell r="C23">
            <v>1.6437033578398392E-2</v>
          </cell>
          <cell r="D23">
            <v>-5.5237188902910808E-3</v>
          </cell>
          <cell r="E23">
            <v>-7.6044117501067208E-3</v>
          </cell>
          <cell r="F23">
            <v>-4.8165711207725581E-3</v>
          </cell>
          <cell r="G23">
            <v>2.2789867346285431E-3</v>
          </cell>
        </row>
        <row r="24">
          <cell r="C24">
            <v>1.8584320584146479E-2</v>
          </cell>
          <cell r="D24">
            <v>8.676065953617312E-3</v>
          </cell>
          <cell r="E24">
            <v>4.8272130724404602E-3</v>
          </cell>
          <cell r="F24">
            <v>8.000365511138488E-3</v>
          </cell>
          <cell r="G24">
            <v>1.6428127697023242E-2</v>
          </cell>
        </row>
        <row r="25">
          <cell r="C25">
            <v>9.945051611388487E-4</v>
          </cell>
          <cell r="D25">
            <v>-1.3403293543248443E-2</v>
          </cell>
          <cell r="E25">
            <v>-1.0302190983907635E-2</v>
          </cell>
          <cell r="F25">
            <v>-8.4524450771420873E-3</v>
          </cell>
          <cell r="G25">
            <v>-6.2550435821119646E-3</v>
          </cell>
        </row>
        <row r="26">
          <cell r="C26">
            <v>-3.1417921668869348E-3</v>
          </cell>
          <cell r="D26">
            <v>-7.9649130065995004E-4</v>
          </cell>
          <cell r="E26">
            <v>-2.129433838639545E-3</v>
          </cell>
          <cell r="F26">
            <v>-4.3644915547689589E-3</v>
          </cell>
          <cell r="G26">
            <v>-7.8940973802827333E-3</v>
          </cell>
        </row>
        <row r="28">
          <cell r="C28">
            <v>7.281439684712844E-2</v>
          </cell>
          <cell r="D28">
            <v>7.8225272565529511E-2</v>
          </cell>
          <cell r="E28">
            <v>8.116170791514031E-2</v>
          </cell>
          <cell r="F28">
            <v>8.7061386633834795E-2</v>
          </cell>
          <cell r="G28">
            <v>8.5914276114208626E-2</v>
          </cell>
        </row>
        <row r="29">
          <cell r="C29">
            <v>4.7893733034717986E-2</v>
          </cell>
          <cell r="D29">
            <v>5.3973664066863894E-2</v>
          </cell>
          <cell r="E29">
            <v>5.6169401673764774E-2</v>
          </cell>
          <cell r="F29">
            <v>5.9554268785348773E-2</v>
          </cell>
          <cell r="G29">
            <v>5.8406119264049074E-2</v>
          </cell>
        </row>
        <row r="30">
          <cell r="C30">
            <v>3.6002669600061196E-2</v>
          </cell>
          <cell r="D30">
            <v>3.9470281564846804E-2</v>
          </cell>
          <cell r="E30">
            <v>3.9739504224121668E-2</v>
          </cell>
          <cell r="F30">
            <v>4.0869916509561004E-2</v>
          </cell>
          <cell r="G30">
            <v>4.0133453082419064E-2</v>
          </cell>
        </row>
        <row r="31">
          <cell r="C31">
            <v>1.1891063434656788E-2</v>
          </cell>
          <cell r="D31">
            <v>1.450338250201709E-2</v>
          </cell>
          <cell r="E31">
            <v>1.642989744964311E-2</v>
          </cell>
          <cell r="F31">
            <v>1.8684352275787772E-2</v>
          </cell>
          <cell r="G31">
            <v>1.8272666181630006E-2</v>
          </cell>
        </row>
        <row r="32">
          <cell r="C32">
            <v>7.7291780428032902E-3</v>
          </cell>
          <cell r="D32">
            <v>6.1417754515174713E-3</v>
          </cell>
          <cell r="E32">
            <v>6.562031549374076E-3</v>
          </cell>
          <cell r="F32">
            <v>6.6633642414682011E-3</v>
          </cell>
          <cell r="G32">
            <v>7.3099888687237664E-3</v>
          </cell>
        </row>
        <row r="33">
          <cell r="C33">
            <v>1.6882846236839953E-3</v>
          </cell>
          <cell r="D33">
            <v>1.3317955189606305E-3</v>
          </cell>
          <cell r="E33">
            <v>1.404731413368278E-3</v>
          </cell>
          <cell r="F33">
            <v>1.4259743757454504E-3</v>
          </cell>
          <cell r="G33">
            <v>1.5934392139710166E-3</v>
          </cell>
        </row>
        <row r="34">
          <cell r="C34">
            <v>6.0408934191192951E-3</v>
          </cell>
          <cell r="D34">
            <v>4.8099799325568406E-3</v>
          </cell>
          <cell r="E34">
            <v>5.1573001360057978E-3</v>
          </cell>
          <cell r="F34">
            <v>5.2373898657227507E-3</v>
          </cell>
          <cell r="G34">
            <v>5.7165496547527499E-3</v>
          </cell>
        </row>
        <row r="35">
          <cell r="C35">
            <v>5.3682175143702033E-3</v>
          </cell>
          <cell r="D35">
            <v>5.9116204977553424E-3</v>
          </cell>
          <cell r="E35">
            <v>6.6067049865483314E-3</v>
          </cell>
          <cell r="F35">
            <v>9.0199492131891809E-3</v>
          </cell>
          <cell r="G35">
            <v>8.7281728290597646E-3</v>
          </cell>
        </row>
        <row r="36">
          <cell r="C36">
            <v>2.2132356238607374E-3</v>
          </cell>
          <cell r="D36">
            <v>2.2601733661584294E-3</v>
          </cell>
          <cell r="E36">
            <v>2.8119446843573475E-3</v>
          </cell>
          <cell r="F36">
            <v>4.5881266592281951E-3</v>
          </cell>
          <cell r="G36">
            <v>4.6511821918661942E-3</v>
          </cell>
        </row>
        <row r="37">
          <cell r="C37">
            <v>3.1549818905094659E-3</v>
          </cell>
          <cell r="D37">
            <v>3.651447131596913E-3</v>
          </cell>
          <cell r="E37">
            <v>3.7947603021909839E-3</v>
          </cell>
          <cell r="F37">
            <v>4.4318225539609866E-3</v>
          </cell>
          <cell r="G37">
            <v>4.0769906371935713E-3</v>
          </cell>
        </row>
        <row r="38">
          <cell r="C38">
            <v>1.182326825523698E-2</v>
          </cell>
          <cell r="D38">
            <v>1.2198212549392805E-2</v>
          </cell>
          <cell r="E38">
            <v>1.1823569705453138E-2</v>
          </cell>
          <cell r="F38">
            <v>1.1823804393828635E-2</v>
          </cell>
          <cell r="G38">
            <v>1.1469995152376029E-2</v>
          </cell>
        </row>
        <row r="39">
          <cell r="C39">
            <v>8.554854741573744E-3</v>
          </cell>
          <cell r="D39">
            <v>8.8027804787223028E-3</v>
          </cell>
          <cell r="E39">
            <v>8.527662785041348E-3</v>
          </cell>
          <cell r="F39">
            <v>8.5197760763341158E-3</v>
          </cell>
          <cell r="G39">
            <v>8.2024070681547111E-3</v>
          </cell>
        </row>
        <row r="40">
          <cell r="C40">
            <v>3.2684135136632347E-3</v>
          </cell>
          <cell r="D40">
            <v>3.3954320706705014E-3</v>
          </cell>
          <cell r="E40">
            <v>3.2959069204117901E-3</v>
          </cell>
          <cell r="F40">
            <v>3.3040283174945177E-3</v>
          </cell>
          <cell r="G40">
            <v>3.2675880842213175E-3</v>
          </cell>
        </row>
        <row r="42">
          <cell r="C42">
            <v>0.6636149372541702</v>
          </cell>
          <cell r="D42">
            <v>0.68276641540845373</v>
          </cell>
          <cell r="E42">
            <v>0.68562033169883296</v>
          </cell>
          <cell r="F42">
            <v>0.67392232859564905</v>
          </cell>
          <cell r="G42">
            <v>0.66962659514755896</v>
          </cell>
        </row>
        <row r="43">
          <cell r="C43">
            <v>0.42241672667990915</v>
          </cell>
          <cell r="D43">
            <v>0.43800039307362887</v>
          </cell>
          <cell r="E43">
            <v>0.43917215157200856</v>
          </cell>
          <cell r="F43">
            <v>0.42837905428802281</v>
          </cell>
          <cell r="G43">
            <v>0.42676893406568905</v>
          </cell>
        </row>
        <row r="44">
          <cell r="C44">
            <v>0.29110247623871288</v>
          </cell>
          <cell r="D44">
            <v>0.30837660591265492</v>
          </cell>
          <cell r="E44">
            <v>0.31281829823986657</v>
          </cell>
          <cell r="F44">
            <v>0.31139384787041668</v>
          </cell>
          <cell r="G44">
            <v>0.30777333761614495</v>
          </cell>
        </row>
        <row r="45">
          <cell r="C45">
            <v>0.11442085242545827</v>
          </cell>
          <cell r="D45">
            <v>0.11405858865879141</v>
          </cell>
          <cell r="E45">
            <v>0.1105245654267306</v>
          </cell>
          <cell r="F45">
            <v>9.0577026663075683E-2</v>
          </cell>
          <cell r="G45">
            <v>6.7273849719430442E-2</v>
          </cell>
        </row>
        <row r="46">
          <cell r="C46">
            <v>1.6893398015737977E-2</v>
          </cell>
          <cell r="D46">
            <v>1.5565198502182593E-2</v>
          </cell>
          <cell r="E46">
            <v>1.5829287905411441E-2</v>
          </cell>
          <cell r="F46">
            <v>2.6408179754530418E-2</v>
          </cell>
          <cell r="G46">
            <v>5.1721746730113614E-2</v>
          </cell>
        </row>
        <row r="47">
          <cell r="C47">
            <v>4.6712725181556544E-2</v>
          </cell>
          <cell r="D47">
            <v>4.8730785940376942E-2</v>
          </cell>
          <cell r="E47">
            <v>5.3484031728067823E-2</v>
          </cell>
          <cell r="F47">
            <v>5.4095648493709361E-2</v>
          </cell>
          <cell r="G47">
            <v>5.4031655893711852E-2</v>
          </cell>
        </row>
        <row r="48">
          <cell r="C48">
            <v>4.4277902200837278E-2</v>
          </cell>
          <cell r="D48">
            <v>4.5979270538097111E-2</v>
          </cell>
          <cell r="E48">
            <v>5.2049518023250037E-2</v>
          </cell>
          <cell r="F48">
            <v>5.2660055403793628E-2</v>
          </cell>
          <cell r="G48">
            <v>5.2761055304857973E-2</v>
          </cell>
        </row>
        <row r="49">
          <cell r="C49">
            <v>2.4348229807192616E-3</v>
          </cell>
          <cell r="D49">
            <v>2.7515154022798275E-3</v>
          </cell>
          <cell r="E49">
            <v>1.4345137048177819E-3</v>
          </cell>
          <cell r="F49">
            <v>1.4355930899157402E-3</v>
          </cell>
          <cell r="G49">
            <v>1.2706005888538786E-3</v>
          </cell>
        </row>
        <row r="50">
          <cell r="C50">
            <v>0.19448548539270444</v>
          </cell>
          <cell r="D50">
            <v>0.19603523639444784</v>
          </cell>
          <cell r="E50">
            <v>0.19296414839875656</v>
          </cell>
          <cell r="F50">
            <v>0.19144762581391689</v>
          </cell>
          <cell r="G50">
            <v>0.18882600518815812</v>
          </cell>
        </row>
        <row r="52">
          <cell r="C52">
            <v>9.9898966717051393E-3</v>
          </cell>
          <cell r="D52">
            <v>9.9975174297122302E-3</v>
          </cell>
          <cell r="E52">
            <v>9.8083013173700245E-3</v>
          </cell>
          <cell r="F52">
            <v>9.8303258820360909E-3</v>
          </cell>
          <cell r="G52">
            <v>1.0232280713153514E-2</v>
          </cell>
        </row>
        <row r="54">
          <cell r="C54">
            <v>1</v>
          </cell>
          <cell r="D54">
            <v>1</v>
          </cell>
          <cell r="E54">
            <v>1</v>
          </cell>
          <cell r="F54">
            <v>1</v>
          </cell>
          <cell r="G54">
            <v>1</v>
          </cell>
        </row>
      </sheetData>
      <sheetData sheetId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D7">
            <v>15102.800000000001</v>
          </cell>
          <cell r="E7">
            <v>15124.699999999999</v>
          </cell>
          <cell r="F7">
            <v>15686.5</v>
          </cell>
          <cell r="G7">
            <v>15981.6</v>
          </cell>
          <cell r="H7">
            <v>16973.123118</v>
          </cell>
          <cell r="I7">
            <v>6.2041542649046377E-2</v>
          </cell>
        </row>
        <row r="8">
          <cell r="D8">
            <v>10780.5</v>
          </cell>
          <cell r="E8">
            <v>11360.5</v>
          </cell>
          <cell r="F8">
            <v>11926.9</v>
          </cell>
          <cell r="G8">
            <v>12430.6</v>
          </cell>
          <cell r="H8">
            <v>13190.308999999999</v>
          </cell>
          <cell r="I8">
            <v>6.1116036233166415E-2</v>
          </cell>
        </row>
        <row r="9">
          <cell r="D9">
            <v>3809.6</v>
          </cell>
          <cell r="E9">
            <v>3288.3</v>
          </cell>
          <cell r="F9">
            <v>3299.5</v>
          </cell>
          <cell r="G9">
            <v>2787.1</v>
          </cell>
          <cell r="H9">
            <v>2199.056302</v>
          </cell>
          <cell r="I9">
            <v>-0.21098765670410102</v>
          </cell>
        </row>
        <row r="10">
          <cell r="D10">
            <v>512.70000000000005</v>
          </cell>
          <cell r="E10">
            <v>475.9</v>
          </cell>
          <cell r="F10">
            <v>460.1</v>
          </cell>
          <cell r="G10">
            <v>763.9</v>
          </cell>
          <cell r="H10">
            <v>1583.757816</v>
          </cell>
          <cell r="I10">
            <v>1.0732528027228696</v>
          </cell>
        </row>
        <row r="12">
          <cell r="D12">
            <v>72.599999999999739</v>
          </cell>
          <cell r="E12">
            <v>80.999999999998636</v>
          </cell>
          <cell r="F12">
            <v>106.80000000000098</v>
          </cell>
          <cell r="G12">
            <v>50.400000000001</v>
          </cell>
          <cell r="H12">
            <v>32.676882000000205</v>
          </cell>
          <cell r="I12">
            <v>-0.35164916666667545</v>
          </cell>
        </row>
        <row r="13">
          <cell r="D13">
            <v>20.5</v>
          </cell>
          <cell r="E13">
            <v>18.599999999998545</v>
          </cell>
          <cell r="F13">
            <v>22.800000000001091</v>
          </cell>
          <cell r="G13">
            <v>20.800000000001091</v>
          </cell>
          <cell r="H13">
            <v>19.591000000000349</v>
          </cell>
          <cell r="I13">
            <v>-5.8125000000032623E-2</v>
          </cell>
        </row>
        <row r="14">
          <cell r="D14">
            <v>134.19999999999982</v>
          </cell>
          <cell r="E14">
            <v>62.400000000000091</v>
          </cell>
          <cell r="F14">
            <v>84.099999999999909</v>
          </cell>
          <cell r="G14">
            <v>29.599999999999909</v>
          </cell>
          <cell r="H14">
            <v>13.043697999999949</v>
          </cell>
          <cell r="I14">
            <v>-0.55933452702702735</v>
          </cell>
        </row>
        <row r="15">
          <cell r="D15">
            <v>-82.10000000000008</v>
          </cell>
          <cell r="E15">
            <v>0</v>
          </cell>
          <cell r="F15">
            <v>-0.10000000000002274</v>
          </cell>
          <cell r="G15">
            <v>0</v>
          </cell>
          <cell r="H15">
            <v>4.2183999999906518E-2</v>
          </cell>
          <cell r="I15" t="str">
            <v>-</v>
          </cell>
        </row>
        <row r="17">
          <cell r="D17">
            <v>15175.400000000001</v>
          </cell>
          <cell r="E17">
            <v>15205.699999999997</v>
          </cell>
          <cell r="F17">
            <v>15793.300000000001</v>
          </cell>
          <cell r="G17">
            <v>16032.000000000002</v>
          </cell>
          <cell r="H17">
            <v>17005.8</v>
          </cell>
          <cell r="I17">
            <v>6.074101796407172E-2</v>
          </cell>
        </row>
        <row r="18">
          <cell r="D18">
            <v>10801</v>
          </cell>
          <cell r="E18">
            <v>11379.099999999999</v>
          </cell>
          <cell r="F18">
            <v>11949.7</v>
          </cell>
          <cell r="G18">
            <v>12451.400000000001</v>
          </cell>
          <cell r="H18">
            <v>13209.9</v>
          </cell>
          <cell r="I18">
            <v>6.0916844692163075E-2</v>
          </cell>
        </row>
        <row r="19">
          <cell r="D19">
            <v>3943.7999999999997</v>
          </cell>
          <cell r="E19">
            <v>3350.7000000000003</v>
          </cell>
          <cell r="F19">
            <v>3383.6</v>
          </cell>
          <cell r="G19">
            <v>2816.7</v>
          </cell>
          <cell r="H19">
            <v>2212.1</v>
          </cell>
          <cell r="I19">
            <v>-0.21464834735683602</v>
          </cell>
        </row>
        <row r="20">
          <cell r="D20">
            <v>430.59999999999997</v>
          </cell>
          <cell r="E20">
            <v>475.90000000000003</v>
          </cell>
          <cell r="F20">
            <v>460</v>
          </cell>
          <cell r="G20">
            <v>763.90000000000009</v>
          </cell>
          <cell r="H20">
            <v>1583.8</v>
          </cell>
          <cell r="I20">
            <v>1.0733080246105509</v>
          </cell>
        </row>
        <row r="22">
          <cell r="D22">
            <v>1460.8</v>
          </cell>
          <cell r="E22">
            <v>1518.0000000000002</v>
          </cell>
          <cell r="F22">
            <v>1595.6</v>
          </cell>
          <cell r="G22">
            <v>1582.1</v>
          </cell>
          <cell r="H22">
            <v>1600</v>
          </cell>
          <cell r="I22">
            <v>1.1314076227798564E-2</v>
          </cell>
        </row>
        <row r="23">
          <cell r="D23">
            <v>938.7</v>
          </cell>
          <cell r="E23">
            <v>881.2</v>
          </cell>
          <cell r="F23">
            <v>849</v>
          </cell>
          <cell r="G23">
            <v>830.8</v>
          </cell>
          <cell r="H23">
            <v>849.2</v>
          </cell>
          <cell r="I23">
            <v>2.2147327876745448E-2</v>
          </cell>
        </row>
        <row r="24">
          <cell r="D24">
            <v>431.4</v>
          </cell>
          <cell r="E24">
            <v>541.6</v>
          </cell>
          <cell r="F24">
            <v>654.6</v>
          </cell>
          <cell r="G24">
            <v>598.5</v>
          </cell>
          <cell r="H24">
            <v>434</v>
          </cell>
          <cell r="I24">
            <v>-0.27485380116959068</v>
          </cell>
        </row>
        <row r="25">
          <cell r="D25">
            <v>90.7</v>
          </cell>
          <cell r="E25">
            <v>95.2</v>
          </cell>
          <cell r="F25">
            <v>92</v>
          </cell>
          <cell r="G25">
            <v>152.80000000000001</v>
          </cell>
          <cell r="H25">
            <v>316.8</v>
          </cell>
          <cell r="I25">
            <v>1.0732984293193715</v>
          </cell>
        </row>
        <row r="27">
          <cell r="D27">
            <v>16636.2</v>
          </cell>
          <cell r="E27">
            <v>16723.699999999997</v>
          </cell>
          <cell r="F27">
            <v>17388.900000000001</v>
          </cell>
          <cell r="G27">
            <v>17614.100000000002</v>
          </cell>
          <cell r="H27">
            <v>18605.8</v>
          </cell>
          <cell r="I27">
            <v>5.6301485741536483E-2</v>
          </cell>
        </row>
        <row r="28">
          <cell r="D28">
            <v>11739.7</v>
          </cell>
          <cell r="E28">
            <v>12260.3</v>
          </cell>
          <cell r="F28">
            <v>12798.7</v>
          </cell>
          <cell r="G28">
            <v>13282.2</v>
          </cell>
          <cell r="H28">
            <v>14059.1</v>
          </cell>
          <cell r="I28">
            <v>5.8491816114800255E-2</v>
          </cell>
        </row>
        <row r="29">
          <cell r="D29">
            <v>4375.2</v>
          </cell>
          <cell r="E29">
            <v>3892.3</v>
          </cell>
          <cell r="F29">
            <v>4038.2</v>
          </cell>
          <cell r="G29">
            <v>3415.2</v>
          </cell>
          <cell r="H29">
            <v>2646.1</v>
          </cell>
          <cell r="I29">
            <v>-0.22519910986179437</v>
          </cell>
        </row>
        <row r="30">
          <cell r="D30">
            <v>521.29999999999995</v>
          </cell>
          <cell r="E30">
            <v>571.1</v>
          </cell>
          <cell r="F30">
            <v>552</v>
          </cell>
          <cell r="G30">
            <v>916.7</v>
          </cell>
          <cell r="H30">
            <v>1900.6</v>
          </cell>
          <cell r="I30">
            <v>1.0733064252209008</v>
          </cell>
        </row>
        <row r="32">
          <cell r="D32">
            <v>1770.8</v>
          </cell>
          <cell r="E32">
            <v>1884.4</v>
          </cell>
          <cell r="F32">
            <v>2155</v>
          </cell>
          <cell r="G32">
            <v>2249.6</v>
          </cell>
          <cell r="H32">
            <v>2343.1</v>
          </cell>
          <cell r="I32">
            <v>4.1562944523470868E-2</v>
          </cell>
        </row>
        <row r="33">
          <cell r="D33">
            <v>1678.5</v>
          </cell>
          <cell r="E33">
            <v>1778</v>
          </cell>
          <cell r="F33">
            <v>2097.1999999999998</v>
          </cell>
          <cell r="G33">
            <v>2189.9</v>
          </cell>
          <cell r="H33">
            <v>2288</v>
          </cell>
          <cell r="I33">
            <v>4.4796566053244335E-2</v>
          </cell>
        </row>
        <row r="34">
          <cell r="D34">
            <v>92.3</v>
          </cell>
          <cell r="E34">
            <v>106.4</v>
          </cell>
          <cell r="F34">
            <v>57.8</v>
          </cell>
          <cell r="G34">
            <v>59.7</v>
          </cell>
          <cell r="H34">
            <v>55.1</v>
          </cell>
          <cell r="I34">
            <v>-7.7051926298157492E-2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 t="str">
            <v>-</v>
          </cell>
        </row>
        <row r="37">
          <cell r="D37">
            <v>18407</v>
          </cell>
          <cell r="E37">
            <v>18608.099999999999</v>
          </cell>
          <cell r="F37">
            <v>19543.900000000001</v>
          </cell>
          <cell r="G37">
            <v>19863.7</v>
          </cell>
          <cell r="H37">
            <v>20948.899999999998</v>
          </cell>
          <cell r="I37">
            <v>5.4632319255727646E-2</v>
          </cell>
        </row>
        <row r="38">
          <cell r="D38">
            <v>13418.2</v>
          </cell>
          <cell r="E38">
            <v>14038.3</v>
          </cell>
          <cell r="F38">
            <v>14895.900000000001</v>
          </cell>
          <cell r="G38">
            <v>15472.1</v>
          </cell>
          <cell r="H38">
            <v>16347.1</v>
          </cell>
          <cell r="I38">
            <v>5.6553409039496794E-2</v>
          </cell>
        </row>
        <row r="39">
          <cell r="D39">
            <v>4467.5</v>
          </cell>
          <cell r="E39">
            <v>3998.7000000000003</v>
          </cell>
          <cell r="F39">
            <v>4096</v>
          </cell>
          <cell r="G39">
            <v>3474.8999999999996</v>
          </cell>
          <cell r="H39">
            <v>2701.2</v>
          </cell>
          <cell r="I39">
            <v>-0.22265388932055596</v>
          </cell>
        </row>
        <row r="40">
          <cell r="D40">
            <v>521.29999999999995</v>
          </cell>
          <cell r="E40">
            <v>571.1</v>
          </cell>
          <cell r="F40">
            <v>552</v>
          </cell>
          <cell r="G40">
            <v>916.7</v>
          </cell>
          <cell r="H40">
            <v>1900.6</v>
          </cell>
          <cell r="I40">
            <v>1.0733064252209008</v>
          </cell>
        </row>
        <row r="43">
          <cell r="D43">
            <v>16013.1</v>
          </cell>
          <cell r="E43">
            <v>16937.3</v>
          </cell>
          <cell r="F43">
            <v>17695.3</v>
          </cell>
          <cell r="G43">
            <v>17814.400000000001</v>
          </cell>
          <cell r="H43">
            <v>18506.971013000002</v>
          </cell>
          <cell r="I43">
            <v>3.8877032793694921E-2</v>
          </cell>
        </row>
        <row r="44">
          <cell r="D44">
            <v>11035.2</v>
          </cell>
          <cell r="E44">
            <v>11924.8</v>
          </cell>
          <cell r="F44">
            <v>12604.2</v>
          </cell>
          <cell r="G44">
            <v>12949.5</v>
          </cell>
          <cell r="H44">
            <v>13346.689</v>
          </cell>
          <cell r="I44">
            <v>3.0672149503841784E-2</v>
          </cell>
        </row>
        <row r="45">
          <cell r="D45">
            <v>4337.5</v>
          </cell>
          <cell r="E45">
            <v>4410.6000000000004</v>
          </cell>
          <cell r="F45">
            <v>4453.3</v>
          </cell>
          <cell r="G45">
            <v>3766.7</v>
          </cell>
          <cell r="H45">
            <v>2917.3519609999998</v>
          </cell>
          <cell r="I45">
            <v>-0.22548863434836863</v>
          </cell>
        </row>
        <row r="46">
          <cell r="D46">
            <v>640.4</v>
          </cell>
          <cell r="E46">
            <v>601.9</v>
          </cell>
          <cell r="F46">
            <v>637.79999999999995</v>
          </cell>
          <cell r="G46">
            <v>1098.2</v>
          </cell>
          <cell r="H46">
            <v>2242.9300519999997</v>
          </cell>
          <cell r="I46">
            <v>1.0423693789837913</v>
          </cell>
        </row>
        <row r="48">
          <cell r="D48">
            <v>1770.8</v>
          </cell>
          <cell r="E48">
            <v>1884.4</v>
          </cell>
          <cell r="F48">
            <v>2155</v>
          </cell>
          <cell r="G48">
            <v>2249.6</v>
          </cell>
          <cell r="H48">
            <v>2343.1</v>
          </cell>
          <cell r="I48">
            <v>4.1562944523470868E-2</v>
          </cell>
        </row>
        <row r="49">
          <cell r="D49">
            <v>1678.5</v>
          </cell>
          <cell r="E49">
            <v>1778</v>
          </cell>
          <cell r="F49">
            <v>2097.1999999999998</v>
          </cell>
          <cell r="G49">
            <v>2189.9</v>
          </cell>
          <cell r="H49">
            <v>2288</v>
          </cell>
          <cell r="I49">
            <v>4.4796566053244335E-2</v>
          </cell>
        </row>
        <row r="50">
          <cell r="D50">
            <v>92.3</v>
          </cell>
          <cell r="E50">
            <v>106.4</v>
          </cell>
          <cell r="F50">
            <v>57.8</v>
          </cell>
          <cell r="G50">
            <v>59.7</v>
          </cell>
          <cell r="H50">
            <v>55.1</v>
          </cell>
          <cell r="I50">
            <v>-7.7051926298157492E-2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 t="str">
            <v>-</v>
          </cell>
        </row>
        <row r="53">
          <cell r="D53">
            <v>17783.900000000001</v>
          </cell>
          <cell r="E53">
            <v>18821.7</v>
          </cell>
          <cell r="F53">
            <v>19850.3</v>
          </cell>
          <cell r="G53">
            <v>20064</v>
          </cell>
          <cell r="H53">
            <v>20850.071013000001</v>
          </cell>
          <cell r="I53">
            <v>3.9178180472488E-2</v>
          </cell>
        </row>
        <row r="54">
          <cell r="D54">
            <v>12713.7</v>
          </cell>
          <cell r="E54">
            <v>13702.8</v>
          </cell>
          <cell r="F54">
            <v>14701.400000000001</v>
          </cell>
          <cell r="G54">
            <v>15139.4</v>
          </cell>
          <cell r="H54">
            <v>15634.689</v>
          </cell>
          <cell r="I54">
            <v>3.2715233100387042E-2</v>
          </cell>
        </row>
        <row r="55">
          <cell r="D55">
            <v>4429.8</v>
          </cell>
          <cell r="E55">
            <v>4517</v>
          </cell>
          <cell r="F55">
            <v>4511.1000000000004</v>
          </cell>
          <cell r="G55">
            <v>3826.3999999999996</v>
          </cell>
          <cell r="H55">
            <v>2972.4519609999998</v>
          </cell>
          <cell r="I55">
            <v>-0.22317270515366927</v>
          </cell>
        </row>
        <row r="56">
          <cell r="D56">
            <v>640.4</v>
          </cell>
          <cell r="E56">
            <v>601.9</v>
          </cell>
          <cell r="F56">
            <v>637.79999999999995</v>
          </cell>
          <cell r="G56">
            <v>1098.2</v>
          </cell>
          <cell r="H56">
            <v>2242.9300519999997</v>
          </cell>
          <cell r="I56">
            <v>1.0423693789837913</v>
          </cell>
        </row>
        <row r="59">
          <cell r="D59">
            <v>623.10000000000036</v>
          </cell>
          <cell r="E59">
            <v>-213.60000000000218</v>
          </cell>
          <cell r="F59">
            <v>-306.39999999999782</v>
          </cell>
          <cell r="G59">
            <v>-200.29999999999927</v>
          </cell>
          <cell r="H59">
            <v>98.828986999997142</v>
          </cell>
          <cell r="I59">
            <v>1.49340482775835</v>
          </cell>
        </row>
        <row r="60">
          <cell r="D60">
            <v>704.5</v>
          </cell>
          <cell r="E60">
            <v>335.5</v>
          </cell>
          <cell r="F60">
            <v>194.5</v>
          </cell>
          <cell r="G60">
            <v>332.70000000000073</v>
          </cell>
          <cell r="H60">
            <v>712.41100000000006</v>
          </cell>
          <cell r="I60">
            <v>1.1413014727983124</v>
          </cell>
        </row>
        <row r="61">
          <cell r="D61">
            <v>37.699999999999818</v>
          </cell>
          <cell r="E61">
            <v>-518.30000000000018</v>
          </cell>
          <cell r="F61">
            <v>-415.10000000000036</v>
          </cell>
          <cell r="G61">
            <v>-351.5</v>
          </cell>
          <cell r="H61">
            <v>-271.25196099999994</v>
          </cell>
          <cell r="I61">
            <v>0.22830167567567583</v>
          </cell>
        </row>
        <row r="62">
          <cell r="D62">
            <v>-119.10000000000002</v>
          </cell>
          <cell r="E62">
            <v>-30.799999999999955</v>
          </cell>
          <cell r="F62">
            <v>-85.799999999999955</v>
          </cell>
          <cell r="G62">
            <v>-181.5</v>
          </cell>
          <cell r="H62">
            <v>-342.3300519999998</v>
          </cell>
          <cell r="I62">
            <v>-0.88611598898071509</v>
          </cell>
        </row>
      </sheetData>
      <sheetData sheetId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8">
          <cell r="A8" t="str">
            <v>ZH</v>
          </cell>
          <cell r="B8">
            <v>1238525</v>
          </cell>
          <cell r="C8">
            <v>934</v>
          </cell>
          <cell r="D8">
            <v>1825</v>
          </cell>
          <cell r="E8">
            <v>2759</v>
          </cell>
          <cell r="F8">
            <v>2.2276498253971462</v>
          </cell>
          <cell r="G8">
            <v>1.6675090776193446E-2</v>
          </cell>
          <cell r="H8">
            <v>224</v>
          </cell>
          <cell r="I8">
            <v>1.8086029753133768</v>
          </cell>
          <cell r="J8">
            <v>-1.7558825574327752E-2</v>
          </cell>
        </row>
        <row r="9">
          <cell r="A9" t="str">
            <v>BE</v>
          </cell>
          <cell r="B9">
            <v>953310</v>
          </cell>
          <cell r="C9">
            <v>648</v>
          </cell>
          <cell r="D9">
            <v>1254</v>
          </cell>
          <cell r="E9">
            <v>1902</v>
          </cell>
          <cell r="F9">
            <v>1.9951537275387861</v>
          </cell>
          <cell r="G9">
            <v>3.4979311015437276E-3</v>
          </cell>
          <cell r="H9">
            <v>175</v>
          </cell>
          <cell r="I9">
            <v>1.8357092656113962</v>
          </cell>
          <cell r="J9">
            <v>8.6946527592970391E-3</v>
          </cell>
        </row>
        <row r="10">
          <cell r="A10" t="str">
            <v>LU</v>
          </cell>
          <cell r="B10">
            <v>348105</v>
          </cell>
          <cell r="C10">
            <v>205</v>
          </cell>
          <cell r="D10">
            <v>300</v>
          </cell>
          <cell r="E10">
            <v>505</v>
          </cell>
          <cell r="F10">
            <v>1.450711710547105</v>
          </cell>
          <cell r="G10">
            <v>2.5566969029741982E-2</v>
          </cell>
          <cell r="H10">
            <v>34</v>
          </cell>
          <cell r="I10">
            <v>0.97671679521983312</v>
          </cell>
          <cell r="J10">
            <v>-3.7272579907129733E-2</v>
          </cell>
        </row>
        <row r="11">
          <cell r="A11" t="str">
            <v>UR</v>
          </cell>
          <cell r="B11">
            <v>34160</v>
          </cell>
          <cell r="C11">
            <v>21</v>
          </cell>
          <cell r="D11">
            <v>23</v>
          </cell>
          <cell r="E11">
            <v>44</v>
          </cell>
          <cell r="F11">
            <v>1.2880562060889931</v>
          </cell>
          <cell r="G11">
            <v>-1.5152224824355853E-2</v>
          </cell>
          <cell r="H11">
            <v>2</v>
          </cell>
          <cell r="I11">
            <v>0.58548009367681497</v>
          </cell>
          <cell r="J11">
            <v>7.2306791569087814E-3</v>
          </cell>
        </row>
        <row r="12">
          <cell r="A12" t="str">
            <v>SZ</v>
          </cell>
          <cell r="B12">
            <v>130266</v>
          </cell>
          <cell r="C12">
            <v>74</v>
          </cell>
          <cell r="D12">
            <v>79</v>
          </cell>
          <cell r="E12">
            <v>153</v>
          </cell>
          <cell r="F12">
            <v>1.1745198286582839</v>
          </cell>
          <cell r="G12">
            <v>1.9197517263013886E-2</v>
          </cell>
          <cell r="H12">
            <v>11</v>
          </cell>
          <cell r="I12">
            <v>0.84442602060399485</v>
          </cell>
          <cell r="J12">
            <v>-1.4109591144274125E-2</v>
          </cell>
        </row>
        <row r="13">
          <cell r="A13" t="str">
            <v>OW</v>
          </cell>
          <cell r="B13">
            <v>32488</v>
          </cell>
          <cell r="C13">
            <v>20</v>
          </cell>
          <cell r="D13">
            <v>14</v>
          </cell>
          <cell r="E13">
            <v>34</v>
          </cell>
          <cell r="F13">
            <v>1.0465402610194534</v>
          </cell>
          <cell r="G13">
            <v>5.2067301772962482E-2</v>
          </cell>
          <cell r="H13">
            <v>2</v>
          </cell>
          <cell r="I13">
            <v>0.61561191824673733</v>
          </cell>
          <cell r="J13">
            <v>-9.8190100960352522E-3</v>
          </cell>
        </row>
        <row r="14">
          <cell r="A14" t="str">
            <v>NW</v>
          </cell>
          <cell r="B14">
            <v>37391</v>
          </cell>
          <cell r="C14">
            <v>17</v>
          </cell>
          <cell r="D14">
            <v>24</v>
          </cell>
          <cell r="E14">
            <v>41</v>
          </cell>
          <cell r="F14">
            <v>1.0965205530742692</v>
          </cell>
          <cell r="G14">
            <v>3.6605545417826457E-2</v>
          </cell>
          <cell r="H14">
            <v>2</v>
          </cell>
          <cell r="I14">
            <v>0.53488807467037525</v>
          </cell>
          <cell r="J14">
            <v>-1.3960578748896779E-2</v>
          </cell>
        </row>
        <row r="15">
          <cell r="A15" t="str">
            <v>GL</v>
          </cell>
          <cell r="B15">
            <v>38014</v>
          </cell>
          <cell r="C15">
            <v>27</v>
          </cell>
          <cell r="D15">
            <v>22</v>
          </cell>
          <cell r="E15">
            <v>49</v>
          </cell>
          <cell r="F15">
            <v>1.2889987899195032</v>
          </cell>
          <cell r="G15">
            <v>2.6016182634468032E-2</v>
          </cell>
          <cell r="H15">
            <v>3</v>
          </cell>
          <cell r="I15">
            <v>0.78918293260377748</v>
          </cell>
          <cell r="J15">
            <v>5.0770768664176735E-3</v>
          </cell>
        </row>
        <row r="16">
          <cell r="A16" t="str">
            <v>ZG</v>
          </cell>
          <cell r="B16">
            <v>100241</v>
          </cell>
          <cell r="C16">
            <v>56</v>
          </cell>
          <cell r="D16">
            <v>102</v>
          </cell>
          <cell r="E16">
            <v>158</v>
          </cell>
          <cell r="F16">
            <v>1.5762013547350884</v>
          </cell>
          <cell r="G16">
            <v>-4.7693953278121204E-2</v>
          </cell>
          <cell r="H16">
            <v>13</v>
          </cell>
          <cell r="I16">
            <v>1.2968745323769715</v>
          </cell>
          <cell r="J16">
            <v>-8.773213697845339E-2</v>
          </cell>
        </row>
        <row r="17">
          <cell r="A17" t="str">
            <v>FR</v>
          </cell>
          <cell r="B17">
            <v>239886</v>
          </cell>
          <cell r="C17">
            <v>120</v>
          </cell>
          <cell r="D17">
            <v>220</v>
          </cell>
          <cell r="E17">
            <v>340</v>
          </cell>
          <cell r="F17">
            <v>1.4173399031206488</v>
          </cell>
          <cell r="G17">
            <v>-5.6228385011480864E-3</v>
          </cell>
          <cell r="H17">
            <v>68</v>
          </cell>
          <cell r="I17">
            <v>2.8346798062412977</v>
          </cell>
          <cell r="J17">
            <v>-6.6390331703855776E-2</v>
          </cell>
        </row>
        <row r="18">
          <cell r="A18" t="str">
            <v>SO</v>
          </cell>
          <cell r="B18">
            <v>242848</v>
          </cell>
          <cell r="C18">
            <v>159</v>
          </cell>
          <cell r="D18">
            <v>220</v>
          </cell>
          <cell r="E18">
            <v>379</v>
          </cell>
          <cell r="F18">
            <v>1.5606469890631176</v>
          </cell>
          <cell r="G18">
            <v>2.1561557357199224E-2</v>
          </cell>
          <cell r="H18">
            <v>27</v>
          </cell>
          <cell r="I18">
            <v>1.1118065621293978</v>
          </cell>
          <cell r="J18">
            <v>-3.8315118922124136E-2</v>
          </cell>
        </row>
        <row r="19">
          <cell r="A19" t="str">
            <v>BS</v>
          </cell>
          <cell r="B19">
            <v>190117</v>
          </cell>
          <cell r="C19">
            <v>134</v>
          </cell>
          <cell r="D19">
            <v>545</v>
          </cell>
          <cell r="E19">
            <v>679</v>
          </cell>
          <cell r="F19">
            <v>3.5714849277024148</v>
          </cell>
          <cell r="G19">
            <v>2.5931400137808591E-3</v>
          </cell>
          <cell r="H19">
            <v>69</v>
          </cell>
          <cell r="I19">
            <v>3.629344035514972</v>
          </cell>
          <cell r="J19">
            <v>-1.1729619129273061E-2</v>
          </cell>
        </row>
        <row r="20">
          <cell r="A20" t="str">
            <v>BL</v>
          </cell>
          <cell r="B20">
            <v>258715</v>
          </cell>
          <cell r="C20">
            <v>163</v>
          </cell>
          <cell r="D20">
            <v>321</v>
          </cell>
          <cell r="E20">
            <v>484</v>
          </cell>
          <cell r="F20">
            <v>1.8707844539357981</v>
          </cell>
          <cell r="G20">
            <v>3.740302007307017E-3</v>
          </cell>
          <cell r="H20">
            <v>36</v>
          </cell>
          <cell r="I20">
            <v>1.3914925690431557</v>
          </cell>
          <cell r="J20">
            <v>-6.6289159886360194E-3</v>
          </cell>
        </row>
        <row r="21">
          <cell r="A21" t="str">
            <v>SH</v>
          </cell>
          <cell r="B21">
            <v>72840</v>
          </cell>
          <cell r="C21">
            <v>57</v>
          </cell>
          <cell r="D21">
            <v>77</v>
          </cell>
          <cell r="E21">
            <v>134</v>
          </cell>
          <cell r="F21">
            <v>1.8396485447556288</v>
          </cell>
          <cell r="G21">
            <v>-1.4543560422521584E-2</v>
          </cell>
          <cell r="H21">
            <v>13</v>
          </cell>
          <cell r="I21">
            <v>1.7847336628226251</v>
          </cell>
          <cell r="J21">
            <v>1.6474464579907533E-4</v>
          </cell>
        </row>
        <row r="22">
          <cell r="A22" t="str">
            <v>AR</v>
          </cell>
          <cell r="B22">
            <v>52945</v>
          </cell>
          <cell r="C22">
            <v>44</v>
          </cell>
          <cell r="D22">
            <v>37</v>
          </cell>
          <cell r="E22">
            <v>81</v>
          </cell>
          <cell r="F22">
            <v>1.5298895079799792</v>
          </cell>
          <cell r="G22">
            <v>4.1930305033524018E-3</v>
          </cell>
          <cell r="H22">
            <v>4</v>
          </cell>
          <cell r="I22">
            <v>0.75550099159505146</v>
          </cell>
          <cell r="J22">
            <v>-0.19664557559731799</v>
          </cell>
        </row>
        <row r="23">
          <cell r="A23" t="str">
            <v>AI</v>
          </cell>
          <cell r="B23">
            <v>14711</v>
          </cell>
          <cell r="C23">
            <v>8</v>
          </cell>
          <cell r="D23">
            <v>8</v>
          </cell>
          <cell r="E23">
            <v>16</v>
          </cell>
          <cell r="F23">
            <v>1.0876215077153151</v>
          </cell>
          <cell r="G23">
            <v>-3.2628645231459474E-3</v>
          </cell>
          <cell r="H23">
            <v>1</v>
          </cell>
          <cell r="I23">
            <v>0.67976344232207198</v>
          </cell>
          <cell r="J23">
            <v>-3.2628645231458364E-3</v>
          </cell>
        </row>
        <row r="24">
          <cell r="A24" t="str">
            <v>SG</v>
          </cell>
          <cell r="B24">
            <v>450927</v>
          </cell>
          <cell r="C24">
            <v>304</v>
          </cell>
          <cell r="D24">
            <v>399</v>
          </cell>
          <cell r="E24">
            <v>703</v>
          </cell>
          <cell r="F24">
            <v>1.5590106602620823</v>
          </cell>
          <cell r="G24">
            <v>1.4421950987683729E-2</v>
          </cell>
          <cell r="H24">
            <v>48</v>
          </cell>
          <cell r="I24">
            <v>1.0644738505345654</v>
          </cell>
          <cell r="J24">
            <v>-2.7483655777940985E-2</v>
          </cell>
        </row>
        <row r="25">
          <cell r="A25" t="str">
            <v>GR</v>
          </cell>
          <cell r="B25">
            <v>188259</v>
          </cell>
          <cell r="C25">
            <v>136</v>
          </cell>
          <cell r="D25">
            <v>172</v>
          </cell>
          <cell r="E25">
            <v>308</v>
          </cell>
          <cell r="F25">
            <v>1.6360439607136976</v>
          </cell>
          <cell r="G25">
            <v>-1.0493257484485263E-2</v>
          </cell>
          <cell r="H25">
            <v>37</v>
          </cell>
          <cell r="I25">
            <v>1.9653774852729486</v>
          </cell>
          <cell r="J25">
            <v>-8.5520479764578106E-4</v>
          </cell>
        </row>
        <row r="26">
          <cell r="A26" t="str">
            <v>AG</v>
          </cell>
          <cell r="B26">
            <v>546115</v>
          </cell>
          <cell r="C26">
            <v>282</v>
          </cell>
          <cell r="D26">
            <v>472</v>
          </cell>
          <cell r="E26">
            <v>754</v>
          </cell>
          <cell r="F26">
            <v>1.380661582267471</v>
          </cell>
          <cell r="G26">
            <v>-7.7504669833198259E-3</v>
          </cell>
          <cell r="H26">
            <v>109</v>
          </cell>
          <cell r="I26">
            <v>1.9959166109702169</v>
          </cell>
          <cell r="J26">
            <v>-1.2193029483343887E-3</v>
          </cell>
        </row>
        <row r="27">
          <cell r="A27" t="str">
            <v>TG</v>
          </cell>
          <cell r="B27">
            <v>227558</v>
          </cell>
          <cell r="C27">
            <v>147</v>
          </cell>
          <cell r="D27">
            <v>139</v>
          </cell>
          <cell r="E27">
            <v>286</v>
          </cell>
          <cell r="F27">
            <v>1.2568224364777332</v>
          </cell>
          <cell r="G27">
            <v>-2.2455813462940455E-3</v>
          </cell>
          <cell r="H27">
            <v>23</v>
          </cell>
          <cell r="I27">
            <v>1.0107313300345406</v>
          </cell>
          <cell r="J27">
            <v>-2.2455813462941565E-3</v>
          </cell>
        </row>
        <row r="28">
          <cell r="A28" t="str">
            <v>TI</v>
          </cell>
          <cell r="B28">
            <v>304936</v>
          </cell>
          <cell r="C28">
            <v>192</v>
          </cell>
          <cell r="D28">
            <v>401</v>
          </cell>
          <cell r="E28">
            <v>593</v>
          </cell>
          <cell r="F28">
            <v>1.9446703570585302</v>
          </cell>
          <cell r="G28">
            <v>5.0554520193999419E-2</v>
          </cell>
          <cell r="H28">
            <v>171</v>
          </cell>
          <cell r="I28">
            <v>5.6077340819057113</v>
          </cell>
          <cell r="J28">
            <v>5.6982029320984395E-3</v>
          </cell>
        </row>
        <row r="29">
          <cell r="A29" t="str">
            <v>VD</v>
          </cell>
          <cell r="B29">
            <v>633981</v>
          </cell>
          <cell r="C29">
            <v>494</v>
          </cell>
          <cell r="D29">
            <v>1019</v>
          </cell>
          <cell r="E29">
            <v>1513</v>
          </cell>
          <cell r="F29">
            <v>2.3865068511516907</v>
          </cell>
          <cell r="G29">
            <v>4.6362642034083468E-3</v>
          </cell>
          <cell r="H29">
            <v>237</v>
          </cell>
          <cell r="I29">
            <v>3.7382823775475922</v>
          </cell>
          <cell r="J29">
            <v>-8.6437921641184801E-3</v>
          </cell>
        </row>
        <row r="30">
          <cell r="A30" t="str">
            <v>VS</v>
          </cell>
          <cell r="B30">
            <v>274476</v>
          </cell>
          <cell r="C30">
            <v>179</v>
          </cell>
          <cell r="D30">
            <v>286</v>
          </cell>
          <cell r="E30">
            <v>465</v>
          </cell>
          <cell r="F30">
            <v>1.6941371923228261</v>
          </cell>
          <cell r="G30">
            <v>5.8671986940868059E-3</v>
          </cell>
          <cell r="H30">
            <v>105</v>
          </cell>
          <cell r="I30">
            <v>3.8254710794386391</v>
          </cell>
          <cell r="J30">
            <v>-1.6478603346287146E-2</v>
          </cell>
        </row>
        <row r="31">
          <cell r="A31" t="str">
            <v>NE</v>
          </cell>
          <cell r="B31">
            <v>166707</v>
          </cell>
          <cell r="C31">
            <v>128</v>
          </cell>
          <cell r="D31">
            <v>214</v>
          </cell>
          <cell r="E31">
            <v>342</v>
          </cell>
          <cell r="F31">
            <v>2.0515035361442533</v>
          </cell>
          <cell r="G31">
            <v>2.0174626722369249E-2</v>
          </cell>
          <cell r="H31">
            <v>54</v>
          </cell>
          <cell r="I31">
            <v>3.2392161097014522</v>
          </cell>
          <cell r="J31">
            <v>-3.6891072360488719E-3</v>
          </cell>
        </row>
        <row r="32">
          <cell r="A32" t="str">
            <v>GE</v>
          </cell>
          <cell r="B32">
            <v>415505</v>
          </cell>
          <cell r="C32">
            <v>285</v>
          </cell>
          <cell r="D32">
            <v>1071</v>
          </cell>
          <cell r="E32">
            <v>1356</v>
          </cell>
          <cell r="F32">
            <v>3.2634986341921279</v>
          </cell>
          <cell r="G32">
            <v>1.8251402989337695E-2</v>
          </cell>
          <cell r="H32">
            <v>168</v>
          </cell>
          <cell r="I32">
            <v>4.0432726441318394</v>
          </cell>
          <cell r="J32">
            <v>-2.1365332226721434E-2</v>
          </cell>
        </row>
        <row r="33">
          <cell r="A33" t="str">
            <v>JU</v>
          </cell>
          <cell r="B33">
            <v>67313</v>
          </cell>
          <cell r="C33">
            <v>41</v>
          </cell>
          <cell r="D33">
            <v>59</v>
          </cell>
          <cell r="E33">
            <v>100</v>
          </cell>
          <cell r="F33">
            <v>1.4855971357687221</v>
          </cell>
          <cell r="G33">
            <v>-2.2135397322954331E-3</v>
          </cell>
          <cell r="H33">
            <v>17</v>
          </cell>
          <cell r="I33">
            <v>2.5255151308068275</v>
          </cell>
          <cell r="J33">
            <v>-2.2135397322955441E-3</v>
          </cell>
        </row>
        <row r="34">
          <cell r="A34" t="str">
            <v>CH</v>
          </cell>
          <cell r="B34">
            <v>7260339</v>
          </cell>
          <cell r="C34">
            <v>4875</v>
          </cell>
          <cell r="D34">
            <v>9303</v>
          </cell>
          <cell r="E34">
            <v>14178</v>
          </cell>
          <cell r="F34">
            <v>1.952801377456342</v>
          </cell>
          <cell r="G34">
            <v>1.0249526210306614E-2</v>
          </cell>
          <cell r="H34">
            <v>1653</v>
          </cell>
          <cell r="I34">
            <v>2.2767531929294211</v>
          </cell>
          <cell r="J34">
            <v>-1.362924330154458E-2</v>
          </cell>
        </row>
      </sheetData>
      <sheetData sheetId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8">
          <cell r="A8">
            <v>1985</v>
          </cell>
          <cell r="B8">
            <v>6533300</v>
          </cell>
          <cell r="C8" t="str">
            <v>-</v>
          </cell>
          <cell r="D8">
            <v>9298</v>
          </cell>
          <cell r="E8">
            <v>1.4231705263802366</v>
          </cell>
          <cell r="F8" t="str">
            <v>-</v>
          </cell>
          <cell r="G8">
            <v>1381</v>
          </cell>
          <cell r="H8">
            <v>2.113786294828035</v>
          </cell>
          <cell r="I8" t="str">
            <v>-</v>
          </cell>
        </row>
        <row r="9">
          <cell r="A9">
            <v>1986</v>
          </cell>
          <cell r="B9">
            <v>6572900</v>
          </cell>
          <cell r="C9">
            <v>6.0612554145684418E-3</v>
          </cell>
          <cell r="D9">
            <v>9646</v>
          </cell>
          <cell r="E9">
            <v>1.4675409636537904</v>
          </cell>
          <cell r="F9">
            <v>3.1177175504335297E-2</v>
          </cell>
          <cell r="G9">
            <v>1418</v>
          </cell>
          <cell r="H9">
            <v>2.1573430297129121</v>
          </cell>
          <cell r="I9">
            <v>2.0606025780113502E-2</v>
          </cell>
        </row>
        <row r="10">
          <cell r="A10">
            <v>1987</v>
          </cell>
          <cell r="B10">
            <v>6619000</v>
          </cell>
          <cell r="C10">
            <v>7.0136469442711744E-3</v>
          </cell>
          <cell r="D10">
            <v>9945</v>
          </cell>
          <cell r="E10">
            <v>1.5024928236893791</v>
          </cell>
          <cell r="F10">
            <v>2.3816616299805249E-2</v>
          </cell>
          <cell r="G10">
            <v>1417</v>
          </cell>
          <cell r="H10">
            <v>2.1408067683940173</v>
          </cell>
          <cell r="I10">
            <v>-7.6651052202372227E-3</v>
          </cell>
        </row>
        <row r="11">
          <cell r="A11">
            <v>1988</v>
          </cell>
          <cell r="B11">
            <v>6671500</v>
          </cell>
          <cell r="C11">
            <v>7.9317117389333738E-3</v>
          </cell>
          <cell r="D11">
            <v>10240</v>
          </cell>
          <cell r="E11">
            <v>1.5348872067750881</v>
          </cell>
          <cell r="F11">
            <v>2.1560424499176278E-2</v>
          </cell>
          <cell r="G11">
            <v>1467</v>
          </cell>
          <cell r="H11">
            <v>2.1989057932998577</v>
          </cell>
          <cell r="I11">
            <v>2.7138845861097938E-2</v>
          </cell>
        </row>
        <row r="12">
          <cell r="A12">
            <v>1989</v>
          </cell>
          <cell r="B12">
            <v>6723000</v>
          </cell>
          <cell r="C12">
            <v>7.7194034325114291E-3</v>
          </cell>
          <cell r="D12">
            <v>10278</v>
          </cell>
          <cell r="E12">
            <v>1.5287817938420347</v>
          </cell>
          <cell r="F12">
            <v>-3.9777599983267242E-3</v>
          </cell>
          <cell r="G12">
            <v>1510</v>
          </cell>
          <cell r="H12">
            <v>2.2460211215231296</v>
          </cell>
          <cell r="I12">
            <v>2.1426715217556902E-2</v>
          </cell>
        </row>
        <row r="13">
          <cell r="A13">
            <v>1990</v>
          </cell>
          <cell r="B13">
            <v>6796300</v>
          </cell>
          <cell r="C13">
            <v>1.0902870742228172E-2</v>
          </cell>
          <cell r="D13">
            <v>10398</v>
          </cell>
          <cell r="E13">
            <v>1.5299501199181909</v>
          </cell>
          <cell r="F13">
            <v>7.6422029675016212E-4</v>
          </cell>
          <cell r="G13">
            <v>1536</v>
          </cell>
          <cell r="H13">
            <v>2.2600532642761499</v>
          </cell>
          <cell r="I13">
            <v>6.2475560085135662E-3</v>
          </cell>
        </row>
        <row r="14">
          <cell r="A14">
            <v>1991</v>
          </cell>
          <cell r="B14">
            <v>6880100</v>
          </cell>
          <cell r="C14">
            <v>1.2330238512131601E-2</v>
          </cell>
          <cell r="D14">
            <v>10781</v>
          </cell>
          <cell r="E14">
            <v>1.5669830380372378</v>
          </cell>
          <cell r="F14">
            <v>2.4205310772502209E-2</v>
          </cell>
          <cell r="G14">
            <v>1537</v>
          </cell>
          <cell r="H14">
            <v>2.2339791572796908</v>
          </cell>
          <cell r="I14">
            <v>-1.153694357942936E-2</v>
          </cell>
        </row>
        <row r="15">
          <cell r="A15">
            <v>1992</v>
          </cell>
          <cell r="B15">
            <v>6943100</v>
          </cell>
          <cell r="C15">
            <v>9.1568436505283356E-3</v>
          </cell>
          <cell r="D15">
            <v>11120</v>
          </cell>
          <cell r="E15">
            <v>1.6015900678371333</v>
          </cell>
          <cell r="F15">
            <v>2.2085133635679544E-2</v>
          </cell>
          <cell r="G15">
            <v>1562</v>
          </cell>
          <cell r="H15">
            <v>2.2497155449294985</v>
          </cell>
          <cell r="I15">
            <v>7.0441067449213968E-3</v>
          </cell>
        </row>
        <row r="16">
          <cell r="A16">
            <v>1993</v>
          </cell>
          <cell r="B16">
            <v>6988900</v>
          </cell>
          <cell r="C16">
            <v>6.5964770779622936E-3</v>
          </cell>
          <cell r="D16">
            <v>11563</v>
          </cell>
          <cell r="E16">
            <v>1.6544806765013091</v>
          </cell>
          <cell r="F16">
            <v>3.3023811602179709E-2</v>
          </cell>
          <cell r="G16">
            <v>1543</v>
          </cell>
          <cell r="H16">
            <v>2.2077866330896136</v>
          </cell>
          <cell r="I16">
            <v>-1.8637428155922175E-2</v>
          </cell>
        </row>
        <row r="17">
          <cell r="A17">
            <v>1994</v>
          </cell>
          <cell r="B17">
            <v>7036851.9999999898</v>
          </cell>
          <cell r="C17">
            <v>6.8611655625334111E-3</v>
          </cell>
          <cell r="D17">
            <v>11814</v>
          </cell>
          <cell r="E17">
            <v>1.6788757245427384</v>
          </cell>
          <cell r="F17">
            <v>1.4744837088709328E-2</v>
          </cell>
          <cell r="G17">
            <v>1614</v>
          </cell>
          <cell r="H17">
            <v>2.2936392580091245</v>
          </cell>
          <cell r="I17">
            <v>3.8886287122486651E-2</v>
          </cell>
        </row>
        <row r="18">
          <cell r="A18">
            <v>1995</v>
          </cell>
          <cell r="B18">
            <v>7080948</v>
          </cell>
          <cell r="C18">
            <v>6.2664384585621961E-3</v>
          </cell>
          <cell r="D18">
            <v>12327</v>
          </cell>
          <cell r="E18">
            <v>1.7408685955609333</v>
          </cell>
          <cell r="F18">
            <v>3.6925229254285208E-2</v>
          </cell>
          <cell r="G18">
            <v>1641</v>
          </cell>
          <cell r="H18">
            <v>2.3174863026815054</v>
          </cell>
          <cell r="I18">
            <v>1.0397033704890424E-2</v>
          </cell>
        </row>
        <row r="19">
          <cell r="A19">
            <v>1996</v>
          </cell>
          <cell r="B19">
            <v>7105446</v>
          </cell>
          <cell r="C19">
            <v>3.459706242723432E-3</v>
          </cell>
          <cell r="D19">
            <v>12711</v>
          </cell>
          <cell r="E19">
            <v>1.7889095209505499</v>
          </cell>
          <cell r="F19">
            <v>2.7595951533686547E-2</v>
          </cell>
          <cell r="G19">
            <v>1649</v>
          </cell>
          <cell r="H19">
            <v>2.3207550940503947</v>
          </cell>
          <cell r="I19">
            <v>1.4104900491136441E-3</v>
          </cell>
        </row>
        <row r="20">
          <cell r="A20">
            <v>1997</v>
          </cell>
          <cell r="B20">
            <v>7113565</v>
          </cell>
          <cell r="C20">
            <v>1.142644670017899E-3</v>
          </cell>
          <cell r="D20">
            <v>13038</v>
          </cell>
          <cell r="E20">
            <v>1.8328362782936545</v>
          </cell>
          <cell r="F20">
            <v>2.4555046987375651E-2</v>
          </cell>
          <cell r="G20">
            <v>1651</v>
          </cell>
          <cell r="H20">
            <v>2.3209178520193463</v>
          </cell>
          <cell r="I20">
            <v>7.0131471161527514E-5</v>
          </cell>
        </row>
        <row r="21">
          <cell r="A21">
            <v>1998</v>
          </cell>
          <cell r="B21">
            <v>7131888</v>
          </cell>
          <cell r="C21">
            <v>2.5757830286220764E-3</v>
          </cell>
          <cell r="D21">
            <v>13357</v>
          </cell>
          <cell r="E21">
            <v>1.8728561076674226</v>
          </cell>
          <cell r="F21">
            <v>2.1834917743458249E-2</v>
          </cell>
          <cell r="G21">
            <v>1653</v>
          </cell>
          <cell r="H21">
            <v>2.3177593366581193</v>
          </cell>
          <cell r="I21">
            <v>-1.3608906314710456E-3</v>
          </cell>
        </row>
        <row r="22">
          <cell r="A22">
            <v>1999</v>
          </cell>
          <cell r="B22">
            <v>7166738</v>
          </cell>
          <cell r="C22">
            <v>4.8865041066264644E-3</v>
          </cell>
          <cell r="D22">
            <v>13622</v>
          </cell>
          <cell r="E22">
            <v>1.9007252671996662</v>
          </cell>
          <cell r="F22">
            <v>1.4880566327625466E-2</v>
          </cell>
          <cell r="G22">
            <v>1654</v>
          </cell>
          <cell r="H22">
            <v>2.3078840052475758</v>
          </cell>
          <cell r="I22">
            <v>-5.6158156396747261E-3</v>
          </cell>
        </row>
        <row r="23">
          <cell r="A23">
            <v>2000</v>
          </cell>
          <cell r="B23">
            <v>7209042</v>
          </cell>
          <cell r="C23">
            <v>5.9028249672305588E-3</v>
          </cell>
          <cell r="D23">
            <v>13935</v>
          </cell>
          <cell r="E23">
            <v>1.9329891544535323</v>
          </cell>
          <cell r="F23">
            <v>1.6974513787255674E-2</v>
          </cell>
          <cell r="G23">
            <v>1664</v>
          </cell>
          <cell r="H23">
            <v>2.3082123810625603</v>
          </cell>
          <cell r="I23">
            <v>-4.1190452539927591E-3</v>
          </cell>
        </row>
        <row r="24">
          <cell r="A24">
            <v>2001</v>
          </cell>
          <cell r="B24">
            <v>7260339</v>
          </cell>
          <cell r="C24">
            <v>7.1156472663080617E-3</v>
          </cell>
          <cell r="D24">
            <v>14178</v>
          </cell>
          <cell r="E24">
            <v>1.952801377456342</v>
          </cell>
          <cell r="F24">
            <v>1.0249526210306614E-2</v>
          </cell>
          <cell r="G24">
            <v>1653</v>
          </cell>
          <cell r="H24">
            <v>2.2767531929294211</v>
          </cell>
          <cell r="I24">
            <v>-1.362924330154458E-2</v>
          </cell>
        </row>
      </sheetData>
      <sheetData sheetId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9">
          <cell r="A9">
            <v>1994</v>
          </cell>
          <cell r="B9">
            <v>0.64913634112053775</v>
          </cell>
          <cell r="C9">
            <v>0.35086365887946225</v>
          </cell>
          <cell r="D9">
            <v>2093477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-</v>
          </cell>
          <cell r="I9">
            <v>7131653</v>
          </cell>
        </row>
        <row r="10">
          <cell r="A10">
            <v>1995</v>
          </cell>
          <cell r="B10">
            <v>0.64902365167164511</v>
          </cell>
          <cell r="C10">
            <v>0.35097634832835489</v>
          </cell>
          <cell r="D10">
            <v>2141244</v>
          </cell>
          <cell r="E10" t="str">
            <v>-</v>
          </cell>
          <cell r="F10" t="str">
            <v>-</v>
          </cell>
          <cell r="G10" t="str">
            <v>-</v>
          </cell>
          <cell r="H10" t="str">
            <v>-</v>
          </cell>
          <cell r="I10">
            <v>7166317</v>
          </cell>
        </row>
        <row r="11">
          <cell r="A11">
            <v>1996</v>
          </cell>
          <cell r="B11">
            <v>0.65117543144448975</v>
          </cell>
          <cell r="C11">
            <v>0.34882456855551025</v>
          </cell>
          <cell r="D11">
            <v>2075238</v>
          </cell>
          <cell r="E11" t="str">
            <v>-</v>
          </cell>
          <cell r="F11" t="str">
            <v>-</v>
          </cell>
          <cell r="G11" t="str">
            <v>-</v>
          </cell>
          <cell r="H11" t="str">
            <v>-</v>
          </cell>
          <cell r="I11">
            <v>7194754</v>
          </cell>
        </row>
        <row r="12">
          <cell r="A12">
            <v>1997</v>
          </cell>
          <cell r="B12">
            <v>0.66382506296613342</v>
          </cell>
          <cell r="C12">
            <v>0.33617493703386658</v>
          </cell>
          <cell r="D12">
            <v>1860921</v>
          </cell>
          <cell r="E12" t="str">
            <v>-</v>
          </cell>
          <cell r="F12" t="str">
            <v>-</v>
          </cell>
          <cell r="G12" t="str">
            <v>-</v>
          </cell>
          <cell r="H12" t="str">
            <v>-</v>
          </cell>
          <cell r="I12">
            <v>7214805</v>
          </cell>
        </row>
        <row r="13">
          <cell r="A13">
            <v>1998</v>
          </cell>
          <cell r="B13">
            <v>0.67741416077473582</v>
          </cell>
          <cell r="C13">
            <v>0.32258583922526413</v>
          </cell>
          <cell r="D13">
            <v>1807274</v>
          </cell>
          <cell r="E13">
            <v>0.54046550517142622</v>
          </cell>
          <cell r="F13">
            <v>0.35042716661143747</v>
          </cell>
          <cell r="G13">
            <v>0.10910732821713626</v>
          </cell>
          <cell r="H13">
            <v>4556770</v>
          </cell>
          <cell r="I13">
            <v>7248603</v>
          </cell>
        </row>
        <row r="14">
          <cell r="A14">
            <v>1999</v>
          </cell>
          <cell r="B14">
            <v>0.67548669785650473</v>
          </cell>
          <cell r="C14">
            <v>0.32451330214349527</v>
          </cell>
          <cell r="D14">
            <v>1664431</v>
          </cell>
          <cell r="E14">
            <v>0.54530434231953784</v>
          </cell>
          <cell r="F14">
            <v>0.34677734049080544</v>
          </cell>
          <cell r="G14">
            <v>0.10791831718965675</v>
          </cell>
          <cell r="H14">
            <v>4674276</v>
          </cell>
          <cell r="I14">
            <v>7266534</v>
          </cell>
        </row>
        <row r="15">
          <cell r="A15">
            <v>2000</v>
          </cell>
          <cell r="B15">
            <v>0.6646714053195919</v>
          </cell>
          <cell r="C15">
            <v>0.3353285946804081</v>
          </cell>
          <cell r="D15">
            <v>1347359</v>
          </cell>
          <cell r="E15">
            <v>0.56672686731705502</v>
          </cell>
          <cell r="F15">
            <v>0.32513331696887549</v>
          </cell>
          <cell r="G15">
            <v>0.10813981571406944</v>
          </cell>
          <cell r="H15">
            <v>5059746</v>
          </cell>
          <cell r="I15">
            <v>7268111</v>
          </cell>
        </row>
        <row r="16">
          <cell r="A16">
            <v>2001</v>
          </cell>
          <cell r="B16">
            <v>0.6589354522662223</v>
          </cell>
          <cell r="C16">
            <v>0.3410645477337777</v>
          </cell>
          <cell r="D16">
            <v>1323811</v>
          </cell>
          <cell r="E16">
            <v>0.58139958698863159</v>
          </cell>
          <cell r="F16">
            <v>0.3178747735837848</v>
          </cell>
          <cell r="G16">
            <v>0.10072563942758356</v>
          </cell>
          <cell r="H16">
            <v>4965965</v>
          </cell>
          <cell r="I16">
            <v>7321287</v>
          </cell>
        </row>
      </sheetData>
      <sheetData sheetId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5">
          <cell r="A5">
            <v>1985</v>
          </cell>
          <cell r="B5">
            <v>79.803910497972154</v>
          </cell>
          <cell r="C5">
            <v>82.124675257010722</v>
          </cell>
          <cell r="D5">
            <v>74.899486171378285</v>
          </cell>
          <cell r="E5">
            <v>56.90324828666278</v>
          </cell>
          <cell r="F5" t="str">
            <v>-</v>
          </cell>
          <cell r="G5" t="str">
            <v>-</v>
          </cell>
          <cell r="H5">
            <v>71.772783316367835</v>
          </cell>
          <cell r="I5">
            <v>75.634286419536451</v>
          </cell>
        </row>
        <row r="6">
          <cell r="A6">
            <v>1986</v>
          </cell>
          <cell r="B6">
            <v>81.691551843864474</v>
          </cell>
          <cell r="C6">
            <v>85.120541992530136</v>
          </cell>
          <cell r="D6">
            <v>74.899486171378285</v>
          </cell>
          <cell r="E6">
            <v>58.569147999386438</v>
          </cell>
          <cell r="F6" t="str">
            <v>-</v>
          </cell>
          <cell r="G6" t="str">
            <v>-</v>
          </cell>
          <cell r="H6">
            <v>73.366960831407027</v>
          </cell>
          <cell r="I6">
            <v>76.201754702737617</v>
          </cell>
        </row>
        <row r="7">
          <cell r="A7">
            <v>1987</v>
          </cell>
          <cell r="B7">
            <v>83.577898301573143</v>
          </cell>
          <cell r="C7">
            <v>86.935850575577163</v>
          </cell>
          <cell r="D7">
            <v>76.3202015779178</v>
          </cell>
          <cell r="E7">
            <v>61.452434923213964</v>
          </cell>
          <cell r="F7" t="str">
            <v>-</v>
          </cell>
          <cell r="G7" t="str">
            <v>-</v>
          </cell>
          <cell r="H7">
            <v>75.359309889172337</v>
          </cell>
          <cell r="I7">
            <v>77.299277766856065</v>
          </cell>
        </row>
        <row r="8">
          <cell r="A8">
            <v>1988</v>
          </cell>
          <cell r="B8">
            <v>84.877089374469264</v>
          </cell>
          <cell r="C8">
            <v>87.366496649732213</v>
          </cell>
          <cell r="D8">
            <v>80.582347797536443</v>
          </cell>
          <cell r="E8">
            <v>65.450334524479089</v>
          </cell>
          <cell r="F8" t="str">
            <v>-</v>
          </cell>
          <cell r="G8" t="str">
            <v>-</v>
          </cell>
          <cell r="H8">
            <v>78.036645446804982</v>
          </cell>
          <cell r="I8">
            <v>78.746700247173862</v>
          </cell>
        </row>
        <row r="9">
          <cell r="A9">
            <v>1989</v>
          </cell>
          <cell r="B9">
            <v>86.408684726576709</v>
          </cell>
          <cell r="C9">
            <v>89.695746859504723</v>
          </cell>
          <cell r="D9">
            <v>80.582347797536443</v>
          </cell>
          <cell r="E9">
            <v>67.535096596969893</v>
          </cell>
          <cell r="F9" t="str">
            <v>-</v>
          </cell>
          <cell r="G9" t="str">
            <v>-</v>
          </cell>
          <cell r="H9">
            <v>79.508038518297582</v>
          </cell>
          <cell r="I9">
            <v>81.23138428320911</v>
          </cell>
        </row>
        <row r="10">
          <cell r="A10">
            <v>1990</v>
          </cell>
          <cell r="B10">
            <v>88.197810014327416</v>
          </cell>
          <cell r="C10">
            <v>91.567098424804811</v>
          </cell>
          <cell r="D10">
            <v>85.009815587951692</v>
          </cell>
          <cell r="E10">
            <v>71.770089120859765</v>
          </cell>
          <cell r="F10" t="str">
            <v>-</v>
          </cell>
          <cell r="G10" t="str">
            <v>-</v>
          </cell>
          <cell r="H10">
            <v>82.806579602227302</v>
          </cell>
          <cell r="I10">
            <v>85.621088701027531</v>
          </cell>
        </row>
        <row r="11">
          <cell r="A11">
            <v>1991</v>
          </cell>
          <cell r="B11">
            <v>91.720581467528135</v>
          </cell>
          <cell r="C11">
            <v>95.108243461336954</v>
          </cell>
          <cell r="D11">
            <v>90.067588166216254</v>
          </cell>
          <cell r="E11">
            <v>79.548976975420402</v>
          </cell>
          <cell r="F11" t="str">
            <v>-</v>
          </cell>
          <cell r="G11" t="str">
            <v>-</v>
          </cell>
          <cell r="H11">
            <v>87.989624753538052</v>
          </cell>
          <cell r="I11">
            <v>90.638135071792831</v>
          </cell>
        </row>
        <row r="12">
          <cell r="A12">
            <v>1992</v>
          </cell>
          <cell r="B12">
            <v>94.315649986415721</v>
          </cell>
          <cell r="C12">
            <v>99.587270200873206</v>
          </cell>
          <cell r="D12">
            <v>93.702489498759562</v>
          </cell>
          <cell r="E12">
            <v>87.550051522532087</v>
          </cell>
          <cell r="F12" t="str">
            <v>-</v>
          </cell>
          <cell r="G12" t="str">
            <v>-</v>
          </cell>
          <cell r="H12">
            <v>93.035240808724708</v>
          </cell>
          <cell r="I12">
            <v>94.297203174795513</v>
          </cell>
        </row>
        <row r="13">
          <cell r="A13">
            <v>1993</v>
          </cell>
          <cell r="B13">
            <v>96.154415335465316</v>
          </cell>
          <cell r="C13">
            <v>99.673288489423555</v>
          </cell>
          <cell r="D13">
            <v>97.857139317890727</v>
          </cell>
          <cell r="E13">
            <v>93.956078292606335</v>
          </cell>
          <cell r="F13">
            <v>98.042770446197054</v>
          </cell>
          <cell r="G13">
            <v>100</v>
          </cell>
          <cell r="H13">
            <v>96.308637136896735</v>
          </cell>
          <cell r="I13">
            <v>97.402032602062121</v>
          </cell>
        </row>
        <row r="14">
          <cell r="A14">
            <v>1994</v>
          </cell>
          <cell r="B14">
            <v>97.461697448812885</v>
          </cell>
          <cell r="C14">
            <v>99.685414748741465</v>
          </cell>
          <cell r="D14">
            <v>99.253471140137265</v>
          </cell>
          <cell r="E14">
            <v>97.373554724666249</v>
          </cell>
          <cell r="F14">
            <v>99.406750257998937</v>
          </cell>
          <cell r="G14">
            <v>100</v>
          </cell>
          <cell r="H14">
            <v>98.219473832979858</v>
          </cell>
          <cell r="I14">
            <v>98.23199008718872</v>
          </cell>
        </row>
        <row r="15">
          <cell r="A15">
            <v>1995</v>
          </cell>
          <cell r="B15">
            <v>100</v>
          </cell>
          <cell r="C15">
            <v>100</v>
          </cell>
          <cell r="D15">
            <v>100</v>
          </cell>
          <cell r="E15">
            <v>100</v>
          </cell>
          <cell r="F15">
            <v>100</v>
          </cell>
          <cell r="G15">
            <v>100</v>
          </cell>
          <cell r="H15">
            <v>100</v>
          </cell>
          <cell r="I15">
            <v>100</v>
          </cell>
        </row>
        <row r="16">
          <cell r="A16">
            <v>1996</v>
          </cell>
          <cell r="B16">
            <v>100.3317648296466</v>
          </cell>
          <cell r="C16">
            <v>100.5085129617779</v>
          </cell>
          <cell r="D16">
            <v>100.6394757972715</v>
          </cell>
          <cell r="E16">
            <v>103.41952344611119</v>
          </cell>
          <cell r="F16">
            <v>100.15009280076963</v>
          </cell>
          <cell r="G16">
            <v>99.950338889746504</v>
          </cell>
          <cell r="H16">
            <v>101.88374972470828</v>
          </cell>
          <cell r="I16">
            <v>100.81166011923193</v>
          </cell>
        </row>
        <row r="17">
          <cell r="A17">
            <v>1997</v>
          </cell>
          <cell r="B17">
            <v>99.934201986149347</v>
          </cell>
          <cell r="C17">
            <v>100.89052794606968</v>
          </cell>
          <cell r="D17">
            <v>101.19106637628903</v>
          </cell>
          <cell r="E17">
            <v>104.89625020391236</v>
          </cell>
          <cell r="F17">
            <v>99.408031628158213</v>
          </cell>
          <cell r="G17">
            <v>99.572346480177814</v>
          </cell>
          <cell r="H17">
            <v>102.65904058016756</v>
          </cell>
          <cell r="I17">
            <v>101.33608693032861</v>
          </cell>
        </row>
        <row r="18">
          <cell r="A18">
            <v>1998</v>
          </cell>
          <cell r="B18">
            <v>97.248813005760397</v>
          </cell>
          <cell r="C18">
            <v>100.84512380255291</v>
          </cell>
          <cell r="D18">
            <v>101.91798405391825</v>
          </cell>
          <cell r="E18">
            <v>106.51816165874149</v>
          </cell>
          <cell r="F18">
            <v>98.600349518352687</v>
          </cell>
          <cell r="G18">
            <v>100.39777432787591</v>
          </cell>
          <cell r="H18">
            <v>103.15542407064117</v>
          </cell>
          <cell r="I18">
            <v>101.35426363530824</v>
          </cell>
        </row>
        <row r="19">
          <cell r="A19">
            <v>1999</v>
          </cell>
          <cell r="B19">
            <v>96.162651146024274</v>
          </cell>
          <cell r="C19">
            <v>100.84207332983468</v>
          </cell>
          <cell r="D19">
            <v>102.52590462445758</v>
          </cell>
          <cell r="E19">
            <v>107.70441081029026</v>
          </cell>
          <cell r="F19">
            <v>98.824884997028221</v>
          </cell>
          <cell r="G19">
            <v>98.048653324672969</v>
          </cell>
          <cell r="H19">
            <v>103.58917110746175</v>
          </cell>
          <cell r="I19">
            <v>102.17165514800229</v>
          </cell>
        </row>
        <row r="20">
          <cell r="A20">
            <v>2000</v>
          </cell>
          <cell r="B20">
            <v>96.574111919839808</v>
          </cell>
          <cell r="C20">
            <v>100.84207332983468</v>
          </cell>
          <cell r="D20">
            <v>104.23249473797034</v>
          </cell>
          <cell r="E20">
            <v>108.30103875592766</v>
          </cell>
          <cell r="F20">
            <v>98.511245008816815</v>
          </cell>
          <cell r="G20">
            <v>97.025382021610099</v>
          </cell>
          <cell r="H20">
            <v>104.08545055067016</v>
          </cell>
          <cell r="I20">
            <v>103.76399138722388</v>
          </cell>
        </row>
        <row r="21">
          <cell r="A21">
            <v>2001</v>
          </cell>
          <cell r="B21">
            <v>95.934903638603615</v>
          </cell>
          <cell r="C21">
            <v>100.90207436346591</v>
          </cell>
          <cell r="D21">
            <v>106.34455647564107</v>
          </cell>
          <cell r="E21">
            <v>109.09012209311607</v>
          </cell>
          <cell r="F21">
            <v>99.881621110671944</v>
          </cell>
          <cell r="G21">
            <v>97.909281821703502</v>
          </cell>
          <cell r="H21">
            <v>104.66145621084139</v>
          </cell>
          <cell r="I21">
            <v>104.7902814183139</v>
          </cell>
        </row>
      </sheetData>
      <sheetData sheetId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5">
          <cell r="A5">
            <v>1986</v>
          </cell>
          <cell r="B5">
            <v>2.3653494347752435E-2</v>
          </cell>
          <cell r="C5">
            <v>3.647949567098796E-2</v>
          </cell>
          <cell r="D5">
            <v>0</v>
          </cell>
          <cell r="E5">
            <v>2.9276003793866412E-2</v>
          </cell>
          <cell r="F5" t="str">
            <v>-</v>
          </cell>
          <cell r="G5" t="str">
            <v>-</v>
          </cell>
          <cell r="H5">
            <v>2.2211448983554094E-2</v>
          </cell>
          <cell r="I5">
            <v>7.502791525703989E-3</v>
          </cell>
        </row>
        <row r="6">
          <cell r="A6">
            <v>1987</v>
          </cell>
          <cell r="B6">
            <v>2.3091083657144962E-2</v>
          </cell>
          <cell r="C6">
            <v>2.1326327823503854E-2</v>
          </cell>
          <cell r="D6">
            <v>1.896829309734871E-2</v>
          </cell>
          <cell r="E6">
            <v>4.9228766719600081E-2</v>
          </cell>
          <cell r="F6" t="str">
            <v>-</v>
          </cell>
          <cell r="G6" t="str">
            <v>-</v>
          </cell>
          <cell r="H6">
            <v>2.7155943699829876E-2</v>
          </cell>
          <cell r="I6">
            <v>1.440285815464315E-2</v>
          </cell>
        </row>
        <row r="7">
          <cell r="A7">
            <v>1988</v>
          </cell>
          <cell r="B7">
            <v>1.5544672686171879E-2</v>
          </cell>
          <cell r="C7">
            <v>4.9536074163174515E-3</v>
          </cell>
          <cell r="D7">
            <v>5.5845583888654682E-2</v>
          </cell>
          <cell r="E7">
            <v>6.5056813554427606E-2</v>
          </cell>
          <cell r="F7" t="str">
            <v>-</v>
          </cell>
          <cell r="G7" t="str">
            <v>-</v>
          </cell>
          <cell r="H7">
            <v>3.5527601852645585E-2</v>
          </cell>
          <cell r="I7">
            <v>1.8724915964718258E-2</v>
          </cell>
        </row>
        <row r="8">
          <cell r="A8">
            <v>1989</v>
          </cell>
          <cell r="B8">
            <v>1.8044861851355343E-2</v>
          </cell>
          <cell r="C8">
            <v>2.66606799985456E-2</v>
          </cell>
          <cell r="D8">
            <v>0</v>
          </cell>
          <cell r="E8">
            <v>3.1852580855963097E-2</v>
          </cell>
          <cell r="F8" t="str">
            <v>-</v>
          </cell>
          <cell r="G8" t="str">
            <v>-</v>
          </cell>
          <cell r="H8">
            <v>1.8855155332062612E-2</v>
          </cell>
          <cell r="I8">
            <v>3.1552865431011101E-2</v>
          </cell>
        </row>
        <row r="9">
          <cell r="A9">
            <v>1990</v>
          </cell>
          <cell r="B9">
            <v>2.0705387350959503E-2</v>
          </cell>
          <cell r="C9">
            <v>2.086332552903869E-2</v>
          </cell>
          <cell r="D9">
            <v>5.4943395314557941E-2</v>
          </cell>
          <cell r="E9">
            <v>6.2708024972009557E-2</v>
          </cell>
          <cell r="F9" t="str">
            <v>-</v>
          </cell>
          <cell r="G9" t="str">
            <v>-</v>
          </cell>
          <cell r="H9">
            <v>4.1486887934867323E-2</v>
          </cell>
          <cell r="I9">
            <v>5.4039512641000265E-2</v>
          </cell>
        </row>
        <row r="10">
          <cell r="A10">
            <v>1991</v>
          </cell>
          <cell r="B10">
            <v>3.9941711167527316E-2</v>
          </cell>
          <cell r="C10">
            <v>3.8672679351526407E-2</v>
          </cell>
          <cell r="D10">
            <v>5.949633631461948E-2</v>
          </cell>
          <cell r="E10">
            <v>0.10838620865387405</v>
          </cell>
          <cell r="F10" t="str">
            <v>-</v>
          </cell>
          <cell r="G10" t="str">
            <v>-</v>
          </cell>
          <cell r="H10">
            <v>6.2592189850229518E-2</v>
          </cell>
          <cell r="I10">
            <v>5.8595918912966338E-2</v>
          </cell>
        </row>
        <row r="11">
          <cell r="A11">
            <v>1992</v>
          </cell>
          <cell r="B11">
            <v>2.8293197419450689E-2</v>
          </cell>
          <cell r="C11">
            <v>4.7093990768077409E-2</v>
          </cell>
          <cell r="D11">
            <v>4.0357484934927301E-2</v>
          </cell>
          <cell r="E11">
            <v>0.10058048326107216</v>
          </cell>
          <cell r="F11" t="str">
            <v>-</v>
          </cell>
          <cell r="G11" t="str">
            <v>-</v>
          </cell>
          <cell r="H11">
            <v>5.734330688782463E-2</v>
          </cell>
          <cell r="I11">
            <v>4.0370072708406868E-2</v>
          </cell>
        </row>
        <row r="12">
          <cell r="A12">
            <v>1993</v>
          </cell>
          <cell r="B12">
            <v>1.9495866797444972E-2</v>
          </cell>
          <cell r="C12">
            <v>8.6374783018805523E-4</v>
          </cell>
          <cell r="D12">
            <v>4.4338734662819901E-2</v>
          </cell>
          <cell r="E12">
            <v>7.3169880070551141E-2</v>
          </cell>
          <cell r="F12" t="str">
            <v>-</v>
          </cell>
          <cell r="G12" t="str">
            <v>-</v>
          </cell>
          <cell r="H12">
            <v>3.5184477405738601E-2</v>
          </cell>
          <cell r="I12">
            <v>3.2925996983296457E-2</v>
          </cell>
        </row>
        <row r="13">
          <cell r="A13">
            <v>1994</v>
          </cell>
          <cell r="B13">
            <v>1.3595653499495652E-2</v>
          </cell>
          <cell r="C13">
            <v>1.2166007063352247E-4</v>
          </cell>
          <cell r="D13">
            <v>1.4269084831005863E-2</v>
          </cell>
          <cell r="E13">
            <v>3.637312768011558E-2</v>
          </cell>
          <cell r="F13">
            <v>1.3912089648164372E-2</v>
          </cell>
          <cell r="G13">
            <v>0</v>
          </cell>
          <cell r="H13">
            <v>1.9840761461165535E-2</v>
          </cell>
          <cell r="I13">
            <v>8.5209462570190464E-3</v>
          </cell>
        </row>
        <row r="14">
          <cell r="A14">
            <v>1995</v>
          </cell>
          <cell r="B14">
            <v>2.6044103659493834E-2</v>
          </cell>
          <cell r="C14">
            <v>3.1557801314410217E-3</v>
          </cell>
          <cell r="D14">
            <v>7.5214383062602863E-3</v>
          </cell>
          <cell r="E14">
            <v>2.6972880704214663E-2</v>
          </cell>
          <cell r="F14">
            <v>5.9679019831284652E-3</v>
          </cell>
          <cell r="G14">
            <v>0</v>
          </cell>
          <cell r="H14">
            <v>1.8128036096465738E-2</v>
          </cell>
          <cell r="I14">
            <v>1.79983110516444E-2</v>
          </cell>
        </row>
        <row r="15">
          <cell r="A15">
            <v>1996</v>
          </cell>
          <cell r="B15">
            <v>3.3176482964660803E-3</v>
          </cell>
          <cell r="C15">
            <v>5.0851296177789607E-3</v>
          </cell>
          <cell r="D15">
            <v>6.3947579727150483E-3</v>
          </cell>
          <cell r="E15">
            <v>3.4195234461111834E-2</v>
          </cell>
          <cell r="F15">
            <v>1.5009280076963005E-3</v>
          </cell>
          <cell r="G15">
            <v>-4.9661110253496066E-4</v>
          </cell>
          <cell r="H15">
            <v>1.8837497247082835E-2</v>
          </cell>
          <cell r="I15">
            <v>8.1166011923192727E-3</v>
          </cell>
        </row>
        <row r="16">
          <cell r="A16">
            <v>1997</v>
          </cell>
          <cell r="B16">
            <v>-3.9624823122794695E-3</v>
          </cell>
          <cell r="C16">
            <v>3.8008221695315925E-3</v>
          </cell>
          <cell r="D16">
            <v>5.4808570359472508E-3</v>
          </cell>
          <cell r="E16">
            <v>1.4278994029310654E-2</v>
          </cell>
          <cell r="F16">
            <v>-7.4094906141286554E-3</v>
          </cell>
          <cell r="G16">
            <v>-3.7818021806373947E-3</v>
          </cell>
          <cell r="H16">
            <v>7.6095634245316734E-3</v>
          </cell>
          <cell r="I16">
            <v>5.2020451848171501E-3</v>
          </cell>
        </row>
        <row r="17">
          <cell r="A17">
            <v>1998</v>
          </cell>
          <cell r="B17">
            <v>-2.6871570763742469E-2</v>
          </cell>
          <cell r="C17">
            <v>-4.5003375877905594E-4</v>
          </cell>
          <cell r="D17">
            <v>7.1836151516191382E-3</v>
          </cell>
          <cell r="E17">
            <v>1.5462053711893686E-2</v>
          </cell>
          <cell r="F17">
            <v>-8.1249180431085533E-3</v>
          </cell>
          <cell r="G17">
            <v>8.2897297982469365E-3</v>
          </cell>
          <cell r="H17">
            <v>4.8352632916532912E-3</v>
          </cell>
          <cell r="I17">
            <v>1.7937050393634912E-4</v>
          </cell>
        </row>
        <row r="18">
          <cell r="A18">
            <v>1999</v>
          </cell>
          <cell r="B18">
            <v>-1.1168895806181078E-2</v>
          </cell>
          <cell r="C18">
            <v>-3.0249084965183748E-5</v>
          </cell>
          <cell r="D18">
            <v>5.9648017588114222E-3</v>
          </cell>
          <cell r="E18">
            <v>1.1136590540768321E-2</v>
          </cell>
          <cell r="F18">
            <v>2.2772280197012051E-3</v>
          </cell>
          <cell r="G18">
            <v>-2.3398138244890343E-2</v>
          </cell>
          <cell r="H18">
            <v>4.2047913692211392E-3</v>
          </cell>
          <cell r="I18">
            <v>8.06469785657149E-3</v>
          </cell>
        </row>
        <row r="19">
          <cell r="A19">
            <v>2000</v>
          </cell>
          <cell r="B19">
            <v>4.2788002297349248E-3</v>
          </cell>
          <cell r="C19">
            <v>0</v>
          </cell>
          <cell r="D19">
            <v>1.6645452871289823E-2</v>
          </cell>
          <cell r="E19">
            <v>5.5394940759512235E-3</v>
          </cell>
          <cell r="F19">
            <v>-3.1736944416462798E-3</v>
          </cell>
          <cell r="G19">
            <v>-1.0436362646149444E-2</v>
          </cell>
          <cell r="H19">
            <v>4.7908428835055084E-3</v>
          </cell>
          <cell r="I19">
            <v>1.5584911851677319E-2</v>
          </cell>
        </row>
        <row r="20">
          <cell r="A20">
            <v>2001</v>
          </cell>
          <cell r="B20">
            <v>-6.618836751683066E-3</v>
          </cell>
          <cell r="C20">
            <v>5.9499999999990116E-4</v>
          </cell>
          <cell r="D20">
            <v>2.0262987497135398E-2</v>
          </cell>
          <cell r="E20">
            <v>7.2860181790750378E-3</v>
          </cell>
          <cell r="F20">
            <v>1.3910859635694273E-2</v>
          </cell>
          <cell r="G20">
            <v>9.1099852603160336E-3</v>
          </cell>
          <cell r="H20">
            <v>5.5339690333648939E-3</v>
          </cell>
          <cell r="I20">
            <v>9.8906182903097939E-3</v>
          </cell>
        </row>
      </sheetData>
      <sheetData sheetId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8">
          <cell r="A8">
            <v>1985</v>
          </cell>
          <cell r="B8">
            <v>52.722501221738085</v>
          </cell>
          <cell r="C8" t="str">
            <v>–</v>
          </cell>
          <cell r="D8">
            <v>70.111287758346592</v>
          </cell>
          <cell r="E8" t="str">
            <v>–</v>
          </cell>
          <cell r="F8">
            <v>75.634286419536451</v>
          </cell>
          <cell r="G8" t="str">
            <v>–</v>
          </cell>
        </row>
        <row r="9">
          <cell r="A9">
            <v>1986</v>
          </cell>
          <cell r="B9">
            <v>56.277117350074633</v>
          </cell>
          <cell r="C9">
            <v>6.7421234690415943E-2</v>
          </cell>
          <cell r="D9">
            <v>72.602013778484363</v>
          </cell>
          <cell r="E9">
            <v>3.5525321239606722E-2</v>
          </cell>
          <cell r="F9">
            <v>76.201754702737617</v>
          </cell>
          <cell r="G9">
            <v>7.502791525703989E-3</v>
          </cell>
        </row>
        <row r="10">
          <cell r="A10">
            <v>1987</v>
          </cell>
          <cell r="B10">
            <v>60.581640475871247</v>
          </cell>
          <cell r="C10">
            <v>7.6487981767440427E-2</v>
          </cell>
          <cell r="D10">
            <v>74.350821409644936</v>
          </cell>
          <cell r="E10">
            <v>2.4087591240876005E-2</v>
          </cell>
          <cell r="F10">
            <v>77.299277766856065</v>
          </cell>
          <cell r="G10">
            <v>1.440285815464315E-2</v>
          </cell>
        </row>
        <row r="11">
          <cell r="A11">
            <v>1988</v>
          </cell>
          <cell r="B11">
            <v>63.374524308683064</v>
          </cell>
          <cell r="C11">
            <v>4.6101158880373694E-2</v>
          </cell>
          <cell r="D11">
            <v>76.947535771065176</v>
          </cell>
          <cell r="E11">
            <v>3.4925160370634201E-2</v>
          </cell>
          <cell r="F11">
            <v>78.746700247173862</v>
          </cell>
          <cell r="G11">
            <v>1.8724915964718258E-2</v>
          </cell>
        </row>
        <row r="12">
          <cell r="A12">
            <v>1989</v>
          </cell>
          <cell r="B12">
            <v>67.01613848038383</v>
          </cell>
          <cell r="C12">
            <v>5.7461798907764372E-2</v>
          </cell>
          <cell r="D12">
            <v>79.862215156332809</v>
          </cell>
          <cell r="E12">
            <v>3.7878787878788067E-2</v>
          </cell>
          <cell r="F12">
            <v>81.23138428320911</v>
          </cell>
          <cell r="G12">
            <v>3.1552865431011101E-2</v>
          </cell>
        </row>
        <row r="13">
          <cell r="A13">
            <v>1990</v>
          </cell>
          <cell r="B13">
            <v>70.540790625872404</v>
          </cell>
          <cell r="C13">
            <v>5.2594079954640494E-2</v>
          </cell>
          <cell r="D13">
            <v>84.525702172761001</v>
          </cell>
          <cell r="E13">
            <v>5.8394160583941535E-2</v>
          </cell>
          <cell r="F13">
            <v>85.621088701027531</v>
          </cell>
          <cell r="G13">
            <v>5.4039512641000265E-2</v>
          </cell>
        </row>
        <row r="14">
          <cell r="A14">
            <v>1991</v>
          </cell>
          <cell r="B14">
            <v>77.968747743032324</v>
          </cell>
          <cell r="C14">
            <v>0.10530016818999965</v>
          </cell>
          <cell r="D14">
            <v>90.408055113937465</v>
          </cell>
          <cell r="E14">
            <v>6.959247648902811E-2</v>
          </cell>
          <cell r="F14">
            <v>90.638135071792831</v>
          </cell>
          <cell r="G14">
            <v>5.8595918912966338E-2</v>
          </cell>
        </row>
        <row r="15">
          <cell r="A15">
            <v>1992</v>
          </cell>
          <cell r="B15">
            <v>84.878316515713948</v>
          </cell>
          <cell r="C15">
            <v>8.861972229506665E-2</v>
          </cell>
          <cell r="D15">
            <v>94.753577106518279</v>
          </cell>
          <cell r="E15">
            <v>4.8065650644783187E-2</v>
          </cell>
          <cell r="F15">
            <v>94.297203174795513</v>
          </cell>
          <cell r="G15">
            <v>4.0370072708406868E-2</v>
          </cell>
        </row>
        <row r="16">
          <cell r="A16">
            <v>1993</v>
          </cell>
          <cell r="B16">
            <v>90.517093874100482</v>
          </cell>
          <cell r="C16">
            <v>6.643366162125286E-2</v>
          </cell>
          <cell r="D16">
            <v>97.297297297297305</v>
          </cell>
          <cell r="E16">
            <v>2.6845637583892801E-2</v>
          </cell>
          <cell r="F16">
            <v>97.402032602062121</v>
          </cell>
          <cell r="G16">
            <v>3.2925996983296457E-2</v>
          </cell>
        </row>
        <row r="17">
          <cell r="A17">
            <v>1994</v>
          </cell>
          <cell r="B17">
            <v>96.051577326373916</v>
          </cell>
          <cell r="C17">
            <v>6.1142964443503978E-2</v>
          </cell>
          <cell r="D17">
            <v>98.675145733969259</v>
          </cell>
          <cell r="E17">
            <v>1.4161220043572786E-2</v>
          </cell>
          <cell r="F17">
            <v>98.23199008718872</v>
          </cell>
          <cell r="G17">
            <v>8.5209462570190464E-3</v>
          </cell>
        </row>
        <row r="18">
          <cell r="A18">
            <v>1995</v>
          </cell>
          <cell r="B18">
            <v>100</v>
          </cell>
          <cell r="C18">
            <v>4.1107317376056551E-2</v>
          </cell>
          <cell r="D18">
            <v>100</v>
          </cell>
          <cell r="E18">
            <v>1.3426423200859405E-2</v>
          </cell>
          <cell r="F18">
            <v>100</v>
          </cell>
          <cell r="G18">
            <v>1.79983110516444E-2</v>
          </cell>
        </row>
        <row r="19">
          <cell r="A19">
            <v>1996</v>
          </cell>
          <cell r="B19">
            <v>109.74910251288583</v>
          </cell>
          <cell r="C19">
            <v>9.7491025128858322E-2</v>
          </cell>
          <cell r="D19">
            <v>101.21886592474827</v>
          </cell>
          <cell r="E19">
            <v>1.2188659247482692E-2</v>
          </cell>
          <cell r="F19">
            <v>100.81166011923193</v>
          </cell>
          <cell r="G19">
            <v>8.1166011923192727E-3</v>
          </cell>
        </row>
        <row r="20">
          <cell r="A20">
            <v>1997</v>
          </cell>
          <cell r="B20">
            <v>115.4124928624605</v>
          </cell>
          <cell r="C20">
            <v>5.1603067541347025E-2</v>
          </cell>
          <cell r="D20">
            <v>101.69581346051935</v>
          </cell>
          <cell r="E20">
            <v>4.7120418848167755E-3</v>
          </cell>
          <cell r="F20">
            <v>101.33608693032861</v>
          </cell>
          <cell r="G20">
            <v>5.2020451848171501E-3</v>
          </cell>
        </row>
        <row r="21">
          <cell r="A21">
            <v>1998</v>
          </cell>
          <cell r="B21">
            <v>122.61785151110804</v>
          </cell>
          <cell r="C21">
            <v>6.2431357905372797E-2</v>
          </cell>
          <cell r="D21">
            <v>102.38473767885532</v>
          </cell>
          <cell r="E21">
            <v>6.774361646690874E-3</v>
          </cell>
          <cell r="F21">
            <v>101.35426363530824</v>
          </cell>
          <cell r="G21">
            <v>1.7937050393634912E-4</v>
          </cell>
        </row>
        <row r="22">
          <cell r="A22">
            <v>1999</v>
          </cell>
          <cell r="B22">
            <v>127.51691232156152</v>
          </cell>
          <cell r="C22">
            <v>3.9953895375582249E-2</v>
          </cell>
          <cell r="D22">
            <v>102.70270270270269</v>
          </cell>
          <cell r="E22">
            <v>3.1055900621117516E-3</v>
          </cell>
          <cell r="F22">
            <v>102.17165514800229</v>
          </cell>
          <cell r="G22">
            <v>8.06469785657149E-3</v>
          </cell>
        </row>
        <row r="23">
          <cell r="A23">
            <v>2000</v>
          </cell>
          <cell r="B23">
            <v>134.9694422142035</v>
          </cell>
          <cell r="C23">
            <v>5.8443462572625782E-2</v>
          </cell>
          <cell r="D23">
            <v>104.02755696873345</v>
          </cell>
          <cell r="E23">
            <v>1.2899896800825816E-2</v>
          </cell>
          <cell r="F23">
            <v>103.76399138722388</v>
          </cell>
          <cell r="G23">
            <v>1.5584911851677319E-2</v>
          </cell>
        </row>
        <row r="24">
          <cell r="A24">
            <v>2001</v>
          </cell>
          <cell r="B24">
            <v>141.8505644621508</v>
          </cell>
          <cell r="C24">
            <v>5.0982816073482873E-2</v>
          </cell>
          <cell r="D24">
            <v>106.57127715951245</v>
          </cell>
          <cell r="E24">
            <v>2.4452368823229653E-2</v>
          </cell>
          <cell r="F24">
            <v>104.7902814183139</v>
          </cell>
          <cell r="G24">
            <v>9.8906182903097939E-3</v>
          </cell>
        </row>
      </sheetData>
      <sheetData sheetId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7">
          <cell r="B7">
            <v>86.006060740352524</v>
          </cell>
          <cell r="C7">
            <v>84.889109946275426</v>
          </cell>
          <cell r="D7">
            <v>88.105833187353355</v>
          </cell>
          <cell r="E7">
            <v>89.456872549597762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</row>
        <row r="8">
          <cell r="B8">
            <v>93.450605294375507</v>
          </cell>
          <cell r="C8">
            <v>92.236973058553744</v>
          </cell>
          <cell r="D8">
            <v>95.732130624841147</v>
          </cell>
          <cell r="E8">
            <v>97.200113754069974</v>
          </cell>
          <cell r="F8" t="str">
            <v>-</v>
          </cell>
          <cell r="G8" t="str">
            <v>-</v>
          </cell>
          <cell r="H8" t="str">
            <v>-</v>
          </cell>
          <cell r="I8" t="str">
            <v>-</v>
          </cell>
          <cell r="J8" t="str">
            <v>-</v>
          </cell>
        </row>
        <row r="9">
          <cell r="B9">
            <v>97.215487948935049</v>
          </cell>
          <cell r="C9">
            <v>96.76145469915906</v>
          </cell>
          <cell r="D9">
            <v>96.219599118266132</v>
          </cell>
          <cell r="E9">
            <v>97.097348546501266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</row>
        <row r="10">
          <cell r="B10">
            <v>100</v>
          </cell>
          <cell r="C10">
            <v>100</v>
          </cell>
          <cell r="D10">
            <v>100</v>
          </cell>
          <cell r="E10">
            <v>100</v>
          </cell>
          <cell r="F10">
            <v>100</v>
          </cell>
          <cell r="G10">
            <v>100</v>
          </cell>
          <cell r="H10">
            <v>100</v>
          </cell>
          <cell r="I10">
            <v>100</v>
          </cell>
          <cell r="J10">
            <v>100</v>
          </cell>
        </row>
        <row r="11">
          <cell r="B11">
            <v>103.8338895386602</v>
          </cell>
          <cell r="C11">
            <v>103.81904229623156</v>
          </cell>
          <cell r="D11">
            <v>103.45593003208138</v>
          </cell>
          <cell r="E11">
            <v>103.42115417527525</v>
          </cell>
          <cell r="F11">
            <v>106.4</v>
          </cell>
          <cell r="G11">
            <v>104.3</v>
          </cell>
          <cell r="H11">
            <v>107.5</v>
          </cell>
          <cell r="I11">
            <v>106.7</v>
          </cell>
          <cell r="J11">
            <v>104.6</v>
          </cell>
        </row>
        <row r="12">
          <cell r="B12">
            <v>109.89171777464087</v>
          </cell>
          <cell r="C12">
            <v>109.50538235327545</v>
          </cell>
          <cell r="D12">
            <v>115.01405375002101</v>
          </cell>
          <cell r="E12">
            <v>108.06385866336825</v>
          </cell>
          <cell r="F12">
            <v>111.1</v>
          </cell>
          <cell r="G12">
            <v>107.5</v>
          </cell>
          <cell r="H12">
            <v>112.5</v>
          </cell>
          <cell r="I12">
            <v>112.5</v>
          </cell>
          <cell r="J12">
            <v>110.3</v>
          </cell>
        </row>
        <row r="13">
          <cell r="B13">
            <v>120.84480835451934</v>
          </cell>
          <cell r="C13">
            <v>120.16923101478226</v>
          </cell>
          <cell r="D13">
            <v>132.24555803965833</v>
          </cell>
          <cell r="E13">
            <v>118.3322495934523</v>
          </cell>
          <cell r="F13">
            <v>115.4</v>
          </cell>
          <cell r="G13">
            <v>107.9</v>
          </cell>
          <cell r="H13">
            <v>117.5</v>
          </cell>
          <cell r="I13">
            <v>119.3</v>
          </cell>
          <cell r="J13">
            <v>119</v>
          </cell>
        </row>
        <row r="14">
          <cell r="B14">
            <v>133.09774039506712</v>
          </cell>
          <cell r="C14">
            <v>131.71223226225331</v>
          </cell>
          <cell r="D14">
            <v>152.60915065942334</v>
          </cell>
          <cell r="E14">
            <v>129.32141615117271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</row>
        <row r="23">
          <cell r="B23">
            <v>8.6558371467537087E-2</v>
          </cell>
          <cell r="C23">
            <v>8.6558371467537309E-2</v>
          </cell>
          <cell r="D23">
            <v>8.6558371467537087E-2</v>
          </cell>
          <cell r="E23">
            <v>8.6558371467537087E-2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</row>
        <row r="24">
          <cell r="B24">
            <v>4.0287407906026029E-2</v>
          </cell>
          <cell r="C24">
            <v>4.9052798358127925E-2</v>
          </cell>
          <cell r="D24">
            <v>5.0920050587330845E-3</v>
          </cell>
          <cell r="E24">
            <v>-1.0572539845860041E-3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</row>
        <row r="25">
          <cell r="B25">
            <v>2.8642679369439428E-2</v>
          </cell>
          <cell r="C25">
            <v>3.3469373842196726E-2</v>
          </cell>
          <cell r="D25">
            <v>3.9289301934081866E-2</v>
          </cell>
          <cell r="E25">
            <v>2.9894240130652117E-2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</row>
        <row r="26">
          <cell r="B26">
            <v>3.8338895386601957E-2</v>
          </cell>
          <cell r="C26">
            <v>3.8190422962315562E-2</v>
          </cell>
          <cell r="D26">
            <v>3.4559300320813779E-2</v>
          </cell>
          <cell r="E26">
            <v>3.4211541752752428E-2</v>
          </cell>
          <cell r="F26">
            <v>6.4000000000000001E-2</v>
          </cell>
          <cell r="G26">
            <v>4.2999999999999997E-2</v>
          </cell>
          <cell r="H26">
            <v>7.4999999999999997E-2</v>
          </cell>
          <cell r="I26">
            <v>6.7000000000000004E-2</v>
          </cell>
          <cell r="J26">
            <v>4.5999999999999999E-2</v>
          </cell>
        </row>
        <row r="27">
          <cell r="B27">
            <v>5.8341532450493228E-2</v>
          </cell>
          <cell r="C27">
            <v>5.4771648160833575E-2</v>
          </cell>
          <cell r="D27">
            <v>0.11172026305650617</v>
          </cell>
          <cell r="E27">
            <v>4.4891246139302288E-2</v>
          </cell>
          <cell r="F27">
            <v>4.4000000000000004E-2</v>
          </cell>
          <cell r="G27">
            <v>0.03</v>
          </cell>
          <cell r="H27">
            <v>4.7E-2</v>
          </cell>
          <cell r="I27">
            <v>5.5E-2</v>
          </cell>
          <cell r="J27">
            <v>5.4000000000000006E-2</v>
          </cell>
        </row>
        <row r="28">
          <cell r="B28">
            <v>9.9671665906073015E-2</v>
          </cell>
          <cell r="C28">
            <v>9.7381959063018053E-2</v>
          </cell>
          <cell r="D28">
            <v>0.14982085864992989</v>
          </cell>
          <cell r="E28">
            <v>9.5021509106678392E-2</v>
          </cell>
          <cell r="F28">
            <v>3.9E-2</v>
          </cell>
          <cell r="G28">
            <v>4.0000000000000001E-3</v>
          </cell>
          <cell r="H28">
            <v>4.4000000000000004E-2</v>
          </cell>
          <cell r="I28">
            <v>0.06</v>
          </cell>
          <cell r="J28">
            <v>7.9000000000000001E-2</v>
          </cell>
        </row>
        <row r="29">
          <cell r="B29">
            <v>0.10139394656162359</v>
          </cell>
          <cell r="C29">
            <v>9.6056212975608846E-2</v>
          </cell>
          <cell r="D29">
            <v>0.15398318795447397</v>
          </cell>
          <cell r="E29">
            <v>9.2867046772754591E-2</v>
          </cell>
          <cell r="F29" t="str">
            <v>-</v>
          </cell>
          <cell r="G29" t="str">
            <v>-</v>
          </cell>
          <cell r="H29" t="str">
            <v>-</v>
          </cell>
          <cell r="I29" t="str">
            <v>-</v>
          </cell>
          <cell r="J29" t="str">
            <v>-</v>
          </cell>
        </row>
      </sheetData>
      <sheetData sheetId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9">
          <cell r="A9">
            <v>1985</v>
          </cell>
          <cell r="B9" t="str">
            <v>-</v>
          </cell>
          <cell r="C9" t="str">
            <v>-</v>
          </cell>
          <cell r="D9" t="str">
            <v>-</v>
          </cell>
          <cell r="E9">
            <v>948.43799999999999</v>
          </cell>
          <cell r="F9" t="str">
            <v>-</v>
          </cell>
          <cell r="G9" t="str">
            <v>-</v>
          </cell>
          <cell r="H9" t="str">
            <v>-</v>
          </cell>
          <cell r="I9">
            <v>631.95600000000002</v>
          </cell>
        </row>
        <row r="10">
          <cell r="A10">
            <v>1986</v>
          </cell>
          <cell r="B10" t="str">
            <v>-</v>
          </cell>
          <cell r="C10" t="str">
            <v>-</v>
          </cell>
          <cell r="D10" t="str">
            <v>-</v>
          </cell>
          <cell r="E10">
            <v>1033.73</v>
          </cell>
          <cell r="F10" t="str">
            <v>-</v>
          </cell>
          <cell r="G10" t="str">
            <v>-</v>
          </cell>
          <cell r="H10" t="str">
            <v>-</v>
          </cell>
          <cell r="I10">
            <v>701.48400000000004</v>
          </cell>
        </row>
        <row r="11">
          <cell r="A11">
            <v>1987</v>
          </cell>
          <cell r="B11" t="str">
            <v>-</v>
          </cell>
          <cell r="C11" t="str">
            <v>-</v>
          </cell>
          <cell r="D11" t="str">
            <v>-</v>
          </cell>
          <cell r="E11">
            <v>1100.9369999999999</v>
          </cell>
          <cell r="F11" t="str">
            <v>-</v>
          </cell>
          <cell r="G11" t="str">
            <v>-</v>
          </cell>
          <cell r="H11" t="str">
            <v>-</v>
          </cell>
          <cell r="I11">
            <v>778.54499999999996</v>
          </cell>
        </row>
        <row r="12">
          <cell r="A12">
            <v>1988</v>
          </cell>
          <cell r="B12" t="str">
            <v>-</v>
          </cell>
          <cell r="C12" t="str">
            <v>-</v>
          </cell>
          <cell r="D12" t="str">
            <v>-</v>
          </cell>
          <cell r="E12">
            <v>1177.078</v>
          </cell>
          <cell r="F12" t="str">
            <v>-</v>
          </cell>
          <cell r="G12" t="str">
            <v>-</v>
          </cell>
          <cell r="H12" t="str">
            <v>-</v>
          </cell>
          <cell r="I12">
            <v>873.36699999999996</v>
          </cell>
        </row>
        <row r="13">
          <cell r="A13">
            <v>1989</v>
          </cell>
          <cell r="B13" t="str">
            <v>-</v>
          </cell>
          <cell r="C13" t="str">
            <v>-</v>
          </cell>
          <cell r="D13" t="str">
            <v>-</v>
          </cell>
          <cell r="E13">
            <v>1287.019</v>
          </cell>
          <cell r="F13" t="str">
            <v>-</v>
          </cell>
          <cell r="G13" t="str">
            <v>-</v>
          </cell>
          <cell r="H13" t="str">
            <v>-</v>
          </cell>
          <cell r="I13">
            <v>948.92100000000005</v>
          </cell>
        </row>
        <row r="14">
          <cell r="A14">
            <v>1990</v>
          </cell>
          <cell r="B14" t="str">
            <v>-</v>
          </cell>
          <cell r="C14" t="str">
            <v>-</v>
          </cell>
          <cell r="D14" t="str">
            <v>-</v>
          </cell>
          <cell r="E14">
            <v>1420.8050000000001</v>
          </cell>
          <cell r="F14" t="str">
            <v>-</v>
          </cell>
          <cell r="G14" t="str">
            <v>-</v>
          </cell>
          <cell r="H14" t="str">
            <v>-</v>
          </cell>
          <cell r="I14">
            <v>1086.6199999999999</v>
          </cell>
        </row>
        <row r="15">
          <cell r="A15">
            <v>1991</v>
          </cell>
          <cell r="B15" t="str">
            <v>-</v>
          </cell>
          <cell r="C15" t="str">
            <v>-</v>
          </cell>
          <cell r="D15">
            <v>763.6</v>
          </cell>
          <cell r="E15">
            <v>1543.597</v>
          </cell>
          <cell r="F15" t="str">
            <v>-</v>
          </cell>
          <cell r="G15" t="str">
            <v>-</v>
          </cell>
          <cell r="H15">
            <v>608.6</v>
          </cell>
          <cell r="I15">
            <v>1257.979</v>
          </cell>
        </row>
        <row r="16">
          <cell r="A16">
            <v>1992</v>
          </cell>
          <cell r="B16" t="str">
            <v>-</v>
          </cell>
          <cell r="C16" t="str">
            <v>-</v>
          </cell>
          <cell r="D16">
            <v>751.1</v>
          </cell>
          <cell r="E16">
            <v>1648.1410000000001</v>
          </cell>
          <cell r="F16" t="str">
            <v>-</v>
          </cell>
          <cell r="G16" t="str">
            <v>-</v>
          </cell>
          <cell r="H16">
            <v>631.1</v>
          </cell>
          <cell r="I16">
            <v>1414.9949999999999</v>
          </cell>
        </row>
        <row r="17">
          <cell r="A17">
            <v>1993</v>
          </cell>
          <cell r="B17" t="str">
            <v>-</v>
          </cell>
          <cell r="C17" t="str">
            <v>-</v>
          </cell>
          <cell r="D17">
            <v>734.9</v>
          </cell>
          <cell r="E17">
            <v>1667.729</v>
          </cell>
          <cell r="F17" t="str">
            <v>-</v>
          </cell>
          <cell r="G17" t="str">
            <v>-</v>
          </cell>
          <cell r="H17">
            <v>626</v>
          </cell>
          <cell r="I17">
            <v>1459.6659999999999</v>
          </cell>
        </row>
        <row r="18">
          <cell r="A18">
            <v>1994</v>
          </cell>
          <cell r="B18" t="str">
            <v>-</v>
          </cell>
          <cell r="C18" t="str">
            <v>-</v>
          </cell>
          <cell r="D18">
            <v>690</v>
          </cell>
          <cell r="E18">
            <v>1621.08</v>
          </cell>
          <cell r="F18" t="str">
            <v>-</v>
          </cell>
          <cell r="G18" t="str">
            <v>-</v>
          </cell>
          <cell r="H18">
            <v>613.1</v>
          </cell>
          <cell r="I18">
            <v>1489.1569999999999</v>
          </cell>
        </row>
        <row r="19">
          <cell r="A19">
            <v>1995</v>
          </cell>
          <cell r="B19" t="str">
            <v>-</v>
          </cell>
          <cell r="C19" t="str">
            <v>-</v>
          </cell>
          <cell r="D19">
            <v>651.4</v>
          </cell>
          <cell r="E19">
            <v>1586.424</v>
          </cell>
          <cell r="F19" t="str">
            <v>-</v>
          </cell>
          <cell r="G19" t="str">
            <v>-</v>
          </cell>
          <cell r="H19">
            <v>587.29999999999995</v>
          </cell>
          <cell r="I19">
            <v>1488.664</v>
          </cell>
        </row>
        <row r="20">
          <cell r="A20">
            <v>1996</v>
          </cell>
          <cell r="B20" t="str">
            <v>-</v>
          </cell>
          <cell r="C20" t="str">
            <v>-</v>
          </cell>
          <cell r="D20">
            <v>640.4</v>
          </cell>
          <cell r="E20">
            <v>1618.7</v>
          </cell>
          <cell r="F20" t="str">
            <v>-</v>
          </cell>
          <cell r="G20" t="str">
            <v>-</v>
          </cell>
          <cell r="H20">
            <v>512.70000000000005</v>
          </cell>
          <cell r="I20">
            <v>1358.8</v>
          </cell>
        </row>
        <row r="21">
          <cell r="A21">
            <v>1997</v>
          </cell>
          <cell r="B21">
            <v>513.53</v>
          </cell>
          <cell r="C21">
            <v>88.28</v>
          </cell>
          <cell r="D21">
            <v>601.80999999999995</v>
          </cell>
          <cell r="E21">
            <v>1921.75</v>
          </cell>
          <cell r="F21">
            <v>395.33</v>
          </cell>
          <cell r="G21">
            <v>80.59</v>
          </cell>
          <cell r="H21">
            <v>475.91999999999996</v>
          </cell>
          <cell r="I21">
            <v>1558.71</v>
          </cell>
        </row>
        <row r="22">
          <cell r="A22">
            <v>1998</v>
          </cell>
          <cell r="B22">
            <v>544.61</v>
          </cell>
          <cell r="C22">
            <v>93.2</v>
          </cell>
          <cell r="D22">
            <v>637.81000000000006</v>
          </cell>
          <cell r="E22">
            <v>2066.17</v>
          </cell>
          <cell r="F22">
            <v>381.42</v>
          </cell>
          <cell r="G22">
            <v>78.63</v>
          </cell>
          <cell r="H22">
            <v>460.05</v>
          </cell>
          <cell r="I22">
            <v>1597.15</v>
          </cell>
        </row>
        <row r="24">
          <cell r="A24">
            <v>2000</v>
          </cell>
          <cell r="B24">
            <v>1843.16</v>
          </cell>
          <cell r="C24">
            <v>399.77</v>
          </cell>
          <cell r="D24">
            <v>2242.9300000000003</v>
          </cell>
          <cell r="E24">
            <v>3879.09</v>
          </cell>
          <cell r="F24">
            <v>1257.46</v>
          </cell>
          <cell r="G24">
            <v>326.3</v>
          </cell>
          <cell r="H24">
            <v>1583.76</v>
          </cell>
          <cell r="I24">
            <v>2917.88</v>
          </cell>
        </row>
        <row r="25">
          <cell r="A25">
            <v>2001</v>
          </cell>
          <cell r="B25">
            <v>2676.62</v>
          </cell>
          <cell r="C25">
            <v>513.83000000000004</v>
          </cell>
          <cell r="D25">
            <v>3190.45</v>
          </cell>
          <cell r="E25">
            <v>5041.2299999999996</v>
          </cell>
          <cell r="F25">
            <v>1941.54</v>
          </cell>
          <cell r="G25">
            <v>411.76</v>
          </cell>
          <cell r="H25">
            <v>2353.3000000000002</v>
          </cell>
          <cell r="I25">
            <v>3948.45</v>
          </cell>
        </row>
      </sheetData>
      <sheetData sheetId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9">
          <cell r="A9">
            <v>1991</v>
          </cell>
          <cell r="B9">
            <v>996.2</v>
          </cell>
          <cell r="C9" t="str">
            <v>-</v>
          </cell>
          <cell r="D9">
            <v>996.2</v>
          </cell>
          <cell r="E9">
            <v>780</v>
          </cell>
          <cell r="F9">
            <v>1776.2</v>
          </cell>
          <cell r="G9">
            <v>885.4</v>
          </cell>
          <cell r="H9" t="str">
            <v>-</v>
          </cell>
          <cell r="I9">
            <v>885.4</v>
          </cell>
          <cell r="J9">
            <v>649.4</v>
          </cell>
          <cell r="K9">
            <v>1534.8</v>
          </cell>
        </row>
        <row r="10">
          <cell r="A10">
            <v>1992</v>
          </cell>
          <cell r="B10">
            <v>1003.8</v>
          </cell>
          <cell r="C10" t="str">
            <v>-</v>
          </cell>
          <cell r="D10">
            <v>1003.8</v>
          </cell>
          <cell r="E10">
            <v>897</v>
          </cell>
          <cell r="F10">
            <v>1900.8</v>
          </cell>
          <cell r="G10">
            <v>923.2</v>
          </cell>
          <cell r="H10" t="str">
            <v>-</v>
          </cell>
          <cell r="I10">
            <v>923.2</v>
          </cell>
          <cell r="J10">
            <v>783.9</v>
          </cell>
          <cell r="K10">
            <v>1707.1</v>
          </cell>
        </row>
        <row r="11">
          <cell r="A11">
            <v>1993</v>
          </cell>
          <cell r="B11">
            <v>1026.2</v>
          </cell>
          <cell r="C11" t="str">
            <v>-</v>
          </cell>
          <cell r="D11">
            <v>1026.2</v>
          </cell>
          <cell r="E11">
            <v>932.8</v>
          </cell>
          <cell r="F11">
            <v>1959</v>
          </cell>
          <cell r="G11">
            <v>928.41399999999999</v>
          </cell>
          <cell r="H11" t="str">
            <v>-</v>
          </cell>
          <cell r="I11">
            <v>928.41399999999999</v>
          </cell>
          <cell r="J11">
            <v>833.7</v>
          </cell>
          <cell r="K11">
            <v>1762.114</v>
          </cell>
        </row>
        <row r="12">
          <cell r="A12">
            <v>1994</v>
          </cell>
          <cell r="B12">
            <v>1052.2</v>
          </cell>
          <cell r="C12" t="str">
            <v>-</v>
          </cell>
          <cell r="D12">
            <v>1052.2</v>
          </cell>
          <cell r="E12">
            <v>931.1</v>
          </cell>
          <cell r="F12">
            <v>1983.3000000000002</v>
          </cell>
          <cell r="G12">
            <v>983.23500000000001</v>
          </cell>
          <cell r="H12" t="str">
            <v>-</v>
          </cell>
          <cell r="I12">
            <v>983.23500000000001</v>
          </cell>
          <cell r="J12">
            <v>876.1</v>
          </cell>
          <cell r="K12">
            <v>1859.335</v>
          </cell>
        </row>
        <row r="13">
          <cell r="A13">
            <v>1995</v>
          </cell>
          <cell r="B13">
            <v>1073.0999999999999</v>
          </cell>
          <cell r="C13" t="str">
            <v>-</v>
          </cell>
          <cell r="D13">
            <v>1073.0999999999999</v>
          </cell>
          <cell r="E13">
            <v>935</v>
          </cell>
          <cell r="F13">
            <v>2008.1</v>
          </cell>
          <cell r="G13">
            <v>1017.388</v>
          </cell>
          <cell r="H13" t="str">
            <v>-</v>
          </cell>
          <cell r="I13">
            <v>1017.388</v>
          </cell>
          <cell r="J13">
            <v>901.4</v>
          </cell>
          <cell r="K13">
            <v>1918.788</v>
          </cell>
        </row>
        <row r="14">
          <cell r="A14">
            <v>1996</v>
          </cell>
          <cell r="B14">
            <v>832</v>
          </cell>
          <cell r="C14">
            <v>180.9</v>
          </cell>
          <cell r="D14">
            <v>1012.9</v>
          </cell>
          <cell r="E14">
            <v>978.3</v>
          </cell>
          <cell r="F14">
            <v>1991.1999999999998</v>
          </cell>
          <cell r="G14">
            <v>872.50191104999999</v>
          </cell>
          <cell r="H14">
            <v>116.7</v>
          </cell>
          <cell r="I14">
            <v>989.20191105000004</v>
          </cell>
          <cell r="J14">
            <v>846.1</v>
          </cell>
          <cell r="K14">
            <v>1835.3019110499999</v>
          </cell>
        </row>
        <row r="15">
          <cell r="A15">
            <v>1997</v>
          </cell>
          <cell r="B15">
            <v>558.9</v>
          </cell>
          <cell r="C15">
            <v>393.8</v>
          </cell>
          <cell r="D15">
            <v>952.7</v>
          </cell>
          <cell r="E15">
            <v>1319.9</v>
          </cell>
          <cell r="F15">
            <v>2272.6000000000004</v>
          </cell>
          <cell r="G15">
            <v>621.52611999999999</v>
          </cell>
          <cell r="H15">
            <v>335.7</v>
          </cell>
          <cell r="I15">
            <v>957.22612000000004</v>
          </cell>
          <cell r="J15">
            <v>1082.8</v>
          </cell>
          <cell r="K15">
            <v>2040.02612</v>
          </cell>
        </row>
        <row r="16">
          <cell r="A16">
            <v>1998</v>
          </cell>
          <cell r="B16">
            <v>509.6</v>
          </cell>
          <cell r="C16">
            <v>508.1</v>
          </cell>
          <cell r="D16">
            <v>1017.7</v>
          </cell>
          <cell r="E16">
            <v>1428.4</v>
          </cell>
          <cell r="F16">
            <v>2446.1000000000004</v>
          </cell>
          <cell r="G16">
            <v>456.36259100000001</v>
          </cell>
          <cell r="H16">
            <v>453.7</v>
          </cell>
          <cell r="I16">
            <v>910.062591</v>
          </cell>
          <cell r="J16">
            <v>1137.0999999999999</v>
          </cell>
          <cell r="K16">
            <v>2047.1625909999998</v>
          </cell>
        </row>
        <row r="17">
          <cell r="A17">
            <v>1999</v>
          </cell>
          <cell r="B17">
            <v>462.9</v>
          </cell>
          <cell r="C17">
            <v>442.7</v>
          </cell>
          <cell r="D17">
            <v>905.59999999999991</v>
          </cell>
          <cell r="E17">
            <v>1337.8</v>
          </cell>
          <cell r="F17">
            <v>2243.3999999999996</v>
          </cell>
          <cell r="G17">
            <v>412.14915300000001</v>
          </cell>
          <cell r="H17">
            <v>385.2</v>
          </cell>
          <cell r="I17">
            <v>797.349153</v>
          </cell>
          <cell r="J17">
            <v>1077.5</v>
          </cell>
          <cell r="K17">
            <v>1874.8491530000001</v>
          </cell>
        </row>
        <row r="18">
          <cell r="A18">
            <v>2000</v>
          </cell>
          <cell r="B18">
            <v>438.9</v>
          </cell>
          <cell r="C18">
            <v>339.7</v>
          </cell>
          <cell r="D18">
            <v>778.59999999999991</v>
          </cell>
          <cell r="E18">
            <v>1636.2</v>
          </cell>
          <cell r="F18">
            <v>2414.8000000000002</v>
          </cell>
          <cell r="G18">
            <v>381.63992000000002</v>
          </cell>
          <cell r="H18">
            <v>299.2</v>
          </cell>
          <cell r="I18">
            <v>680.83992000000001</v>
          </cell>
          <cell r="J18">
            <v>1334.1</v>
          </cell>
          <cell r="K18">
            <v>2014.9399199999998</v>
          </cell>
        </row>
        <row r="19">
          <cell r="A19">
            <v>2001</v>
          </cell>
          <cell r="B19">
            <v>398.65</v>
          </cell>
          <cell r="C19">
            <v>248.38</v>
          </cell>
          <cell r="D19">
            <v>647.03</v>
          </cell>
          <cell r="E19">
            <v>1850.78</v>
          </cell>
          <cell r="F19">
            <v>2497.81</v>
          </cell>
          <cell r="G19">
            <v>351.97137099999998</v>
          </cell>
          <cell r="H19">
            <v>201.85</v>
          </cell>
          <cell r="I19">
            <v>553.821371</v>
          </cell>
          <cell r="J19">
            <v>1595.15</v>
          </cell>
          <cell r="K19">
            <v>2148.9713710000001</v>
          </cell>
        </row>
      </sheetData>
      <sheetData sheetId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d"/>
    </sheetNames>
    <sheetDataSet>
      <sheetData sheetId="0">
        <row r="8">
          <cell r="A8">
            <v>1991</v>
          </cell>
          <cell r="B8">
            <v>7381.6</v>
          </cell>
          <cell r="C8">
            <v>2030</v>
          </cell>
          <cell r="D8">
            <v>763.6</v>
          </cell>
          <cell r="E8">
            <v>10175.200000000001</v>
          </cell>
          <cell r="F8">
            <v>8411.9</v>
          </cell>
          <cell r="G8">
            <v>1717.6</v>
          </cell>
          <cell r="H8">
            <v>608.6</v>
          </cell>
          <cell r="I8">
            <v>10738.1</v>
          </cell>
        </row>
        <row r="9">
          <cell r="A9">
            <v>1992</v>
          </cell>
          <cell r="B9">
            <v>8071.6</v>
          </cell>
          <cell r="C9">
            <v>2234.5</v>
          </cell>
          <cell r="D9">
            <v>751.05194456734102</v>
          </cell>
          <cell r="E9">
            <v>11057.151944567342</v>
          </cell>
          <cell r="F9">
            <v>9374.4</v>
          </cell>
          <cell r="G9">
            <v>1832.3</v>
          </cell>
          <cell r="H9">
            <v>631.14866850607859</v>
          </cell>
          <cell r="I9">
            <v>11837.848668506078</v>
          </cell>
        </row>
        <row r="10">
          <cell r="A10">
            <v>1993</v>
          </cell>
          <cell r="B10">
            <v>8959</v>
          </cell>
          <cell r="C10">
            <v>3326.3</v>
          </cell>
          <cell r="D10">
            <v>734.92479192401356</v>
          </cell>
          <cell r="E10">
            <v>13020.224791924013</v>
          </cell>
          <cell r="F10">
            <v>9747.2000000000007</v>
          </cell>
          <cell r="G10">
            <v>2431.9</v>
          </cell>
          <cell r="H10">
            <v>626.00138979065252</v>
          </cell>
          <cell r="I10">
            <v>12805.101389790652</v>
          </cell>
        </row>
        <row r="11">
          <cell r="A11">
            <v>1994</v>
          </cell>
          <cell r="B11">
            <v>8986.1</v>
          </cell>
          <cell r="C11">
            <v>4076.6</v>
          </cell>
          <cell r="D11">
            <v>690.03021854426788</v>
          </cell>
          <cell r="E11">
            <v>13752.730218544268</v>
          </cell>
          <cell r="F11">
            <v>9548.9</v>
          </cell>
          <cell r="G11">
            <v>3331.5</v>
          </cell>
          <cell r="H11">
            <v>613.0603501903413</v>
          </cell>
          <cell r="I11">
            <v>13493.46035019034</v>
          </cell>
        </row>
        <row r="12">
          <cell r="A12">
            <v>1995</v>
          </cell>
          <cell r="B12">
            <v>9125.7999999999993</v>
          </cell>
          <cell r="C12">
            <v>4249.7</v>
          </cell>
          <cell r="D12">
            <v>651.42256806953048</v>
          </cell>
          <cell r="E12">
            <v>14026.922568069531</v>
          </cell>
          <cell r="F12">
            <v>10017.200000000001</v>
          </cell>
          <cell r="G12">
            <v>3664.1</v>
          </cell>
          <cell r="H12">
            <v>587.27080996548773</v>
          </cell>
          <cell r="I12">
            <v>14268.570809965489</v>
          </cell>
        </row>
        <row r="13">
          <cell r="A13">
            <v>1996</v>
          </cell>
          <cell r="B13">
            <v>11035.2</v>
          </cell>
          <cell r="C13">
            <v>4337.5</v>
          </cell>
          <cell r="D13">
            <v>640.36315374410731</v>
          </cell>
          <cell r="E13">
            <v>16013.063153744108</v>
          </cell>
          <cell r="F13">
            <v>10780.5</v>
          </cell>
          <cell r="G13">
            <v>3809.6285714248806</v>
          </cell>
          <cell r="H13">
            <v>512.67578326995283</v>
          </cell>
          <cell r="I13">
            <v>15102.804354694834</v>
          </cell>
        </row>
        <row r="14">
          <cell r="A14">
            <v>1997</v>
          </cell>
          <cell r="B14">
            <v>11924.8</v>
          </cell>
          <cell r="C14">
            <v>4410.6000000000004</v>
          </cell>
          <cell r="D14">
            <v>601.9</v>
          </cell>
          <cell r="E14">
            <v>16937.3</v>
          </cell>
          <cell r="F14">
            <v>11360.5</v>
          </cell>
          <cell r="G14">
            <v>3288.3</v>
          </cell>
          <cell r="H14">
            <v>475.9</v>
          </cell>
          <cell r="I14">
            <v>15124.699999999999</v>
          </cell>
        </row>
        <row r="15">
          <cell r="A15">
            <v>1998</v>
          </cell>
          <cell r="B15">
            <v>12604.2</v>
          </cell>
          <cell r="C15">
            <v>4453.3</v>
          </cell>
          <cell r="D15">
            <v>637.79999999999995</v>
          </cell>
          <cell r="E15">
            <v>17695.3</v>
          </cell>
          <cell r="F15">
            <v>11926.9</v>
          </cell>
          <cell r="G15">
            <v>3299.5</v>
          </cell>
          <cell r="H15">
            <v>460.1</v>
          </cell>
          <cell r="I15">
            <v>15686.5</v>
          </cell>
        </row>
        <row r="16">
          <cell r="A16">
            <v>1999</v>
          </cell>
          <cell r="B16">
            <v>12949.5</v>
          </cell>
          <cell r="C16">
            <v>3766.7</v>
          </cell>
          <cell r="D16">
            <v>1098.2</v>
          </cell>
          <cell r="E16">
            <v>17814.400000000001</v>
          </cell>
          <cell r="F16">
            <v>12430.6</v>
          </cell>
          <cell r="G16">
            <v>2787.1</v>
          </cell>
          <cell r="H16">
            <v>763.9</v>
          </cell>
          <cell r="I16">
            <v>15981.6</v>
          </cell>
        </row>
        <row r="17">
          <cell r="A17">
            <v>2000</v>
          </cell>
          <cell r="B17">
            <v>13346.7</v>
          </cell>
          <cell r="C17">
            <v>2917.4</v>
          </cell>
          <cell r="D17">
            <v>2242.9</v>
          </cell>
          <cell r="E17">
            <v>18507</v>
          </cell>
          <cell r="F17">
            <v>13190.3</v>
          </cell>
          <cell r="G17">
            <v>2199.1</v>
          </cell>
          <cell r="H17">
            <v>1583.8</v>
          </cell>
          <cell r="I17">
            <v>16973.2</v>
          </cell>
        </row>
        <row r="18">
          <cell r="A18">
            <v>2001</v>
          </cell>
          <cell r="B18">
            <v>13954.7</v>
          </cell>
          <cell r="C18">
            <v>1986.99</v>
          </cell>
          <cell r="D18">
            <v>3190.46</v>
          </cell>
          <cell r="E18">
            <v>19132.150000000001</v>
          </cell>
          <cell r="F18">
            <v>13986.27</v>
          </cell>
          <cell r="G18">
            <v>1576.7</v>
          </cell>
          <cell r="H18">
            <v>2353.3000000000002</v>
          </cell>
          <cell r="I18">
            <v>17916.27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85866-BC54-0145-B8DE-2826B2D4651A}">
  <dimension ref="A1:M47"/>
  <sheetViews>
    <sheetView tabSelected="1" topLeftCell="A16" zoomScale="75" workbookViewId="0">
      <selection activeCell="N33" sqref="N33"/>
    </sheetView>
  </sheetViews>
  <sheetFormatPr baseColWidth="10" defaultColWidth="11.3984375" defaultRowHeight="13"/>
  <cols>
    <col min="1" max="1" width="12.796875" style="7" customWidth="1"/>
    <col min="2" max="9" width="11.796875" style="7" customWidth="1"/>
    <col min="10" max="16384" width="11.3984375" style="7"/>
  </cols>
  <sheetData>
    <row r="1" spans="1:13" s="1" customFormat="1" ht="18" customHeight="1">
      <c r="A1"/>
      <c r="B1"/>
      <c r="C1"/>
      <c r="D1"/>
      <c r="E1"/>
      <c r="F1"/>
      <c r="G1"/>
      <c r="H1"/>
      <c r="I1"/>
    </row>
    <row r="2" spans="1:13" ht="36.75" customHeight="1">
      <c r="A2" s="853" t="s">
        <v>1005</v>
      </c>
      <c r="B2"/>
      <c r="C2"/>
      <c r="D2"/>
      <c r="E2"/>
      <c r="F2"/>
      <c r="G2"/>
      <c r="H2"/>
      <c r="I2"/>
    </row>
    <row r="3" spans="1:13" ht="27" customHeight="1">
      <c r="A3" s="847"/>
      <c r="B3"/>
      <c r="C3"/>
      <c r="D3"/>
      <c r="E3"/>
      <c r="F3"/>
      <c r="G3"/>
      <c r="H3"/>
      <c r="I3"/>
    </row>
    <row r="4" spans="1:13" ht="15" customHeight="1">
      <c r="A4" s="848" t="s">
        <v>1004</v>
      </c>
      <c r="B4"/>
      <c r="C4"/>
      <c r="D4"/>
      <c r="E4"/>
      <c r="F4"/>
      <c r="G4"/>
      <c r="H4"/>
      <c r="I4"/>
    </row>
    <row r="5" spans="1:13" ht="17.25" customHeight="1">
      <c r="A5"/>
      <c r="B5"/>
      <c r="C5"/>
      <c r="D5"/>
      <c r="E5"/>
      <c r="F5"/>
      <c r="G5"/>
      <c r="H5"/>
      <c r="I5"/>
    </row>
    <row r="6" spans="1:13" ht="15.75" customHeight="1">
      <c r="B6"/>
      <c r="C6"/>
      <c r="D6"/>
      <c r="E6"/>
      <c r="F6"/>
      <c r="G6"/>
      <c r="H6"/>
      <c r="I6"/>
      <c r="J6" s="22"/>
    </row>
    <row r="7" spans="1:13" ht="9.75" customHeight="1">
      <c r="A7"/>
      <c r="B7"/>
      <c r="C7"/>
      <c r="D7"/>
      <c r="E7"/>
      <c r="F7"/>
      <c r="G7"/>
      <c r="H7"/>
      <c r="I7"/>
      <c r="J7" s="22"/>
    </row>
    <row r="8" spans="1:13" ht="20" customHeight="1">
      <c r="A8" s="849" t="s">
        <v>1006</v>
      </c>
      <c r="B8"/>
      <c r="C8"/>
      <c r="D8"/>
      <c r="E8"/>
      <c r="F8"/>
      <c r="G8"/>
      <c r="H8"/>
      <c r="I8"/>
    </row>
    <row r="9" spans="1:13" ht="20" customHeight="1">
      <c r="B9"/>
      <c r="C9"/>
      <c r="D9"/>
      <c r="E9"/>
      <c r="F9"/>
      <c r="G9"/>
      <c r="H9"/>
      <c r="I9"/>
      <c r="K9" s="27"/>
      <c r="L9" s="27"/>
      <c r="M9" s="27"/>
    </row>
    <row r="10" spans="1:13" ht="20" customHeight="1">
      <c r="A10"/>
      <c r="B10"/>
      <c r="C10"/>
      <c r="D10"/>
      <c r="E10"/>
      <c r="F10"/>
      <c r="G10"/>
      <c r="H10"/>
      <c r="I10"/>
    </row>
    <row r="11" spans="1:13" ht="20" customHeight="1">
      <c r="A11" s="848" t="s">
        <v>14</v>
      </c>
      <c r="B11"/>
      <c r="C11"/>
      <c r="D11"/>
      <c r="E11"/>
      <c r="F11"/>
      <c r="G11"/>
      <c r="H11"/>
      <c r="I11"/>
    </row>
    <row r="12" spans="1:13" ht="20" customHeight="1">
      <c r="A12"/>
      <c r="B12"/>
      <c r="C12"/>
      <c r="D12"/>
      <c r="E12"/>
      <c r="F12"/>
      <c r="G12"/>
      <c r="H12"/>
      <c r="I12"/>
    </row>
    <row r="13" spans="1:13" ht="30" customHeight="1">
      <c r="A13"/>
      <c r="B13"/>
      <c r="C13"/>
      <c r="D13"/>
      <c r="E13"/>
      <c r="F13" s="861" t="s">
        <v>671</v>
      </c>
      <c r="G13" s="861"/>
      <c r="H13"/>
      <c r="I13"/>
    </row>
    <row r="14" spans="1:13" ht="26.25" customHeight="1">
      <c r="A14" s="850" t="s">
        <v>1007</v>
      </c>
      <c r="B14" s="851"/>
      <c r="C14" s="851"/>
      <c r="D14" s="142"/>
      <c r="F14" s="852" t="s">
        <v>1264</v>
      </c>
      <c r="G14" s="851"/>
      <c r="H14"/>
      <c r="I14"/>
    </row>
    <row r="15" spans="1:13" ht="12" customHeight="1">
      <c r="A15"/>
      <c r="B15"/>
      <c r="C15"/>
      <c r="D15"/>
      <c r="E15"/>
      <c r="F15"/>
      <c r="G15"/>
      <c r="H15"/>
      <c r="I15"/>
    </row>
    <row r="16" spans="1:13" ht="12" customHeight="1">
      <c r="A16"/>
      <c r="B16"/>
      <c r="C16"/>
      <c r="D16"/>
      <c r="E16"/>
      <c r="F16"/>
      <c r="G16"/>
      <c r="H16"/>
      <c r="I16"/>
    </row>
    <row r="17" spans="1:9" ht="14.25" customHeight="1">
      <c r="A17" s="855"/>
      <c r="B17"/>
      <c r="C17"/>
      <c r="D17"/>
      <c r="E17"/>
      <c r="F17"/>
      <c r="G17"/>
      <c r="H17"/>
      <c r="I17"/>
    </row>
    <row r="18" spans="1:9" ht="17.25" customHeight="1">
      <c r="A18"/>
      <c r="B18"/>
      <c r="C18"/>
      <c r="D18"/>
      <c r="E18"/>
      <c r="F18"/>
      <c r="G18"/>
      <c r="H18"/>
      <c r="I18"/>
    </row>
    <row r="19" spans="1:9" ht="16">
      <c r="A19" s="854"/>
      <c r="B19" s="855"/>
      <c r="C19" s="855"/>
    </row>
    <row r="20" spans="1:9" ht="16">
      <c r="A20" s="854"/>
      <c r="B20" s="855"/>
      <c r="C20" s="855"/>
    </row>
    <row r="21" spans="1:9" ht="16">
      <c r="A21" s="854"/>
      <c r="B21" s="855"/>
      <c r="C21" s="855"/>
    </row>
    <row r="22" spans="1:9" ht="16">
      <c r="A22" s="854"/>
      <c r="B22" s="855"/>
      <c r="C22" s="855"/>
    </row>
    <row r="23" spans="1:9" ht="16">
      <c r="A23" s="854"/>
      <c r="B23" s="855"/>
      <c r="C23" s="855"/>
    </row>
    <row r="24" spans="1:9" ht="16">
      <c r="A24" s="854"/>
      <c r="B24" s="855"/>
      <c r="C24" s="855"/>
    </row>
    <row r="25" spans="1:9" ht="16">
      <c r="A25" s="854"/>
      <c r="B25" s="855"/>
      <c r="C25" s="855"/>
    </row>
    <row r="26" spans="1:9" ht="16">
      <c r="A26" s="854"/>
      <c r="B26" s="855" t="s">
        <v>1008</v>
      </c>
      <c r="C26" s="855"/>
    </row>
    <row r="27" spans="1:9" ht="16">
      <c r="A27" s="856"/>
      <c r="B27" s="855"/>
      <c r="C27" s="855"/>
    </row>
    <row r="28" spans="1:9" ht="16">
      <c r="A28" s="860" t="s">
        <v>1009</v>
      </c>
      <c r="B28" s="858" t="s">
        <v>1026</v>
      </c>
      <c r="C28" s="857" t="s">
        <v>1010</v>
      </c>
    </row>
    <row r="29" spans="1:9" ht="16">
      <c r="A29" s="860" t="s">
        <v>1011</v>
      </c>
      <c r="B29" s="858" t="s">
        <v>1027</v>
      </c>
      <c r="C29" s="857" t="s">
        <v>1012</v>
      </c>
    </row>
    <row r="30" spans="1:9" ht="16">
      <c r="A30" s="860" t="s">
        <v>1013</v>
      </c>
      <c r="B30" s="858" t="s">
        <v>1028</v>
      </c>
      <c r="C30" s="857" t="s">
        <v>1014</v>
      </c>
    </row>
    <row r="31" spans="1:9" ht="16">
      <c r="A31" s="860" t="s">
        <v>1015</v>
      </c>
      <c r="B31" s="858" t="s">
        <v>1029</v>
      </c>
      <c r="C31" s="857" t="s">
        <v>1016</v>
      </c>
    </row>
    <row r="32" spans="1:9" ht="16">
      <c r="A32" s="860" t="s">
        <v>1017</v>
      </c>
      <c r="B32" s="859">
        <v>502</v>
      </c>
      <c r="C32" s="857" t="s">
        <v>1018</v>
      </c>
    </row>
    <row r="33" spans="1:10" ht="16">
      <c r="A33" s="860" t="s">
        <v>1019</v>
      </c>
      <c r="B33" s="858" t="s">
        <v>1030</v>
      </c>
      <c r="C33" s="857" t="s">
        <v>284</v>
      </c>
    </row>
    <row r="34" spans="1:10" ht="16">
      <c r="A34" s="860" t="s">
        <v>1020</v>
      </c>
      <c r="B34" s="858" t="s">
        <v>1031</v>
      </c>
      <c r="C34" s="857" t="s">
        <v>1021</v>
      </c>
    </row>
    <row r="35" spans="1:10" ht="16">
      <c r="A35" s="860" t="s">
        <v>1022</v>
      </c>
      <c r="B35" s="858" t="s">
        <v>1032</v>
      </c>
      <c r="C35" s="857" t="s">
        <v>1023</v>
      </c>
    </row>
    <row r="36" spans="1:10" ht="16">
      <c r="A36" s="860" t="s">
        <v>1024</v>
      </c>
      <c r="B36" s="858" t="s">
        <v>1033</v>
      </c>
      <c r="C36" s="857" t="s">
        <v>1025</v>
      </c>
    </row>
    <row r="41" spans="1:10">
      <c r="A41" s="784"/>
      <c r="B41" s="784"/>
      <c r="C41" s="784"/>
      <c r="D41" s="784"/>
      <c r="E41" s="784"/>
      <c r="F41" s="784"/>
      <c r="G41" s="784"/>
      <c r="H41" s="784"/>
      <c r="I41" s="784"/>
      <c r="J41" s="784"/>
    </row>
    <row r="43" spans="1:10" ht="14.25" customHeight="1">
      <c r="A43" s="855" t="s">
        <v>672</v>
      </c>
      <c r="B43"/>
      <c r="C43"/>
      <c r="D43"/>
      <c r="E43"/>
      <c r="F43"/>
      <c r="G43"/>
      <c r="H43"/>
      <c r="I43"/>
    </row>
    <row r="44" spans="1:10" ht="14.25" customHeight="1">
      <c r="A44" s="855"/>
      <c r="B44"/>
      <c r="C44"/>
      <c r="D44"/>
      <c r="E44"/>
      <c r="F44"/>
      <c r="G44"/>
      <c r="H44"/>
      <c r="I44"/>
    </row>
    <row r="45" spans="1:10" ht="18" customHeight="1">
      <c r="A45" s="1" t="s">
        <v>673</v>
      </c>
      <c r="B45"/>
      <c r="C45"/>
      <c r="D45"/>
      <c r="E45"/>
      <c r="F45"/>
      <c r="G45"/>
      <c r="H45"/>
      <c r="I45"/>
    </row>
    <row r="46" spans="1:10" ht="12.75" customHeight="1">
      <c r="A46" s="1"/>
      <c r="B46"/>
      <c r="C46"/>
      <c r="D46"/>
      <c r="E46"/>
      <c r="F46"/>
      <c r="G46"/>
      <c r="H46"/>
      <c r="I46"/>
    </row>
    <row r="47" spans="1:10">
      <c r="A47" s="784"/>
      <c r="B47" s="784"/>
      <c r="C47" s="784"/>
      <c r="D47" s="784"/>
      <c r="E47" s="784"/>
      <c r="F47" s="784"/>
      <c r="G47" s="784"/>
      <c r="H47" s="784"/>
      <c r="I47" s="784"/>
      <c r="J47" s="784"/>
    </row>
  </sheetData>
  <phoneticPr fontId="0" type="noConversion"/>
  <pageMargins left="0.43" right="0.47" top="1.07" bottom="0.49" header="0.55000000000000004" footer="0.4921259845"/>
  <pageSetup paperSize="9" scale="80" orientation="portrait" horizontalDpi="1200" verticalDpi="1200"/>
  <headerFooter alignWithMargins="0">
    <oddFooter>&amp;L&amp;"Arial,Regular"Statistik über die Krankenversicherung, Bundesamt für Sozialversicherung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4A92F-3B39-BC45-95D5-CE5EFDF1A7D3}">
  <dimension ref="A1:M17"/>
  <sheetViews>
    <sheetView zoomScale="75" workbookViewId="0">
      <selection activeCell="H17" sqref="H17"/>
    </sheetView>
  </sheetViews>
  <sheetFormatPr baseColWidth="10" defaultColWidth="11.3984375" defaultRowHeight="13"/>
  <cols>
    <col min="1" max="1" width="12.796875" style="7" customWidth="1"/>
    <col min="2" max="9" width="11.796875" style="7" customWidth="1"/>
    <col min="10" max="16384" width="11.3984375" style="7"/>
  </cols>
  <sheetData>
    <row r="1" spans="1:13" s="1" customFormat="1" ht="14" customHeight="1"/>
    <row r="2" spans="1:13" s="1" customFormat="1" ht="28" customHeight="1">
      <c r="A2" s="2" t="s">
        <v>527</v>
      </c>
    </row>
    <row r="3" spans="1:13" ht="24" customHeight="1">
      <c r="A3" s="3" t="s">
        <v>515</v>
      </c>
      <c r="B3" s="4" t="s">
        <v>516</v>
      </c>
      <c r="C3" s="5" t="s">
        <v>517</v>
      </c>
      <c r="D3" s="6" t="s">
        <v>518</v>
      </c>
      <c r="E3" s="5" t="s">
        <v>519</v>
      </c>
      <c r="F3" s="6" t="s">
        <v>520</v>
      </c>
      <c r="G3" s="5" t="s">
        <v>521</v>
      </c>
      <c r="H3" s="6" t="s">
        <v>514</v>
      </c>
      <c r="I3" s="5" t="s">
        <v>522</v>
      </c>
    </row>
    <row r="4" spans="1:13" ht="15" customHeight="1">
      <c r="A4" s="8"/>
      <c r="B4" s="9"/>
      <c r="C4" s="33">
        <v>10000</v>
      </c>
      <c r="D4" s="11">
        <v>50000</v>
      </c>
      <c r="E4" s="33">
        <v>100000</v>
      </c>
      <c r="F4" s="11">
        <v>500000</v>
      </c>
      <c r="G4" s="33">
        <v>500000</v>
      </c>
      <c r="H4" s="12"/>
      <c r="I4" s="10" t="s">
        <v>523</v>
      </c>
    </row>
    <row r="5" spans="1:13" ht="15" customHeight="1">
      <c r="A5" s="8"/>
      <c r="B5" s="9"/>
      <c r="C5" s="10"/>
      <c r="D5" s="12"/>
      <c r="E5" s="10"/>
      <c r="F5" s="12"/>
      <c r="G5" s="10"/>
      <c r="H5" s="12"/>
      <c r="I5" s="10" t="s">
        <v>524</v>
      </c>
    </row>
    <row r="6" spans="1:13" ht="24" customHeight="1">
      <c r="A6" s="13"/>
      <c r="B6" s="14"/>
      <c r="C6" s="15"/>
      <c r="D6" s="16"/>
      <c r="E6" s="15"/>
      <c r="F6" s="16"/>
      <c r="G6" s="15"/>
      <c r="H6" s="16"/>
      <c r="I6" s="15"/>
    </row>
    <row r="7" spans="1:13" ht="30" customHeight="1" thickBot="1">
      <c r="A7" s="17">
        <f>[1]f!A7</f>
        <v>1994</v>
      </c>
      <c r="B7" s="18">
        <f>[1]f!B7</f>
        <v>118</v>
      </c>
      <c r="C7" s="19">
        <f>[1]f!C7</f>
        <v>15</v>
      </c>
      <c r="D7" s="20">
        <f>[1]f!D7</f>
        <v>22</v>
      </c>
      <c r="E7" s="19">
        <f>[1]f!E7</f>
        <v>8</v>
      </c>
      <c r="F7" s="20">
        <f>[1]f!F7</f>
        <v>13</v>
      </c>
      <c r="G7" s="19">
        <f>[1]f!G7</f>
        <v>2</v>
      </c>
      <c r="H7" s="21">
        <f>[1]f!H7</f>
        <v>178</v>
      </c>
      <c r="I7" s="34">
        <f>[1]f!I7</f>
        <v>-2.7E-2</v>
      </c>
      <c r="J7" s="22"/>
    </row>
    <row r="8" spans="1:13" ht="20" customHeight="1" thickBot="1">
      <c r="A8" s="23">
        <f>[1]f!A8</f>
        <v>1995</v>
      </c>
      <c r="B8" s="24">
        <f>[1]f!B8</f>
        <v>106</v>
      </c>
      <c r="C8" s="25">
        <f>[1]f!C8</f>
        <v>15</v>
      </c>
      <c r="D8" s="26">
        <f>[1]f!D8</f>
        <v>20</v>
      </c>
      <c r="E8" s="25">
        <f>[1]f!E8</f>
        <v>8</v>
      </c>
      <c r="F8" s="26">
        <f>[1]f!F8</f>
        <v>15</v>
      </c>
      <c r="G8" s="25">
        <f>[1]f!G8</f>
        <v>2</v>
      </c>
      <c r="H8" s="26">
        <f>[1]f!H8</f>
        <v>166</v>
      </c>
      <c r="I8" s="35">
        <f>[1]f!I8</f>
        <v>-6.741573033707865E-2</v>
      </c>
      <c r="J8" s="22"/>
    </row>
    <row r="9" spans="1:13" ht="20" customHeight="1" thickBot="1">
      <c r="A9" s="23">
        <f>[1]f!A9</f>
        <v>1996</v>
      </c>
      <c r="B9" s="24">
        <f>[1]f!B9</f>
        <v>90</v>
      </c>
      <c r="C9" s="25">
        <f>[1]f!C9</f>
        <v>14</v>
      </c>
      <c r="D9" s="26">
        <f>[1]f!D9</f>
        <v>20</v>
      </c>
      <c r="E9" s="25">
        <f>[1]f!E9</f>
        <v>6</v>
      </c>
      <c r="F9" s="26">
        <f>[1]f!F9</f>
        <v>12</v>
      </c>
      <c r="G9" s="25">
        <f>[1]f!G9</f>
        <v>3</v>
      </c>
      <c r="H9" s="26">
        <f>[1]f!H9</f>
        <v>145</v>
      </c>
      <c r="I9" s="35">
        <f>[1]f!I9</f>
        <v>-0.12650602409638553</v>
      </c>
    </row>
    <row r="10" spans="1:13" ht="20" customHeight="1" thickBot="1">
      <c r="A10" s="23">
        <f>[1]f!A10</f>
        <v>1997</v>
      </c>
      <c r="B10" s="24">
        <f>[1]f!B10</f>
        <v>76</v>
      </c>
      <c r="C10" s="25">
        <f>[1]f!C10</f>
        <v>14</v>
      </c>
      <c r="D10" s="26">
        <f>[1]f!D10</f>
        <v>20</v>
      </c>
      <c r="E10" s="25">
        <f>[1]f!E10</f>
        <v>4</v>
      </c>
      <c r="F10" s="26">
        <f>[1]f!F10</f>
        <v>11</v>
      </c>
      <c r="G10" s="25">
        <f>[1]f!G10</f>
        <v>4</v>
      </c>
      <c r="H10" s="26">
        <f>[1]f!H10</f>
        <v>129</v>
      </c>
      <c r="I10" s="35">
        <f>[1]f!I10</f>
        <v>-0.1103448275862069</v>
      </c>
      <c r="K10" s="27"/>
      <c r="L10" s="27"/>
      <c r="M10" s="27"/>
    </row>
    <row r="11" spans="1:13" ht="20" customHeight="1" thickBot="1">
      <c r="A11" s="23">
        <f>[1]f!A11</f>
        <v>1998</v>
      </c>
      <c r="B11" s="24">
        <f>[1]f!B11</f>
        <v>64</v>
      </c>
      <c r="C11" s="25">
        <f>[1]f!C11</f>
        <v>13</v>
      </c>
      <c r="D11" s="26">
        <f>[1]f!D11</f>
        <v>21</v>
      </c>
      <c r="E11" s="25">
        <f>[1]f!E11</f>
        <v>6</v>
      </c>
      <c r="F11" s="26">
        <f>[1]f!F11</f>
        <v>10</v>
      </c>
      <c r="G11" s="25">
        <f>[1]f!G11</f>
        <v>4</v>
      </c>
      <c r="H11" s="26">
        <f>[1]f!H11</f>
        <v>118</v>
      </c>
      <c r="I11" s="35">
        <f>[1]f!I11</f>
        <v>-8.5271317829457363E-2</v>
      </c>
    </row>
    <row r="12" spans="1:13" ht="20" customHeight="1" thickBot="1">
      <c r="A12" s="23">
        <f>[1]f!A12</f>
        <v>1999</v>
      </c>
      <c r="B12" s="24">
        <f>[1]f!B12</f>
        <v>56</v>
      </c>
      <c r="C12" s="25">
        <f>[1]f!C12</f>
        <v>12</v>
      </c>
      <c r="D12" s="26">
        <f>[1]f!D12</f>
        <v>19</v>
      </c>
      <c r="E12" s="25">
        <f>[1]f!E12</f>
        <v>8</v>
      </c>
      <c r="F12" s="26">
        <f>[1]f!F12</f>
        <v>10</v>
      </c>
      <c r="G12" s="25">
        <f>[1]f!G12</f>
        <v>4</v>
      </c>
      <c r="H12" s="26">
        <f>[1]f!H12</f>
        <v>109</v>
      </c>
      <c r="I12" s="35">
        <f>[1]f!I12</f>
        <v>-7.6271186440677971E-2</v>
      </c>
    </row>
    <row r="13" spans="1:13" ht="20" customHeight="1" thickBot="1">
      <c r="A13" s="23">
        <f>[1]f!A13</f>
        <v>2000</v>
      </c>
      <c r="B13" s="24">
        <f>[1]f!B13</f>
        <v>48</v>
      </c>
      <c r="C13" s="25">
        <f>[1]f!C13</f>
        <v>11</v>
      </c>
      <c r="D13" s="26">
        <f>[1]f!D13</f>
        <v>19</v>
      </c>
      <c r="E13" s="25">
        <f>[1]f!E13</f>
        <v>9</v>
      </c>
      <c r="F13" s="26">
        <f>[1]f!F13</f>
        <v>10</v>
      </c>
      <c r="G13" s="25">
        <f>[1]f!G13</f>
        <v>4</v>
      </c>
      <c r="H13" s="26">
        <f>[1]f!H13</f>
        <v>101</v>
      </c>
      <c r="I13" s="35">
        <f>[1]f!I13</f>
        <v>-7.3394495412844041E-2</v>
      </c>
    </row>
    <row r="14" spans="1:13" ht="30" customHeight="1" thickBot="1">
      <c r="A14" s="36">
        <f>[1]f!A14</f>
        <v>2001</v>
      </c>
      <c r="B14" s="37">
        <f>[1]f!B14</f>
        <v>43</v>
      </c>
      <c r="C14" s="38">
        <f>[1]f!C14</f>
        <v>9</v>
      </c>
      <c r="D14" s="39">
        <f>[1]f!D14</f>
        <v>23</v>
      </c>
      <c r="E14" s="38">
        <f>[1]f!E14</f>
        <v>9</v>
      </c>
      <c r="F14" s="39">
        <f>[1]f!F14</f>
        <v>11</v>
      </c>
      <c r="G14" s="38">
        <f>[1]f!G14</f>
        <v>4</v>
      </c>
      <c r="H14" s="39">
        <f>[1]f!H14</f>
        <v>99</v>
      </c>
      <c r="I14" s="40">
        <f>[1]f!I14</f>
        <v>-1.9801980198019802E-2</v>
      </c>
    </row>
    <row r="15" spans="1:13" ht="20" customHeight="1">
      <c r="A15" s="28" t="str">
        <f>'[2]data an-1'!$D$2</f>
        <v>Datenstand: 6.11.02</v>
      </c>
      <c r="B15" s="29"/>
      <c r="C15" s="29"/>
      <c r="D15" s="29"/>
      <c r="E15" s="29"/>
      <c r="F15" s="29"/>
      <c r="G15" s="29"/>
      <c r="H15" s="29"/>
      <c r="I15" s="30"/>
    </row>
    <row r="16" spans="1:13" ht="12" customHeight="1">
      <c r="A16" s="7" t="s">
        <v>525</v>
      </c>
      <c r="B16" s="31"/>
      <c r="C16" s="31"/>
      <c r="D16" s="31"/>
      <c r="E16" s="31"/>
      <c r="F16" s="31"/>
      <c r="G16" s="31"/>
      <c r="H16" s="31"/>
      <c r="I16" s="32"/>
    </row>
    <row r="17" spans="1:1">
      <c r="A17" s="7" t="s">
        <v>526</v>
      </c>
    </row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D786-A86C-2447-9976-CF2DFDFF812C}">
  <dimension ref="A1:K17"/>
  <sheetViews>
    <sheetView zoomScale="75" workbookViewId="0">
      <selection activeCell="D16" sqref="D16"/>
    </sheetView>
  </sheetViews>
  <sheetFormatPr baseColWidth="10" defaultColWidth="11.3984375" defaultRowHeight="13"/>
  <cols>
    <col min="1" max="1" width="20.796875" style="7" customWidth="1"/>
    <col min="2" max="5" width="14" style="7" customWidth="1"/>
    <col min="6" max="6" width="14.796875" style="7" customWidth="1"/>
    <col min="7" max="7" width="13.796875" style="7" customWidth="1"/>
    <col min="8" max="16384" width="11.3984375" style="7"/>
  </cols>
  <sheetData>
    <row r="1" spans="1:11" s="1" customFormat="1" ht="14" customHeight="1"/>
    <row r="2" spans="1:11" s="1" customFormat="1" ht="28" customHeight="1">
      <c r="A2" s="2" t="s">
        <v>528</v>
      </c>
    </row>
    <row r="3" spans="1:11" ht="24" customHeight="1">
      <c r="A3" s="41" t="s">
        <v>535</v>
      </c>
      <c r="B3" s="6" t="s">
        <v>529</v>
      </c>
      <c r="C3" s="42" t="s">
        <v>530</v>
      </c>
      <c r="D3" s="6" t="s">
        <v>531</v>
      </c>
      <c r="E3" s="42" t="s">
        <v>536</v>
      </c>
      <c r="F3" s="6" t="s">
        <v>514</v>
      </c>
      <c r="G3" s="42" t="s">
        <v>522</v>
      </c>
    </row>
    <row r="4" spans="1:11" ht="15" customHeight="1">
      <c r="A4" s="43"/>
      <c r="B4" s="12"/>
      <c r="C4" s="44"/>
      <c r="D4" s="12"/>
      <c r="E4" s="45"/>
      <c r="F4" s="12"/>
      <c r="G4" s="44" t="s">
        <v>523</v>
      </c>
    </row>
    <row r="5" spans="1:11" ht="15" customHeight="1">
      <c r="A5" s="43"/>
      <c r="B5" s="12"/>
      <c r="C5" s="44"/>
      <c r="D5" s="12"/>
      <c r="E5" s="45"/>
      <c r="F5" s="12"/>
      <c r="G5" s="44" t="s">
        <v>524</v>
      </c>
    </row>
    <row r="6" spans="1:11" ht="24" customHeight="1">
      <c r="A6" s="46"/>
      <c r="B6" s="16"/>
      <c r="C6" s="47"/>
      <c r="D6" s="16"/>
      <c r="E6" s="48"/>
      <c r="F6" s="16"/>
      <c r="G6" s="47"/>
    </row>
    <row r="7" spans="1:11" ht="30" customHeight="1" thickBot="1">
      <c r="A7" s="49">
        <f>[3]f!A7</f>
        <v>1994</v>
      </c>
      <c r="B7" s="21">
        <f>[3]f!B7</f>
        <v>2823406</v>
      </c>
      <c r="C7" s="50">
        <f>[3]f!C7</f>
        <v>2989156</v>
      </c>
      <c r="D7" s="20">
        <f>[3]f!D7</f>
        <v>5812562</v>
      </c>
      <c r="E7" s="50">
        <f>[3]f!E7</f>
        <v>1318941</v>
      </c>
      <c r="F7" s="21">
        <f>[3]f!F7</f>
        <v>7131503</v>
      </c>
      <c r="G7" s="51">
        <f>[3]f!G7</f>
        <v>1.06143763063733E-2</v>
      </c>
      <c r="H7" s="22"/>
    </row>
    <row r="8" spans="1:11" ht="20" customHeight="1" thickBot="1">
      <c r="A8" s="52">
        <f>[3]f!A8</f>
        <v>1995</v>
      </c>
      <c r="B8" s="53">
        <f>[3]f!B8</f>
        <v>2833617</v>
      </c>
      <c r="C8" s="54">
        <f>[3]f!C8</f>
        <v>3003950</v>
      </c>
      <c r="D8" s="26">
        <f>[3]f!D8</f>
        <v>5837567</v>
      </c>
      <c r="E8" s="54">
        <f>[3]f!E8</f>
        <v>1325772</v>
      </c>
      <c r="F8" s="26">
        <f>[3]f!F8</f>
        <v>7163339</v>
      </c>
      <c r="G8" s="55">
        <f>[3]f!G8</f>
        <v>4.4641361014641657E-3</v>
      </c>
      <c r="H8" s="22"/>
    </row>
    <row r="9" spans="1:11" ht="20" customHeight="1" thickBot="1">
      <c r="A9" s="52">
        <f>[3]f!A9</f>
        <v>1996</v>
      </c>
      <c r="B9" s="26">
        <f>[3]f!B9</f>
        <v>2760146</v>
      </c>
      <c r="C9" s="54">
        <f>[3]f!C9</f>
        <v>2938608</v>
      </c>
      <c r="D9" s="26">
        <f>[3]f!D9</f>
        <v>5698754</v>
      </c>
      <c r="E9" s="54">
        <f>[3]f!E9</f>
        <v>1496000</v>
      </c>
      <c r="F9" s="26">
        <f>[3]f!F9</f>
        <v>7194754</v>
      </c>
      <c r="G9" s="55">
        <f>[3]f!G9</f>
        <v>4.3855246833913626E-3</v>
      </c>
    </row>
    <row r="10" spans="1:11" ht="20" customHeight="1" thickBot="1">
      <c r="A10" s="52">
        <f>[3]f!A10</f>
        <v>1997</v>
      </c>
      <c r="B10" s="26">
        <f>[3]f!B10</f>
        <v>2725064</v>
      </c>
      <c r="C10" s="54">
        <f>[3]f!C10</f>
        <v>2902973</v>
      </c>
      <c r="D10" s="26">
        <f>[3]f!D10</f>
        <v>5628037</v>
      </c>
      <c r="E10" s="54">
        <f>[3]f!E10</f>
        <v>1586768</v>
      </c>
      <c r="F10" s="26">
        <f>[3]f!F10</f>
        <v>7214805</v>
      </c>
      <c r="G10" s="55">
        <f>[3]f!G10</f>
        <v>2.7868916713483186E-3</v>
      </c>
      <c r="I10" s="27"/>
      <c r="J10" s="27"/>
      <c r="K10" s="27"/>
    </row>
    <row r="11" spans="1:11" ht="20" customHeight="1" thickBot="1">
      <c r="A11" s="52">
        <f>[3]f!A11</f>
        <v>1998</v>
      </c>
      <c r="B11" s="26">
        <f>[3]f!B11</f>
        <v>2736949</v>
      </c>
      <c r="C11" s="54">
        <f>[3]f!C11</f>
        <v>2915969</v>
      </c>
      <c r="D11" s="26">
        <f>[3]f!D11</f>
        <v>5652918</v>
      </c>
      <c r="E11" s="54">
        <f>[3]f!E11</f>
        <v>1595685</v>
      </c>
      <c r="F11" s="26">
        <f>[3]f!F11</f>
        <v>7248603</v>
      </c>
      <c r="G11" s="55">
        <f>[3]f!G11</f>
        <v>4.6845340934370365E-3</v>
      </c>
    </row>
    <row r="12" spans="1:11" ht="20" customHeight="1" thickBot="1">
      <c r="A12" s="52">
        <f>[3]f!A12</f>
        <v>1999</v>
      </c>
      <c r="B12" s="26">
        <f>[3]f!B12</f>
        <v>2741177</v>
      </c>
      <c r="C12" s="54">
        <f>[3]f!C12</f>
        <v>2926032</v>
      </c>
      <c r="D12" s="26">
        <f>[3]f!D12</f>
        <v>5667209</v>
      </c>
      <c r="E12" s="54">
        <f>[3]f!E12</f>
        <v>1599325</v>
      </c>
      <c r="F12" s="26">
        <f>[3]f!F12</f>
        <v>7266534</v>
      </c>
      <c r="G12" s="55">
        <f>[3]f!G12</f>
        <v>2.4737180391863093E-3</v>
      </c>
    </row>
    <row r="13" spans="1:11" ht="20" customHeight="1" thickBot="1">
      <c r="A13" s="52">
        <f>[3]f!A13</f>
        <v>2000</v>
      </c>
      <c r="B13" s="26">
        <f>[3]f!B13</f>
        <v>2746615</v>
      </c>
      <c r="C13" s="54">
        <f>[3]f!C13</f>
        <v>2936748</v>
      </c>
      <c r="D13" s="26">
        <f>[3]f!D13</f>
        <v>5683363</v>
      </c>
      <c r="E13" s="54">
        <f>[3]f!E13</f>
        <v>1584748</v>
      </c>
      <c r="F13" s="26">
        <f>[3]f!F13</f>
        <v>7268111</v>
      </c>
      <c r="G13" s="55">
        <f>[3]f!G13</f>
        <v>2.1702231077429761E-4</v>
      </c>
    </row>
    <row r="14" spans="1:11" ht="30" customHeight="1" thickBot="1">
      <c r="A14" s="56">
        <f>[3]f!A14</f>
        <v>2001</v>
      </c>
      <c r="B14" s="39">
        <f>[3]f!B14</f>
        <v>2775829</v>
      </c>
      <c r="C14" s="57">
        <f>[3]f!C14</f>
        <v>2962533</v>
      </c>
      <c r="D14" s="39">
        <f>[3]f!D14</f>
        <v>5738362</v>
      </c>
      <c r="E14" s="57">
        <f>[3]f!E14</f>
        <v>1582925</v>
      </c>
      <c r="F14" s="39">
        <f>[3]f!F14</f>
        <v>7321287</v>
      </c>
      <c r="G14" s="58">
        <f>[3]f!G14</f>
        <v>7.3163439578729601E-3</v>
      </c>
    </row>
    <row r="15" spans="1:11" ht="20" customHeight="1">
      <c r="A15" s="28" t="s">
        <v>532</v>
      </c>
      <c r="B15" s="29"/>
      <c r="C15" s="29"/>
      <c r="D15" s="29"/>
      <c r="E15" s="29"/>
      <c r="F15" s="29"/>
      <c r="G15" s="30"/>
    </row>
    <row r="16" spans="1:11" ht="12.75" customHeight="1">
      <c r="A16" s="7" t="s">
        <v>533</v>
      </c>
      <c r="B16" s="31"/>
      <c r="C16" s="31"/>
      <c r="D16" s="31"/>
      <c r="E16" s="31"/>
      <c r="F16" s="31"/>
      <c r="G16" s="32"/>
    </row>
    <row r="17" spans="1:1" ht="12.75" customHeight="1">
      <c r="A17" s="7" t="s">
        <v>534</v>
      </c>
    </row>
  </sheetData>
  <phoneticPr fontId="0" type="noConversion"/>
  <pageMargins left="0.78740157480314965" right="0.78740157480314965" top="1.46" bottom="0.49" header="0.95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2F03D-8E18-5F4B-9454-DE31F952F798}">
  <dimension ref="A1:F41"/>
  <sheetViews>
    <sheetView zoomScale="75" workbookViewId="0">
      <selection activeCell="A14" sqref="A14"/>
    </sheetView>
  </sheetViews>
  <sheetFormatPr baseColWidth="10" defaultColWidth="11.3984375" defaultRowHeight="13"/>
  <cols>
    <col min="1" max="1" width="16.19921875" style="7" customWidth="1"/>
    <col min="2" max="5" width="17.3984375" style="7" customWidth="1"/>
    <col min="6" max="6" width="17.3984375" style="83" customWidth="1"/>
    <col min="7" max="16384" width="11.3984375" style="7"/>
  </cols>
  <sheetData>
    <row r="1" spans="1:6" s="1" customFormat="1" ht="14" customHeight="1">
      <c r="F1" s="59"/>
    </row>
    <row r="2" spans="1:6" s="1" customFormat="1" ht="28" customHeight="1">
      <c r="A2" s="2" t="str">
        <f>"T 1.03  Versichertenbestand nach Wohnkanton per 31.12."&amp;'[2]data an-1'!$B$2</f>
        <v>T 1.03  Versichertenbestand nach Wohnkanton per 31.12.2001</v>
      </c>
      <c r="F2" s="59"/>
    </row>
    <row r="3" spans="1:6" ht="27" customHeight="1">
      <c r="A3" s="41" t="s">
        <v>537</v>
      </c>
      <c r="B3" s="6" t="s">
        <v>529</v>
      </c>
      <c r="C3" s="42" t="s">
        <v>530</v>
      </c>
      <c r="D3" s="6" t="s">
        <v>538</v>
      </c>
      <c r="E3" s="42" t="s">
        <v>514</v>
      </c>
      <c r="F3" s="60" t="s">
        <v>539</v>
      </c>
    </row>
    <row r="4" spans="1:6" ht="12" customHeight="1">
      <c r="A4" s="61"/>
      <c r="B4" s="62"/>
      <c r="C4" s="61"/>
      <c r="D4" s="62"/>
      <c r="E4" s="61"/>
      <c r="F4" s="63" t="s">
        <v>540</v>
      </c>
    </row>
    <row r="5" spans="1:6" ht="39" customHeight="1">
      <c r="A5" s="64"/>
      <c r="B5" s="65"/>
      <c r="C5" s="64"/>
      <c r="D5" s="65"/>
      <c r="E5" s="64"/>
      <c r="F5" s="66" t="s">
        <v>524</v>
      </c>
    </row>
    <row r="6" spans="1:6" ht="30" customHeight="1" thickBot="1">
      <c r="A6" s="67" t="s">
        <v>541</v>
      </c>
      <c r="B6" s="21">
        <f>[4]f!B4</f>
        <v>481873</v>
      </c>
      <c r="C6" s="68">
        <f>[4]f!C4</f>
        <v>514815</v>
      </c>
      <c r="D6" s="21">
        <f>[4]f!D4</f>
        <v>245165</v>
      </c>
      <c r="E6" s="68">
        <f>[4]f!E4</f>
        <v>1241853</v>
      </c>
      <c r="F6" s="69">
        <f>[4]f!F4</f>
        <v>1.2426107380416385E-2</v>
      </c>
    </row>
    <row r="7" spans="1:6" ht="20" customHeight="1" thickBot="1">
      <c r="A7" s="70" t="s">
        <v>542</v>
      </c>
      <c r="B7" s="53">
        <f>[4]f!B5</f>
        <v>362543</v>
      </c>
      <c r="C7" s="71">
        <f>[4]f!C5</f>
        <v>393538</v>
      </c>
      <c r="D7" s="53">
        <f>[4]f!D5</f>
        <v>197732</v>
      </c>
      <c r="E7" s="71">
        <f>[4]f!E5</f>
        <v>953813</v>
      </c>
      <c r="F7" s="72">
        <f>[4]f!F5</f>
        <v>1.2828170746941314E-3</v>
      </c>
    </row>
    <row r="8" spans="1:6" ht="20" customHeight="1" thickBot="1">
      <c r="A8" s="70" t="s">
        <v>543</v>
      </c>
      <c r="B8" s="53">
        <f>[4]f!B6</f>
        <v>132297</v>
      </c>
      <c r="C8" s="71">
        <f>[4]f!C6</f>
        <v>139322</v>
      </c>
      <c r="D8" s="53">
        <f>[4]f!D6</f>
        <v>83420</v>
      </c>
      <c r="E8" s="71">
        <f>[4]f!E6</f>
        <v>355039</v>
      </c>
      <c r="F8" s="72">
        <f>[4]f!F6</f>
        <v>5.7220716165418128E-3</v>
      </c>
    </row>
    <row r="9" spans="1:6" ht="20" customHeight="1" thickBot="1">
      <c r="A9" s="70" t="s">
        <v>544</v>
      </c>
      <c r="B9" s="53">
        <f>[4]f!B7</f>
        <v>13595</v>
      </c>
      <c r="C9" s="71">
        <f>[4]f!C7</f>
        <v>13696</v>
      </c>
      <c r="D9" s="53">
        <f>[4]f!D7</f>
        <v>8251</v>
      </c>
      <c r="E9" s="71">
        <f>[4]f!E7</f>
        <v>35542</v>
      </c>
      <c r="F9" s="72">
        <f>[4]f!F7</f>
        <v>-3.2810791104630477E-3</v>
      </c>
    </row>
    <row r="10" spans="1:6" ht="20" customHeight="1" thickBot="1">
      <c r="A10" s="70" t="s">
        <v>545</v>
      </c>
      <c r="B10" s="53">
        <f>[4]f!B8</f>
        <v>50248</v>
      </c>
      <c r="C10" s="71">
        <f>[4]f!C8</f>
        <v>49939</v>
      </c>
      <c r="D10" s="53">
        <f>[4]f!D8</f>
        <v>31555</v>
      </c>
      <c r="E10" s="71">
        <f>[4]f!E8</f>
        <v>131742</v>
      </c>
      <c r="F10" s="72">
        <f>[4]f!F8</f>
        <v>1.3283082721224471E-2</v>
      </c>
    </row>
    <row r="11" spans="1:6" ht="20" customHeight="1" thickBot="1">
      <c r="A11" s="70" t="s">
        <v>546</v>
      </c>
      <c r="B11" s="53">
        <f>[4]f!B9</f>
        <v>12667</v>
      </c>
      <c r="C11" s="71">
        <f>[4]f!C9</f>
        <v>12685</v>
      </c>
      <c r="D11" s="53">
        <f>[4]f!D9</f>
        <v>8218</v>
      </c>
      <c r="E11" s="71">
        <f>[4]f!E9</f>
        <v>33570</v>
      </c>
      <c r="F11" s="72">
        <f>[4]f!F9</f>
        <v>9.0777924732474702E-3</v>
      </c>
    </row>
    <row r="12" spans="1:6" ht="20" customHeight="1" thickBot="1">
      <c r="A12" s="70" t="s">
        <v>547</v>
      </c>
      <c r="B12" s="53">
        <f>[4]f!B10</f>
        <v>14821</v>
      </c>
      <c r="C12" s="71">
        <f>[4]f!C10</f>
        <v>14667</v>
      </c>
      <c r="D12" s="53">
        <f>[4]f!D10</f>
        <v>8682</v>
      </c>
      <c r="E12" s="71">
        <f>[4]f!E10</f>
        <v>38170</v>
      </c>
      <c r="F12" s="72">
        <f>[4]f!F10</f>
        <v>1.2493700098145766E-2</v>
      </c>
    </row>
    <row r="13" spans="1:6" ht="20" customHeight="1" thickBot="1">
      <c r="A13" s="70" t="s">
        <v>548</v>
      </c>
      <c r="B13" s="53">
        <f>[4]f!B11</f>
        <v>14434</v>
      </c>
      <c r="C13" s="71">
        <f>[4]f!C11</f>
        <v>15146</v>
      </c>
      <c r="D13" s="53">
        <f>[4]f!D11</f>
        <v>9039</v>
      </c>
      <c r="E13" s="71">
        <f>[4]f!E11</f>
        <v>38619</v>
      </c>
      <c r="F13" s="72">
        <f>[4]f!F11</f>
        <v>-2.7887520334650695E-3</v>
      </c>
    </row>
    <row r="14" spans="1:6" ht="20" customHeight="1" thickBot="1">
      <c r="A14" s="70" t="s">
        <v>549</v>
      </c>
      <c r="B14" s="53">
        <f>[4]f!B12</f>
        <v>39226</v>
      </c>
      <c r="C14" s="71">
        <f>[4]f!C12</f>
        <v>39706</v>
      </c>
      <c r="D14" s="53">
        <f>[4]f!D12</f>
        <v>21572</v>
      </c>
      <c r="E14" s="71">
        <f>[4]f!E12</f>
        <v>100504</v>
      </c>
      <c r="F14" s="72">
        <f>[4]f!F12</f>
        <v>1.1798816091491249E-2</v>
      </c>
    </row>
    <row r="15" spans="1:6" ht="20" customHeight="1" thickBot="1">
      <c r="A15" s="70" t="s">
        <v>550</v>
      </c>
      <c r="B15" s="53">
        <f>[4]f!B13</f>
        <v>89670</v>
      </c>
      <c r="C15" s="71">
        <f>[4]f!C13</f>
        <v>92762</v>
      </c>
      <c r="D15" s="53">
        <f>[4]f!D13</f>
        <v>59175</v>
      </c>
      <c r="E15" s="71">
        <f>[4]f!E13</f>
        <v>241607</v>
      </c>
      <c r="F15" s="72">
        <f>[4]f!F13</f>
        <v>9.9951508260316402E-3</v>
      </c>
    </row>
    <row r="16" spans="1:6" ht="20" customHeight="1" thickBot="1">
      <c r="A16" s="70" t="s">
        <v>551</v>
      </c>
      <c r="B16" s="53">
        <f>[4]f!B14</f>
        <v>94022</v>
      </c>
      <c r="C16" s="71">
        <f>[4]f!C14</f>
        <v>99075</v>
      </c>
      <c r="D16" s="53">
        <f>[4]f!D14</f>
        <v>54269</v>
      </c>
      <c r="E16" s="71">
        <f>[4]f!E14</f>
        <v>247366</v>
      </c>
      <c r="F16" s="72">
        <f>[4]f!F14</f>
        <v>1.6602147751016982E-3</v>
      </c>
    </row>
    <row r="17" spans="1:6" ht="20" customHeight="1" thickBot="1">
      <c r="A17" s="70" t="s">
        <v>552</v>
      </c>
      <c r="B17" s="53">
        <f>[4]f!B15</f>
        <v>70530</v>
      </c>
      <c r="C17" s="71">
        <f>[4]f!C15</f>
        <v>81460</v>
      </c>
      <c r="D17" s="53">
        <f>[4]f!D15</f>
        <v>30364</v>
      </c>
      <c r="E17" s="71">
        <f>[4]f!E15</f>
        <v>182354</v>
      </c>
      <c r="F17" s="72">
        <f>[4]f!F15</f>
        <v>-9.6399806657289089E-3</v>
      </c>
    </row>
    <row r="18" spans="1:6" ht="20" customHeight="1" thickBot="1">
      <c r="A18" s="70" t="s">
        <v>553</v>
      </c>
      <c r="B18" s="53">
        <f>[4]f!B16</f>
        <v>101232</v>
      </c>
      <c r="C18" s="71">
        <f>[4]f!C16</f>
        <v>107477</v>
      </c>
      <c r="D18" s="53">
        <f>[4]f!D16</f>
        <v>53673</v>
      </c>
      <c r="E18" s="71">
        <f>[4]f!E16</f>
        <v>262382</v>
      </c>
      <c r="F18" s="72">
        <f>[4]f!F16</f>
        <v>4.6214224179190744E-3</v>
      </c>
    </row>
    <row r="19" spans="1:6" ht="20" customHeight="1" thickBot="1">
      <c r="A19" s="70" t="s">
        <v>554</v>
      </c>
      <c r="B19" s="53">
        <f>[4]f!B17</f>
        <v>27943</v>
      </c>
      <c r="C19" s="71">
        <f>[4]f!C17</f>
        <v>30555</v>
      </c>
      <c r="D19" s="53">
        <f>[4]f!D17</f>
        <v>15807</v>
      </c>
      <c r="E19" s="71">
        <f>[4]f!E17</f>
        <v>74305</v>
      </c>
      <c r="F19" s="72">
        <f>[4]f!F17</f>
        <v>-4.3047203949575508E-4</v>
      </c>
    </row>
    <row r="20" spans="1:6" ht="20" customHeight="1" thickBot="1">
      <c r="A20" s="70" t="s">
        <v>555</v>
      </c>
      <c r="B20" s="53">
        <f>[4]f!B18</f>
        <v>20010</v>
      </c>
      <c r="C20" s="71">
        <f>[4]f!C18</f>
        <v>20967</v>
      </c>
      <c r="D20" s="53">
        <f>[4]f!D18</f>
        <v>12996</v>
      </c>
      <c r="E20" s="71">
        <f>[4]f!E18</f>
        <v>53973</v>
      </c>
      <c r="F20" s="72">
        <f>[4]f!F18</f>
        <v>-4.0411868910540383E-3</v>
      </c>
    </row>
    <row r="21" spans="1:6" ht="20" customHeight="1" thickBot="1">
      <c r="A21" s="70" t="s">
        <v>556</v>
      </c>
      <c r="B21" s="53">
        <f>[4]f!B19</f>
        <v>5482</v>
      </c>
      <c r="C21" s="71">
        <f>[4]f!C19</f>
        <v>5388</v>
      </c>
      <c r="D21" s="53">
        <f>[4]f!D19</f>
        <v>4058</v>
      </c>
      <c r="E21" s="71">
        <f>[4]f!E19</f>
        <v>14928</v>
      </c>
      <c r="F21" s="72">
        <f>[4]f!F19</f>
        <v>1.0058338362501917E-3</v>
      </c>
    </row>
    <row r="22" spans="1:6" ht="20" customHeight="1" thickBot="1">
      <c r="A22" s="70" t="s">
        <v>557</v>
      </c>
      <c r="B22" s="53">
        <f>[4]f!B20</f>
        <v>169437</v>
      </c>
      <c r="C22" s="71">
        <f>[4]f!C20</f>
        <v>177816</v>
      </c>
      <c r="D22" s="53">
        <f>[4]f!D20</f>
        <v>109864</v>
      </c>
      <c r="E22" s="71">
        <f>[4]f!E20</f>
        <v>457117</v>
      </c>
      <c r="F22" s="72">
        <f>[4]f!F20</f>
        <v>5.3001163386532379E-3</v>
      </c>
    </row>
    <row r="23" spans="1:6" ht="20" customHeight="1" thickBot="1">
      <c r="A23" s="70" t="s">
        <v>558</v>
      </c>
      <c r="B23" s="53">
        <f>[4]f!B21</f>
        <v>75928</v>
      </c>
      <c r="C23" s="71">
        <f>[4]f!C21</f>
        <v>77182</v>
      </c>
      <c r="D23" s="53">
        <f>[4]f!D21</f>
        <v>40811</v>
      </c>
      <c r="E23" s="71">
        <f>[4]f!E21</f>
        <v>193921</v>
      </c>
      <c r="F23" s="72">
        <f>[4]f!F21</f>
        <v>-2.2484281583469157E-3</v>
      </c>
    </row>
    <row r="24" spans="1:6" ht="20" customHeight="1" thickBot="1">
      <c r="A24" s="70" t="s">
        <v>559</v>
      </c>
      <c r="B24" s="53">
        <f>[4]f!B22</f>
        <v>212583</v>
      </c>
      <c r="C24" s="71">
        <f>[4]f!C22</f>
        <v>218692</v>
      </c>
      <c r="D24" s="53">
        <f>[4]f!D22</f>
        <v>126849</v>
      </c>
      <c r="E24" s="71">
        <f>[4]f!E22</f>
        <v>558124</v>
      </c>
      <c r="F24" s="72">
        <f>[4]f!F22</f>
        <v>9.462969259819376E-3</v>
      </c>
    </row>
    <row r="25" spans="1:6" ht="20" customHeight="1" thickBot="1">
      <c r="A25" s="70" t="s">
        <v>560</v>
      </c>
      <c r="B25" s="53">
        <f>[4]f!B23</f>
        <v>84793</v>
      </c>
      <c r="C25" s="71">
        <f>[4]f!C23</f>
        <v>87887</v>
      </c>
      <c r="D25" s="53">
        <f>[4]f!D23</f>
        <v>57175</v>
      </c>
      <c r="E25" s="71">
        <f>[4]f!E23</f>
        <v>229855</v>
      </c>
      <c r="F25" s="72">
        <f>[4]f!F23</f>
        <v>2.8577661431063994E-3</v>
      </c>
    </row>
    <row r="26" spans="1:6" ht="20" customHeight="1" thickBot="1">
      <c r="A26" s="70" t="s">
        <v>561</v>
      </c>
      <c r="B26" s="53">
        <f>[4]f!B24</f>
        <v>119388</v>
      </c>
      <c r="C26" s="71">
        <f>[4]f!C24</f>
        <v>134572</v>
      </c>
      <c r="D26" s="53">
        <f>[4]f!D24</f>
        <v>58463</v>
      </c>
      <c r="E26" s="71">
        <f>[4]f!E24</f>
        <v>312423</v>
      </c>
      <c r="F26" s="72">
        <f>[4]f!F24</f>
        <v>5.0861852645396333E-3</v>
      </c>
    </row>
    <row r="27" spans="1:6" ht="20" customHeight="1" thickBot="1">
      <c r="A27" s="70" t="s">
        <v>562</v>
      </c>
      <c r="B27" s="53">
        <f>[4]f!B25</f>
        <v>232197</v>
      </c>
      <c r="C27" s="71">
        <f>[4]f!C25</f>
        <v>256063</v>
      </c>
      <c r="D27" s="53">
        <f>[4]f!D25</f>
        <v>140183</v>
      </c>
      <c r="E27" s="71">
        <f>[4]f!E25</f>
        <v>628443</v>
      </c>
      <c r="F27" s="72">
        <f>[4]f!F25</f>
        <v>1.0506360255278402E-2</v>
      </c>
    </row>
    <row r="28" spans="1:6" ht="20" customHeight="1" thickBot="1">
      <c r="A28" s="70" t="s">
        <v>563</v>
      </c>
      <c r="B28" s="53">
        <f>[4]f!B26</f>
        <v>107653</v>
      </c>
      <c r="C28" s="71">
        <f>[4]f!C26</f>
        <v>112958</v>
      </c>
      <c r="D28" s="53">
        <f>[4]f!D26</f>
        <v>63827</v>
      </c>
      <c r="E28" s="71">
        <f>[4]f!E26</f>
        <v>284438</v>
      </c>
      <c r="F28" s="72">
        <f>[4]f!F26</f>
        <v>5.9130164164007404E-3</v>
      </c>
    </row>
    <row r="29" spans="1:6" ht="20" customHeight="1" thickBot="1">
      <c r="A29" s="70" t="s">
        <v>564</v>
      </c>
      <c r="B29" s="53">
        <f>[4]f!B27</f>
        <v>62833</v>
      </c>
      <c r="C29" s="71">
        <f>[4]f!C27</f>
        <v>68784</v>
      </c>
      <c r="D29" s="53">
        <f>[4]f!D27</f>
        <v>36577</v>
      </c>
      <c r="E29" s="71">
        <f>[4]f!E27</f>
        <v>168194</v>
      </c>
      <c r="F29" s="72">
        <f>[4]f!F27</f>
        <v>3.1491178891367433E-3</v>
      </c>
    </row>
    <row r="30" spans="1:6" ht="20" customHeight="1" thickBot="1">
      <c r="A30" s="70" t="s">
        <v>565</v>
      </c>
      <c r="B30" s="53">
        <f>[4]f!B28</f>
        <v>144303</v>
      </c>
      <c r="C30" s="71">
        <f>[4]f!C28</f>
        <v>162250</v>
      </c>
      <c r="D30" s="53">
        <f>[4]f!D28</f>
        <v>83830</v>
      </c>
      <c r="E30" s="71">
        <f>[4]f!E28</f>
        <v>390383</v>
      </c>
      <c r="F30" s="72">
        <f>[4]f!F28</f>
        <v>1.255372293103485E-2</v>
      </c>
    </row>
    <row r="31" spans="1:6" ht="22" customHeight="1" thickBot="1">
      <c r="A31" s="73" t="s">
        <v>566</v>
      </c>
      <c r="B31" s="74">
        <f>[4]f!B29</f>
        <v>25906</v>
      </c>
      <c r="C31" s="75">
        <f>[4]f!C29</f>
        <v>27485</v>
      </c>
      <c r="D31" s="74">
        <f>[4]f!D29</f>
        <v>16442</v>
      </c>
      <c r="E31" s="75">
        <f>[4]f!E29</f>
        <v>69833</v>
      </c>
      <c r="F31" s="76">
        <f>[4]f!F29</f>
        <v>-3.6382833009930282E-3</v>
      </c>
    </row>
    <row r="32" spans="1:6" ht="22" customHeight="1" thickBot="1">
      <c r="A32" s="73" t="s">
        <v>567</v>
      </c>
      <c r="B32" s="74">
        <f>[4]f!B30</f>
        <v>2765614</v>
      </c>
      <c r="C32" s="75">
        <f>[4]f!C30</f>
        <v>2954887</v>
      </c>
      <c r="D32" s="74">
        <f>[4]f!D30</f>
        <v>1577997</v>
      </c>
      <c r="E32" s="75">
        <f>[4]f!E30</f>
        <v>7298498</v>
      </c>
      <c r="F32" s="76">
        <f>[4]f!F30</f>
        <v>6.4381168287641621E-3</v>
      </c>
    </row>
    <row r="33" spans="1:6" ht="22" customHeight="1" thickBot="1">
      <c r="A33" s="73" t="s">
        <v>568</v>
      </c>
      <c r="B33" s="74">
        <f>[4]f!B31</f>
        <v>10138</v>
      </c>
      <c r="C33" s="75">
        <f>[4]f!C31</f>
        <v>7623</v>
      </c>
      <c r="D33" s="74">
        <f>[4]f!D31</f>
        <v>4907</v>
      </c>
      <c r="E33" s="75">
        <f>[4]f!E31</f>
        <v>22668</v>
      </c>
      <c r="F33" s="77">
        <f>[4]f!F31</f>
        <v>0.40533168009919396</v>
      </c>
    </row>
    <row r="34" spans="1:6" ht="22" customHeight="1" thickBot="1">
      <c r="A34" s="73" t="s">
        <v>569</v>
      </c>
      <c r="B34" s="74">
        <f>[4]f!B32</f>
        <v>77</v>
      </c>
      <c r="C34" s="75">
        <f>[4]f!C32</f>
        <v>23</v>
      </c>
      <c r="D34" s="74">
        <f>[4]f!D32</f>
        <v>21</v>
      </c>
      <c r="E34" s="75">
        <f>[4]f!E32</f>
        <v>121</v>
      </c>
      <c r="F34" s="77">
        <f>[4]f!F32</f>
        <v>-0.29239766081871343</v>
      </c>
    </row>
    <row r="35" spans="1:6" s="81" customFormat="1" ht="30" customHeight="1" thickBot="1">
      <c r="A35" s="78" t="s">
        <v>514</v>
      </c>
      <c r="B35" s="39">
        <f>[4]f!B33</f>
        <v>2775829</v>
      </c>
      <c r="C35" s="57">
        <f>[4]f!C33</f>
        <v>2962533</v>
      </c>
      <c r="D35" s="39">
        <f>[4]f!D33</f>
        <v>1582925</v>
      </c>
      <c r="E35" s="79">
        <f>[4]f!E33</f>
        <v>7321287</v>
      </c>
      <c r="F35" s="80">
        <f>[4]f!F33</f>
        <v>7.3163439578729506E-3</v>
      </c>
    </row>
    <row r="36" spans="1:6" ht="19.5" customHeight="1">
      <c r="A36" s="28" t="str">
        <f>'[2]data an-1'!$D$2</f>
        <v>Datenstand: 6.11.02</v>
      </c>
      <c r="B36" s="28"/>
      <c r="C36" s="28"/>
      <c r="D36" s="28"/>
      <c r="E36" s="28"/>
      <c r="F36" s="82"/>
    </row>
    <row r="37" spans="1:6" ht="12.75" customHeight="1">
      <c r="A37" s="7" t="s">
        <v>570</v>
      </c>
    </row>
    <row r="38" spans="1:6" ht="12" customHeight="1"/>
    <row r="39" spans="1:6" ht="12" customHeight="1"/>
    <row r="40" spans="1:6" ht="12" customHeight="1"/>
    <row r="41" spans="1:6" ht="12" customHeight="1"/>
  </sheetData>
  <phoneticPr fontId="0" type="noConversion"/>
  <pageMargins left="0.78740157480314965" right="0.78740157480314965" top="1.1499999999999999" bottom="0.49" header="0.74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3D501-BBE1-5043-85D1-9C357248518C}">
  <dimension ref="A1:G34"/>
  <sheetViews>
    <sheetView zoomScale="75" workbookViewId="0">
      <selection activeCell="B40" sqref="B40"/>
    </sheetView>
  </sheetViews>
  <sheetFormatPr baseColWidth="10" defaultColWidth="11.3984375" defaultRowHeight="13"/>
  <cols>
    <col min="1" max="1" width="18.59765625" style="7" customWidth="1"/>
    <col min="2" max="7" width="14.59765625" style="7" customWidth="1"/>
    <col min="8" max="16384" width="11.3984375" style="7"/>
  </cols>
  <sheetData>
    <row r="1" spans="1:7" ht="14" customHeight="1">
      <c r="A1" s="1"/>
    </row>
    <row r="2" spans="1:7" ht="28" customHeight="1">
      <c r="A2" s="2" t="str">
        <f>"T 1.04  Versichertenbestand nach Alter und Geschlecht per 31.12."&amp;'[2]data an-1'!$B$2</f>
        <v>T 1.04  Versichertenbestand nach Alter und Geschlecht per 31.12.2001</v>
      </c>
    </row>
    <row r="3" spans="1:7" ht="36" customHeight="1">
      <c r="A3" s="84" t="s">
        <v>571</v>
      </c>
      <c r="B3" s="85" t="s">
        <v>572</v>
      </c>
      <c r="C3" s="86"/>
      <c r="D3" s="85" t="s">
        <v>573</v>
      </c>
      <c r="E3" s="86"/>
      <c r="F3" s="85" t="s">
        <v>514</v>
      </c>
      <c r="G3" s="86"/>
    </row>
    <row r="4" spans="1:7" ht="15" customHeight="1">
      <c r="A4" s="87"/>
      <c r="B4" s="88" t="s">
        <v>574</v>
      </c>
      <c r="C4" s="89" t="s">
        <v>575</v>
      </c>
      <c r="D4" s="88" t="s">
        <v>574</v>
      </c>
      <c r="E4" s="89" t="s">
        <v>575</v>
      </c>
      <c r="F4" s="88" t="s">
        <v>574</v>
      </c>
      <c r="G4" s="89" t="s">
        <v>575</v>
      </c>
    </row>
    <row r="5" spans="1:7" ht="15" customHeight="1">
      <c r="A5" s="43"/>
      <c r="B5" s="12" t="s">
        <v>576</v>
      </c>
      <c r="C5" s="44" t="s">
        <v>577</v>
      </c>
      <c r="D5" s="12" t="s">
        <v>576</v>
      </c>
      <c r="E5" s="44" t="s">
        <v>577</v>
      </c>
      <c r="F5" s="11" t="s">
        <v>576</v>
      </c>
      <c r="G5" s="44" t="s">
        <v>577</v>
      </c>
    </row>
    <row r="6" spans="1:7" ht="21" customHeight="1">
      <c r="A6" s="46"/>
      <c r="B6" s="16"/>
      <c r="C6" s="47" t="s">
        <v>578</v>
      </c>
      <c r="D6" s="16"/>
      <c r="E6" s="47" t="s">
        <v>578</v>
      </c>
      <c r="F6" s="16"/>
      <c r="G6" s="47" t="s">
        <v>578</v>
      </c>
    </row>
    <row r="7" spans="1:7" ht="30" customHeight="1" thickBot="1">
      <c r="A7" s="67" t="s">
        <v>579</v>
      </c>
      <c r="B7" s="21">
        <f>[5]f!B6</f>
        <v>240031</v>
      </c>
      <c r="C7" s="90">
        <f>[5]f!C6</f>
        <v>3.2785355908052781E-2</v>
      </c>
      <c r="D7" s="21">
        <f>[5]f!D6</f>
        <v>227249</v>
      </c>
      <c r="E7" s="90">
        <f>[5]f!E6</f>
        <v>3.1039488002587524E-2</v>
      </c>
      <c r="F7" s="21">
        <f>[5]f!F6</f>
        <v>467280</v>
      </c>
      <c r="G7" s="90">
        <f>[5]f!G6</f>
        <v>6.3824843910640305E-2</v>
      </c>
    </row>
    <row r="8" spans="1:7" ht="20" customHeight="1" thickBot="1">
      <c r="A8" s="91" t="s">
        <v>580</v>
      </c>
      <c r="B8" s="53">
        <f>[5]f!B7</f>
        <v>220523</v>
      </c>
      <c r="C8" s="90">
        <f>[5]f!C7</f>
        <v>3.0120797067510124E-2</v>
      </c>
      <c r="D8" s="53">
        <f>[5]f!D7</f>
        <v>210438</v>
      </c>
      <c r="E8" s="90">
        <f>[5]f!E7</f>
        <v>2.8743307016922025E-2</v>
      </c>
      <c r="F8" s="53">
        <f>[5]f!F7</f>
        <v>430961</v>
      </c>
      <c r="G8" s="90">
        <f>[5]f!G7</f>
        <v>5.8864104084432149E-2</v>
      </c>
    </row>
    <row r="9" spans="1:7" ht="20" customHeight="1" thickBot="1">
      <c r="A9" s="70" t="s">
        <v>581</v>
      </c>
      <c r="B9" s="53">
        <f>[5]f!B8</f>
        <v>221246</v>
      </c>
      <c r="C9" s="90">
        <f>[5]f!C8</f>
        <v>3.0219550196570629E-2</v>
      </c>
      <c r="D9" s="53">
        <f>[5]f!D8</f>
        <v>211549</v>
      </c>
      <c r="E9" s="90">
        <f>[5]f!E8</f>
        <v>2.8895056292698264E-2</v>
      </c>
      <c r="F9" s="53">
        <f>[5]f!F8</f>
        <v>432795</v>
      </c>
      <c r="G9" s="90">
        <f>[5]f!G8</f>
        <v>5.9114606489268896E-2</v>
      </c>
    </row>
    <row r="10" spans="1:7" ht="20" customHeight="1" thickBot="1">
      <c r="A10" s="70" t="s">
        <v>582</v>
      </c>
      <c r="B10" s="53">
        <f>[5]f!B9</f>
        <v>129625</v>
      </c>
      <c r="C10" s="90">
        <f>[5]f!C9</f>
        <v>1.7705220407286313E-2</v>
      </c>
      <c r="D10" s="53">
        <f>[5]f!D9</f>
        <v>122264</v>
      </c>
      <c r="E10" s="90">
        <f>[5]f!E9</f>
        <v>1.6699796087764351E-2</v>
      </c>
      <c r="F10" s="53">
        <f>[5]f!F9</f>
        <v>251889</v>
      </c>
      <c r="G10" s="90">
        <f>[5]f!G9</f>
        <v>3.4405016495050664E-2</v>
      </c>
    </row>
    <row r="11" spans="1:7" ht="31" customHeight="1" thickBot="1">
      <c r="A11" s="73" t="s">
        <v>583</v>
      </c>
      <c r="B11" s="74">
        <f>[5]f!B10</f>
        <v>811425</v>
      </c>
      <c r="C11" s="92">
        <f>[5]f!C10</f>
        <v>0.11083092357941984</v>
      </c>
      <c r="D11" s="74">
        <f>[5]f!D10</f>
        <v>771500</v>
      </c>
      <c r="E11" s="92">
        <f>[5]f!E10</f>
        <v>0.10537764739997216</v>
      </c>
      <c r="F11" s="74">
        <f>[5]f!F10</f>
        <v>1582925</v>
      </c>
      <c r="G11" s="92">
        <f>[5]f!G10</f>
        <v>0.216208570979392</v>
      </c>
    </row>
    <row r="12" spans="1:7" ht="19" customHeight="1" thickBot="1">
      <c r="A12" s="70" t="s">
        <v>584</v>
      </c>
      <c r="B12" s="53">
        <f>[5]f!B11</f>
        <v>87803</v>
      </c>
      <c r="C12" s="90">
        <f>[5]f!C11</f>
        <v>1.1992836778560927E-2</v>
      </c>
      <c r="D12" s="53">
        <f>[5]f!D11</f>
        <v>83700</v>
      </c>
      <c r="E12" s="90">
        <f>[5]f!E11</f>
        <v>1.1432416185842734E-2</v>
      </c>
      <c r="F12" s="53">
        <f>[5]f!F11</f>
        <v>171503</v>
      </c>
      <c r="G12" s="90">
        <f>[5]f!G11</f>
        <v>2.3425252964403662E-2</v>
      </c>
    </row>
    <row r="13" spans="1:7" ht="19" customHeight="1" thickBot="1">
      <c r="A13" s="70" t="s">
        <v>585</v>
      </c>
      <c r="B13" s="53">
        <f>[5]f!B12</f>
        <v>221409</v>
      </c>
      <c r="C13" s="90">
        <f>[5]f!C12</f>
        <v>3.0241814041711518E-2</v>
      </c>
      <c r="D13" s="53">
        <f>[5]f!D12</f>
        <v>216475</v>
      </c>
      <c r="E13" s="90">
        <f>[5]f!E12</f>
        <v>2.9567888815176895E-2</v>
      </c>
      <c r="F13" s="53">
        <f>[5]f!F12</f>
        <v>437884</v>
      </c>
      <c r="G13" s="90">
        <f>[5]f!G12</f>
        <v>5.9809702856888414E-2</v>
      </c>
    </row>
    <row r="14" spans="1:7" ht="19" customHeight="1" thickBot="1">
      <c r="A14" s="70" t="s">
        <v>601</v>
      </c>
      <c r="B14" s="53">
        <f>[5]f!B13</f>
        <v>247965</v>
      </c>
      <c r="C14" s="90">
        <f>[5]f!C13</f>
        <v>3.3869045155585351E-2</v>
      </c>
      <c r="D14" s="53">
        <f>[5]f!D13</f>
        <v>247665</v>
      </c>
      <c r="E14" s="90">
        <f>[5]f!E13</f>
        <v>3.3828068753485555E-2</v>
      </c>
      <c r="F14" s="53">
        <f>[5]f!F13</f>
        <v>495630</v>
      </c>
      <c r="G14" s="90">
        <f>[5]f!G13</f>
        <v>6.7697113909070905E-2</v>
      </c>
    </row>
    <row r="15" spans="1:7" ht="19" customHeight="1" thickBot="1">
      <c r="A15" s="70" t="s">
        <v>602</v>
      </c>
      <c r="B15" s="53">
        <f>[5]f!B14</f>
        <v>298179</v>
      </c>
      <c r="C15" s="90">
        <f>[5]f!C14</f>
        <v>4.0727675339048995E-2</v>
      </c>
      <c r="D15" s="53">
        <f>[5]f!D14</f>
        <v>299069</v>
      </c>
      <c r="E15" s="90">
        <f>[5]f!E14</f>
        <v>4.0849238665278384E-2</v>
      </c>
      <c r="F15" s="53">
        <f>[5]f!F14</f>
        <v>597248</v>
      </c>
      <c r="G15" s="90">
        <f>[5]f!G14</f>
        <v>8.1576914004327386E-2</v>
      </c>
    </row>
    <row r="16" spans="1:7" ht="19" customHeight="1" thickBot="1">
      <c r="A16" s="70" t="s">
        <v>603</v>
      </c>
      <c r="B16" s="53">
        <f>[5]f!B15</f>
        <v>319749</v>
      </c>
      <c r="C16" s="90">
        <f>[5]f!C15</f>
        <v>4.3673878650024235E-2</v>
      </c>
      <c r="D16" s="53">
        <f>[5]f!D15</f>
        <v>312583</v>
      </c>
      <c r="E16" s="90">
        <f>[5]f!E15</f>
        <v>4.2695088991867143E-2</v>
      </c>
      <c r="F16" s="53">
        <f>[5]f!F15</f>
        <v>632332</v>
      </c>
      <c r="G16" s="90">
        <f>[5]f!G15</f>
        <v>8.6368967641891378E-2</v>
      </c>
    </row>
    <row r="17" spans="1:7" ht="19" customHeight="1" thickBot="1">
      <c r="A17" s="70" t="s">
        <v>604</v>
      </c>
      <c r="B17" s="53">
        <f>[5]f!B16</f>
        <v>287281</v>
      </c>
      <c r="C17" s="90">
        <f>[5]f!C16</f>
        <v>3.9239139238770454E-2</v>
      </c>
      <c r="D17" s="53">
        <f>[5]f!D16</f>
        <v>278805</v>
      </c>
      <c r="E17" s="90">
        <f>[5]f!E16</f>
        <v>3.8081419291444249E-2</v>
      </c>
      <c r="F17" s="53">
        <f>[5]f!F16</f>
        <v>566086</v>
      </c>
      <c r="G17" s="90">
        <f>[5]f!G16</f>
        <v>7.7320558530214703E-2</v>
      </c>
    </row>
    <row r="18" spans="1:7" ht="19" customHeight="1" thickBot="1">
      <c r="A18" s="70" t="s">
        <v>605</v>
      </c>
      <c r="B18" s="53">
        <f>[5]f!B17</f>
        <v>252968</v>
      </c>
      <c r="C18" s="90">
        <f>[5]f!C17</f>
        <v>3.4552394954602925E-2</v>
      </c>
      <c r="D18" s="53">
        <f>[5]f!D17</f>
        <v>249586</v>
      </c>
      <c r="E18" s="90">
        <f>[5]f!E17</f>
        <v>3.409045431493124E-2</v>
      </c>
      <c r="F18" s="53">
        <f>[5]f!F17</f>
        <v>502554</v>
      </c>
      <c r="G18" s="90">
        <f>[5]f!G17</f>
        <v>6.8642849269534165E-2</v>
      </c>
    </row>
    <row r="19" spans="1:7" ht="19" customHeight="1" thickBot="1">
      <c r="A19" s="70" t="s">
        <v>606</v>
      </c>
      <c r="B19" s="53">
        <f>[5]f!B18</f>
        <v>246989</v>
      </c>
      <c r="C19" s="90">
        <f>[5]f!C18</f>
        <v>3.3735735260754018E-2</v>
      </c>
      <c r="D19" s="53">
        <f>[5]f!D18</f>
        <v>244836</v>
      </c>
      <c r="E19" s="90">
        <f>[5]f!E18</f>
        <v>3.3441661281684493E-2</v>
      </c>
      <c r="F19" s="53">
        <f>[5]f!F18</f>
        <v>491825</v>
      </c>
      <c r="G19" s="90">
        <f>[5]f!G18</f>
        <v>6.7177396542438511E-2</v>
      </c>
    </row>
    <row r="20" spans="1:7" ht="19" customHeight="1" thickBot="1">
      <c r="A20" s="70" t="s">
        <v>607</v>
      </c>
      <c r="B20" s="53">
        <f>[5]f!B19</f>
        <v>218715</v>
      </c>
      <c r="C20" s="90">
        <f>[5]f!C19</f>
        <v>2.9873845950855363E-2</v>
      </c>
      <c r="D20" s="53">
        <f>[5]f!D19</f>
        <v>219774</v>
      </c>
      <c r="E20" s="90">
        <f>[5]f!E19</f>
        <v>3.0018492650267636E-2</v>
      </c>
      <c r="F20" s="53">
        <f>[5]f!F19</f>
        <v>438489</v>
      </c>
      <c r="G20" s="90">
        <f>[5]f!G19</f>
        <v>5.9892338601123002E-2</v>
      </c>
    </row>
    <row r="21" spans="1:7" ht="19" customHeight="1" thickBot="1">
      <c r="A21" s="70" t="s">
        <v>608</v>
      </c>
      <c r="B21" s="53">
        <f>[5]f!B20</f>
        <v>166098</v>
      </c>
      <c r="C21" s="90">
        <f>[5]f!C20</f>
        <v>2.2686994786572361E-2</v>
      </c>
      <c r="D21" s="53">
        <f>[5]f!D20</f>
        <v>179287</v>
      </c>
      <c r="E21" s="90">
        <f>[5]f!E20</f>
        <v>2.4488454010886337E-2</v>
      </c>
      <c r="F21" s="53">
        <f>[5]f!F20</f>
        <v>345385</v>
      </c>
      <c r="G21" s="90">
        <f>[5]f!G20</f>
        <v>4.7175448797458698E-2</v>
      </c>
    </row>
    <row r="22" spans="1:7" ht="30" customHeight="1" thickBot="1">
      <c r="A22" s="73" t="s">
        <v>609</v>
      </c>
      <c r="B22" s="74">
        <f>[5]f!B21</f>
        <v>2347156</v>
      </c>
      <c r="C22" s="92">
        <f>[5]f!C21</f>
        <v>0.32059336015648615</v>
      </c>
      <c r="D22" s="74">
        <f>[5]f!D21</f>
        <v>2331780</v>
      </c>
      <c r="E22" s="92">
        <f>[5]f!E21</f>
        <v>0.31849318296086465</v>
      </c>
      <c r="F22" s="74">
        <f>[5]f!F21</f>
        <v>4678936</v>
      </c>
      <c r="G22" s="92">
        <f>[5]f!G21</f>
        <v>0.6390865431173508</v>
      </c>
    </row>
    <row r="23" spans="1:7" ht="20" customHeight="1" thickBot="1">
      <c r="A23" s="70" t="s">
        <v>610</v>
      </c>
      <c r="B23" s="53">
        <f>[5]f!B22</f>
        <v>142110</v>
      </c>
      <c r="C23" s="90">
        <f>[5]f!C22</f>
        <v>1.9410521674672773E-2</v>
      </c>
      <c r="D23" s="53">
        <f>[5]f!D22</f>
        <v>166458</v>
      </c>
      <c r="E23" s="90">
        <f>[5]f!E22</f>
        <v>2.2736166469092114E-2</v>
      </c>
      <c r="F23" s="53">
        <f>[5]f!F22</f>
        <v>308568</v>
      </c>
      <c r="G23" s="90">
        <f>[5]f!G22</f>
        <v>4.214668814376489E-2</v>
      </c>
    </row>
    <row r="24" spans="1:7" ht="20" customHeight="1" thickBot="1">
      <c r="A24" s="70" t="s">
        <v>611</v>
      </c>
      <c r="B24" s="53">
        <f>[5]f!B23</f>
        <v>114636</v>
      </c>
      <c r="C24" s="90">
        <f>[5]f!C23</f>
        <v>1.5657902770373568E-2</v>
      </c>
      <c r="D24" s="53">
        <f>[5]f!D23</f>
        <v>153077</v>
      </c>
      <c r="E24" s="90">
        <f>[5]f!E23</f>
        <v>2.0908482347434268E-2</v>
      </c>
      <c r="F24" s="53">
        <f>[5]f!F23</f>
        <v>267713</v>
      </c>
      <c r="G24" s="90">
        <f>[5]f!G23</f>
        <v>3.656638511780784E-2</v>
      </c>
    </row>
    <row r="25" spans="1:7" ht="20" customHeight="1" thickBot="1">
      <c r="A25" s="70" t="s">
        <v>612</v>
      </c>
      <c r="B25" s="53">
        <f>[5]f!B24</f>
        <v>86896</v>
      </c>
      <c r="C25" s="90">
        <f>[5]f!C24</f>
        <v>1.1868951456212548E-2</v>
      </c>
      <c r="D25" s="53">
        <f>[5]f!D24</f>
        <v>133731</v>
      </c>
      <c r="E25" s="90">
        <f>[5]f!E24</f>
        <v>1.8266050764025505E-2</v>
      </c>
      <c r="F25" s="53">
        <f>[5]f!F24</f>
        <v>220627</v>
      </c>
      <c r="G25" s="90">
        <f>[5]f!G24</f>
        <v>3.0135002220238054E-2</v>
      </c>
    </row>
    <row r="26" spans="1:7" ht="20" customHeight="1" thickBot="1">
      <c r="A26" s="70" t="s">
        <v>613</v>
      </c>
      <c r="B26" s="53">
        <f>[5]f!B25</f>
        <v>50642</v>
      </c>
      <c r="C26" s="90">
        <f>[5]f!C25</f>
        <v>6.9170898504593526E-3</v>
      </c>
      <c r="D26" s="53">
        <f>[5]f!D25</f>
        <v>90063</v>
      </c>
      <c r="E26" s="90">
        <f>[5]f!E25</f>
        <v>1.2301525674379381E-2</v>
      </c>
      <c r="F26" s="53">
        <f>[5]f!F25</f>
        <v>140705</v>
      </c>
      <c r="G26" s="90">
        <f>[5]f!G25</f>
        <v>1.9218615524838733E-2</v>
      </c>
    </row>
    <row r="27" spans="1:7" ht="20" customHeight="1" thickBot="1">
      <c r="A27" s="70" t="s">
        <v>614</v>
      </c>
      <c r="B27" s="53">
        <f>[5]f!B26</f>
        <v>25363</v>
      </c>
      <c r="C27" s="90">
        <f>[5]f!C26</f>
        <v>3.4642816215236473E-3</v>
      </c>
      <c r="D27" s="53">
        <f>[5]f!D26</f>
        <v>58932</v>
      </c>
      <c r="E27" s="90">
        <f>[5]f!E26</f>
        <v>8.0494044284836804E-3</v>
      </c>
      <c r="F27" s="53">
        <f>[5]f!F26</f>
        <v>84295</v>
      </c>
      <c r="G27" s="90">
        <f>[5]f!G26</f>
        <v>1.1513686050007329E-2</v>
      </c>
    </row>
    <row r="28" spans="1:7" ht="20" customHeight="1" thickBot="1">
      <c r="A28" s="70" t="s">
        <v>615</v>
      </c>
      <c r="B28" s="53">
        <f>[5]f!B27</f>
        <v>7775</v>
      </c>
      <c r="C28" s="90">
        <f>[5]f!C27</f>
        <v>1.0619717544196807E-3</v>
      </c>
      <c r="D28" s="53">
        <f>[5]f!D27</f>
        <v>23533</v>
      </c>
      <c r="E28" s="90">
        <f>[5]f!E27</f>
        <v>3.2143255687148995E-3</v>
      </c>
      <c r="F28" s="53">
        <f>[5]f!F27</f>
        <v>31308</v>
      </c>
      <c r="G28" s="90">
        <f>[5]f!G27</f>
        <v>4.2762973231345799E-3</v>
      </c>
    </row>
    <row r="29" spans="1:7" ht="20" customHeight="1" thickBot="1">
      <c r="A29" s="70" t="s">
        <v>616</v>
      </c>
      <c r="B29" s="53">
        <f>[5]f!B28</f>
        <v>1003</v>
      </c>
      <c r="C29" s="90">
        <f>[5]f!C28</f>
        <v>1.3699777102031379E-4</v>
      </c>
      <c r="D29" s="53">
        <f>[5]f!D28</f>
        <v>4420</v>
      </c>
      <c r="E29" s="90">
        <f>[5]f!E28</f>
        <v>6.0371899093697597E-4</v>
      </c>
      <c r="F29" s="53">
        <f>[5]f!F28</f>
        <v>5423</v>
      </c>
      <c r="G29" s="90">
        <f>[5]f!G28</f>
        <v>7.4071676195728979E-4</v>
      </c>
    </row>
    <row r="30" spans="1:7" ht="20" customHeight="1" thickBot="1">
      <c r="A30" s="70" t="s">
        <v>617</v>
      </c>
      <c r="B30" s="53">
        <f>[5]f!B29</f>
        <v>69</v>
      </c>
      <c r="C30" s="90">
        <f>[5]f!C29</f>
        <v>9.4245724829527921E-6</v>
      </c>
      <c r="D30" s="53">
        <f>[5]f!D29</f>
        <v>415</v>
      </c>
      <c r="E30" s="90">
        <f>[5]f!E29</f>
        <v>5.6684022904716069E-5</v>
      </c>
      <c r="F30" s="53">
        <f>[5]f!F29</f>
        <v>484</v>
      </c>
      <c r="G30" s="90">
        <f>[5]f!G29</f>
        <v>6.6108595387668866E-5</v>
      </c>
    </row>
    <row r="31" spans="1:7" ht="30" customHeight="1" thickBot="1">
      <c r="A31" s="73" t="s">
        <v>618</v>
      </c>
      <c r="B31" s="74">
        <f>[5]f!B30</f>
        <v>428494</v>
      </c>
      <c r="C31" s="92">
        <f>[5]f!C30</f>
        <v>5.8527141471164834E-2</v>
      </c>
      <c r="D31" s="74">
        <f>[5]f!D30</f>
        <v>630629</v>
      </c>
      <c r="E31" s="92">
        <f>[5]f!E30</f>
        <v>8.6136358265971547E-2</v>
      </c>
      <c r="F31" s="74">
        <f>[5]f!F30</f>
        <v>1059123</v>
      </c>
      <c r="G31" s="92">
        <f>[5]f!G30</f>
        <v>0.14466349973713638</v>
      </c>
    </row>
    <row r="32" spans="1:7" ht="30" customHeight="1" thickBot="1">
      <c r="A32" s="73" t="s">
        <v>569</v>
      </c>
      <c r="B32" s="74">
        <f>[5]f!B31</f>
        <v>179</v>
      </c>
      <c r="C32" s="92">
        <f>[5]f!C31</f>
        <v>2.4449253252877534E-5</v>
      </c>
      <c r="D32" s="74">
        <f>[5]f!D31</f>
        <v>124</v>
      </c>
      <c r="E32" s="92">
        <f>[5]f!E31</f>
        <v>1.6936912867915162E-5</v>
      </c>
      <c r="F32" s="74">
        <f>[5]f!F31</f>
        <v>303</v>
      </c>
      <c r="G32" s="92">
        <f>[5]f!G31</f>
        <v>4.1386166120792699E-5</v>
      </c>
    </row>
    <row r="33" spans="1:7" s="81" customFormat="1" ht="30" customHeight="1" thickBot="1">
      <c r="A33" s="93" t="s">
        <v>514</v>
      </c>
      <c r="B33" s="94">
        <f>[5]f!B32</f>
        <v>3587254</v>
      </c>
      <c r="C33" s="95">
        <f>[5]f!C32</f>
        <v>0.4899758744603237</v>
      </c>
      <c r="D33" s="94">
        <f>[5]f!D32</f>
        <v>3734033</v>
      </c>
      <c r="E33" s="95">
        <f>[5]f!E32</f>
        <v>0.51002412553967624</v>
      </c>
      <c r="F33" s="94">
        <f>[5]f!F32</f>
        <v>7321287</v>
      </c>
      <c r="G33" s="95">
        <f>[5]f!G32</f>
        <v>1</v>
      </c>
    </row>
    <row r="34" spans="1:7" ht="19.5" customHeight="1">
      <c r="A34" s="28" t="str">
        <f>'[2]data an-1'!$D$2</f>
        <v>Datenstand: 6.11.02</v>
      </c>
    </row>
  </sheetData>
  <phoneticPr fontId="0" type="noConversion"/>
  <pageMargins left="0.78740157480314965" right="0.78740157480314965" top="1.46" bottom="0.49" header="0.95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A1E51-8E8D-294D-A3B3-1EDB2674494C}">
  <dimension ref="A1:H15"/>
  <sheetViews>
    <sheetView zoomScale="75" workbookViewId="0">
      <selection activeCell="A3" sqref="A3"/>
    </sheetView>
  </sheetViews>
  <sheetFormatPr baseColWidth="10" defaultColWidth="11.3984375" defaultRowHeight="13"/>
  <cols>
    <col min="1" max="1" width="18.19921875" style="7" customWidth="1"/>
    <col min="2" max="7" width="14.796875" style="7" customWidth="1"/>
    <col min="8" max="16384" width="11.3984375" style="7"/>
  </cols>
  <sheetData>
    <row r="1" spans="1:8" s="1" customFormat="1" ht="14" customHeight="1"/>
    <row r="2" spans="1:8" s="1" customFormat="1" ht="28" customHeight="1">
      <c r="A2" s="2" t="s">
        <v>619</v>
      </c>
    </row>
    <row r="3" spans="1:8" ht="24" customHeight="1">
      <c r="A3" s="41" t="s">
        <v>620</v>
      </c>
      <c r="B3" s="6" t="s">
        <v>621</v>
      </c>
      <c r="C3" s="42" t="s">
        <v>622</v>
      </c>
      <c r="D3" s="6" t="s">
        <v>623</v>
      </c>
      <c r="E3" s="96" t="s">
        <v>624</v>
      </c>
      <c r="F3" s="6" t="s">
        <v>514</v>
      </c>
      <c r="G3" s="42" t="s">
        <v>522</v>
      </c>
    </row>
    <row r="4" spans="1:8" ht="15" customHeight="1">
      <c r="A4" s="43"/>
      <c r="B4" s="12" t="s">
        <v>625</v>
      </c>
      <c r="C4" s="44" t="s">
        <v>626</v>
      </c>
      <c r="D4" s="12" t="s">
        <v>627</v>
      </c>
      <c r="E4" s="45" t="s">
        <v>628</v>
      </c>
      <c r="F4" s="12"/>
      <c r="G4" s="44" t="s">
        <v>523</v>
      </c>
    </row>
    <row r="5" spans="1:8" ht="15" customHeight="1">
      <c r="A5" s="43"/>
      <c r="B5" s="12" t="s">
        <v>629</v>
      </c>
      <c r="C5" s="44" t="s">
        <v>630</v>
      </c>
      <c r="D5" s="12" t="s">
        <v>631</v>
      </c>
      <c r="E5" s="45" t="s">
        <v>632</v>
      </c>
      <c r="F5" s="12"/>
      <c r="G5" s="44" t="s">
        <v>524</v>
      </c>
    </row>
    <row r="6" spans="1:8" ht="24" customHeight="1">
      <c r="A6" s="46"/>
      <c r="B6" s="16"/>
      <c r="C6" s="47"/>
      <c r="D6" s="16"/>
      <c r="E6" s="48" t="s">
        <v>633</v>
      </c>
      <c r="F6" s="16"/>
      <c r="G6" s="47"/>
    </row>
    <row r="7" spans="1:8" ht="30" customHeight="1" thickBot="1">
      <c r="A7" s="49">
        <f>[6]f!A7</f>
        <v>1994</v>
      </c>
      <c r="B7" s="20">
        <f>[6]f!B7</f>
        <v>6447562</v>
      </c>
      <c r="C7" s="68">
        <f>[6]f!C7</f>
        <v>643991</v>
      </c>
      <c r="D7" s="20">
        <f>[6]f!D7</f>
        <v>15298</v>
      </c>
      <c r="E7" s="50">
        <f>[6]f!E7</f>
        <v>24802</v>
      </c>
      <c r="F7" s="21">
        <f>[6]f!F7</f>
        <v>7131653</v>
      </c>
      <c r="G7" s="51">
        <f>[6]f!G7</f>
        <v>1.06143763063733E-2</v>
      </c>
      <c r="H7" s="22"/>
    </row>
    <row r="8" spans="1:8" ht="20" customHeight="1" thickBot="1">
      <c r="A8" s="52">
        <f>[6]f!A8</f>
        <v>1995</v>
      </c>
      <c r="B8" s="26">
        <f>[6]f!B8</f>
        <v>6399482</v>
      </c>
      <c r="C8" s="71">
        <f>[6]f!C8</f>
        <v>698747</v>
      </c>
      <c r="D8" s="26">
        <f>[6]f!D8</f>
        <v>32705</v>
      </c>
      <c r="E8" s="54">
        <f>[6]f!E8</f>
        <v>35383</v>
      </c>
      <c r="F8" s="53">
        <f>[6]f!F8</f>
        <v>7166317</v>
      </c>
      <c r="G8" s="55">
        <f>[6]f!G8</f>
        <v>4.8605842151882598E-3</v>
      </c>
      <c r="H8" s="22"/>
    </row>
    <row r="9" spans="1:8" ht="20" customHeight="1" thickBot="1">
      <c r="A9" s="52">
        <f>[6]f!A9</f>
        <v>1996</v>
      </c>
      <c r="B9" s="26">
        <f>[6]f!B9</f>
        <v>4739640</v>
      </c>
      <c r="C9" s="54">
        <f>[6]f!C9</f>
        <v>2305688</v>
      </c>
      <c r="D9" s="26">
        <f>[6]f!D9</f>
        <v>27828</v>
      </c>
      <c r="E9" s="54">
        <f>[6]f!E9</f>
        <v>121598</v>
      </c>
      <c r="F9" s="53">
        <f>[6]f!F9</f>
        <v>7194754</v>
      </c>
      <c r="G9" s="55">
        <f>[6]f!G9</f>
        <v>3.9681470970374319E-3</v>
      </c>
    </row>
    <row r="10" spans="1:8" ht="20" customHeight="1" thickBot="1">
      <c r="A10" s="52">
        <f>[6]f!A10</f>
        <v>1997</v>
      </c>
      <c r="B10" s="26">
        <f>[6]f!B10</f>
        <v>4083854</v>
      </c>
      <c r="C10" s="54">
        <f>[6]f!C10</f>
        <v>2736364</v>
      </c>
      <c r="D10" s="26">
        <f>[6]f!D10</f>
        <v>11494</v>
      </c>
      <c r="E10" s="54">
        <f>[6]f!E10</f>
        <v>383093</v>
      </c>
      <c r="F10" s="26">
        <f>[6]f!F10</f>
        <v>7214805</v>
      </c>
      <c r="G10" s="55">
        <f>[6]f!G10</f>
        <v>2.7868916713483186E-3</v>
      </c>
    </row>
    <row r="11" spans="1:8" ht="20" customHeight="1" thickBot="1">
      <c r="A11" s="52">
        <f>[6]f!A11</f>
        <v>1998</v>
      </c>
      <c r="B11" s="26">
        <f>[6]f!B11</f>
        <v>4016267</v>
      </c>
      <c r="C11" s="54">
        <f>[6]f!C11</f>
        <v>2726468</v>
      </c>
      <c r="D11" s="26">
        <f>[6]f!D11</f>
        <v>11828</v>
      </c>
      <c r="E11" s="54">
        <f>[6]f!E11</f>
        <v>494040</v>
      </c>
      <c r="F11" s="26">
        <f>[6]f!F11</f>
        <v>7248603</v>
      </c>
      <c r="G11" s="55">
        <f>[6]f!G11</f>
        <v>4.6845340934370365E-3</v>
      </c>
    </row>
    <row r="12" spans="1:8" ht="20" customHeight="1" thickBot="1">
      <c r="A12" s="52">
        <f>[6]f!A12</f>
        <v>1999</v>
      </c>
      <c r="B12" s="26">
        <f>[6]f!B12</f>
        <v>3998744</v>
      </c>
      <c r="C12" s="54">
        <f>[6]f!C12</f>
        <v>2715642</v>
      </c>
      <c r="D12" s="26">
        <f>[6]f!D12</f>
        <v>10258</v>
      </c>
      <c r="E12" s="54">
        <f>[6]f!E12</f>
        <v>541890</v>
      </c>
      <c r="F12" s="26">
        <f>[6]f!F12</f>
        <v>7266534</v>
      </c>
      <c r="G12" s="55">
        <f>[6]f!G12</f>
        <v>2.4737180391863093E-3</v>
      </c>
    </row>
    <row r="13" spans="1:8" ht="20" customHeight="1" thickBot="1">
      <c r="A13" s="52">
        <f>[6]f!A13</f>
        <v>2000</v>
      </c>
      <c r="B13" s="26">
        <f>[6]f!B13</f>
        <v>3921920</v>
      </c>
      <c r="C13" s="54">
        <f>[6]f!C13</f>
        <v>2758539</v>
      </c>
      <c r="D13" s="26">
        <f>[6]f!D13</f>
        <v>9811</v>
      </c>
      <c r="E13" s="54">
        <f>[6]f!E13</f>
        <v>577841</v>
      </c>
      <c r="F13" s="26">
        <f>[6]f!F13</f>
        <v>7268111</v>
      </c>
      <c r="G13" s="55">
        <f>[6]f!G13</f>
        <v>2.1702231077429761E-4</v>
      </c>
    </row>
    <row r="14" spans="1:8" ht="30" customHeight="1" thickBot="1">
      <c r="A14" s="56">
        <f>[6]f!A14</f>
        <v>2001</v>
      </c>
      <c r="B14" s="39">
        <f>[6]f!B14</f>
        <v>3882191</v>
      </c>
      <c r="C14" s="57">
        <f>[6]f!C14</f>
        <v>2833816</v>
      </c>
      <c r="D14" s="39">
        <f>[6]f!D14</f>
        <v>9341</v>
      </c>
      <c r="E14" s="57">
        <f>[6]f!E14</f>
        <v>595939</v>
      </c>
      <c r="F14" s="39">
        <f>[6]f!F14</f>
        <v>7321287</v>
      </c>
      <c r="G14" s="58">
        <f>[6]f!G14</f>
        <v>7.3163439578729601E-3</v>
      </c>
    </row>
    <row r="15" spans="1:8" ht="19.5" customHeight="1">
      <c r="A15" s="28" t="str">
        <f>'[2]data an-1'!$D$2</f>
        <v>Datenstand: 6.11.02</v>
      </c>
      <c r="B15" s="28"/>
      <c r="C15" s="28"/>
      <c r="D15" s="28"/>
      <c r="E15" s="28"/>
      <c r="F15" s="28"/>
      <c r="G15" s="28"/>
    </row>
  </sheetData>
  <phoneticPr fontId="0" type="noConversion"/>
  <pageMargins left="0.78740157480314965" right="0.78740157480314965" top="1.46" bottom="0.49" header="0.92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3963-17CD-BF45-93C1-5B790116B418}">
  <dimension ref="A1:G13"/>
  <sheetViews>
    <sheetView zoomScale="75" workbookViewId="0">
      <selection activeCell="C18" sqref="C18"/>
    </sheetView>
  </sheetViews>
  <sheetFormatPr baseColWidth="10" defaultColWidth="11.3984375" defaultRowHeight="13"/>
  <cols>
    <col min="1" max="1" width="19.59765625" style="7" customWidth="1"/>
    <col min="2" max="7" width="14.59765625" style="7" customWidth="1"/>
    <col min="8" max="16384" width="11.3984375" style="7"/>
  </cols>
  <sheetData>
    <row r="1" spans="1:7" ht="14" customHeight="1">
      <c r="A1" s="1"/>
    </row>
    <row r="2" spans="1:7" ht="28" customHeight="1">
      <c r="A2" s="2" t="str">
        <f>"T 1.06  Versichertenbestand nach Versicherungsform und Geschlecht / Kinder per 31.12."&amp;'[2]data an-1'!$B$2</f>
        <v>T 1.06  Versichertenbestand nach Versicherungsform und Geschlecht / Kinder per 31.12.2001</v>
      </c>
    </row>
    <row r="3" spans="1:7" ht="24" customHeight="1">
      <c r="A3" s="41" t="s">
        <v>634</v>
      </c>
      <c r="B3" s="6" t="s">
        <v>529</v>
      </c>
      <c r="C3" s="42" t="s">
        <v>530</v>
      </c>
      <c r="D3" s="6" t="s">
        <v>538</v>
      </c>
      <c r="E3" s="42" t="s">
        <v>514</v>
      </c>
      <c r="F3" s="6" t="s">
        <v>575</v>
      </c>
      <c r="G3" s="42" t="s">
        <v>522</v>
      </c>
    </row>
    <row r="4" spans="1:7" ht="15" customHeight="1">
      <c r="A4" s="43"/>
      <c r="B4" s="12"/>
      <c r="C4" s="44"/>
      <c r="D4" s="12"/>
      <c r="E4" s="45"/>
      <c r="F4" s="12" t="s">
        <v>577</v>
      </c>
      <c r="G4" s="44" t="s">
        <v>523</v>
      </c>
    </row>
    <row r="5" spans="1:7" ht="15" customHeight="1">
      <c r="A5" s="61"/>
      <c r="B5" s="12"/>
      <c r="C5" s="44"/>
      <c r="D5" s="12"/>
      <c r="E5" s="44"/>
      <c r="F5" s="12" t="s">
        <v>578</v>
      </c>
      <c r="G5" s="44" t="s">
        <v>524</v>
      </c>
    </row>
    <row r="6" spans="1:7" ht="24" customHeight="1">
      <c r="A6" s="97"/>
      <c r="B6" s="98"/>
      <c r="C6" s="99"/>
      <c r="D6" s="98"/>
      <c r="E6" s="99"/>
      <c r="F6" s="98"/>
      <c r="G6" s="47"/>
    </row>
    <row r="7" spans="1:7" ht="37.5" customHeight="1" thickBot="1">
      <c r="A7" s="100" t="s">
        <v>635</v>
      </c>
      <c r="B7" s="101">
        <f>[7]f!B7</f>
        <v>1178148</v>
      </c>
      <c r="C7" s="102">
        <f>[7]f!C7</f>
        <v>1425121</v>
      </c>
      <c r="D7" s="101">
        <f>[7]f!D7</f>
        <v>1278922</v>
      </c>
      <c r="E7" s="102">
        <f>[7]f!E7</f>
        <v>3882191</v>
      </c>
      <c r="F7" s="103">
        <f>[7]f!F7</f>
        <v>0.53026073148068087</v>
      </c>
      <c r="G7" s="104">
        <f>[7]f!G7</f>
        <v>-1.012998735313316E-2</v>
      </c>
    </row>
    <row r="8" spans="1:7" ht="34.5" customHeight="1" thickBot="1">
      <c r="A8" s="100" t="s">
        <v>636</v>
      </c>
      <c r="B8" s="101">
        <f>[7]f!B8</f>
        <v>1353209</v>
      </c>
      <c r="C8" s="102">
        <f>[7]f!C8</f>
        <v>1298860</v>
      </c>
      <c r="D8" s="101">
        <f>[7]f!D8</f>
        <v>181747</v>
      </c>
      <c r="E8" s="102">
        <f>[7]f!E8</f>
        <v>2833816</v>
      </c>
      <c r="F8" s="103">
        <f>[7]f!F8</f>
        <v>0.38706527964277321</v>
      </c>
      <c r="G8" s="104">
        <f>[7]f!G8</f>
        <v>2.7288720587238389E-2</v>
      </c>
    </row>
    <row r="9" spans="1:7" ht="31.5" customHeight="1" thickBot="1">
      <c r="A9" s="100" t="s">
        <v>637</v>
      </c>
      <c r="B9" s="101">
        <f>[7]f!B9</f>
        <v>5727</v>
      </c>
      <c r="C9" s="102">
        <f>[7]f!C9</f>
        <v>3124</v>
      </c>
      <c r="D9" s="101">
        <f>[7]f!D9</f>
        <v>490</v>
      </c>
      <c r="E9" s="102">
        <f>[7]f!E9</f>
        <v>9341</v>
      </c>
      <c r="F9" s="103">
        <f>[7]f!F9</f>
        <v>1.2758685733806091E-3</v>
      </c>
      <c r="G9" s="104">
        <f>[7]f!G9</f>
        <v>-4.7905412292324943E-2</v>
      </c>
    </row>
    <row r="10" spans="1:7" ht="33" customHeight="1" thickBot="1">
      <c r="A10" s="100" t="s">
        <v>638</v>
      </c>
      <c r="B10" s="101">
        <f>[7]f!B10</f>
        <v>238745</v>
      </c>
      <c r="C10" s="102">
        <f>[7]f!C10</f>
        <v>235428</v>
      </c>
      <c r="D10" s="101">
        <f>[7]f!D10</f>
        <v>121766</v>
      </c>
      <c r="E10" s="102">
        <f>[7]f!E10</f>
        <v>595939</v>
      </c>
      <c r="F10" s="103">
        <f>[7]f!F10</f>
        <v>8.1398120303165275E-2</v>
      </c>
      <c r="G10" s="104">
        <f>[7]f!G10</f>
        <v>3.1320034403927721E-2</v>
      </c>
    </row>
    <row r="11" spans="1:7" ht="15" customHeight="1">
      <c r="A11" s="105"/>
      <c r="B11" s="106"/>
      <c r="C11" s="107"/>
      <c r="D11" s="106"/>
      <c r="E11" s="107"/>
      <c r="F11" s="108"/>
      <c r="G11" s="109" t="str">
        <f>[7]f!G11</f>
        <v/>
      </c>
    </row>
    <row r="12" spans="1:7" ht="23.25" customHeight="1" thickBot="1">
      <c r="A12" s="110" t="s">
        <v>514</v>
      </c>
      <c r="B12" s="111">
        <f>[7]f!B12</f>
        <v>2775829</v>
      </c>
      <c r="C12" s="79">
        <f>[7]f!C12</f>
        <v>2962533</v>
      </c>
      <c r="D12" s="111">
        <f>[7]f!D12</f>
        <v>1582925</v>
      </c>
      <c r="E12" s="79">
        <f>[7]f!E12</f>
        <v>7321287</v>
      </c>
      <c r="F12" s="112">
        <f>[7]f!F12</f>
        <v>1</v>
      </c>
      <c r="G12" s="113">
        <f>[7]f!G12</f>
        <v>7.3163439578729601E-3</v>
      </c>
    </row>
    <row r="13" spans="1:7" ht="19.5" customHeight="1">
      <c r="A13" s="28" t="str">
        <f>'[2]data an-1'!$D$2</f>
        <v>Datenstand: 6.11.02</v>
      </c>
      <c r="B13" s="28"/>
      <c r="C13" s="28"/>
      <c r="D13" s="28"/>
      <c r="E13" s="28"/>
      <c r="F13" s="28"/>
      <c r="G13" s="28"/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3E46-FF79-5746-BF94-E8F82CF953DD}">
  <dimension ref="A1:K21"/>
  <sheetViews>
    <sheetView zoomScale="75" workbookViewId="0">
      <selection activeCell="D22" sqref="D22"/>
    </sheetView>
  </sheetViews>
  <sheetFormatPr baseColWidth="10" defaultColWidth="11.3984375" defaultRowHeight="13"/>
  <cols>
    <col min="1" max="1" width="20.796875" style="7" customWidth="1"/>
    <col min="2" max="7" width="14.19921875" style="7" customWidth="1"/>
    <col min="8" max="16384" width="11.3984375" style="7"/>
  </cols>
  <sheetData>
    <row r="1" spans="1:11" s="1" customFormat="1" ht="14" customHeight="1"/>
    <row r="2" spans="1:11" s="1" customFormat="1" ht="28" customHeight="1">
      <c r="A2" s="2" t="s">
        <v>639</v>
      </c>
    </row>
    <row r="3" spans="1:11" ht="24" customHeight="1">
      <c r="A3" s="41" t="s">
        <v>640</v>
      </c>
      <c r="B3" s="6" t="s">
        <v>641</v>
      </c>
      <c r="C3" s="42" t="s">
        <v>522</v>
      </c>
      <c r="D3" s="6" t="s">
        <v>642</v>
      </c>
      <c r="E3" s="42" t="s">
        <v>522</v>
      </c>
      <c r="F3" s="6" t="s">
        <v>643</v>
      </c>
      <c r="G3" s="42" t="s">
        <v>522</v>
      </c>
    </row>
    <row r="4" spans="1:11" ht="15" customHeight="1">
      <c r="A4" s="43"/>
      <c r="B4" s="12"/>
      <c r="C4" s="44" t="s">
        <v>523</v>
      </c>
      <c r="D4" s="12" t="s">
        <v>644</v>
      </c>
      <c r="E4" s="44" t="s">
        <v>523</v>
      </c>
      <c r="F4" s="12"/>
      <c r="G4" s="44" t="s">
        <v>523</v>
      </c>
    </row>
    <row r="5" spans="1:11" ht="15" customHeight="1">
      <c r="A5" s="43"/>
      <c r="B5" s="12"/>
      <c r="C5" s="44" t="s">
        <v>524</v>
      </c>
      <c r="D5" s="12"/>
      <c r="E5" s="44" t="s">
        <v>524</v>
      </c>
      <c r="F5" s="12"/>
      <c r="G5" s="44" t="s">
        <v>524</v>
      </c>
    </row>
    <row r="6" spans="1:11" ht="24" customHeight="1">
      <c r="A6" s="46"/>
      <c r="B6" s="16"/>
      <c r="C6" s="47"/>
      <c r="D6" s="16"/>
      <c r="E6" s="47"/>
      <c r="F6" s="16"/>
      <c r="G6" s="47"/>
    </row>
    <row r="7" spans="1:11" ht="30" customHeight="1" thickBot="1">
      <c r="A7" s="49">
        <f>[8]f!A7</f>
        <v>1994</v>
      </c>
      <c r="B7" s="21">
        <f>[8]f!B7</f>
        <v>5454599</v>
      </c>
      <c r="C7" s="51" t="str">
        <f>[8]f!C7</f>
        <v>–</v>
      </c>
      <c r="D7" s="20">
        <f>[8]f!D7</f>
        <v>1155023</v>
      </c>
      <c r="E7" s="51" t="str">
        <f>[8]f!E7</f>
        <v>–</v>
      </c>
      <c r="F7" s="21">
        <f>[8]f!F7</f>
        <v>20875408</v>
      </c>
      <c r="G7" s="51" t="str">
        <f>[8]f!G7</f>
        <v>–</v>
      </c>
      <c r="H7" s="22"/>
    </row>
    <row r="8" spans="1:11" ht="20" customHeight="1" thickBot="1">
      <c r="A8" s="52">
        <f>[8]f!A8</f>
        <v>1995</v>
      </c>
      <c r="B8" s="53">
        <f>[8]f!B8</f>
        <v>5702352</v>
      </c>
      <c r="C8" s="55">
        <f>[8]f!C8</f>
        <v>4.542093745113069E-2</v>
      </c>
      <c r="D8" s="26">
        <f>[8]f!D8</f>
        <v>1201676</v>
      </c>
      <c r="E8" s="55">
        <f>[8]f!E8</f>
        <v>4.0391403461229776E-2</v>
      </c>
      <c r="F8" s="26">
        <f>[8]f!F8</f>
        <v>22276549</v>
      </c>
      <c r="G8" s="55">
        <f>[8]f!G8</f>
        <v>6.711921510707719E-2</v>
      </c>
      <c r="H8" s="22"/>
    </row>
    <row r="9" spans="1:11" ht="20" customHeight="1" thickBot="1">
      <c r="A9" s="52">
        <f>[8]f!A9</f>
        <v>1996</v>
      </c>
      <c r="B9" s="26">
        <f>[8]f!B9</f>
        <v>5599991</v>
      </c>
      <c r="C9" s="55">
        <f>[8]f!C9</f>
        <v>-1.7950663164953688E-2</v>
      </c>
      <c r="D9" s="26">
        <f>[8]f!D9</f>
        <v>1117084</v>
      </c>
      <c r="E9" s="55">
        <f>[8]f!E9</f>
        <v>-7.0395014962435803E-2</v>
      </c>
      <c r="F9" s="26">
        <f>[8]f!F9</f>
        <v>18812841</v>
      </c>
      <c r="G9" s="55">
        <f>[8]f!G9</f>
        <v>-0.15548674078736344</v>
      </c>
    </row>
    <row r="10" spans="1:11" ht="20" customHeight="1" thickBot="1">
      <c r="A10" s="52">
        <f>[8]f!A10</f>
        <v>1997</v>
      </c>
      <c r="B10" s="26">
        <f>[8]f!B10</f>
        <v>5669325</v>
      </c>
      <c r="C10" s="55">
        <f>[8]f!C10</f>
        <v>1.2381091326753918E-2</v>
      </c>
      <c r="D10" s="26">
        <f>[8]f!D10</f>
        <v>1150122</v>
      </c>
      <c r="E10" s="55">
        <f>[8]f!E10</f>
        <v>2.9575215471710273E-2</v>
      </c>
      <c r="F10" s="26">
        <f>[8]f!F10</f>
        <v>18987651</v>
      </c>
      <c r="G10" s="55">
        <f>[8]f!G10</f>
        <v>9.2920574835028899E-3</v>
      </c>
      <c r="I10" s="27"/>
      <c r="J10" s="27"/>
      <c r="K10" s="27"/>
    </row>
    <row r="11" spans="1:11" ht="20" customHeight="1" thickBot="1">
      <c r="A11" s="52">
        <f>[8]f!A11</f>
        <v>1998</v>
      </c>
      <c r="B11" s="26">
        <f>[8]f!B11</f>
        <v>5768621</v>
      </c>
      <c r="C11" s="55">
        <f>[8]f!C11</f>
        <v>1.7514607118131346E-2</v>
      </c>
      <c r="D11" s="26">
        <f>[8]f!D11</f>
        <v>1154759</v>
      </c>
      <c r="E11" s="55">
        <f>[8]f!E11</f>
        <v>4.0317461973599323E-3</v>
      </c>
      <c r="F11" s="26">
        <f>[8]f!F11</f>
        <v>17067058</v>
      </c>
      <c r="G11" s="55">
        <f>[8]f!G11</f>
        <v>-0.10114958401120813</v>
      </c>
    </row>
    <row r="12" spans="1:11" ht="20" customHeight="1" thickBot="1">
      <c r="A12" s="52">
        <f>[8]f!A12</f>
        <v>1999</v>
      </c>
      <c r="B12" s="26">
        <f>[8]f!B12</f>
        <v>5833167</v>
      </c>
      <c r="C12" s="55">
        <f>[8]f!C12</f>
        <v>1.1189155952523141E-2</v>
      </c>
      <c r="D12" s="26">
        <f>[8]f!D12</f>
        <v>1096033</v>
      </c>
      <c r="E12" s="55">
        <f>[8]f!E12</f>
        <v>-5.085563308014919E-2</v>
      </c>
      <c r="F12" s="26">
        <f>[8]f!F12</f>
        <v>12747160</v>
      </c>
      <c r="G12" s="55">
        <f>[8]f!G12</f>
        <v>-0.25311321963047173</v>
      </c>
    </row>
    <row r="13" spans="1:11" ht="20" customHeight="1" thickBot="1">
      <c r="A13" s="52">
        <f>[8]f!A13</f>
        <v>2000</v>
      </c>
      <c r="B13" s="26">
        <f>[8]f!B13</f>
        <v>5947035</v>
      </c>
      <c r="C13" s="55">
        <f>[8]f!C13</f>
        <v>1.9520785192674923E-2</v>
      </c>
      <c r="D13" s="26">
        <f>[8]f!D13</f>
        <v>1097932</v>
      </c>
      <c r="E13" s="55">
        <f>[8]f!E13</f>
        <v>1.7326120655126261E-3</v>
      </c>
      <c r="F13" s="26">
        <f>[8]f!F13</f>
        <v>12447351</v>
      </c>
      <c r="G13" s="55">
        <f>[8]f!G13</f>
        <v>-2.3519670263807781E-2</v>
      </c>
    </row>
    <row r="14" spans="1:11" ht="30" customHeight="1" thickBot="1">
      <c r="A14" s="56">
        <f>[8]f!A14</f>
        <v>2001</v>
      </c>
      <c r="B14" s="39">
        <f>[8]f!B14</f>
        <v>6043905</v>
      </c>
      <c r="C14" s="58">
        <f>[8]f!C14</f>
        <v>1.6288789287434831E-2</v>
      </c>
      <c r="D14" s="39">
        <f>[8]f!D14</f>
        <v>1193315</v>
      </c>
      <c r="E14" s="58">
        <f>[8]f!E14</f>
        <v>8.6875143451507014E-2</v>
      </c>
      <c r="F14" s="39">
        <f>[8]f!F14</f>
        <v>12514126</v>
      </c>
      <c r="G14" s="58">
        <f>[8]f!G14</f>
        <v>5.3645952460085683E-3</v>
      </c>
    </row>
    <row r="15" spans="1:11" ht="19.5" customHeight="1">
      <c r="A15" s="28" t="str">
        <f>'[2]data an-1'!$D$2</f>
        <v>Datenstand: 6.11.02</v>
      </c>
      <c r="B15" s="28"/>
      <c r="C15" s="28"/>
      <c r="D15" s="28"/>
      <c r="E15" s="28"/>
      <c r="F15" s="28"/>
      <c r="G15" s="28"/>
    </row>
    <row r="16" spans="1:11" ht="12.75" customHeight="1">
      <c r="A16" s="7" t="s">
        <v>645</v>
      </c>
    </row>
    <row r="17" spans="1:1" ht="12.75" customHeight="1">
      <c r="A17" s="7" t="s">
        <v>646</v>
      </c>
    </row>
    <row r="18" spans="1:1" ht="12.75" customHeight="1">
      <c r="A18" s="7" t="s">
        <v>647</v>
      </c>
    </row>
    <row r="19" spans="1:1" ht="12.75" customHeight="1">
      <c r="A19" s="7" t="s">
        <v>648</v>
      </c>
    </row>
    <row r="20" spans="1:1" ht="12.75" customHeight="1">
      <c r="A20" s="7" t="s">
        <v>649</v>
      </c>
    </row>
    <row r="21" spans="1:1" ht="12.75" customHeight="1">
      <c r="A21" s="7" t="s">
        <v>650</v>
      </c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7A168-C9A3-E248-B62F-07B84E118368}">
  <dimension ref="A1:G19"/>
  <sheetViews>
    <sheetView zoomScale="75" workbookViewId="0">
      <selection activeCell="B23" sqref="B23"/>
    </sheetView>
  </sheetViews>
  <sheetFormatPr baseColWidth="10" defaultColWidth="10.796875" defaultRowHeight="13"/>
  <cols>
    <col min="1" max="1" width="32.796875" style="7" customWidth="1"/>
    <col min="2" max="6" width="12.796875" style="22" customWidth="1"/>
    <col min="7" max="7" width="12.796875" style="7" customWidth="1"/>
    <col min="8" max="16384" width="10.796875" style="7"/>
  </cols>
  <sheetData>
    <row r="1" spans="1:7" ht="14" customHeight="1">
      <c r="A1" s="1"/>
    </row>
    <row r="2" spans="1:7" ht="28" customHeight="1">
      <c r="A2" s="2" t="str">
        <f>"T 1.08  Erkrankte, Spitaleinweisungen und Spitaltage nach Geschlecht / Kinder "&amp;'[2]data an-1'!$B$2</f>
        <v>T 1.08  Erkrankte, Spitaleinweisungen und Spitaltage nach Geschlecht / Kinder 2001</v>
      </c>
    </row>
    <row r="3" spans="1:7" s="116" customFormat="1" ht="25" customHeight="1">
      <c r="A3" s="114" t="s">
        <v>651</v>
      </c>
      <c r="B3" s="115" t="s">
        <v>529</v>
      </c>
      <c r="C3" s="96" t="s">
        <v>530</v>
      </c>
      <c r="D3" s="115" t="s">
        <v>531</v>
      </c>
      <c r="E3" s="42" t="s">
        <v>538</v>
      </c>
      <c r="F3" s="6" t="s">
        <v>514</v>
      </c>
      <c r="G3" s="42" t="s">
        <v>522</v>
      </c>
    </row>
    <row r="4" spans="1:7" s="116" customFormat="1" ht="15" customHeight="1">
      <c r="A4" s="117"/>
      <c r="B4" s="11"/>
      <c r="C4" s="45"/>
      <c r="D4" s="11"/>
      <c r="E4" s="45"/>
      <c r="F4" s="12"/>
      <c r="G4" s="44" t="s">
        <v>523</v>
      </c>
    </row>
    <row r="5" spans="1:7" s="116" customFormat="1" ht="15" customHeight="1">
      <c r="A5" s="117"/>
      <c r="B5" s="11"/>
      <c r="C5" s="45"/>
      <c r="D5" s="11"/>
      <c r="E5" s="45"/>
      <c r="F5" s="12"/>
      <c r="G5" s="44" t="s">
        <v>524</v>
      </c>
    </row>
    <row r="6" spans="1:7" s="116" customFormat="1" ht="24" customHeight="1">
      <c r="A6" s="118"/>
      <c r="B6" s="119"/>
      <c r="C6" s="120"/>
      <c r="D6" s="119"/>
      <c r="E6" s="120"/>
      <c r="F6" s="98"/>
      <c r="G6" s="47"/>
    </row>
    <row r="7" spans="1:7" ht="30" customHeight="1" thickBot="1">
      <c r="A7" s="121" t="s">
        <v>576</v>
      </c>
      <c r="B7" s="20">
        <f>[9]f!B7</f>
        <v>2775829</v>
      </c>
      <c r="C7" s="50">
        <f>[9]f!C7</f>
        <v>2962533</v>
      </c>
      <c r="D7" s="20">
        <f>[9]f!D7</f>
        <v>5738362</v>
      </c>
      <c r="E7" s="50">
        <f>[9]f!E7</f>
        <v>1582925</v>
      </c>
      <c r="F7" s="122">
        <f>[9]f!F7</f>
        <v>7321287</v>
      </c>
      <c r="G7" s="90">
        <f>[9]f!G7</f>
        <v>7.3163439578729601E-3</v>
      </c>
    </row>
    <row r="8" spans="1:7" ht="24" customHeight="1" thickBot="1">
      <c r="A8" s="123" t="s">
        <v>652</v>
      </c>
      <c r="B8" s="26">
        <f>[9]f!B8</f>
        <v>2020454</v>
      </c>
      <c r="C8" s="54">
        <f>[9]f!C8</f>
        <v>2659085</v>
      </c>
      <c r="D8" s="26">
        <f>[9]f!D8</f>
        <v>4679539</v>
      </c>
      <c r="E8" s="54">
        <f>[9]f!E8</f>
        <v>1364366</v>
      </c>
      <c r="F8" s="124">
        <f>[9]f!F8</f>
        <v>6043905</v>
      </c>
      <c r="G8" s="90">
        <f>[9]f!G8</f>
        <v>1.6288789287434831E-2</v>
      </c>
    </row>
    <row r="9" spans="1:7" ht="20" customHeight="1" thickBot="1">
      <c r="A9" s="123" t="s">
        <v>653</v>
      </c>
      <c r="B9" s="125">
        <f>[9]f!B9</f>
        <v>72.8</v>
      </c>
      <c r="C9" s="126">
        <f>[9]f!C9</f>
        <v>89.8</v>
      </c>
      <c r="D9" s="125">
        <f>[9]f!D9</f>
        <v>81.548340798297488</v>
      </c>
      <c r="E9" s="126">
        <f>[9]f!E9</f>
        <v>86.2</v>
      </c>
      <c r="F9" s="127">
        <f>[9]f!F9</f>
        <v>82.6</v>
      </c>
      <c r="G9" s="90">
        <f>[9]f!G9</f>
        <v>9.4878684924503947E-3</v>
      </c>
    </row>
    <row r="10" spans="1:7" ht="24" customHeight="1" thickBot="1">
      <c r="A10" s="123" t="s">
        <v>654</v>
      </c>
      <c r="B10" s="26">
        <f>[9]f!B10</f>
        <v>465088</v>
      </c>
      <c r="C10" s="54">
        <f>[9]f!C10</f>
        <v>648063</v>
      </c>
      <c r="D10" s="26">
        <f>[9]f!D10</f>
        <v>1113151</v>
      </c>
      <c r="E10" s="54">
        <f>[9]f!E10</f>
        <v>80164</v>
      </c>
      <c r="F10" s="124">
        <f>[9]f!F10</f>
        <v>1193315</v>
      </c>
      <c r="G10" s="90">
        <f>[9]f!G10</f>
        <v>8.6875143451507014E-2</v>
      </c>
    </row>
    <row r="11" spans="1:7" ht="20" customHeight="1" thickBot="1">
      <c r="A11" s="123" t="s">
        <v>655</v>
      </c>
      <c r="B11" s="26" t="str">
        <f>[9]f!B11</f>
        <v>-</v>
      </c>
      <c r="C11" s="54">
        <f>[9]f!C11</f>
        <v>86944</v>
      </c>
      <c r="D11" s="26">
        <f>[9]f!D11</f>
        <v>86944</v>
      </c>
      <c r="E11" s="54">
        <f>[9]f!E11</f>
        <v>708</v>
      </c>
      <c r="F11" s="124">
        <f>[9]f!F11</f>
        <v>87652</v>
      </c>
      <c r="G11" s="90">
        <f>[9]f!G11</f>
        <v>1.2276386146046264E-2</v>
      </c>
    </row>
    <row r="12" spans="1:7" ht="20" customHeight="1" thickBot="1">
      <c r="A12" s="123" t="s">
        <v>656</v>
      </c>
      <c r="B12" s="125">
        <f>[9]f!B12</f>
        <v>16.8</v>
      </c>
      <c r="C12" s="126">
        <f>[9]f!C12</f>
        <v>21.9</v>
      </c>
      <c r="D12" s="125">
        <f>[9]f!D12</f>
        <v>19.398410208348654</v>
      </c>
      <c r="E12" s="126">
        <f>[9]f!E12</f>
        <v>5.0999999999999996</v>
      </c>
      <c r="F12" s="127">
        <f>[9]f!F12</f>
        <v>16.3</v>
      </c>
      <c r="G12" s="90">
        <f>[9]f!G12</f>
        <v>7.9030480029728664E-2</v>
      </c>
    </row>
    <row r="13" spans="1:7" ht="24" customHeight="1" thickBot="1">
      <c r="A13" s="123" t="s">
        <v>657</v>
      </c>
      <c r="B13" s="26">
        <f>[9]f!B13</f>
        <v>5057943</v>
      </c>
      <c r="C13" s="54">
        <f>[9]f!C13</f>
        <v>7017089</v>
      </c>
      <c r="D13" s="26">
        <f>[9]f!D13</f>
        <v>12075032</v>
      </c>
      <c r="E13" s="54">
        <f>[9]f!E13</f>
        <v>439094</v>
      </c>
      <c r="F13" s="124">
        <f>[9]f!F13</f>
        <v>12514126</v>
      </c>
      <c r="G13" s="90">
        <f>[9]f!G13</f>
        <v>5.3645952460085683E-3</v>
      </c>
    </row>
    <row r="14" spans="1:7" ht="20" customHeight="1" thickBot="1">
      <c r="A14" s="123" t="s">
        <v>655</v>
      </c>
      <c r="B14" s="128" t="str">
        <f>[9]f!B14</f>
        <v>-</v>
      </c>
      <c r="C14" s="54">
        <f>[9]f!C14</f>
        <v>533566</v>
      </c>
      <c r="D14" s="26">
        <f>[9]f!D14</f>
        <v>533566</v>
      </c>
      <c r="E14" s="54">
        <f>[9]f!E14</f>
        <v>3284</v>
      </c>
      <c r="F14" s="124">
        <f>[9]f!F14</f>
        <v>536850</v>
      </c>
      <c r="G14" s="90">
        <f>[9]f!G14</f>
        <v>-3.1203249714422863E-2</v>
      </c>
    </row>
    <row r="15" spans="1:7" ht="20" customHeight="1" thickBot="1">
      <c r="A15" s="123" t="s">
        <v>658</v>
      </c>
      <c r="B15" s="125">
        <f>[9]f!B15</f>
        <v>182.2</v>
      </c>
      <c r="C15" s="126">
        <f>[9]f!C15</f>
        <v>236.9</v>
      </c>
      <c r="D15" s="125">
        <f>[9]f!D15</f>
        <v>210.42645967612361</v>
      </c>
      <c r="E15" s="126">
        <f>[9]f!E15</f>
        <v>27.7</v>
      </c>
      <c r="F15" s="127">
        <f>[9]f!F15</f>
        <v>170.9</v>
      </c>
      <c r="G15" s="90">
        <f>[9]f!G15</f>
        <v>-2.100792449734783E-3</v>
      </c>
    </row>
    <row r="16" spans="1:7" ht="30" customHeight="1" thickBot="1">
      <c r="A16" s="110" t="s">
        <v>659</v>
      </c>
      <c r="B16" s="129">
        <f>[9]f!B16</f>
        <v>10.875238664510801</v>
      </c>
      <c r="C16" s="130">
        <f>[9]f!C16</f>
        <v>10.827788347737798</v>
      </c>
      <c r="D16" s="129">
        <f>[9]f!D16</f>
        <v>10.847613666070462</v>
      </c>
      <c r="E16" s="130">
        <f>[9]f!E16</f>
        <v>5.4774462352178039</v>
      </c>
      <c r="F16" s="131">
        <f>[9]f!F16</f>
        <v>10.486858876323518</v>
      </c>
      <c r="G16" s="92">
        <f>[9]f!G16</f>
        <v>-7.4995319100454885E-2</v>
      </c>
    </row>
    <row r="17" spans="1:7" ht="20" customHeight="1">
      <c r="A17" s="28" t="str">
        <f>'[2]data an-1'!$D$2</f>
        <v>Datenstand: 6.11.02</v>
      </c>
      <c r="B17" s="132"/>
      <c r="C17" s="132"/>
      <c r="D17" s="132"/>
      <c r="E17" s="132"/>
      <c r="F17" s="132"/>
      <c r="G17" s="28"/>
    </row>
    <row r="18" spans="1:7" ht="12.75" customHeight="1">
      <c r="A18" s="7" t="s">
        <v>645</v>
      </c>
    </row>
    <row r="19" spans="1:7" ht="12.75" customHeight="1">
      <c r="A19" s="7" t="s">
        <v>660</v>
      </c>
    </row>
  </sheetData>
  <phoneticPr fontId="0" type="noConversion"/>
  <pageMargins left="0.78740157480314965" right="0.51" top="1.4566929133858268" bottom="0.47244094488188981" header="0.94488188976377963" footer="0.51181102362204722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23501-A4EE-BD49-B6DE-CFED583BD972}">
  <dimension ref="A1:K17"/>
  <sheetViews>
    <sheetView zoomScale="75" workbookViewId="0">
      <selection activeCell="I14" sqref="I14"/>
    </sheetView>
  </sheetViews>
  <sheetFormatPr baseColWidth="10" defaultColWidth="11.3984375" defaultRowHeight="13"/>
  <cols>
    <col min="1" max="1" width="14.3984375" style="7" customWidth="1"/>
    <col min="2" max="6" width="15.796875" style="7" customWidth="1"/>
    <col min="7" max="7" width="13.19921875" style="7" customWidth="1"/>
    <col min="8" max="16384" width="11.3984375" style="7"/>
  </cols>
  <sheetData>
    <row r="1" spans="1:11" s="1" customFormat="1" ht="14" customHeight="1"/>
    <row r="2" spans="1:11" s="1" customFormat="1" ht="28" customHeight="1">
      <c r="A2" s="2" t="s">
        <v>661</v>
      </c>
    </row>
    <row r="3" spans="1:11" ht="24" customHeight="1">
      <c r="A3" s="41" t="s">
        <v>535</v>
      </c>
      <c r="B3" s="6" t="s">
        <v>662</v>
      </c>
      <c r="C3" s="42" t="s">
        <v>622</v>
      </c>
      <c r="D3" s="6" t="s">
        <v>623</v>
      </c>
      <c r="E3" s="42" t="s">
        <v>624</v>
      </c>
      <c r="F3" s="6" t="s">
        <v>514</v>
      </c>
      <c r="G3" s="42" t="s">
        <v>522</v>
      </c>
    </row>
    <row r="4" spans="1:11" ht="15" customHeight="1">
      <c r="A4" s="43"/>
      <c r="B4" s="12" t="s">
        <v>625</v>
      </c>
      <c r="C4" s="44" t="s">
        <v>626</v>
      </c>
      <c r="D4" s="12" t="s">
        <v>627</v>
      </c>
      <c r="E4" s="45" t="s">
        <v>628</v>
      </c>
      <c r="F4" s="12"/>
      <c r="G4" s="44" t="s">
        <v>523</v>
      </c>
    </row>
    <row r="5" spans="1:11" ht="15" customHeight="1">
      <c r="A5" s="43"/>
      <c r="B5" s="12" t="s">
        <v>629</v>
      </c>
      <c r="C5" s="44" t="s">
        <v>630</v>
      </c>
      <c r="D5" s="12" t="s">
        <v>631</v>
      </c>
      <c r="E5" s="45" t="s">
        <v>632</v>
      </c>
      <c r="F5" s="12"/>
      <c r="G5" s="44" t="s">
        <v>524</v>
      </c>
    </row>
    <row r="6" spans="1:11" ht="24" customHeight="1">
      <c r="A6" s="46"/>
      <c r="B6" s="16"/>
      <c r="C6" s="47"/>
      <c r="D6" s="16"/>
      <c r="E6" s="48" t="s">
        <v>633</v>
      </c>
      <c r="F6" s="16"/>
      <c r="G6" s="47"/>
    </row>
    <row r="7" spans="1:11" ht="30" customHeight="1" thickBot="1">
      <c r="A7" s="49">
        <f>[10]f!A7</f>
        <v>1994</v>
      </c>
      <c r="B7" s="21">
        <f>[10]f!B7</f>
        <v>8110345000</v>
      </c>
      <c r="C7" s="50">
        <f>[10]f!C7</f>
        <v>912525000</v>
      </c>
      <c r="D7" s="20">
        <f>[10]f!D7</f>
        <v>17591000</v>
      </c>
      <c r="E7" s="50">
        <f>[10]f!E7</f>
        <v>28416000</v>
      </c>
      <c r="F7" s="21">
        <f>[10]f!F7</f>
        <v>9068877000</v>
      </c>
      <c r="G7" s="51" t="str">
        <f>[10]f!G7</f>
        <v>–</v>
      </c>
      <c r="H7" s="22"/>
    </row>
    <row r="8" spans="1:11" ht="20" customHeight="1" thickBot="1">
      <c r="A8" s="52">
        <f>[10]f!A8</f>
        <v>1995</v>
      </c>
      <c r="B8" s="53">
        <f>[10]f!B8</f>
        <v>8101065000</v>
      </c>
      <c r="C8" s="54">
        <f>[10]f!C8</f>
        <v>984026000</v>
      </c>
      <c r="D8" s="26">
        <f>[10]f!D8</f>
        <v>36207000</v>
      </c>
      <c r="E8" s="54">
        <f>[10]f!E8</f>
        <v>38742000</v>
      </c>
      <c r="F8" s="26">
        <f>[10]f!F8</f>
        <v>9160047000</v>
      </c>
      <c r="G8" s="55">
        <f>[10]f!G8</f>
        <v>1.0053063901958313E-2</v>
      </c>
      <c r="H8" s="22"/>
    </row>
    <row r="9" spans="1:11" ht="20" customHeight="1" thickBot="1">
      <c r="A9" s="52">
        <f>[10]f!A9</f>
        <v>1996</v>
      </c>
      <c r="B9" s="26">
        <f>[10]f!B9</f>
        <v>7263879193.6000004</v>
      </c>
      <c r="C9" s="54">
        <f>[10]f!C9</f>
        <v>3689716942.5</v>
      </c>
      <c r="D9" s="26">
        <f>[10]f!D9</f>
        <v>38020066.050000004</v>
      </c>
      <c r="E9" s="54">
        <f>[10]f!E9</f>
        <v>139019617.94999999</v>
      </c>
      <c r="F9" s="26">
        <f>[10]f!F9</f>
        <v>11130635820.099998</v>
      </c>
      <c r="G9" s="55">
        <f>[10]f!G9</f>
        <v>0.21512868002751498</v>
      </c>
    </row>
    <row r="10" spans="1:11" ht="20" customHeight="1" thickBot="1">
      <c r="A10" s="52">
        <f>[10]f!A10</f>
        <v>1997</v>
      </c>
      <c r="B10" s="26">
        <f>[10]f!B10</f>
        <v>6540588878</v>
      </c>
      <c r="C10" s="54">
        <f>[10]f!C10</f>
        <v>4995296573</v>
      </c>
      <c r="D10" s="26">
        <f>[10]f!D10</f>
        <v>16474356</v>
      </c>
      <c r="E10" s="54">
        <f>[10]f!E10</f>
        <v>488324321</v>
      </c>
      <c r="F10" s="26">
        <f>[10]f!F10</f>
        <v>12040684128</v>
      </c>
      <c r="G10" s="55">
        <f>[10]f!G10</f>
        <v>8.1760675904660546E-2</v>
      </c>
      <c r="I10" s="27"/>
      <c r="J10" s="27"/>
      <c r="K10" s="27"/>
    </row>
    <row r="11" spans="1:11" ht="20" customHeight="1" thickBot="1">
      <c r="A11" s="52">
        <f>[10]f!A11</f>
        <v>1998</v>
      </c>
      <c r="B11" s="26">
        <f>[10]f!B11</f>
        <v>6687491385</v>
      </c>
      <c r="C11" s="54">
        <f>[10]f!C11</f>
        <v>5281034163</v>
      </c>
      <c r="D11" s="26">
        <f>[10]f!D11</f>
        <v>17124804</v>
      </c>
      <c r="E11" s="54">
        <f>[10]f!E11</f>
        <v>722619796</v>
      </c>
      <c r="F11" s="26">
        <f>[10]f!F11</f>
        <v>12708270148</v>
      </c>
      <c r="G11" s="55">
        <f>[10]f!G11</f>
        <v>5.5444193444753077E-2</v>
      </c>
    </row>
    <row r="12" spans="1:11" ht="20" customHeight="1" thickBot="1">
      <c r="A12" s="52">
        <f>[10]f!A12</f>
        <v>1999</v>
      </c>
      <c r="B12" s="26">
        <f>[10]f!B12</f>
        <v>6794064715</v>
      </c>
      <c r="C12" s="54">
        <f>[10]f!C12</f>
        <v>5396193285</v>
      </c>
      <c r="D12" s="26">
        <f>[10]f!D12</f>
        <v>15330070</v>
      </c>
      <c r="E12" s="54">
        <f>[10]f!E12</f>
        <v>828254703</v>
      </c>
      <c r="F12" s="26">
        <f>[10]f!F12</f>
        <v>13033842773</v>
      </c>
      <c r="G12" s="55">
        <f>[10]f!G12</f>
        <v>2.5618956884642392E-2</v>
      </c>
    </row>
    <row r="13" spans="1:11" ht="20" customHeight="1" thickBot="1">
      <c r="A13" s="52">
        <f>[10]f!A13</f>
        <v>2000</v>
      </c>
      <c r="B13" s="26">
        <f>[10]f!B13</f>
        <v>6892066397</v>
      </c>
      <c r="C13" s="54">
        <f>[10]f!C13</f>
        <v>5620040093</v>
      </c>
      <c r="D13" s="26">
        <f>[10]f!D13</f>
        <v>15057027</v>
      </c>
      <c r="E13" s="54">
        <f>[10]f!E13</f>
        <v>914491167</v>
      </c>
      <c r="F13" s="26">
        <f>[10]f!F13</f>
        <v>13441654684</v>
      </c>
      <c r="G13" s="55">
        <f>[10]f!G13</f>
        <v>3.1288693450008058E-2</v>
      </c>
    </row>
    <row r="14" spans="1:11" ht="30" customHeight="1" thickBot="1">
      <c r="A14" s="133">
        <f>[10]f!A14</f>
        <v>2001</v>
      </c>
      <c r="B14" s="134">
        <f>[10]f!B14</f>
        <v>7135000924</v>
      </c>
      <c r="C14" s="135">
        <f>[10]f!C14</f>
        <v>5862096902</v>
      </c>
      <c r="D14" s="134">
        <f>[10]f!D14</f>
        <v>14859371</v>
      </c>
      <c r="E14" s="135">
        <f>[10]f!E14</f>
        <v>985355210</v>
      </c>
      <c r="F14" s="134">
        <f>[10]f!F14</f>
        <v>13997312407</v>
      </c>
      <c r="G14" s="58">
        <f>[10]f!G14</f>
        <v>4.133849113542664E-2</v>
      </c>
    </row>
    <row r="15" spans="1:11" ht="20" customHeight="1">
      <c r="A15" s="28" t="str">
        <f>'[2]data an-1'!$D$2</f>
        <v>Datenstand: 6.11.02</v>
      </c>
      <c r="B15" s="29"/>
      <c r="C15" s="29"/>
      <c r="D15" s="29"/>
      <c r="E15" s="29"/>
      <c r="F15" s="29"/>
      <c r="G15" s="30"/>
    </row>
    <row r="16" spans="1:11" ht="12.75" customHeight="1">
      <c r="A16" s="7" t="s">
        <v>663</v>
      </c>
      <c r="B16" s="31"/>
      <c r="C16" s="31"/>
      <c r="D16" s="31"/>
      <c r="E16" s="31"/>
      <c r="F16" s="31"/>
      <c r="G16" s="32"/>
    </row>
    <row r="17" spans="1:1" ht="12.75" customHeight="1">
      <c r="A17" s="7" t="s">
        <v>664</v>
      </c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4C2E-803E-1041-AFCB-092180F145A1}">
  <dimension ref="A1:K16"/>
  <sheetViews>
    <sheetView zoomScale="75" workbookViewId="0">
      <selection activeCell="G13" sqref="G13"/>
    </sheetView>
  </sheetViews>
  <sheetFormatPr baseColWidth="10" defaultColWidth="11.3984375" defaultRowHeight="13"/>
  <cols>
    <col min="1" max="1" width="20.796875" style="7" customWidth="1"/>
    <col min="2" max="7" width="14.3984375" style="7" customWidth="1"/>
    <col min="8" max="16384" width="11.3984375" style="7"/>
  </cols>
  <sheetData>
    <row r="1" spans="1:11" s="1" customFormat="1" ht="14" customHeight="1"/>
    <row r="2" spans="1:11" s="1" customFormat="1" ht="28" customHeight="1">
      <c r="A2" s="2" t="s">
        <v>665</v>
      </c>
    </row>
    <row r="3" spans="1:11" ht="24" customHeight="1">
      <c r="A3" s="41" t="s">
        <v>535</v>
      </c>
      <c r="B3" s="6" t="s">
        <v>662</v>
      </c>
      <c r="C3" s="42" t="s">
        <v>622</v>
      </c>
      <c r="D3" s="6" t="s">
        <v>623</v>
      </c>
      <c r="E3" s="42" t="s">
        <v>624</v>
      </c>
      <c r="F3" s="6" t="s">
        <v>514</v>
      </c>
      <c r="G3" s="42" t="s">
        <v>522</v>
      </c>
    </row>
    <row r="4" spans="1:11" ht="15" customHeight="1">
      <c r="A4" s="43"/>
      <c r="B4" s="12" t="s">
        <v>625</v>
      </c>
      <c r="C4" s="44" t="s">
        <v>626</v>
      </c>
      <c r="D4" s="12" t="s">
        <v>627</v>
      </c>
      <c r="E4" s="45" t="s">
        <v>628</v>
      </c>
      <c r="F4" s="12"/>
      <c r="G4" s="44" t="s">
        <v>523</v>
      </c>
    </row>
    <row r="5" spans="1:11" ht="15" customHeight="1">
      <c r="A5" s="43"/>
      <c r="B5" s="12" t="s">
        <v>629</v>
      </c>
      <c r="C5" s="44" t="s">
        <v>630</v>
      </c>
      <c r="D5" s="12" t="s">
        <v>631</v>
      </c>
      <c r="E5" s="45" t="s">
        <v>632</v>
      </c>
      <c r="F5" s="12"/>
      <c r="G5" s="44" t="s">
        <v>524</v>
      </c>
    </row>
    <row r="6" spans="1:11" ht="24" customHeight="1">
      <c r="A6" s="46"/>
      <c r="B6" s="16"/>
      <c r="C6" s="47"/>
      <c r="D6" s="16"/>
      <c r="E6" s="48" t="s">
        <v>633</v>
      </c>
      <c r="F6" s="16"/>
      <c r="G6" s="47"/>
    </row>
    <row r="7" spans="1:11" ht="30" customHeight="1" thickBot="1">
      <c r="A7" s="49">
        <f>[11]f!A7</f>
        <v>1994</v>
      </c>
      <c r="B7" s="21">
        <f>[11]f!B7</f>
        <v>1257.8932936201311</v>
      </c>
      <c r="C7" s="50">
        <f>[11]f!C7</f>
        <v>1416.984088286948</v>
      </c>
      <c r="D7" s="20">
        <f>[11]f!D7</f>
        <v>1149.8888743626617</v>
      </c>
      <c r="E7" s="50">
        <f>[11]f!E7</f>
        <v>1145.7140553181196</v>
      </c>
      <c r="F7" s="21">
        <f>[11]f!F7</f>
        <v>1271.6374450635778</v>
      </c>
      <c r="G7" s="51" t="str">
        <f>[11]f!G7</f>
        <v>–</v>
      </c>
      <c r="H7" s="22"/>
    </row>
    <row r="8" spans="1:11" ht="20" customHeight="1" thickBot="1">
      <c r="A8" s="52">
        <f>[11]f!A8</f>
        <v>1995</v>
      </c>
      <c r="B8" s="53">
        <f>[11]f!B8</f>
        <v>1265.8938645346607</v>
      </c>
      <c r="C8" s="54">
        <f>[11]f!C8</f>
        <v>1408.2722358736423</v>
      </c>
      <c r="D8" s="26">
        <f>[11]f!D8</f>
        <v>1107.0784283748662</v>
      </c>
      <c r="E8" s="54">
        <f>[11]f!E8</f>
        <v>1094.9325947488908</v>
      </c>
      <c r="F8" s="26">
        <f>[11]f!F8</f>
        <v>1278.2084577056805</v>
      </c>
      <c r="G8" s="55">
        <f>[11]f!G8</f>
        <v>5.1673632823655627E-3</v>
      </c>
      <c r="H8" s="22"/>
    </row>
    <row r="9" spans="1:11" ht="20" customHeight="1" thickBot="1">
      <c r="A9" s="52">
        <f>[11]f!A9</f>
        <v>1996</v>
      </c>
      <c r="B9" s="26">
        <f>[11]f!B9</f>
        <v>1532.58</v>
      </c>
      <c r="C9" s="54">
        <f>[11]f!C9</f>
        <v>1600.27</v>
      </c>
      <c r="D9" s="26">
        <f>[11]f!D9</f>
        <v>1366.25</v>
      </c>
      <c r="E9" s="54">
        <f>[11]f!E9</f>
        <v>1143.27</v>
      </c>
      <c r="F9" s="26">
        <f>[11]f!F9</f>
        <v>1547.05</v>
      </c>
      <c r="G9" s="55">
        <f>[11]f!G9</f>
        <v>0.21032683728042012</v>
      </c>
    </row>
    <row r="10" spans="1:11" ht="20" customHeight="1" thickBot="1">
      <c r="A10" s="52">
        <f>[11]f!A10</f>
        <v>1997</v>
      </c>
      <c r="B10" s="26">
        <f>[11]f!B10</f>
        <v>1601.57</v>
      </c>
      <c r="C10" s="54">
        <f>[11]f!C10</f>
        <v>1825.52</v>
      </c>
      <c r="D10" s="26">
        <f>[11]f!D10</f>
        <v>1433.3</v>
      </c>
      <c r="E10" s="54">
        <f>[11]f!E10</f>
        <v>1274.69</v>
      </c>
      <c r="F10" s="26">
        <f>[11]f!F10</f>
        <v>1668.89</v>
      </c>
      <c r="G10" s="55">
        <f>[11]f!G10</f>
        <v>7.8756342716783653E-2</v>
      </c>
      <c r="I10" s="27"/>
      <c r="J10" s="27"/>
      <c r="K10" s="27"/>
    </row>
    <row r="11" spans="1:11" ht="20" customHeight="1" thickBot="1">
      <c r="A11" s="52">
        <f>[11]f!A11</f>
        <v>1998</v>
      </c>
      <c r="B11" s="26">
        <f>[11]f!B11</f>
        <v>1665.1</v>
      </c>
      <c r="C11" s="54">
        <f>[11]f!C11</f>
        <v>1936.95</v>
      </c>
      <c r="D11" s="26">
        <f>[11]f!D11</f>
        <v>1447.82</v>
      </c>
      <c r="E11" s="54">
        <f>[11]f!E11</f>
        <v>1462.67</v>
      </c>
      <c r="F11" s="26">
        <f>[11]f!F11</f>
        <v>1753.2</v>
      </c>
      <c r="G11" s="55">
        <f>[11]f!G11</f>
        <v>5.0518608176692258E-2</v>
      </c>
    </row>
    <row r="12" spans="1:11" ht="20" customHeight="1" thickBot="1">
      <c r="A12" s="52">
        <f>[11]f!A12</f>
        <v>1999</v>
      </c>
      <c r="B12" s="26">
        <f>[11]f!B12</f>
        <v>1699.05</v>
      </c>
      <c r="C12" s="54">
        <f>[11]f!C12</f>
        <v>1987.08</v>
      </c>
      <c r="D12" s="26">
        <f>[11]f!D12</f>
        <v>1494.45</v>
      </c>
      <c r="E12" s="54">
        <f>[11]f!E12</f>
        <v>1528.46</v>
      </c>
      <c r="F12" s="26">
        <f>[11]f!F12</f>
        <v>1793.68</v>
      </c>
      <c r="G12" s="55">
        <f>[11]f!G12</f>
        <v>2.3089208304814063E-2</v>
      </c>
    </row>
    <row r="13" spans="1:11" ht="20" customHeight="1" thickBot="1">
      <c r="A13" s="52">
        <f>[11]f!A13</f>
        <v>2000</v>
      </c>
      <c r="B13" s="26">
        <f>[11]f!B13</f>
        <v>1757.32</v>
      </c>
      <c r="C13" s="54">
        <f>[11]f!C13</f>
        <v>2037.32</v>
      </c>
      <c r="D13" s="26">
        <f>[11]f!D13</f>
        <v>1534.71</v>
      </c>
      <c r="E13" s="54">
        <f>[11]f!E13</f>
        <v>1582.6</v>
      </c>
      <c r="F13" s="26">
        <f>[11]f!F13</f>
        <v>1849.4</v>
      </c>
      <c r="G13" s="55">
        <f>[11]f!G13</f>
        <v>3.1064626912269761E-2</v>
      </c>
    </row>
    <row r="14" spans="1:11" ht="30" customHeight="1" thickBot="1">
      <c r="A14" s="56">
        <f>[11]f!A14</f>
        <v>2001</v>
      </c>
      <c r="B14" s="39">
        <f>[11]f!B14</f>
        <v>1837.88</v>
      </c>
      <c r="C14" s="57">
        <f>[11]f!C14</f>
        <v>2068.62</v>
      </c>
      <c r="D14" s="39">
        <f>[11]f!D14</f>
        <v>1590.77</v>
      </c>
      <c r="E14" s="57">
        <f>[11]f!E14</f>
        <v>1653.45</v>
      </c>
      <c r="F14" s="39">
        <f>[11]f!F14</f>
        <v>1911.87</v>
      </c>
      <c r="G14" s="58">
        <f>[11]f!G14</f>
        <v>3.3778522764139611E-2</v>
      </c>
    </row>
    <row r="15" spans="1:11" ht="20" customHeight="1">
      <c r="A15" s="28" t="str">
        <f>'[2]data an-1'!$D$2</f>
        <v>Datenstand: 6.11.02</v>
      </c>
      <c r="B15" s="29"/>
      <c r="C15" s="29"/>
      <c r="D15" s="29"/>
      <c r="E15" s="29"/>
      <c r="F15" s="29"/>
      <c r="G15" s="30"/>
    </row>
    <row r="16" spans="1:11">
      <c r="A16" s="7" t="s">
        <v>666</v>
      </c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747-EB0C-FA4E-B924-60CA8003E6D8}">
  <dimension ref="A1:I12"/>
  <sheetViews>
    <sheetView zoomScale="75" workbookViewId="0">
      <selection activeCell="C17" sqref="C17"/>
    </sheetView>
  </sheetViews>
  <sheetFormatPr baseColWidth="10" defaultColWidth="11.3984375" defaultRowHeight="13"/>
  <cols>
    <col min="1" max="1" width="19.3984375" style="7" customWidth="1"/>
    <col min="2" max="4" width="14.796875" style="7" customWidth="1"/>
    <col min="5" max="5" width="15.796875" style="7" customWidth="1"/>
    <col min="6" max="7" width="13.59765625" style="7" customWidth="1"/>
    <col min="8" max="8" width="11.3984375" style="7"/>
    <col min="9" max="9" width="15.796875" style="7" hidden="1" customWidth="1"/>
    <col min="10" max="16384" width="11.3984375" style="7"/>
  </cols>
  <sheetData>
    <row r="1" spans="1:9" ht="14" customHeight="1">
      <c r="A1" s="1"/>
    </row>
    <row r="2" spans="1:9" ht="28" customHeight="1">
      <c r="A2" s="2" t="str">
        <f>"T 1.11  Prämiensoll in Fr. nach Versicherungsform und Geschlecht / Kinder "&amp;'[2]data an-1'!$B$2</f>
        <v>T 1.11  Prämiensoll in Fr. nach Versicherungsform und Geschlecht / Kinder 2001</v>
      </c>
    </row>
    <row r="3" spans="1:9" ht="24" customHeight="1">
      <c r="A3" s="41" t="s">
        <v>634</v>
      </c>
      <c r="B3" s="6" t="s">
        <v>529</v>
      </c>
      <c r="C3" s="42" t="s">
        <v>530</v>
      </c>
      <c r="D3" s="6" t="s">
        <v>538</v>
      </c>
      <c r="E3" s="42" t="s">
        <v>514</v>
      </c>
      <c r="F3" s="6" t="s">
        <v>575</v>
      </c>
      <c r="G3" s="42" t="s">
        <v>522</v>
      </c>
      <c r="I3" s="42" t="s">
        <v>514</v>
      </c>
    </row>
    <row r="4" spans="1:9" ht="15" customHeight="1">
      <c r="A4" s="43"/>
      <c r="B4" s="12"/>
      <c r="C4" s="44"/>
      <c r="D4" s="12"/>
      <c r="E4" s="45"/>
      <c r="F4" s="12" t="s">
        <v>577</v>
      </c>
      <c r="G4" s="44" t="s">
        <v>523</v>
      </c>
      <c r="I4" s="45">
        <v>1999</v>
      </c>
    </row>
    <row r="5" spans="1:9" ht="15" customHeight="1">
      <c r="A5" s="61"/>
      <c r="B5" s="12"/>
      <c r="C5" s="44"/>
      <c r="D5" s="12"/>
      <c r="E5" s="44"/>
      <c r="F5" s="12" t="s">
        <v>578</v>
      </c>
      <c r="G5" s="44" t="s">
        <v>524</v>
      </c>
      <c r="I5" s="44"/>
    </row>
    <row r="6" spans="1:9" ht="24" customHeight="1">
      <c r="A6" s="97"/>
      <c r="B6" s="98"/>
      <c r="C6" s="99"/>
      <c r="D6" s="98"/>
      <c r="E6" s="99"/>
      <c r="F6" s="16"/>
      <c r="G6" s="47"/>
      <c r="I6" s="99"/>
    </row>
    <row r="7" spans="1:9" ht="36" customHeight="1" thickBot="1">
      <c r="A7" s="100" t="s">
        <v>635</v>
      </c>
      <c r="B7" s="101">
        <f>[12]f!B7</f>
        <v>2799753125</v>
      </c>
      <c r="C7" s="102">
        <f>[12]f!C7</f>
        <v>3503460734</v>
      </c>
      <c r="D7" s="101">
        <f>[12]f!D7</f>
        <v>831787065</v>
      </c>
      <c r="E7" s="102">
        <f>[12]f!E7</f>
        <v>7135000924</v>
      </c>
      <c r="F7" s="103">
        <f>[12]f!F7</f>
        <v>0.50974077855344679</v>
      </c>
      <c r="G7" s="104">
        <f>[12]f!G7</f>
        <v>3.5248431022914299E-2</v>
      </c>
      <c r="I7" s="136">
        <v>6794064715</v>
      </c>
    </row>
    <row r="8" spans="1:9" ht="28.5" customHeight="1" thickBot="1">
      <c r="A8" s="100" t="s">
        <v>636</v>
      </c>
      <c r="B8" s="101">
        <f>[12]f!B8</f>
        <v>2825053222</v>
      </c>
      <c r="C8" s="102">
        <f>[12]f!C8</f>
        <v>2929656113</v>
      </c>
      <c r="D8" s="101">
        <f>[12]f!D8</f>
        <v>107387567</v>
      </c>
      <c r="E8" s="102">
        <f>[12]f!E8</f>
        <v>5862096902</v>
      </c>
      <c r="F8" s="103">
        <f>[12]f!F8</f>
        <v>0.41880160501871694</v>
      </c>
      <c r="G8" s="104">
        <f>[12]f!G8</f>
        <v>4.3070299320727638E-2</v>
      </c>
      <c r="I8" s="136">
        <v>5396193285</v>
      </c>
    </row>
    <row r="9" spans="1:9" ht="30.75" customHeight="1" thickBot="1">
      <c r="A9" s="100" t="s">
        <v>637</v>
      </c>
      <c r="B9" s="101">
        <f>[12]f!B9</f>
        <v>9160690</v>
      </c>
      <c r="C9" s="102">
        <f>[12]f!C9</f>
        <v>5415681</v>
      </c>
      <c r="D9" s="101">
        <f>[12]f!D9</f>
        <v>283000</v>
      </c>
      <c r="E9" s="102">
        <f>[12]f!E9</f>
        <v>14859371</v>
      </c>
      <c r="F9" s="103">
        <f>[12]f!F9</f>
        <v>1.0615874367831419E-3</v>
      </c>
      <c r="G9" s="104">
        <f>[12]f!G9</f>
        <v>-1.3127159830423363E-2</v>
      </c>
      <c r="I9" s="136">
        <v>15330070</v>
      </c>
    </row>
    <row r="10" spans="1:9" ht="34.5" customHeight="1" thickBot="1">
      <c r="A10" s="100" t="s">
        <v>638</v>
      </c>
      <c r="B10" s="101">
        <f>[12]f!B10</f>
        <v>447002083</v>
      </c>
      <c r="C10" s="102">
        <f>[12]f!C10</f>
        <v>470562311</v>
      </c>
      <c r="D10" s="101">
        <f>[12]f!D10</f>
        <v>67790816</v>
      </c>
      <c r="E10" s="102">
        <f>[12]f!E10</f>
        <v>985355210</v>
      </c>
      <c r="F10" s="103">
        <f>[12]f!F10</f>
        <v>7.0396028991053156E-2</v>
      </c>
      <c r="G10" s="104">
        <f>[12]f!G10</f>
        <v>7.749013392056088E-2</v>
      </c>
      <c r="I10" s="136">
        <v>828254703</v>
      </c>
    </row>
    <row r="11" spans="1:9" s="140" customFormat="1" ht="38.25" customHeight="1" thickBot="1">
      <c r="A11" s="137" t="s">
        <v>514</v>
      </c>
      <c r="B11" s="111">
        <f>[12]f!B11</f>
        <v>6080969120</v>
      </c>
      <c r="C11" s="79">
        <f>[12]f!C11</f>
        <v>6909094839</v>
      </c>
      <c r="D11" s="111">
        <f>[12]f!D11</f>
        <v>1007248448</v>
      </c>
      <c r="E11" s="79">
        <f>[12]f!E11</f>
        <v>13997312407</v>
      </c>
      <c r="F11" s="138">
        <f>[12]f!F11</f>
        <v>1</v>
      </c>
      <c r="G11" s="139">
        <f>[12]f!G11</f>
        <v>4.133849113542664E-2</v>
      </c>
      <c r="I11" s="141">
        <v>13033842773</v>
      </c>
    </row>
    <row r="12" spans="1:9" ht="19.5" customHeight="1">
      <c r="A12" s="28" t="str">
        <f>'[2]data an-1'!$D$2</f>
        <v>Datenstand: 6.11.02</v>
      </c>
      <c r="B12" s="28"/>
      <c r="C12" s="28"/>
      <c r="D12" s="28"/>
      <c r="E12" s="28"/>
      <c r="F12" s="28"/>
      <c r="G12" s="28"/>
      <c r="I12" s="28"/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B6871-78E0-EA43-9ABB-830371B96A77}">
  <dimension ref="A1:G12"/>
  <sheetViews>
    <sheetView zoomScale="75" workbookViewId="0">
      <selection activeCell="A11" sqref="A11"/>
    </sheetView>
  </sheetViews>
  <sheetFormatPr baseColWidth="10" defaultColWidth="11.3984375" defaultRowHeight="13"/>
  <cols>
    <col min="1" max="1" width="19.796875" style="7" customWidth="1"/>
    <col min="2" max="7" width="14.796875" style="7" customWidth="1"/>
    <col min="8" max="16384" width="11.3984375" style="7"/>
  </cols>
  <sheetData>
    <row r="1" spans="1:7" ht="14" customHeight="1">
      <c r="A1" s="1"/>
    </row>
    <row r="2" spans="1:7" ht="28" customHeight="1">
      <c r="A2" s="2" t="str">
        <f>"T 1.12  Prämiensoll in Fr. je versicherte Person nach Versicherungsform und Geschlecht / Kinder "&amp;'[2]data an-1'!$B$2</f>
        <v>T 1.12  Prämiensoll in Fr. je versicherte Person nach Versicherungsform und Geschlecht / Kinder 2001</v>
      </c>
    </row>
    <row r="3" spans="1:7" ht="24" customHeight="1">
      <c r="A3" s="41" t="s">
        <v>634</v>
      </c>
      <c r="B3" s="6" t="s">
        <v>529</v>
      </c>
      <c r="C3" s="42" t="s">
        <v>530</v>
      </c>
      <c r="D3" s="6" t="s">
        <v>538</v>
      </c>
      <c r="E3" s="42" t="s">
        <v>514</v>
      </c>
      <c r="F3" s="6" t="s">
        <v>667</v>
      </c>
      <c r="G3" s="42" t="s">
        <v>522</v>
      </c>
    </row>
    <row r="4" spans="1:7" ht="15" customHeight="1">
      <c r="A4" s="43"/>
      <c r="B4" s="12"/>
      <c r="C4" s="44"/>
      <c r="D4" s="12"/>
      <c r="E4" s="45"/>
      <c r="F4" s="12" t="s">
        <v>668</v>
      </c>
      <c r="G4" s="44" t="s">
        <v>523</v>
      </c>
    </row>
    <row r="5" spans="1:7" ht="15" customHeight="1">
      <c r="A5" s="61"/>
      <c r="B5" s="12"/>
      <c r="C5" s="44"/>
      <c r="D5" s="12"/>
      <c r="E5" s="44"/>
      <c r="F5" s="12" t="s">
        <v>669</v>
      </c>
      <c r="G5" s="44" t="s">
        <v>524</v>
      </c>
    </row>
    <row r="6" spans="1:7" ht="24" customHeight="1">
      <c r="A6" s="97"/>
      <c r="B6" s="98"/>
      <c r="C6" s="99"/>
      <c r="D6" s="98"/>
      <c r="E6" s="99"/>
      <c r="F6" s="16"/>
      <c r="G6" s="47"/>
    </row>
    <row r="7" spans="1:7" ht="35.25" customHeight="1" thickBot="1">
      <c r="A7" s="100" t="s">
        <v>635</v>
      </c>
      <c r="B7" s="101">
        <f>[13]f!B7</f>
        <v>2376.4</v>
      </c>
      <c r="C7" s="102">
        <f>[13]f!C7</f>
        <v>2458.36</v>
      </c>
      <c r="D7" s="101">
        <f>[13]f!D7</f>
        <v>650.38</v>
      </c>
      <c r="E7" s="102">
        <f>[13]f!E7</f>
        <v>1837.88</v>
      </c>
      <c r="F7" s="101">
        <f>[13]f!F7</f>
        <v>-73.989999999999995</v>
      </c>
      <c r="G7" s="104">
        <f>[13]f!G7</f>
        <v>4.6033010813887373E-2</v>
      </c>
    </row>
    <row r="8" spans="1:7" ht="30.75" customHeight="1" thickBot="1">
      <c r="A8" s="100" t="s">
        <v>636</v>
      </c>
      <c r="B8" s="101">
        <f>[13]f!B8</f>
        <v>2087.67</v>
      </c>
      <c r="C8" s="102">
        <f>[13]f!C8</f>
        <v>2255.56</v>
      </c>
      <c r="D8" s="101">
        <f>[13]f!D8</f>
        <v>590.86</v>
      </c>
      <c r="E8" s="102">
        <f>[13]f!E8</f>
        <v>2068.62</v>
      </c>
      <c r="F8" s="101">
        <f>[13]f!F8</f>
        <v>156.76</v>
      </c>
      <c r="G8" s="104">
        <f>[13]f!G8</f>
        <v>1.5522827687776087E-2</v>
      </c>
    </row>
    <row r="9" spans="1:7" ht="35.25" customHeight="1" thickBot="1">
      <c r="A9" s="100" t="s">
        <v>637</v>
      </c>
      <c r="B9" s="101">
        <f>[13]f!B9</f>
        <v>1599.56</v>
      </c>
      <c r="C9" s="102">
        <f>[13]f!C9</f>
        <v>1733.57</v>
      </c>
      <c r="D9" s="101">
        <f>[13]f!D9</f>
        <v>577.54999999999995</v>
      </c>
      <c r="E9" s="102">
        <f>[13]f!E9</f>
        <v>1590.77</v>
      </c>
      <c r="F9" s="101">
        <f>[13]f!F9</f>
        <v>-321.10000000000002</v>
      </c>
      <c r="G9" s="104">
        <f>[13]f!G9</f>
        <v>3.6332247557003247E-2</v>
      </c>
    </row>
    <row r="10" spans="1:7" ht="34.5" customHeight="1" thickBot="1">
      <c r="A10" s="100" t="s">
        <v>638</v>
      </c>
      <c r="B10" s="101">
        <f>[13]f!B10</f>
        <v>1872.3</v>
      </c>
      <c r="C10" s="102">
        <f>[13]f!C10</f>
        <v>1998.75</v>
      </c>
      <c r="D10" s="101">
        <f>[13]f!D10</f>
        <v>556.73</v>
      </c>
      <c r="E10" s="102">
        <f>[13]f!E10</f>
        <v>1653.45</v>
      </c>
      <c r="F10" s="101">
        <f>[13]f!F10</f>
        <v>-258.42</v>
      </c>
      <c r="G10" s="104">
        <f>[13]f!G10</f>
        <v>4.4504106127605837E-2</v>
      </c>
    </row>
    <row r="11" spans="1:7" ht="36" customHeight="1" thickBot="1">
      <c r="A11" s="137" t="s">
        <v>514</v>
      </c>
      <c r="B11" s="111">
        <f>[13]f!B11</f>
        <v>2190.69</v>
      </c>
      <c r="C11" s="79">
        <f>[13]f!C11</f>
        <v>2332.16</v>
      </c>
      <c r="D11" s="111">
        <f>[13]f!D11</f>
        <v>636.32000000000005</v>
      </c>
      <c r="E11" s="79">
        <f>[13]f!E11</f>
        <v>1911.87</v>
      </c>
      <c r="F11" s="111">
        <f>[13]f!F11</f>
        <v>0</v>
      </c>
      <c r="G11" s="139">
        <f>[13]f!G11</f>
        <v>3.4002163331530499E-2</v>
      </c>
    </row>
    <row r="12" spans="1:7" ht="19.5" customHeight="1">
      <c r="A12" s="28" t="str">
        <f>'[2]data an-1'!$D$2</f>
        <v>Datenstand: 6.11.02</v>
      </c>
      <c r="B12" s="28"/>
      <c r="C12" s="28"/>
      <c r="D12" s="28"/>
      <c r="E12" s="28"/>
      <c r="F12" s="28"/>
      <c r="G12" s="28"/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B27D1-EB57-874F-9B6A-66077FD7E32F}">
  <dimension ref="A1:K15"/>
  <sheetViews>
    <sheetView zoomScale="75" workbookViewId="0">
      <selection activeCell="G14" sqref="G14"/>
    </sheetView>
  </sheetViews>
  <sheetFormatPr baseColWidth="10" defaultColWidth="11.3984375" defaultRowHeight="13"/>
  <cols>
    <col min="1" max="1" width="15.796875" style="7" customWidth="1"/>
    <col min="2" max="7" width="15.19921875" style="7" customWidth="1"/>
    <col min="8" max="16384" width="11.3984375" style="7"/>
  </cols>
  <sheetData>
    <row r="1" spans="1:11" s="1" customFormat="1" ht="14" customHeight="1"/>
    <row r="2" spans="1:11" s="1" customFormat="1" ht="28" customHeight="1">
      <c r="A2" s="2" t="s">
        <v>670</v>
      </c>
    </row>
    <row r="3" spans="1:11" ht="24" customHeight="1">
      <c r="A3" s="41" t="s">
        <v>640</v>
      </c>
      <c r="B3" s="6" t="s">
        <v>662</v>
      </c>
      <c r="C3" s="42" t="s">
        <v>622</v>
      </c>
      <c r="D3" s="6" t="s">
        <v>623</v>
      </c>
      <c r="E3" s="42" t="s">
        <v>624</v>
      </c>
      <c r="F3" s="6" t="s">
        <v>514</v>
      </c>
      <c r="G3" s="42" t="s">
        <v>522</v>
      </c>
    </row>
    <row r="4" spans="1:11" ht="15" customHeight="1">
      <c r="A4" s="43"/>
      <c r="B4" s="12" t="s">
        <v>625</v>
      </c>
      <c r="C4" s="44" t="s">
        <v>626</v>
      </c>
      <c r="D4" s="12" t="s">
        <v>627</v>
      </c>
      <c r="E4" s="45" t="s">
        <v>628</v>
      </c>
      <c r="F4" s="12"/>
      <c r="G4" s="44" t="s">
        <v>523</v>
      </c>
    </row>
    <row r="5" spans="1:11" ht="15" customHeight="1">
      <c r="A5" s="43"/>
      <c r="B5" s="12" t="s">
        <v>629</v>
      </c>
      <c r="C5" s="44" t="s">
        <v>630</v>
      </c>
      <c r="D5" s="12" t="s">
        <v>631</v>
      </c>
      <c r="E5" s="45" t="s">
        <v>632</v>
      </c>
      <c r="F5" s="12"/>
      <c r="G5" s="44" t="s">
        <v>524</v>
      </c>
    </row>
    <row r="6" spans="1:11" ht="24" customHeight="1">
      <c r="A6" s="46"/>
      <c r="B6" s="16"/>
      <c r="C6" s="47"/>
      <c r="D6" s="16"/>
      <c r="E6" s="48" t="s">
        <v>633</v>
      </c>
      <c r="F6" s="16"/>
      <c r="G6" s="47"/>
    </row>
    <row r="7" spans="1:11" ht="30" customHeight="1" thickBot="1">
      <c r="A7" s="49">
        <f>[14]f!A7</f>
        <v>1994</v>
      </c>
      <c r="B7" s="21">
        <f>[14]f!B7</f>
        <v>9991876000</v>
      </c>
      <c r="C7" s="50">
        <f>[14]f!C7</f>
        <v>779608000</v>
      </c>
      <c r="D7" s="20">
        <f>[14]f!D7</f>
        <v>8990000</v>
      </c>
      <c r="E7" s="50">
        <f>[14]f!E7</f>
        <v>27812000</v>
      </c>
      <c r="F7" s="21">
        <f>[14]f!F7</f>
        <v>10808399000</v>
      </c>
      <c r="G7" s="51" t="str">
        <f>[14]f!G7</f>
        <v>–</v>
      </c>
      <c r="H7" s="22"/>
    </row>
    <row r="8" spans="1:11" ht="20" customHeight="1" thickBot="1">
      <c r="A8" s="52">
        <f>[14]f!A8</f>
        <v>1995</v>
      </c>
      <c r="B8" s="53">
        <f>[14]f!B8</f>
        <v>10363923000</v>
      </c>
      <c r="C8" s="54">
        <f>[14]f!C8</f>
        <v>874297000</v>
      </c>
      <c r="D8" s="26">
        <f>[14]f!D8</f>
        <v>25543000</v>
      </c>
      <c r="E8" s="54">
        <f>[14]f!E8</f>
        <v>43635000</v>
      </c>
      <c r="F8" s="26">
        <f>[14]f!F8</f>
        <v>11307398000</v>
      </c>
      <c r="G8" s="55">
        <f>[14]f!G8</f>
        <v>4.6167707169211647E-2</v>
      </c>
      <c r="H8" s="22"/>
    </row>
    <row r="9" spans="1:11" ht="20" customHeight="1" thickBot="1">
      <c r="A9" s="52">
        <f>[14]f!A9</f>
        <v>1996</v>
      </c>
      <c r="B9" s="26">
        <f>[14]f!B9</f>
        <v>9158012632.5</v>
      </c>
      <c r="C9" s="54">
        <f>[14]f!C9</f>
        <v>3158899160.8000002</v>
      </c>
      <c r="D9" s="26">
        <f>[14]f!D9</f>
        <v>29792276.350000001</v>
      </c>
      <c r="E9" s="54">
        <f>[14]f!E9</f>
        <v>112313176.95</v>
      </c>
      <c r="F9" s="26">
        <f>[14]f!F9</f>
        <v>12459017246.6</v>
      </c>
      <c r="G9" s="55">
        <f>[14]f!G9</f>
        <v>0.10184652973212761</v>
      </c>
    </row>
    <row r="10" spans="1:11" ht="20" customHeight="1" thickBot="1">
      <c r="A10" s="52">
        <f>[14]f!A10</f>
        <v>1997</v>
      </c>
      <c r="B10" s="26">
        <f>[14]f!B10</f>
        <v>8010294124</v>
      </c>
      <c r="C10" s="54">
        <f>[14]f!C10</f>
        <v>4715093593</v>
      </c>
      <c r="D10" s="26">
        <f>[14]f!D10</f>
        <v>15300134</v>
      </c>
      <c r="E10" s="54">
        <f>[14]f!E10</f>
        <v>397789684</v>
      </c>
      <c r="F10" s="26">
        <f>[14]f!F10</f>
        <v>13138477535</v>
      </c>
      <c r="G10" s="55">
        <f>[14]f!G10</f>
        <v>5.453562467661089E-2</v>
      </c>
      <c r="I10" s="27"/>
      <c r="J10" s="27"/>
      <c r="K10" s="27"/>
    </row>
    <row r="11" spans="1:11" ht="20" customHeight="1" thickBot="1">
      <c r="A11" s="52">
        <f>[14]f!A11</f>
        <v>1998</v>
      </c>
      <c r="B11" s="26">
        <f>[14]f!B11</f>
        <v>8034922538</v>
      </c>
      <c r="C11" s="54">
        <f>[14]f!C11</f>
        <v>5294474912</v>
      </c>
      <c r="D11" s="26">
        <f>[14]f!D11</f>
        <v>7713370</v>
      </c>
      <c r="E11" s="54">
        <f>[14]f!E11</f>
        <v>686981832</v>
      </c>
      <c r="F11" s="26">
        <f>[14]f!F11</f>
        <v>14024092652</v>
      </c>
      <c r="G11" s="55">
        <f>[14]f!G11</f>
        <v>6.7406220746717593E-2</v>
      </c>
    </row>
    <row r="12" spans="1:11" ht="20" customHeight="1" thickBot="1">
      <c r="A12" s="52">
        <f>[14]f!A12</f>
        <v>1999</v>
      </c>
      <c r="B12" s="26">
        <f>[14]f!B12</f>
        <v>8789075476</v>
      </c>
      <c r="C12" s="54">
        <f>[14]f!C12</f>
        <v>4984750851</v>
      </c>
      <c r="D12" s="26">
        <f>[14]f!D12</f>
        <v>7272495</v>
      </c>
      <c r="E12" s="54">
        <f>[14]f!E12</f>
        <v>839411696</v>
      </c>
      <c r="F12" s="26">
        <f>[14]f!F12</f>
        <v>14620510518</v>
      </c>
      <c r="G12" s="55">
        <f>[14]f!G12</f>
        <v>4.252808939585434E-2</v>
      </c>
    </row>
    <row r="13" spans="1:11" ht="20" customHeight="1" thickBot="1">
      <c r="A13" s="52">
        <f>[14]f!A13</f>
        <v>2000</v>
      </c>
      <c r="B13" s="26">
        <f>[14]f!B13</f>
        <v>9137162156</v>
      </c>
      <c r="C13" s="54">
        <f>[14]f!C13</f>
        <v>5390943298</v>
      </c>
      <c r="D13" s="26">
        <f>[14]f!D13</f>
        <v>7536068</v>
      </c>
      <c r="E13" s="54">
        <f>[14]f!E13</f>
        <v>942685920</v>
      </c>
      <c r="F13" s="26">
        <f>[14]f!F13</f>
        <v>15478327442</v>
      </c>
      <c r="G13" s="55">
        <f>[14]f!G13</f>
        <v>5.8672159425890165E-2</v>
      </c>
    </row>
    <row r="14" spans="1:11" ht="30" customHeight="1" thickBot="1">
      <c r="A14" s="56">
        <f>[14]f!A14</f>
        <v>2001</v>
      </c>
      <c r="B14" s="39">
        <f>[14]f!B14</f>
        <v>9659774603</v>
      </c>
      <c r="C14" s="57">
        <f>[14]f!C14</f>
        <v>5684101991</v>
      </c>
      <c r="D14" s="39">
        <f>[14]f!D14</f>
        <v>8361556</v>
      </c>
      <c r="E14" s="57">
        <f>[14]f!E14</f>
        <v>1034222666</v>
      </c>
      <c r="F14" s="39">
        <f>[14]f!F14</f>
        <v>16386460817</v>
      </c>
      <c r="G14" s="58">
        <f>[14]f!G14</f>
        <v>5.8671285925623075E-2</v>
      </c>
    </row>
    <row r="15" spans="1:11" ht="19.5" customHeight="1">
      <c r="A15" s="28" t="str">
        <f>'[2]data an-1'!$D$2</f>
        <v>Datenstand: 6.11.02</v>
      </c>
      <c r="B15" s="28"/>
      <c r="C15" s="28"/>
      <c r="D15" s="28"/>
      <c r="E15" s="28"/>
      <c r="F15" s="28"/>
      <c r="G15" s="28"/>
    </row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996C-E6CA-1342-A42A-730AC7F9A44A}">
  <dimension ref="A1:K29"/>
  <sheetViews>
    <sheetView topLeftCell="A12" zoomScale="75" workbookViewId="0">
      <selection activeCell="E19" sqref="E19:H20"/>
    </sheetView>
  </sheetViews>
  <sheetFormatPr baseColWidth="10" defaultColWidth="11.3984375" defaultRowHeight="13"/>
  <cols>
    <col min="1" max="1" width="20.796875" style="7" customWidth="1"/>
    <col min="2" max="7" width="14.59765625" style="7" customWidth="1"/>
    <col min="8" max="16384" width="11.3984375" style="7"/>
  </cols>
  <sheetData>
    <row r="1" spans="1:11" s="1" customFormat="1" ht="14" customHeight="1"/>
    <row r="2" spans="1:11" s="1" customFormat="1" ht="28" customHeight="1">
      <c r="A2" s="2" t="s">
        <v>674</v>
      </c>
    </row>
    <row r="3" spans="1:11" ht="24" customHeight="1">
      <c r="A3" s="41" t="s">
        <v>640</v>
      </c>
      <c r="B3" s="6" t="s">
        <v>662</v>
      </c>
      <c r="C3" s="42" t="s">
        <v>622</v>
      </c>
      <c r="D3" s="6" t="s">
        <v>623</v>
      </c>
      <c r="E3" s="42" t="s">
        <v>624</v>
      </c>
      <c r="F3" s="6" t="s">
        <v>514</v>
      </c>
      <c r="G3" s="42" t="s">
        <v>522</v>
      </c>
    </row>
    <row r="4" spans="1:11" ht="15" customHeight="1">
      <c r="A4" s="43"/>
      <c r="B4" s="12" t="s">
        <v>625</v>
      </c>
      <c r="C4" s="44" t="s">
        <v>626</v>
      </c>
      <c r="D4" s="12" t="s">
        <v>627</v>
      </c>
      <c r="E4" s="45" t="s">
        <v>628</v>
      </c>
      <c r="F4" s="12"/>
      <c r="G4" s="44" t="s">
        <v>523</v>
      </c>
    </row>
    <row r="5" spans="1:11" ht="15" customHeight="1">
      <c r="A5" s="43"/>
      <c r="B5" s="12" t="s">
        <v>629</v>
      </c>
      <c r="C5" s="44" t="s">
        <v>630</v>
      </c>
      <c r="D5" s="12" t="s">
        <v>631</v>
      </c>
      <c r="E5" s="45" t="s">
        <v>632</v>
      </c>
      <c r="F5" s="12"/>
      <c r="G5" s="44" t="s">
        <v>524</v>
      </c>
    </row>
    <row r="6" spans="1:11" ht="24" customHeight="1">
      <c r="A6" s="46"/>
      <c r="B6" s="16"/>
      <c r="C6" s="47"/>
      <c r="D6" s="16"/>
      <c r="E6" s="48" t="s">
        <v>633</v>
      </c>
      <c r="F6" s="16"/>
      <c r="G6" s="47"/>
    </row>
    <row r="7" spans="1:11" ht="30" customHeight="1" thickBot="1">
      <c r="A7" s="49">
        <f>[15]f!A7</f>
        <v>1994</v>
      </c>
      <c r="B7" s="21">
        <f>[15]f!B7</f>
        <v>1549.7138298166035</v>
      </c>
      <c r="C7" s="50">
        <f>[15]f!C7</f>
        <v>1210.5883467315537</v>
      </c>
      <c r="D7" s="20">
        <f>[15]f!D7</f>
        <v>587.65851745326188</v>
      </c>
      <c r="E7" s="50">
        <f>[15]f!E7</f>
        <v>1121.3611805499556</v>
      </c>
      <c r="F7" s="21">
        <f>[15]f!F7</f>
        <v>1515.5531263228875</v>
      </c>
      <c r="G7" s="51" t="str">
        <f>[15]f!G7</f>
        <v>–</v>
      </c>
      <c r="H7" s="22"/>
    </row>
    <row r="8" spans="1:11" ht="20" customHeight="1" thickBot="1">
      <c r="A8" s="52">
        <f>[15]f!A8</f>
        <v>1995</v>
      </c>
      <c r="B8" s="53">
        <f>[15]f!B8</f>
        <v>1619.4940465493926</v>
      </c>
      <c r="C8" s="54">
        <f>[15]f!C8</f>
        <v>1251.2354256977133</v>
      </c>
      <c r="D8" s="26">
        <f>[15]f!D8</f>
        <v>781.01207766396578</v>
      </c>
      <c r="E8" s="54">
        <f>[15]f!E8</f>
        <v>1233.2193426221631</v>
      </c>
      <c r="F8" s="26">
        <f>[15]f!F8</f>
        <v>1577.8534496869172</v>
      </c>
      <c r="G8" s="55">
        <f>[15]f!G8</f>
        <v>4.11073173760566E-2</v>
      </c>
      <c r="H8" s="22"/>
    </row>
    <row r="9" spans="1:11" ht="20" customHeight="1" thickBot="1">
      <c r="A9" s="52">
        <f>[15]f!A9</f>
        <v>1996</v>
      </c>
      <c r="B9" s="26">
        <f>[15]f!B9</f>
        <v>1932.22</v>
      </c>
      <c r="C9" s="54">
        <f>[15]f!C9</f>
        <v>1370.05</v>
      </c>
      <c r="D9" s="26">
        <f>[15]f!D9</f>
        <v>1070.5899999999999</v>
      </c>
      <c r="E9" s="54">
        <f>[15]f!E9</f>
        <v>923.64</v>
      </c>
      <c r="F9" s="26">
        <f>[15]f!F9</f>
        <v>1731.68</v>
      </c>
      <c r="G9" s="55">
        <f>[15]f!G9</f>
        <v>9.7491025128858211E-2</v>
      </c>
    </row>
    <row r="10" spans="1:11" ht="20" customHeight="1" thickBot="1">
      <c r="A10" s="52">
        <f>[15]f!A10</f>
        <v>1997</v>
      </c>
      <c r="B10" s="26">
        <f>[15]f!B10</f>
        <v>1961.45</v>
      </c>
      <c r="C10" s="54">
        <f>[15]f!C10</f>
        <v>1723.12</v>
      </c>
      <c r="D10" s="26">
        <f>[15]f!D10</f>
        <v>1331.14</v>
      </c>
      <c r="E10" s="54">
        <f>[15]f!E10</f>
        <v>1038.3599999999999</v>
      </c>
      <c r="F10" s="26">
        <f>[15]f!F10</f>
        <v>1821.04</v>
      </c>
      <c r="G10" s="55">
        <f>[15]f!G10</f>
        <v>5.1603067541347074E-2</v>
      </c>
      <c r="I10" s="27"/>
      <c r="J10" s="27"/>
      <c r="K10" s="27"/>
    </row>
    <row r="11" spans="1:11" ht="20" customHeight="1" thickBot="1">
      <c r="A11" s="52">
        <f>[15]f!A11</f>
        <v>1998</v>
      </c>
      <c r="B11" s="26">
        <f>[15]f!B11</f>
        <v>2000.59</v>
      </c>
      <c r="C11" s="54">
        <f>[15]f!C11</f>
        <v>1941.88</v>
      </c>
      <c r="D11" s="26">
        <f>[15]f!D11</f>
        <v>652.13</v>
      </c>
      <c r="E11" s="54">
        <f>[15]f!E11</f>
        <v>1390.54</v>
      </c>
      <c r="F11" s="26">
        <f>[15]f!F11</f>
        <v>1934.73</v>
      </c>
      <c r="G11" s="55">
        <f>[15]f!G11</f>
        <v>6.2431357905372784E-2</v>
      </c>
    </row>
    <row r="12" spans="1:11" ht="20" customHeight="1" thickBot="1">
      <c r="A12" s="52">
        <f>[15]f!A12</f>
        <v>1999</v>
      </c>
      <c r="B12" s="26">
        <f>[15]f!B12</f>
        <v>2197.96</v>
      </c>
      <c r="C12" s="54">
        <f>[15]f!C12</f>
        <v>1835.57</v>
      </c>
      <c r="D12" s="26">
        <f>[15]f!D12</f>
        <v>708.96</v>
      </c>
      <c r="E12" s="54">
        <f>[15]f!E12</f>
        <v>1549.04</v>
      </c>
      <c r="F12" s="26">
        <f>[15]f!F12</f>
        <v>2012.03</v>
      </c>
      <c r="G12" s="55">
        <f>[15]f!G12</f>
        <v>3.9953895375582096E-2</v>
      </c>
    </row>
    <row r="13" spans="1:11" ht="20" customHeight="1" thickBot="1">
      <c r="A13" s="52">
        <f>[15]f!A13</f>
        <v>2000</v>
      </c>
      <c r="B13" s="26">
        <f>[15]f!B13</f>
        <v>2329.77</v>
      </c>
      <c r="C13" s="54">
        <f>[15]f!C13</f>
        <v>1954.27</v>
      </c>
      <c r="D13" s="26">
        <f>[15]f!D13</f>
        <v>768.12</v>
      </c>
      <c r="E13" s="54">
        <f>[15]f!E13</f>
        <v>1631.39</v>
      </c>
      <c r="F13" s="26">
        <f>[15]f!F13</f>
        <v>2129.62</v>
      </c>
      <c r="G13" s="55">
        <f>[15]f!G13</f>
        <v>5.8443462572625615E-2</v>
      </c>
    </row>
    <row r="14" spans="1:11" ht="30" customHeight="1" thickBot="1">
      <c r="A14" s="56">
        <f>[15]f!A14</f>
        <v>2001</v>
      </c>
      <c r="B14" s="39">
        <f>[15]f!B14</f>
        <v>2488.227550627983</v>
      </c>
      <c r="C14" s="57">
        <f>[15]f!C14</f>
        <v>2005.8119479175782</v>
      </c>
      <c r="D14" s="39">
        <f>[15]f!D14</f>
        <v>895.14570174499522</v>
      </c>
      <c r="E14" s="57">
        <f>[15]f!E14</f>
        <v>1735.4505511470134</v>
      </c>
      <c r="F14" s="39">
        <f>[15]f!F14</f>
        <v>2238.1940247664106</v>
      </c>
      <c r="G14" s="58">
        <f>[15]f!G14</f>
        <v>5.0982816073482935E-2</v>
      </c>
    </row>
    <row r="15" spans="1:11" ht="19.5" customHeight="1">
      <c r="A15" s="28" t="str">
        <f>'[2]data an-1'!$D$2</f>
        <v>Datenstand: 6.11.02</v>
      </c>
      <c r="B15" s="28"/>
      <c r="C15" s="28"/>
      <c r="D15" s="28"/>
      <c r="E15" s="28"/>
      <c r="F15" s="28"/>
      <c r="G15" s="28"/>
    </row>
    <row r="19" spans="6:8">
      <c r="G19" s="116"/>
    </row>
    <row r="20" spans="6:8">
      <c r="F20" s="22"/>
      <c r="G20" s="143"/>
    </row>
    <row r="21" spans="6:8">
      <c r="F21" s="22"/>
      <c r="G21" s="143"/>
      <c r="H21" s="143"/>
    </row>
    <row r="22" spans="6:8">
      <c r="F22" s="22"/>
      <c r="G22" s="143"/>
      <c r="H22" s="143"/>
    </row>
    <row r="23" spans="6:8">
      <c r="F23" s="22"/>
      <c r="G23" s="143"/>
      <c r="H23" s="143"/>
    </row>
    <row r="24" spans="6:8">
      <c r="F24" s="22"/>
      <c r="G24" s="143"/>
      <c r="H24" s="143"/>
    </row>
    <row r="25" spans="6:8">
      <c r="F25" s="22"/>
      <c r="G25" s="143"/>
      <c r="H25" s="143"/>
    </row>
    <row r="26" spans="6:8">
      <c r="F26" s="22"/>
      <c r="G26" s="143"/>
      <c r="H26" s="143"/>
    </row>
    <row r="27" spans="6:8">
      <c r="F27" s="22"/>
      <c r="G27" s="143"/>
      <c r="H27" s="143"/>
    </row>
    <row r="28" spans="6:8">
      <c r="F28" s="22"/>
    </row>
    <row r="29" spans="6:8">
      <c r="F29" s="22"/>
    </row>
  </sheetData>
  <phoneticPr fontId="0" type="noConversion"/>
  <pageMargins left="0.78740157480314965" right="0.78740157480314965" top="1.46" bottom="0.49" header="0.92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A13D-CF90-CC4C-AD72-D371ECB65192}">
  <dimension ref="A1:K18"/>
  <sheetViews>
    <sheetView topLeftCell="A2" zoomScale="75" workbookViewId="0">
      <selection activeCell="A19" sqref="A19"/>
    </sheetView>
  </sheetViews>
  <sheetFormatPr baseColWidth="10" defaultColWidth="11.3984375" defaultRowHeight="13"/>
  <cols>
    <col min="1" max="1" width="16.796875" style="7" customWidth="1"/>
    <col min="2" max="2" width="17.19921875" style="7" customWidth="1"/>
    <col min="3" max="3" width="14.796875" style="7" customWidth="1"/>
    <col min="4" max="4" width="16.796875" style="7" customWidth="1"/>
    <col min="5" max="5" width="15" style="7" customWidth="1"/>
    <col min="6" max="6" width="16.796875" style="7" customWidth="1"/>
    <col min="7" max="7" width="15" style="7" customWidth="1"/>
    <col min="8" max="16384" width="11.3984375" style="7"/>
  </cols>
  <sheetData>
    <row r="1" spans="1:11" s="1" customFormat="1" ht="14" customHeight="1"/>
    <row r="2" spans="1:11" s="1" customFormat="1" ht="28" customHeight="1">
      <c r="A2" s="2" t="s">
        <v>682</v>
      </c>
    </row>
    <row r="3" spans="1:11" ht="24" customHeight="1">
      <c r="A3" s="41" t="s">
        <v>683</v>
      </c>
      <c r="B3" s="6" t="s">
        <v>675</v>
      </c>
      <c r="C3" s="42" t="s">
        <v>522</v>
      </c>
      <c r="D3" s="6" t="s">
        <v>676</v>
      </c>
      <c r="E3" s="42" t="s">
        <v>522</v>
      </c>
      <c r="F3" s="6" t="s">
        <v>677</v>
      </c>
      <c r="G3" s="42" t="s">
        <v>522</v>
      </c>
    </row>
    <row r="4" spans="1:11" ht="15" customHeight="1">
      <c r="A4" s="43"/>
      <c r="B4" s="12" t="s">
        <v>678</v>
      </c>
      <c r="C4" s="44" t="s">
        <v>523</v>
      </c>
      <c r="D4" s="12" t="s">
        <v>678</v>
      </c>
      <c r="E4" s="45" t="s">
        <v>523</v>
      </c>
      <c r="F4" s="12"/>
      <c r="G4" s="44" t="s">
        <v>523</v>
      </c>
    </row>
    <row r="5" spans="1:11" ht="15" customHeight="1">
      <c r="A5" s="43"/>
      <c r="B5" s="12"/>
      <c r="C5" s="44" t="s">
        <v>524</v>
      </c>
      <c r="D5" s="12"/>
      <c r="E5" s="45" t="s">
        <v>524</v>
      </c>
      <c r="F5" s="12"/>
      <c r="G5" s="44" t="s">
        <v>524</v>
      </c>
    </row>
    <row r="6" spans="1:11" ht="24" customHeight="1">
      <c r="A6" s="46"/>
      <c r="B6" s="16"/>
      <c r="C6" s="47"/>
      <c r="D6" s="16"/>
      <c r="E6" s="48"/>
      <c r="F6" s="16"/>
      <c r="G6" s="47"/>
    </row>
    <row r="7" spans="1:11" ht="30" customHeight="1" thickBot="1">
      <c r="A7" s="49">
        <f>[16]f!A7</f>
        <v>1994</v>
      </c>
      <c r="B7" s="21">
        <f>[16]f!B7</f>
        <v>7196786000</v>
      </c>
      <c r="C7" s="51" t="str">
        <f>[16]f!C7</f>
        <v>–</v>
      </c>
      <c r="D7" s="20">
        <f>[16]f!D7</f>
        <v>3611586000</v>
      </c>
      <c r="E7" s="51" t="str">
        <f>[16]f!E7</f>
        <v>–</v>
      </c>
      <c r="F7" s="21">
        <f>[16]f!F7</f>
        <v>10808372000</v>
      </c>
      <c r="G7" s="51" t="str">
        <f>[16]f!G7</f>
        <v>–</v>
      </c>
      <c r="H7" s="22"/>
    </row>
    <row r="8" spans="1:11" ht="20" customHeight="1" thickBot="1">
      <c r="A8" s="52">
        <f>[16]f!A8</f>
        <v>1995</v>
      </c>
      <c r="B8" s="53">
        <f>[16]f!B8</f>
        <v>7392432000</v>
      </c>
      <c r="C8" s="55">
        <f>[16]f!C8</f>
        <v>2.7185190722636466E-2</v>
      </c>
      <c r="D8" s="26">
        <f>[16]f!D8</f>
        <v>3914937000</v>
      </c>
      <c r="E8" s="55">
        <f>[16]f!E8</f>
        <v>8.3993846470774888E-2</v>
      </c>
      <c r="F8" s="26">
        <f>[16]f!F8</f>
        <v>11307369000</v>
      </c>
      <c r="G8" s="55">
        <f>[16]f!G8</f>
        <v>4.6167637457334001E-2</v>
      </c>
      <c r="H8" s="22"/>
    </row>
    <row r="9" spans="1:11" ht="20" customHeight="1" thickBot="1">
      <c r="A9" s="52">
        <f>[16]f!A9</f>
        <v>1996</v>
      </c>
      <c r="B9" s="26">
        <f>[16]f!B9</f>
        <v>8214622179.9674435</v>
      </c>
      <c r="C9" s="55">
        <f>[16]f!C9</f>
        <v>0.11122052660984146</v>
      </c>
      <c r="D9" s="26">
        <f>[16]f!D9</f>
        <v>4244395068.032557</v>
      </c>
      <c r="E9" s="55">
        <f>[16]f!E9</f>
        <v>8.415411743089532E-2</v>
      </c>
      <c r="F9" s="26">
        <f>[16]f!F9</f>
        <v>12459017248</v>
      </c>
      <c r="G9" s="55">
        <f>[16]f!G9</f>
        <v>0.10184935576083172</v>
      </c>
    </row>
    <row r="10" spans="1:11" ht="20" customHeight="1" thickBot="1">
      <c r="A10" s="52">
        <f>[16]f!A10</f>
        <v>1997</v>
      </c>
      <c r="B10" s="26">
        <f>[16]f!B10</f>
        <v>8735654789.936554</v>
      </c>
      <c r="C10" s="55">
        <f>[16]f!C10</f>
        <v>6.3427458811158063E-2</v>
      </c>
      <c r="D10" s="26">
        <f>[16]f!D10</f>
        <v>4402822745.063446</v>
      </c>
      <c r="E10" s="55">
        <f>[16]f!E10</f>
        <v>3.7326326718291676E-2</v>
      </c>
      <c r="F10" s="26">
        <f>[16]f!F10</f>
        <v>13138477535</v>
      </c>
      <c r="G10" s="55">
        <f>[16]f!G10</f>
        <v>5.4535624558114427E-2</v>
      </c>
      <c r="I10" s="27"/>
      <c r="J10" s="27"/>
      <c r="K10" s="27"/>
    </row>
    <row r="11" spans="1:11" ht="20" customHeight="1" thickBot="1">
      <c r="A11" s="52">
        <f>[16]f!A11</f>
        <v>1998</v>
      </c>
      <c r="B11" s="26">
        <f>[16]f!B11</f>
        <v>9332686808</v>
      </c>
      <c r="C11" s="55">
        <f>[16]f!C11</f>
        <v>6.8344277838362499E-2</v>
      </c>
      <c r="D11" s="26">
        <f>[16]f!D11</f>
        <v>4691405844</v>
      </c>
      <c r="E11" s="55">
        <f>[16]f!E11</f>
        <v>6.5545018649710685E-2</v>
      </c>
      <c r="F11" s="26">
        <f>[16]f!F11</f>
        <v>14024092652</v>
      </c>
      <c r="G11" s="55">
        <f>[16]f!G11</f>
        <v>6.7406220746717593E-2</v>
      </c>
    </row>
    <row r="12" spans="1:11" ht="20" customHeight="1" thickBot="1">
      <c r="A12" s="52">
        <f>[16]f!A12</f>
        <v>1999</v>
      </c>
      <c r="B12" s="26">
        <f>[16]f!B12</f>
        <v>9826707555</v>
      </c>
      <c r="C12" s="55">
        <f>[16]f!C12</f>
        <v>5.293446112179874E-2</v>
      </c>
      <c r="D12" s="26">
        <f>[16]f!D12</f>
        <v>4793802963</v>
      </c>
      <c r="E12" s="55">
        <f>[16]f!E12</f>
        <v>2.1826531833940392E-2</v>
      </c>
      <c r="F12" s="26">
        <f>[16]f!F12</f>
        <v>14620510518</v>
      </c>
      <c r="G12" s="55">
        <f>[16]f!G12</f>
        <v>4.252808939585434E-2</v>
      </c>
    </row>
    <row r="13" spans="1:11" ht="20" customHeight="1" thickBot="1">
      <c r="A13" s="52">
        <f>[16]f!A13</f>
        <v>2000</v>
      </c>
      <c r="B13" s="26">
        <f>[16]f!B13</f>
        <v>10542816856</v>
      </c>
      <c r="C13" s="55">
        <f>[16]f!C13</f>
        <v>7.2873777609839541E-2</v>
      </c>
      <c r="D13" s="26">
        <f>[16]f!D13</f>
        <v>4935510586</v>
      </c>
      <c r="E13" s="55">
        <f>[16]f!E13</f>
        <v>2.9560585633940668E-2</v>
      </c>
      <c r="F13" s="26">
        <f>[16]f!F13</f>
        <v>15478327442</v>
      </c>
      <c r="G13" s="55">
        <f>[16]f!G13</f>
        <v>5.8672159425890165E-2</v>
      </c>
    </row>
    <row r="14" spans="1:11" ht="30" customHeight="1" thickBot="1">
      <c r="A14" s="56">
        <f>[16]f!A14</f>
        <v>2001</v>
      </c>
      <c r="B14" s="39">
        <f>[16]f!B14</f>
        <v>11308048632</v>
      </c>
      <c r="C14" s="58">
        <f>[16]f!C14</f>
        <v>7.2583237141646884E-2</v>
      </c>
      <c r="D14" s="39">
        <f>[16]f!D14</f>
        <v>5078412185</v>
      </c>
      <c r="E14" s="58">
        <f>[16]f!E14</f>
        <v>2.8953762029272648E-2</v>
      </c>
      <c r="F14" s="39">
        <f>[16]f!F14</f>
        <v>16386460817</v>
      </c>
      <c r="G14" s="58">
        <f>[16]f!G14</f>
        <v>5.8671285925623075E-2</v>
      </c>
    </row>
    <row r="15" spans="1:11" ht="20" customHeight="1">
      <c r="A15" s="28" t="str">
        <f>'[2]data an-1'!$D$2</f>
        <v>Datenstand: 6.11.02</v>
      </c>
      <c r="B15" s="29"/>
      <c r="C15" s="29"/>
      <c r="D15" s="29"/>
      <c r="E15" s="29"/>
      <c r="F15" s="29"/>
      <c r="G15" s="30"/>
    </row>
    <row r="16" spans="1:11" ht="12" customHeight="1">
      <c r="A16" s="7" t="s">
        <v>679</v>
      </c>
      <c r="B16" s="31"/>
      <c r="C16" s="31"/>
      <c r="D16" s="31"/>
      <c r="E16" s="31"/>
      <c r="F16" s="31"/>
      <c r="G16" s="32"/>
    </row>
    <row r="17" spans="1:1" ht="12" customHeight="1">
      <c r="A17" s="7" t="s">
        <v>680</v>
      </c>
    </row>
    <row r="18" spans="1:1" ht="12" customHeight="1">
      <c r="A18" s="7" t="s">
        <v>681</v>
      </c>
    </row>
  </sheetData>
  <phoneticPr fontId="0" type="noConversion"/>
  <pageMargins left="0.71" right="0.47" top="1.46" bottom="0.49" header="0.94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5D9D2-DE83-4642-A01E-39970AB82003}">
  <dimension ref="A1:G28"/>
  <sheetViews>
    <sheetView zoomScale="75" workbookViewId="0">
      <selection activeCell="A26" sqref="A26"/>
    </sheetView>
  </sheetViews>
  <sheetFormatPr baseColWidth="10" defaultColWidth="11.3984375" defaultRowHeight="13"/>
  <cols>
    <col min="1" max="1" width="30.3984375" style="7" customWidth="1"/>
    <col min="2" max="4" width="15.19921875" style="7" customWidth="1"/>
    <col min="5" max="5" width="17" style="7" customWidth="1"/>
    <col min="6" max="6" width="15.19921875" style="7" customWidth="1"/>
    <col min="7" max="16384" width="11.3984375" style="7"/>
  </cols>
  <sheetData>
    <row r="1" spans="1:7" s="1" customFormat="1" ht="14" customHeight="1"/>
    <row r="2" spans="1:7" s="1" customFormat="1" ht="28" customHeight="1">
      <c r="A2" s="2" t="str">
        <f>"T 1.16  Leistungen (brutto) in Fr. nach Kostengruppen und Geschlecht / Kinder "&amp;'[2]data an-1'!$B$2</f>
        <v>T 1.16  Leistungen (brutto) in Fr. nach Kostengruppen und Geschlecht / Kinder 2001</v>
      </c>
    </row>
    <row r="3" spans="1:7" ht="24" customHeight="1">
      <c r="A3" s="41" t="s">
        <v>684</v>
      </c>
      <c r="B3" s="6" t="s">
        <v>529</v>
      </c>
      <c r="C3" s="42" t="s">
        <v>530</v>
      </c>
      <c r="D3" s="6" t="s">
        <v>538</v>
      </c>
      <c r="E3" s="144" t="s">
        <v>514</v>
      </c>
      <c r="F3" s="6" t="s">
        <v>575</v>
      </c>
    </row>
    <row r="4" spans="1:7" ht="15" customHeight="1">
      <c r="A4" s="43"/>
      <c r="B4" s="12"/>
      <c r="C4" s="44"/>
      <c r="D4" s="12"/>
      <c r="E4" s="45"/>
      <c r="F4" s="12" t="s">
        <v>577</v>
      </c>
    </row>
    <row r="5" spans="1:7" ht="15" customHeight="1">
      <c r="A5" s="43"/>
      <c r="B5" s="12"/>
      <c r="C5" s="44"/>
      <c r="D5" s="12"/>
      <c r="E5" s="45"/>
      <c r="F5" s="12" t="s">
        <v>578</v>
      </c>
    </row>
    <row r="6" spans="1:7" ht="24" customHeight="1">
      <c r="A6" s="46"/>
      <c r="B6" s="16"/>
      <c r="C6" s="47"/>
      <c r="D6" s="16"/>
      <c r="E6" s="48"/>
      <c r="F6" s="16"/>
    </row>
    <row r="7" spans="1:7" ht="30" customHeight="1" thickBot="1">
      <c r="A7" s="49" t="s">
        <v>685</v>
      </c>
      <c r="B7" s="21">
        <f>[17]f!B7</f>
        <v>1360269223</v>
      </c>
      <c r="C7" s="50">
        <f>[17]f!C7</f>
        <v>2197536089</v>
      </c>
      <c r="D7" s="20">
        <f>[17]f!D7</f>
        <v>453751058</v>
      </c>
      <c r="E7" s="145">
        <f>[17]f!E7</f>
        <v>4011556370</v>
      </c>
      <c r="F7" s="146">
        <f>[17]f!F7</f>
        <v>0.24480920040026236</v>
      </c>
      <c r="G7" s="22"/>
    </row>
    <row r="8" spans="1:7" ht="20" customHeight="1" thickBot="1">
      <c r="A8" s="52" t="s">
        <v>686</v>
      </c>
      <c r="B8" s="53">
        <f>[17]f!B8</f>
        <v>1583718490</v>
      </c>
      <c r="C8" s="54">
        <f>[17]f!C8</f>
        <v>2053132370</v>
      </c>
      <c r="D8" s="26">
        <f>[17]f!D8</f>
        <v>161363129</v>
      </c>
      <c r="E8" s="147">
        <f>[17]f!E8</f>
        <v>3798213989</v>
      </c>
      <c r="F8" s="146">
        <f>[17]f!F8</f>
        <v>0.23178977031205994</v>
      </c>
      <c r="G8" s="22"/>
    </row>
    <row r="9" spans="1:7" ht="20" customHeight="1" thickBot="1">
      <c r="A9" s="52" t="s">
        <v>687</v>
      </c>
      <c r="B9" s="26">
        <f>[17]f!B9</f>
        <v>770254855</v>
      </c>
      <c r="C9" s="54">
        <f>[17]f!C9</f>
        <v>975599038</v>
      </c>
      <c r="D9" s="26">
        <f>[17]f!D9</f>
        <v>179669243</v>
      </c>
      <c r="E9" s="147">
        <f>[17]f!E9</f>
        <v>1925523136</v>
      </c>
      <c r="F9" s="146">
        <f>[17]f!F9</f>
        <v>0.11750695635279472</v>
      </c>
    </row>
    <row r="10" spans="1:7" ht="20" customHeight="1" thickBot="1">
      <c r="A10" s="52" t="s">
        <v>688</v>
      </c>
      <c r="B10" s="26">
        <f>[17]f!B10</f>
        <v>512465950</v>
      </c>
      <c r="C10" s="54">
        <f>[17]f!C10</f>
        <v>686268253</v>
      </c>
      <c r="D10" s="26">
        <f>[17]f!D10</f>
        <v>72716520</v>
      </c>
      <c r="E10" s="147">
        <f>[17]f!E10</f>
        <v>1271450723</v>
      </c>
      <c r="F10" s="146">
        <f>[17]f!F10</f>
        <v>7.7591539576437635E-2</v>
      </c>
    </row>
    <row r="11" spans="1:7" ht="20" customHeight="1" thickBot="1">
      <c r="A11" s="52" t="s">
        <v>689</v>
      </c>
      <c r="B11" s="26">
        <f>[17]f!B11</f>
        <v>905563278</v>
      </c>
      <c r="C11" s="54">
        <f>[17]f!C11</f>
        <v>1244691009</v>
      </c>
      <c r="D11" s="26">
        <f>[17]f!D11</f>
        <v>92185569</v>
      </c>
      <c r="E11" s="147">
        <f>[17]f!E11</f>
        <v>2242439856</v>
      </c>
      <c r="F11" s="146">
        <f>[17]f!F11</f>
        <v>0.13684711305528519</v>
      </c>
    </row>
    <row r="12" spans="1:7" ht="20" customHeight="1" thickBot="1">
      <c r="A12" s="52" t="s">
        <v>690</v>
      </c>
      <c r="B12" s="26">
        <f>[17]f!B12</f>
        <v>308741949</v>
      </c>
      <c r="C12" s="54">
        <f>[17]f!C12</f>
        <v>948775962</v>
      </c>
      <c r="D12" s="26">
        <f>[17]f!D12</f>
        <v>334856</v>
      </c>
      <c r="E12" s="147">
        <f>[17]f!E12</f>
        <v>1257852767</v>
      </c>
      <c r="F12" s="146">
        <f>[17]f!F12</f>
        <v>7.6761710844543737E-2</v>
      </c>
    </row>
    <row r="13" spans="1:7" ht="20" customHeight="1" thickBot="1">
      <c r="A13" s="52" t="s">
        <v>691</v>
      </c>
      <c r="B13" s="26">
        <f>[17]f!B13</f>
        <v>86133864</v>
      </c>
      <c r="C13" s="54">
        <f>[17]f!C13</f>
        <v>182633183</v>
      </c>
      <c r="D13" s="26">
        <f>[17]f!D13</f>
        <v>1554571</v>
      </c>
      <c r="E13" s="147">
        <f>[17]f!E13</f>
        <v>270321618</v>
      </c>
      <c r="F13" s="146">
        <f>[17]f!F13</f>
        <v>1.6496644456596574E-2</v>
      </c>
    </row>
    <row r="14" spans="1:7" ht="20" customHeight="1" thickBot="1">
      <c r="A14" s="52" t="s">
        <v>692</v>
      </c>
      <c r="B14" s="26">
        <f>[17]f!B14</f>
        <v>159777549</v>
      </c>
      <c r="C14" s="54">
        <f>[17]f!C14</f>
        <v>294435174</v>
      </c>
      <c r="D14" s="26">
        <f>[17]f!D14</f>
        <v>25916560</v>
      </c>
      <c r="E14" s="147">
        <f>[17]f!E14</f>
        <v>480129283</v>
      </c>
      <c r="F14" s="146">
        <f>[17]f!F14</f>
        <v>2.9300365000225904E-2</v>
      </c>
    </row>
    <row r="15" spans="1:7" ht="20" customHeight="1" thickBot="1">
      <c r="A15" s="52" t="s">
        <v>693</v>
      </c>
      <c r="B15" s="26">
        <f>[17]f!B15</f>
        <v>151533405</v>
      </c>
      <c r="C15" s="54">
        <f>[17]f!C15</f>
        <v>281170437</v>
      </c>
      <c r="D15" s="26">
        <f>[17]f!D15</f>
        <v>30005913</v>
      </c>
      <c r="E15" s="147">
        <f>[17]f!E15</f>
        <v>462709755</v>
      </c>
      <c r="F15" s="146">
        <f>[17]f!F15</f>
        <v>2.8237321052265632E-2</v>
      </c>
    </row>
    <row r="16" spans="1:7" ht="20" customHeight="1" thickBot="1">
      <c r="A16" s="52" t="s">
        <v>694</v>
      </c>
      <c r="B16" s="26">
        <f>[17]f!B16</f>
        <v>25325132</v>
      </c>
      <c r="C16" s="54">
        <f>[17]f!C16</f>
        <v>37217602</v>
      </c>
      <c r="D16" s="26">
        <f>[17]f!D16</f>
        <v>2694067</v>
      </c>
      <c r="E16" s="147">
        <f>[17]f!E16</f>
        <v>65236801</v>
      </c>
      <c r="F16" s="146">
        <f>[17]f!F16</f>
        <v>3.9811403895294228E-3</v>
      </c>
    </row>
    <row r="17" spans="1:6" ht="20" customHeight="1" thickBot="1">
      <c r="A17" s="52" t="s">
        <v>695</v>
      </c>
      <c r="B17" s="26">
        <f>[17]f!B17</f>
        <v>71591165</v>
      </c>
      <c r="C17" s="54">
        <f>[17]f!C17</f>
        <v>81698000</v>
      </c>
      <c r="D17" s="26">
        <f>[17]f!D17</f>
        <v>19734527</v>
      </c>
      <c r="E17" s="147">
        <f>[17]f!E17</f>
        <v>173023692</v>
      </c>
      <c r="F17" s="146">
        <f>[17]f!F17</f>
        <v>1.0558942161598311E-2</v>
      </c>
    </row>
    <row r="18" spans="1:6" ht="20" customHeight="1" thickBot="1">
      <c r="A18" s="52" t="s">
        <v>696</v>
      </c>
      <c r="B18" s="26">
        <f>[17]f!B18</f>
        <v>43061181</v>
      </c>
      <c r="C18" s="54">
        <f>[17]f!C18</f>
        <v>55985480</v>
      </c>
      <c r="D18" s="26">
        <f>[17]f!D18</f>
        <v>7283173</v>
      </c>
      <c r="E18" s="147">
        <f>[17]f!E18</f>
        <v>106329834</v>
      </c>
      <c r="F18" s="146">
        <f>[17]f!F18</f>
        <v>6.488883425619825E-3</v>
      </c>
    </row>
    <row r="19" spans="1:6" ht="20" customHeight="1" thickBot="1">
      <c r="A19" s="70" t="s">
        <v>697</v>
      </c>
      <c r="B19" s="26">
        <f>[17]f!B19</f>
        <v>5523119</v>
      </c>
      <c r="C19" s="54">
        <f>[17]f!C19</f>
        <v>11414585</v>
      </c>
      <c r="D19" s="26">
        <f>[17]f!D19</f>
        <v>3228453</v>
      </c>
      <c r="E19" s="147">
        <f>[17]f!E19</f>
        <v>20166157</v>
      </c>
      <c r="F19" s="146">
        <f>[17]f!F19</f>
        <v>1.2306597028614492E-3</v>
      </c>
    </row>
    <row r="20" spans="1:6" ht="20" customHeight="1" thickBot="1">
      <c r="A20" s="52" t="s">
        <v>698</v>
      </c>
      <c r="B20" s="26">
        <f>[17]f!B20</f>
        <v>87620260</v>
      </c>
      <c r="C20" s="54">
        <f>[17]f!C20</f>
        <v>145178160</v>
      </c>
      <c r="D20" s="26">
        <f>[17]f!D20</f>
        <v>46362987</v>
      </c>
      <c r="E20" s="147">
        <f>[17]f!E20</f>
        <v>279161407</v>
      </c>
      <c r="F20" s="146">
        <f>[17]f!F20</f>
        <v>1.7036101334974438E-2</v>
      </c>
    </row>
    <row r="21" spans="1:6" ht="20" customHeight="1" thickBot="1">
      <c r="A21" s="52" t="s">
        <v>699</v>
      </c>
      <c r="B21" s="26">
        <f>[17]f!B21</f>
        <v>8414843</v>
      </c>
      <c r="C21" s="54">
        <f>[17]f!C21</f>
        <v>11579020</v>
      </c>
      <c r="D21" s="26">
        <f>[17]f!D21</f>
        <v>2351566</v>
      </c>
      <c r="E21" s="147">
        <f>[17]f!E21</f>
        <v>22345429</v>
      </c>
      <c r="F21" s="146">
        <f>[17]f!F21</f>
        <v>1.363651934944849E-3</v>
      </c>
    </row>
    <row r="22" spans="1:6" ht="30" customHeight="1" thickBot="1">
      <c r="A22" s="148" t="s">
        <v>700</v>
      </c>
      <c r="B22" s="149">
        <f>[17]f!B22</f>
        <v>6079994263</v>
      </c>
      <c r="C22" s="150">
        <f>[17]f!C22</f>
        <v>9207314362</v>
      </c>
      <c r="D22" s="149">
        <f>[17]f!D22</f>
        <v>1099152192</v>
      </c>
      <c r="E22" s="151">
        <f>[17]f!E22</f>
        <v>16386460817</v>
      </c>
      <c r="F22" s="152">
        <f>[17]f!F22</f>
        <v>1</v>
      </c>
    </row>
    <row r="23" spans="1:6" ht="30" customHeight="1" thickBot="1">
      <c r="A23" s="153" t="s">
        <v>701</v>
      </c>
      <c r="B23" s="154" t="str">
        <f>[17]f!B23</f>
        <v>-</v>
      </c>
      <c r="C23" s="155">
        <f>[17]f!C23</f>
        <v>378686311</v>
      </c>
      <c r="D23" s="154">
        <f>[17]f!D23</f>
        <v>2161046</v>
      </c>
      <c r="E23" s="156">
        <f>[17]f!E23</f>
        <v>380847358</v>
      </c>
      <c r="F23" s="157">
        <f>[17]f!F23</f>
        <v>2.3241587201361567E-2</v>
      </c>
    </row>
    <row r="24" spans="1:6" ht="20" customHeight="1">
      <c r="A24" s="28" t="str">
        <f>'[2]data an-1'!$D$2</f>
        <v>Datenstand: 6.11.02</v>
      </c>
      <c r="B24" s="29"/>
      <c r="C24" s="29"/>
      <c r="D24" s="29"/>
      <c r="E24" s="29"/>
      <c r="F24" s="29"/>
    </row>
    <row r="25" spans="1:6">
      <c r="A25" s="7" t="s">
        <v>702</v>
      </c>
    </row>
    <row r="27" spans="1:6" ht="14" thickBot="1"/>
    <row r="28" spans="1:6" ht="15" thickBot="1">
      <c r="A28" s="158"/>
    </row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317E9-B2CE-1C41-8D56-641EE511BDF7}">
  <dimension ref="A1:K16"/>
  <sheetViews>
    <sheetView zoomScale="75" workbookViewId="0">
      <selection activeCell="F4" sqref="F4"/>
    </sheetView>
  </sheetViews>
  <sheetFormatPr baseColWidth="10" defaultColWidth="11.3984375" defaultRowHeight="13"/>
  <cols>
    <col min="1" max="1" width="16.796875" style="7" customWidth="1"/>
    <col min="2" max="7" width="14.796875" style="7" customWidth="1"/>
    <col min="8" max="16384" width="11.3984375" style="7"/>
  </cols>
  <sheetData>
    <row r="1" spans="1:11" s="1" customFormat="1" ht="14" customHeight="1"/>
    <row r="2" spans="1:11" s="1" customFormat="1" ht="28" customHeight="1">
      <c r="A2" s="2" t="s">
        <v>704</v>
      </c>
    </row>
    <row r="3" spans="1:11" ht="24" customHeight="1">
      <c r="A3" s="41" t="s">
        <v>640</v>
      </c>
      <c r="B3" s="6" t="s">
        <v>675</v>
      </c>
      <c r="C3" s="42" t="s">
        <v>522</v>
      </c>
      <c r="D3" s="6" t="s">
        <v>676</v>
      </c>
      <c r="E3" s="42" t="s">
        <v>522</v>
      </c>
      <c r="F3" s="6" t="s">
        <v>677</v>
      </c>
      <c r="G3" s="42" t="s">
        <v>522</v>
      </c>
    </row>
    <row r="4" spans="1:11" ht="15" customHeight="1">
      <c r="A4" s="43"/>
      <c r="B4" s="12" t="s">
        <v>678</v>
      </c>
      <c r="C4" s="44" t="s">
        <v>523</v>
      </c>
      <c r="D4" s="12" t="s">
        <v>678</v>
      </c>
      <c r="E4" s="45" t="s">
        <v>523</v>
      </c>
      <c r="F4" s="12"/>
      <c r="G4" s="44" t="s">
        <v>523</v>
      </c>
    </row>
    <row r="5" spans="1:11" ht="15" customHeight="1">
      <c r="A5" s="43"/>
      <c r="B5" s="12"/>
      <c r="C5" s="44" t="s">
        <v>524</v>
      </c>
      <c r="D5" s="12"/>
      <c r="E5" s="45" t="s">
        <v>524</v>
      </c>
      <c r="F5" s="12"/>
      <c r="G5" s="44" t="s">
        <v>524</v>
      </c>
    </row>
    <row r="6" spans="1:11" ht="24" customHeight="1">
      <c r="A6" s="46"/>
      <c r="B6" s="16"/>
      <c r="C6" s="47"/>
      <c r="D6" s="16"/>
      <c r="E6" s="48"/>
      <c r="F6" s="16"/>
      <c r="G6" s="47"/>
    </row>
    <row r="7" spans="1:11" ht="30" customHeight="1" thickBot="1">
      <c r="A7" s="49">
        <f>[18]f!A7</f>
        <v>1994</v>
      </c>
      <c r="B7" s="21">
        <f>[18]f!B7</f>
        <v>1009.132945756054</v>
      </c>
      <c r="C7" s="51" t="str">
        <f>[18]f!C7</f>
        <v>–</v>
      </c>
      <c r="D7" s="20">
        <f>[18]f!D7</f>
        <v>506.41639462828601</v>
      </c>
      <c r="E7" s="51" t="str">
        <f>[18]f!E7</f>
        <v>–</v>
      </c>
      <c r="F7" s="21">
        <f>[18]f!F7</f>
        <v>1515.54934038434</v>
      </c>
      <c r="G7" s="51" t="str">
        <f>[18]f!G7</f>
        <v>–</v>
      </c>
      <c r="H7" s="22"/>
    </row>
    <row r="8" spans="1:11" ht="20" customHeight="1" thickBot="1">
      <c r="A8" s="52">
        <f>[18]f!A8</f>
        <v>1995</v>
      </c>
      <c r="B8" s="53">
        <f>[18]f!B8</f>
        <v>1031.5524696995681</v>
      </c>
      <c r="C8" s="55">
        <f>[18]f!C8</f>
        <v>2.2216620751309504E-2</v>
      </c>
      <c r="D8" s="26">
        <f>[18]f!D8</f>
        <v>546.29693327827954</v>
      </c>
      <c r="E8" s="55">
        <f>[18]f!E8</f>
        <v>7.8750488872435076E-2</v>
      </c>
      <c r="F8" s="26">
        <f>[18]f!F8</f>
        <v>1577.8494029778476</v>
      </c>
      <c r="G8" s="55">
        <f>[18]f!G8</f>
        <v>4.110724800138045E-2</v>
      </c>
      <c r="H8" s="22"/>
    </row>
    <row r="9" spans="1:11" ht="20" customHeight="1" thickBot="1">
      <c r="A9" s="52">
        <f>[18]f!A9</f>
        <v>1996</v>
      </c>
      <c r="B9" s="26">
        <f>[18]f!B9</f>
        <v>1141.7516401488422</v>
      </c>
      <c r="C9" s="55">
        <f>[18]f!C9</f>
        <v>0.10682846843589913</v>
      </c>
      <c r="D9" s="26">
        <f>[18]f!D9</f>
        <v>589.92914393356</v>
      </c>
      <c r="E9" s="55">
        <f>[18]f!E9</f>
        <v>7.9869038241616008E-2</v>
      </c>
      <c r="F9" s="26">
        <f>[18]f!F9</f>
        <v>1731.6807840824022</v>
      </c>
      <c r="G9" s="55">
        <f>[18]f!G9</f>
        <v>9.7494336794266487E-2</v>
      </c>
    </row>
    <row r="10" spans="1:11" ht="20" customHeight="1" thickBot="1">
      <c r="A10" s="52">
        <f>[18]f!A10</f>
        <v>1997</v>
      </c>
      <c r="B10" s="26">
        <f>[18]f!B10</f>
        <v>1210.7956888559779</v>
      </c>
      <c r="C10" s="55">
        <f>[18]f!C10</f>
        <v>6.0472038120422539E-2</v>
      </c>
      <c r="D10" s="26">
        <f>[18]f!D10</f>
        <v>610.24833589590401</v>
      </c>
      <c r="E10" s="55">
        <f>[18]f!E10</f>
        <v>3.4443444897227234E-2</v>
      </c>
      <c r="F10" s="26">
        <f>[18]f!F10</f>
        <v>1821.0440247518818</v>
      </c>
      <c r="G10" s="55">
        <f>[18]f!G10</f>
        <v>5.1604915577343084E-2</v>
      </c>
      <c r="I10" s="27"/>
      <c r="J10" s="27"/>
      <c r="K10" s="27"/>
    </row>
    <row r="11" spans="1:11" ht="20" customHeight="1" thickBot="1">
      <c r="A11" s="52">
        <f>[18]f!A11</f>
        <v>1998</v>
      </c>
      <c r="B11" s="26">
        <f>[18]f!B11</f>
        <v>1287.51</v>
      </c>
      <c r="C11" s="55">
        <f>[18]f!C11</f>
        <v>6.335859290720279E-2</v>
      </c>
      <c r="D11" s="26">
        <f>[18]f!D11</f>
        <v>647.22</v>
      </c>
      <c r="E11" s="55">
        <f>[18]f!E11</f>
        <v>6.0584620931113262E-2</v>
      </c>
      <c r="F11" s="26">
        <f>[18]f!F11</f>
        <v>1934.73</v>
      </c>
      <c r="G11" s="55">
        <f>[18]f!G11</f>
        <v>6.2429009789375073E-2</v>
      </c>
    </row>
    <row r="12" spans="1:11" ht="20" customHeight="1" thickBot="1">
      <c r="A12" s="52">
        <f>[18]f!A12</f>
        <v>1999</v>
      </c>
      <c r="B12" s="26">
        <f>[18]f!B12</f>
        <v>1352.3238940325607</v>
      </c>
      <c r="C12" s="55">
        <f>[18]f!C12</f>
        <v>5.034049757482327E-2</v>
      </c>
      <c r="D12" s="26">
        <f>[18]f!D12</f>
        <v>659.70969970002204</v>
      </c>
      <c r="E12" s="55">
        <f>[18]f!E12</f>
        <v>1.9297456351815481E-2</v>
      </c>
      <c r="F12" s="26">
        <f>[18]f!F12</f>
        <v>2012.03</v>
      </c>
      <c r="G12" s="55">
        <f>[18]f!G12</f>
        <v>3.9953895375582096E-2</v>
      </c>
    </row>
    <row r="13" spans="1:11" ht="20" customHeight="1" thickBot="1">
      <c r="A13" s="52">
        <f>[18]f!A13</f>
        <v>2000</v>
      </c>
      <c r="B13" s="26">
        <f>[18]f!B13</f>
        <v>1450.5580412847301</v>
      </c>
      <c r="C13" s="55">
        <f>[18]f!C13</f>
        <v>7.2640990583432014E-2</v>
      </c>
      <c r="D13" s="26">
        <f>[18]f!D13</f>
        <v>679.06373279109243</v>
      </c>
      <c r="E13" s="55">
        <f>[18]f!E13</f>
        <v>2.9337196496990878E-2</v>
      </c>
      <c r="F13" s="26">
        <f>[18]f!F13</f>
        <v>2129.6217740758225</v>
      </c>
      <c r="G13" s="55">
        <f>[18]f!G13</f>
        <v>5.8444344306905226E-2</v>
      </c>
    </row>
    <row r="14" spans="1:11" ht="30" customHeight="1" thickBot="1">
      <c r="A14" s="56">
        <f>[18]f!A14</f>
        <v>2001</v>
      </c>
      <c r="B14" s="39">
        <f>[18]f!B14</f>
        <v>1544.5438256962198</v>
      </c>
      <c r="C14" s="58">
        <f>[18]f!C14</f>
        <v>6.4792846433258458E-2</v>
      </c>
      <c r="D14" s="39">
        <f>[18]f!D14</f>
        <v>693.65019907019075</v>
      </c>
      <c r="E14" s="58">
        <f>[18]f!E14</f>
        <v>2.1480261092938838E-2</v>
      </c>
      <c r="F14" s="39">
        <f>[18]f!F14</f>
        <v>2238.1940247664106</v>
      </c>
      <c r="G14" s="58">
        <f>[18]f!G14</f>
        <v>5.0981940555009819E-2</v>
      </c>
    </row>
    <row r="15" spans="1:11" ht="20" customHeight="1">
      <c r="A15" s="28" t="str">
        <f>'[2]data an-1'!$D$2</f>
        <v>Datenstand: 6.11.02</v>
      </c>
      <c r="B15" s="29"/>
      <c r="C15" s="29"/>
      <c r="D15" s="29"/>
      <c r="E15" s="29"/>
      <c r="F15" s="29"/>
      <c r="G15" s="30"/>
    </row>
    <row r="16" spans="1:11">
      <c r="A16" s="7" t="s">
        <v>703</v>
      </c>
    </row>
  </sheetData>
  <phoneticPr fontId="0" type="noConversion"/>
  <pageMargins left="0.78740157480314965" right="0.78740157480314965" top="1.46" bottom="0.49" header="0.92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C5EEF-C87A-3543-B89A-CB539446CDF2}">
  <dimension ref="A1:G25"/>
  <sheetViews>
    <sheetView zoomScale="75" workbookViewId="0">
      <selection activeCell="A26" sqref="A26"/>
    </sheetView>
  </sheetViews>
  <sheetFormatPr baseColWidth="10" defaultColWidth="11.3984375" defaultRowHeight="13"/>
  <cols>
    <col min="1" max="1" width="30.3984375" style="7" customWidth="1"/>
    <col min="2" max="4" width="15.19921875" style="7" customWidth="1"/>
    <col min="5" max="5" width="15.19921875" style="81" customWidth="1"/>
    <col min="6" max="6" width="15.19921875" style="7" customWidth="1"/>
    <col min="7" max="16384" width="11.3984375" style="7"/>
  </cols>
  <sheetData>
    <row r="1" spans="1:7" s="1" customFormat="1" ht="14" customHeight="1">
      <c r="E1" s="159"/>
    </row>
    <row r="2" spans="1:7" s="1" customFormat="1" ht="28" customHeight="1">
      <c r="A2" s="2" t="str">
        <f>"T 1.18  Leistungen (brutto) in Fr. je versicherte Person nach Kostengruppen und Geschlecht / Kinder "&amp;'[2]data an-1'!$B$2</f>
        <v>T 1.18  Leistungen (brutto) in Fr. je versicherte Person nach Kostengruppen und Geschlecht / Kinder 2001</v>
      </c>
      <c r="E2" s="159"/>
    </row>
    <row r="3" spans="1:7" ht="24" customHeight="1">
      <c r="A3" s="41" t="s">
        <v>684</v>
      </c>
      <c r="B3" s="6" t="s">
        <v>529</v>
      </c>
      <c r="C3" s="42" t="s">
        <v>530</v>
      </c>
      <c r="D3" s="6" t="s">
        <v>538</v>
      </c>
      <c r="E3" s="144" t="s">
        <v>514</v>
      </c>
      <c r="F3" s="6" t="s">
        <v>522</v>
      </c>
    </row>
    <row r="4" spans="1:7" ht="15" customHeight="1">
      <c r="A4" s="43"/>
      <c r="B4" s="12"/>
      <c r="C4" s="44"/>
      <c r="D4" s="12"/>
      <c r="E4" s="160"/>
      <c r="F4" s="12" t="s">
        <v>523</v>
      </c>
    </row>
    <row r="5" spans="1:7" ht="15" customHeight="1">
      <c r="A5" s="43"/>
      <c r="B5" s="12"/>
      <c r="C5" s="44"/>
      <c r="D5" s="12"/>
      <c r="E5" s="160"/>
      <c r="F5" s="12" t="s">
        <v>524</v>
      </c>
    </row>
    <row r="6" spans="1:7" ht="24" customHeight="1">
      <c r="A6" s="46"/>
      <c r="B6" s="16"/>
      <c r="C6" s="47"/>
      <c r="D6" s="16"/>
      <c r="E6" s="161"/>
      <c r="F6" s="16"/>
    </row>
    <row r="7" spans="1:7" ht="30" customHeight="1" thickBot="1">
      <c r="A7" s="49" t="s">
        <v>685</v>
      </c>
      <c r="B7" s="21">
        <f>[19]f!B7</f>
        <v>490.04</v>
      </c>
      <c r="C7" s="50">
        <f>[19]f!C7</f>
        <v>741.78</v>
      </c>
      <c r="D7" s="20">
        <f>[19]f!D7</f>
        <v>286.64999999999998</v>
      </c>
      <c r="E7" s="145">
        <f>[19]f!E7</f>
        <v>547.92999999999995</v>
      </c>
      <c r="F7" s="146">
        <f>[19]f!F7</f>
        <v>3.5373481226734116E-2</v>
      </c>
      <c r="G7" s="22"/>
    </row>
    <row r="8" spans="1:7" ht="20" customHeight="1" thickBot="1">
      <c r="A8" s="52" t="s">
        <v>686</v>
      </c>
      <c r="B8" s="53">
        <f>[19]f!B8</f>
        <v>570.54</v>
      </c>
      <c r="C8" s="54">
        <f>[19]f!C8</f>
        <v>693.03</v>
      </c>
      <c r="D8" s="26">
        <f>[19]f!D8</f>
        <v>101.94</v>
      </c>
      <c r="E8" s="147">
        <f>[19]f!E8</f>
        <v>518.79</v>
      </c>
      <c r="F8" s="146">
        <f>[19]f!F8</f>
        <v>2.0055447413437122E-2</v>
      </c>
      <c r="G8" s="22"/>
    </row>
    <row r="9" spans="1:7" ht="20" customHeight="1" thickBot="1">
      <c r="A9" s="52" t="s">
        <v>687</v>
      </c>
      <c r="B9" s="26">
        <f>[19]f!B9</f>
        <v>277.49</v>
      </c>
      <c r="C9" s="54">
        <f>[19]f!C9</f>
        <v>329.31</v>
      </c>
      <c r="D9" s="26">
        <f>[19]f!D9</f>
        <v>113.5</v>
      </c>
      <c r="E9" s="147">
        <f>[19]f!E9</f>
        <v>263</v>
      </c>
      <c r="F9" s="146">
        <f>[19]f!F9</f>
        <v>0.14741939705946505</v>
      </c>
    </row>
    <row r="10" spans="1:7" ht="20" customHeight="1" thickBot="1">
      <c r="A10" s="52" t="s">
        <v>688</v>
      </c>
      <c r="B10" s="26">
        <f>[19]f!B10</f>
        <v>184.62</v>
      </c>
      <c r="C10" s="54">
        <f>[19]f!C10</f>
        <v>231.65</v>
      </c>
      <c r="D10" s="26">
        <f>[19]f!D10</f>
        <v>45.94</v>
      </c>
      <c r="E10" s="147">
        <f>[19]f!E10</f>
        <v>173.66</v>
      </c>
      <c r="F10" s="146">
        <f>[19]f!F10</f>
        <v>0.10407527496980107</v>
      </c>
    </row>
    <row r="11" spans="1:7" ht="20" customHeight="1" thickBot="1">
      <c r="A11" s="52" t="s">
        <v>689</v>
      </c>
      <c r="B11" s="26">
        <f>[19]f!B11</f>
        <v>326.23</v>
      </c>
      <c r="C11" s="54">
        <f>[19]f!C11</f>
        <v>420.14</v>
      </c>
      <c r="D11" s="26">
        <f>[19]f!D11</f>
        <v>58.24</v>
      </c>
      <c r="E11" s="147">
        <f>[19]f!E11</f>
        <v>306.29000000000002</v>
      </c>
      <c r="F11" s="146">
        <f>[19]f!F11</f>
        <v>6.1185600942383012E-2</v>
      </c>
    </row>
    <row r="12" spans="1:7" ht="20" customHeight="1" thickBot="1">
      <c r="A12" s="52" t="s">
        <v>690</v>
      </c>
      <c r="B12" s="26">
        <f>[19]f!B12</f>
        <v>111.23</v>
      </c>
      <c r="C12" s="54">
        <f>[19]f!C12</f>
        <v>320.26</v>
      </c>
      <c r="D12" s="26">
        <f>[19]f!D12</f>
        <v>0.21</v>
      </c>
      <c r="E12" s="147">
        <f>[19]f!E12</f>
        <v>171.81</v>
      </c>
      <c r="F12" s="146">
        <f>[19]f!F12</f>
        <v>2.7817659727207511E-2</v>
      </c>
    </row>
    <row r="13" spans="1:7" ht="20" customHeight="1" thickBot="1">
      <c r="A13" s="52" t="s">
        <v>691</v>
      </c>
      <c r="B13" s="26">
        <f>[19]f!B13</f>
        <v>31.03</v>
      </c>
      <c r="C13" s="54">
        <f>[19]f!C13</f>
        <v>61.65</v>
      </c>
      <c r="D13" s="26">
        <f>[19]f!D13</f>
        <v>0.98</v>
      </c>
      <c r="E13" s="147">
        <f>[19]f!E13</f>
        <v>36.92</v>
      </c>
      <c r="F13" s="146">
        <f>[19]f!F13</f>
        <v>6.000574217628496E-2</v>
      </c>
    </row>
    <row r="14" spans="1:7" ht="20" customHeight="1" thickBot="1">
      <c r="A14" s="52" t="s">
        <v>692</v>
      </c>
      <c r="B14" s="26">
        <f>[19]f!B14</f>
        <v>57.56</v>
      </c>
      <c r="C14" s="54">
        <f>[19]f!C14</f>
        <v>99.39</v>
      </c>
      <c r="D14" s="26">
        <f>[19]f!D14</f>
        <v>16.37</v>
      </c>
      <c r="E14" s="147">
        <f>[19]f!E14</f>
        <v>65.58</v>
      </c>
      <c r="F14" s="146">
        <f>[19]f!F14</f>
        <v>6.6861883845778403E-2</v>
      </c>
    </row>
    <row r="15" spans="1:7" ht="20" customHeight="1" thickBot="1">
      <c r="A15" s="52" t="s">
        <v>693</v>
      </c>
      <c r="B15" s="26">
        <f>[19]f!B15</f>
        <v>54.59</v>
      </c>
      <c r="C15" s="54">
        <f>[19]f!C15</f>
        <v>94.91</v>
      </c>
      <c r="D15" s="26">
        <f>[19]f!D15</f>
        <v>18.96</v>
      </c>
      <c r="E15" s="147">
        <f>[19]f!E15</f>
        <v>63.2</v>
      </c>
      <c r="F15" s="146">
        <f>[19]f!F15</f>
        <v>3.742613263296124E-2</v>
      </c>
    </row>
    <row r="16" spans="1:7" ht="20" customHeight="1" thickBot="1">
      <c r="A16" s="52" t="s">
        <v>694</v>
      </c>
      <c r="B16" s="26">
        <f>[19]f!B16</f>
        <v>9.1199999999999992</v>
      </c>
      <c r="C16" s="54">
        <f>[19]f!C16</f>
        <v>12.56</v>
      </c>
      <c r="D16" s="26">
        <f>[19]f!D16</f>
        <v>1.7</v>
      </c>
      <c r="E16" s="147">
        <f>[19]f!E16</f>
        <v>8.91</v>
      </c>
      <c r="F16" s="146">
        <f>[19]f!F16</f>
        <v>3.9673278879813312E-2</v>
      </c>
    </row>
    <row r="17" spans="1:6" ht="20" customHeight="1" thickBot="1">
      <c r="A17" s="52" t="s">
        <v>695</v>
      </c>
      <c r="B17" s="26">
        <f>[19]f!B17</f>
        <v>25.79</v>
      </c>
      <c r="C17" s="54">
        <f>[19]f!C17</f>
        <v>27.58</v>
      </c>
      <c r="D17" s="26">
        <f>[19]f!D17</f>
        <v>12.47</v>
      </c>
      <c r="E17" s="147">
        <f>[19]f!E17</f>
        <v>23.63</v>
      </c>
      <c r="F17" s="146">
        <f>[19]f!F17</f>
        <v>-4.5252525252525322E-2</v>
      </c>
    </row>
    <row r="18" spans="1:6" ht="20" customHeight="1" thickBot="1">
      <c r="A18" s="52" t="s">
        <v>705</v>
      </c>
      <c r="B18" s="26">
        <f>[19]f!B18</f>
        <v>15.51</v>
      </c>
      <c r="C18" s="54">
        <f>[19]f!C18</f>
        <v>18.899999999999999</v>
      </c>
      <c r="D18" s="26">
        <f>[19]f!D18</f>
        <v>4.5999999999999996</v>
      </c>
      <c r="E18" s="147">
        <f>[19]f!E18</f>
        <v>14.52</v>
      </c>
      <c r="F18" s="146">
        <f>[19]f!F18</f>
        <v>-7.8680203045685349E-2</v>
      </c>
    </row>
    <row r="19" spans="1:6" ht="20" customHeight="1" thickBot="1">
      <c r="A19" s="70" t="s">
        <v>697</v>
      </c>
      <c r="B19" s="26">
        <f>[19]f!B19</f>
        <v>1.99</v>
      </c>
      <c r="C19" s="54">
        <f>[19]f!C19</f>
        <v>3.85</v>
      </c>
      <c r="D19" s="26">
        <f>[19]f!D19</f>
        <v>2.04</v>
      </c>
      <c r="E19" s="147">
        <f>[19]f!E19</f>
        <v>2.75</v>
      </c>
      <c r="F19" s="146" t="str">
        <f>[19]f!F19</f>
        <v>-</v>
      </c>
    </row>
    <row r="20" spans="1:6" ht="20" customHeight="1" thickBot="1">
      <c r="A20" s="52" t="s">
        <v>698</v>
      </c>
      <c r="B20" s="26">
        <f>[19]f!B20</f>
        <v>31.57</v>
      </c>
      <c r="C20" s="54">
        <f>[19]f!C20</f>
        <v>49</v>
      </c>
      <c r="D20" s="26">
        <f>[19]f!D20</f>
        <v>29.29</v>
      </c>
      <c r="E20" s="147">
        <f>[19]f!E20</f>
        <v>38.130000000000003</v>
      </c>
      <c r="F20" s="146">
        <f>[19]f!F20</f>
        <v>-4.5317976965448037E-2</v>
      </c>
    </row>
    <row r="21" spans="1:6" ht="20" customHeight="1" thickBot="1">
      <c r="A21" s="52" t="s">
        <v>699</v>
      </c>
      <c r="B21" s="26">
        <f>[19]f!B21</f>
        <v>3.03</v>
      </c>
      <c r="C21" s="54">
        <f>[19]f!C21</f>
        <v>3.91</v>
      </c>
      <c r="D21" s="26">
        <f>[19]f!D21</f>
        <v>1.49</v>
      </c>
      <c r="E21" s="147">
        <f>[19]f!E21</f>
        <v>3.05</v>
      </c>
      <c r="F21" s="146">
        <f>[19]f!F21</f>
        <v>-7.854984894259831E-2</v>
      </c>
    </row>
    <row r="22" spans="1:6" ht="30" customHeight="1" thickBot="1">
      <c r="A22" s="148" t="s">
        <v>700</v>
      </c>
      <c r="B22" s="149">
        <f>[19]f!B22</f>
        <v>2190.33</v>
      </c>
      <c r="C22" s="150">
        <f>[19]f!C22</f>
        <v>3107.92</v>
      </c>
      <c r="D22" s="149">
        <f>[19]f!D22</f>
        <v>694.38</v>
      </c>
      <c r="E22" s="151">
        <f>[19]f!E22</f>
        <v>2238.19</v>
      </c>
      <c r="F22" s="146">
        <f>[19]f!F22</f>
        <v>5.0980926174622798E-2</v>
      </c>
    </row>
    <row r="23" spans="1:6" ht="30" customHeight="1" thickBot="1">
      <c r="A23" s="153" t="s">
        <v>701</v>
      </c>
      <c r="B23" s="154" t="str">
        <f>[19]f!B23</f>
        <v>-</v>
      </c>
      <c r="C23" s="155">
        <f>[19]f!C23</f>
        <v>127.83</v>
      </c>
      <c r="D23" s="154">
        <f>[19]f!D23</f>
        <v>1.37</v>
      </c>
      <c r="E23" s="156" t="str">
        <f>[19]f!E23</f>
        <v>-</v>
      </c>
      <c r="F23" s="154" t="str">
        <f>[19]f!F23</f>
        <v>-</v>
      </c>
    </row>
    <row r="24" spans="1:6" ht="20" customHeight="1">
      <c r="A24" s="28" t="str">
        <f>'[2]data an-1'!$D$2</f>
        <v>Datenstand: 6.11.02</v>
      </c>
      <c r="B24" s="29"/>
      <c r="C24" s="29"/>
      <c r="D24" s="29"/>
      <c r="E24" s="162"/>
      <c r="F24" s="29"/>
    </row>
    <row r="25" spans="1:6">
      <c r="A25" s="7" t="s">
        <v>702</v>
      </c>
    </row>
  </sheetData>
  <phoneticPr fontId="0" type="noConversion"/>
  <pageMargins left="0.52" right="0.42" top="1.46" bottom="0.49" header="0.94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0270-E6EE-304C-B4F6-6933BFBA8A6E}">
  <dimension ref="A1:J15"/>
  <sheetViews>
    <sheetView zoomScale="75" workbookViewId="0">
      <selection activeCell="B19" sqref="B19:F20"/>
    </sheetView>
  </sheetViews>
  <sheetFormatPr baseColWidth="10" defaultColWidth="11.3984375" defaultRowHeight="13"/>
  <cols>
    <col min="1" max="1" width="12.796875" style="7" customWidth="1"/>
    <col min="2" max="6" width="15.796875" style="7" customWidth="1"/>
    <col min="7" max="7" width="13.3984375" style="7" customWidth="1"/>
    <col min="8" max="16384" width="11.3984375" style="7"/>
  </cols>
  <sheetData>
    <row r="1" spans="1:10" s="1" customFormat="1" ht="14" customHeight="1">
      <c r="A1" s="163"/>
      <c r="B1" s="163"/>
      <c r="C1" s="163"/>
      <c r="D1" s="163"/>
      <c r="E1" s="163"/>
      <c r="F1" s="163"/>
      <c r="G1" s="163"/>
    </row>
    <row r="2" spans="1:10" s="1" customFormat="1" ht="28" customHeight="1">
      <c r="A2" s="164" t="s">
        <v>706</v>
      </c>
      <c r="B2" s="163"/>
      <c r="C2" s="163"/>
      <c r="D2" s="163"/>
      <c r="E2" s="163"/>
      <c r="F2" s="163"/>
      <c r="G2" s="163"/>
    </row>
    <row r="3" spans="1:10" ht="24" customHeight="1">
      <c r="A3" s="41" t="s">
        <v>640</v>
      </c>
      <c r="B3" s="6" t="s">
        <v>662</v>
      </c>
      <c r="C3" s="42" t="s">
        <v>622</v>
      </c>
      <c r="D3" s="6" t="s">
        <v>623</v>
      </c>
      <c r="E3" s="42" t="s">
        <v>624</v>
      </c>
      <c r="F3" s="6" t="s">
        <v>514</v>
      </c>
      <c r="G3" s="42" t="s">
        <v>522</v>
      </c>
    </row>
    <row r="4" spans="1:10" ht="15" customHeight="1">
      <c r="A4" s="43"/>
      <c r="B4" s="12" t="s">
        <v>625</v>
      </c>
      <c r="C4" s="44" t="s">
        <v>626</v>
      </c>
      <c r="D4" s="12" t="s">
        <v>627</v>
      </c>
      <c r="E4" s="45" t="s">
        <v>628</v>
      </c>
      <c r="F4" s="12"/>
      <c r="G4" s="44" t="s">
        <v>523</v>
      </c>
    </row>
    <row r="5" spans="1:10" ht="15" customHeight="1">
      <c r="A5" s="43"/>
      <c r="B5" s="12" t="s">
        <v>629</v>
      </c>
      <c r="C5" s="44" t="s">
        <v>630</v>
      </c>
      <c r="D5" s="12" t="s">
        <v>631</v>
      </c>
      <c r="E5" s="45" t="s">
        <v>632</v>
      </c>
      <c r="F5" s="12"/>
      <c r="G5" s="44" t="s">
        <v>524</v>
      </c>
    </row>
    <row r="6" spans="1:10" ht="24" customHeight="1">
      <c r="A6" s="46"/>
      <c r="B6" s="16"/>
      <c r="C6" s="47"/>
      <c r="D6" s="16"/>
      <c r="E6" s="48" t="s">
        <v>633</v>
      </c>
      <c r="F6" s="16"/>
      <c r="G6" s="47"/>
    </row>
    <row r="7" spans="1:10" ht="30" customHeight="1" thickBot="1">
      <c r="A7" s="49">
        <f>[20]f!A7</f>
        <v>1994</v>
      </c>
      <c r="B7" s="21">
        <f>[20]f!B7</f>
        <v>1094583000</v>
      </c>
      <c r="C7" s="50">
        <f>[20]f!C7</f>
        <v>161563000</v>
      </c>
      <c r="D7" s="20">
        <f>[20]f!D7</f>
        <v>2653000</v>
      </c>
      <c r="E7" s="50">
        <f>[20]f!E7</f>
        <v>552000</v>
      </c>
      <c r="F7" s="21">
        <f>[20]f!F7</f>
        <v>1259274000</v>
      </c>
      <c r="G7" s="165" t="str">
        <f>[20]f!G7</f>
        <v>–</v>
      </c>
    </row>
    <row r="8" spans="1:10" ht="20" customHeight="1" thickBot="1">
      <c r="A8" s="52">
        <f>[20]f!A8</f>
        <v>1995</v>
      </c>
      <c r="B8" s="53">
        <f>[20]f!B8</f>
        <v>1104144000</v>
      </c>
      <c r="C8" s="54">
        <f>[20]f!C8</f>
        <v>182947000</v>
      </c>
      <c r="D8" s="26">
        <f>[20]f!D8</f>
        <v>2520000</v>
      </c>
      <c r="E8" s="54">
        <f>[20]f!E8</f>
        <v>560000</v>
      </c>
      <c r="F8" s="26">
        <f>[20]f!F8</f>
        <v>1290196000</v>
      </c>
      <c r="G8" s="55">
        <f>[20]f!G8</f>
        <v>2.4555418439513588E-2</v>
      </c>
    </row>
    <row r="9" spans="1:10" ht="20" customHeight="1" thickBot="1">
      <c r="A9" s="52">
        <f>[20]f!A9</f>
        <v>1996</v>
      </c>
      <c r="B9" s="26">
        <f>[20]f!B9</f>
        <v>1089264800.5</v>
      </c>
      <c r="C9" s="54">
        <f>[20]f!C9</f>
        <v>580101661.80000019</v>
      </c>
      <c r="D9" s="26">
        <f>[20]f!D9</f>
        <v>4375346.3499999996</v>
      </c>
      <c r="E9" s="54">
        <f>[20]f!E9</f>
        <v>4789928.95</v>
      </c>
      <c r="F9" s="26">
        <f>[20]f!F9</f>
        <v>1678531737.6000004</v>
      </c>
      <c r="G9" s="55">
        <f>[20]f!G9</f>
        <v>0.30098972373189836</v>
      </c>
    </row>
    <row r="10" spans="1:10" ht="20" customHeight="1" thickBot="1">
      <c r="A10" s="52">
        <f>[20]f!A10</f>
        <v>1997</v>
      </c>
      <c r="B10" s="26">
        <f>[20]f!B10</f>
        <v>879950459</v>
      </c>
      <c r="C10" s="54">
        <f>[20]f!C10</f>
        <v>850703379</v>
      </c>
      <c r="D10" s="26">
        <f>[20]f!D10</f>
        <v>1704020</v>
      </c>
      <c r="E10" s="54">
        <f>[20]f!E10</f>
        <v>45624484</v>
      </c>
      <c r="F10" s="26">
        <f>[20]f!F10</f>
        <v>1777982343</v>
      </c>
      <c r="G10" s="55">
        <f>[20]f!G10</f>
        <v>5.9248570147500512E-2</v>
      </c>
      <c r="H10" s="27"/>
      <c r="I10" s="27"/>
      <c r="J10" s="27"/>
    </row>
    <row r="11" spans="1:10" ht="20" customHeight="1" thickBot="1">
      <c r="A11" s="52">
        <f>[20]f!A11</f>
        <v>1998</v>
      </c>
      <c r="B11" s="26">
        <f>[20]f!B11</f>
        <v>1013899968</v>
      </c>
      <c r="C11" s="54">
        <f>[20]f!C11</f>
        <v>981741080</v>
      </c>
      <c r="D11" s="26">
        <f>[20]f!D11</f>
        <v>1294283</v>
      </c>
      <c r="E11" s="54">
        <f>[20]f!E11</f>
        <v>100297469</v>
      </c>
      <c r="F11" s="26">
        <f>[20]f!F11</f>
        <v>2097232800</v>
      </c>
      <c r="G11" s="55">
        <f>[20]f!G11</f>
        <v>0.17955772072591381</v>
      </c>
    </row>
    <row r="12" spans="1:10" ht="20" customHeight="1" thickBot="1">
      <c r="A12" s="52">
        <f>[20]f!A12</f>
        <v>1999</v>
      </c>
      <c r="B12" s="26">
        <f>[20]f!B12</f>
        <v>1011361150</v>
      </c>
      <c r="C12" s="54">
        <f>[20]f!C12</f>
        <v>1055568640</v>
      </c>
      <c r="D12" s="26">
        <f>[20]f!D12</f>
        <v>792455</v>
      </c>
      <c r="E12" s="54">
        <f>[20]f!E12</f>
        <v>122178940</v>
      </c>
      <c r="F12" s="26">
        <f>[20]f!F12</f>
        <v>2189901184</v>
      </c>
      <c r="G12" s="55">
        <f>[20]f!G12</f>
        <v>4.4186026463061134E-2</v>
      </c>
    </row>
    <row r="13" spans="1:10" ht="20" customHeight="1" thickBot="1">
      <c r="A13" s="52">
        <f>[20]f!A13</f>
        <v>2000</v>
      </c>
      <c r="B13" s="26">
        <f>[20]f!B13</f>
        <v>1054450601</v>
      </c>
      <c r="C13" s="54">
        <f>[20]f!C13</f>
        <v>1090720983</v>
      </c>
      <c r="D13" s="26">
        <f>[20]f!D13</f>
        <v>1251221</v>
      </c>
      <c r="E13" s="54">
        <f>[20]f!E13</f>
        <v>141594740</v>
      </c>
      <c r="F13" s="26">
        <f>[20]f!F13</f>
        <v>2288017545</v>
      </c>
      <c r="G13" s="55">
        <f>[20]f!G13</f>
        <v>4.4804012946732197E-2</v>
      </c>
    </row>
    <row r="14" spans="1:10" ht="30" customHeight="1" thickBot="1">
      <c r="A14" s="56">
        <f>[20]f!A14</f>
        <v>2001</v>
      </c>
      <c r="B14" s="39">
        <f>[20]f!B14</f>
        <v>1083514122</v>
      </c>
      <c r="C14" s="57">
        <f>[20]f!C14</f>
        <v>1158413361</v>
      </c>
      <c r="D14" s="39">
        <f>[20]f!D14</f>
        <v>1268100.93</v>
      </c>
      <c r="E14" s="57">
        <f>[20]f!E14</f>
        <v>156993944.90000001</v>
      </c>
      <c r="F14" s="39">
        <f>[20]f!F14</f>
        <v>2400189528.8299999</v>
      </c>
      <c r="G14" s="58">
        <f>[20]f!G14</f>
        <v>4.9025840765569706E-2</v>
      </c>
    </row>
    <row r="15" spans="1:10" ht="20" customHeight="1">
      <c r="A15" s="166" t="str">
        <f>'[2]data an-1'!$D$2</f>
        <v>Datenstand: 6.11.02</v>
      </c>
      <c r="B15" s="166"/>
      <c r="C15" s="166"/>
      <c r="D15" s="166"/>
      <c r="E15" s="166"/>
      <c r="F15" s="166"/>
      <c r="G15" s="166"/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0045-12FB-C549-9947-9520FAE4C1CB}">
  <dimension ref="A1:J15"/>
  <sheetViews>
    <sheetView zoomScale="75" workbookViewId="0">
      <selection activeCell="G11" sqref="G11"/>
    </sheetView>
  </sheetViews>
  <sheetFormatPr baseColWidth="10" defaultColWidth="11.3984375" defaultRowHeight="13"/>
  <cols>
    <col min="1" max="1" width="12.796875" style="7" customWidth="1"/>
    <col min="2" max="6" width="15.796875" style="7" customWidth="1"/>
    <col min="7" max="7" width="13.3984375" style="7" customWidth="1"/>
    <col min="8" max="16384" width="11.3984375" style="7"/>
  </cols>
  <sheetData>
    <row r="1" spans="1:10" s="1" customFormat="1" ht="14" customHeight="1"/>
    <row r="2" spans="1:10" s="1" customFormat="1" ht="28" customHeight="1">
      <c r="A2" s="2" t="s">
        <v>723</v>
      </c>
    </row>
    <row r="3" spans="1:10" ht="24" customHeight="1">
      <c r="A3" s="41" t="s">
        <v>640</v>
      </c>
      <c r="B3" s="6" t="s">
        <v>662</v>
      </c>
      <c r="C3" s="42" t="s">
        <v>622</v>
      </c>
      <c r="D3" s="6" t="s">
        <v>623</v>
      </c>
      <c r="E3" s="42" t="s">
        <v>624</v>
      </c>
      <c r="F3" s="6" t="s">
        <v>514</v>
      </c>
      <c r="G3" s="42" t="s">
        <v>522</v>
      </c>
    </row>
    <row r="4" spans="1:10" ht="15" customHeight="1">
      <c r="A4" s="43"/>
      <c r="B4" s="12" t="s">
        <v>625</v>
      </c>
      <c r="C4" s="44" t="s">
        <v>626</v>
      </c>
      <c r="D4" s="12" t="s">
        <v>627</v>
      </c>
      <c r="E4" s="45" t="s">
        <v>628</v>
      </c>
      <c r="F4" s="12"/>
      <c r="G4" s="44" t="s">
        <v>523</v>
      </c>
    </row>
    <row r="5" spans="1:10" ht="15" customHeight="1">
      <c r="A5" s="43"/>
      <c r="B5" s="12" t="s">
        <v>629</v>
      </c>
      <c r="C5" s="44" t="s">
        <v>630</v>
      </c>
      <c r="D5" s="12" t="s">
        <v>631</v>
      </c>
      <c r="E5" s="45" t="s">
        <v>632</v>
      </c>
      <c r="F5" s="12"/>
      <c r="G5" s="44" t="s">
        <v>524</v>
      </c>
    </row>
    <row r="6" spans="1:10" ht="24" customHeight="1">
      <c r="A6" s="46"/>
      <c r="B6" s="16"/>
      <c r="C6" s="47"/>
      <c r="D6" s="16"/>
      <c r="E6" s="48" t="s">
        <v>633</v>
      </c>
      <c r="F6" s="16"/>
      <c r="G6" s="47"/>
    </row>
    <row r="7" spans="1:10" ht="30" customHeight="1" thickBot="1">
      <c r="A7" s="49">
        <f>[21]f!A7</f>
        <v>1994</v>
      </c>
      <c r="B7" s="21">
        <f>[21]f!B7</f>
        <v>169.76695997649949</v>
      </c>
      <c r="C7" s="50">
        <f>[21]f!C7</f>
        <v>250.87772965771251</v>
      </c>
      <c r="D7" s="20">
        <f>[21]f!D7</f>
        <v>173.42136226957774</v>
      </c>
      <c r="E7" s="50">
        <f>[21]f!E7</f>
        <v>22.256269655672895</v>
      </c>
      <c r="F7" s="21">
        <f>[21]f!F7</f>
        <v>176.57533253510792</v>
      </c>
      <c r="G7" s="51" t="str">
        <f>[21]f!G7</f>
        <v>–</v>
      </c>
    </row>
    <row r="8" spans="1:10" ht="20" customHeight="1" thickBot="1">
      <c r="A8" s="52">
        <f>[21]f!A8</f>
        <v>1995</v>
      </c>
      <c r="B8" s="53">
        <f>[21]f!B8</f>
        <v>172.53646467010913</v>
      </c>
      <c r="C8" s="54">
        <f>[21]f!C8</f>
        <v>261.82151765946764</v>
      </c>
      <c r="D8" s="26">
        <f>[21]f!D8</f>
        <v>77.05243846506653</v>
      </c>
      <c r="E8" s="54">
        <f>[21]f!E8</f>
        <v>15.826809484780824</v>
      </c>
      <c r="F8" s="26">
        <f>[21]f!F8</f>
        <v>179.45502124453856</v>
      </c>
      <c r="G8" s="55">
        <f>[21]f!G8</f>
        <v>1.6308556059822621E-2</v>
      </c>
    </row>
    <row r="9" spans="1:10" ht="20" customHeight="1" thickBot="1">
      <c r="A9" s="52">
        <f>[21]f!A9</f>
        <v>1996</v>
      </c>
      <c r="B9" s="26">
        <f>[21]f!B9</f>
        <v>229.8232289372188</v>
      </c>
      <c r="C9" s="54">
        <f>[21]f!C9</f>
        <v>251.5996723754472</v>
      </c>
      <c r="D9" s="26">
        <f>[21]f!D9</f>
        <v>157.23187149633452</v>
      </c>
      <c r="E9" s="54">
        <f>[21]f!E9</f>
        <v>39.388219543084574</v>
      </c>
      <c r="F9" s="26">
        <f>[21]f!F9</f>
        <v>233.29860864179659</v>
      </c>
      <c r="G9" s="55">
        <f>[21]f!G9</f>
        <v>0.30003945848852465</v>
      </c>
    </row>
    <row r="10" spans="1:10" ht="20" customHeight="1" thickBot="1">
      <c r="A10" s="52">
        <f>[21]f!A10</f>
        <v>1997</v>
      </c>
      <c r="B10" s="26">
        <f>[21]f!B10</f>
        <v>215.46601893701404</v>
      </c>
      <c r="C10" s="54">
        <f>[21]f!C10</f>
        <v>310.88456129374595</v>
      </c>
      <c r="D10" s="26">
        <f>[21]f!D10</f>
        <v>148.25205846528638</v>
      </c>
      <c r="E10" s="54">
        <f>[21]f!E10</f>
        <v>119.09183274035274</v>
      </c>
      <c r="F10" s="26">
        <f>[21]f!F10</f>
        <v>246.43123482893861</v>
      </c>
      <c r="G10" s="55">
        <f>[21]f!G10</f>
        <v>5.629106090086311E-2</v>
      </c>
      <c r="H10" s="27"/>
      <c r="I10" s="27"/>
      <c r="J10" s="27"/>
    </row>
    <row r="11" spans="1:10" ht="20" customHeight="1" thickBot="1">
      <c r="A11" s="52">
        <f>[21]f!A11</f>
        <v>1998</v>
      </c>
      <c r="B11" s="26">
        <f>[21]f!B11</f>
        <v>252.44363174310865</v>
      </c>
      <c r="C11" s="54">
        <f>[21]f!C11</f>
        <v>360.0775244162046</v>
      </c>
      <c r="D11" s="26">
        <f>[21]f!D11</f>
        <v>109.42734528238077</v>
      </c>
      <c r="E11" s="54">
        <f>[21]f!E11</f>
        <v>203.01598777426921</v>
      </c>
      <c r="F11" s="26">
        <f>[21]f!F11</f>
        <v>289.32883069882564</v>
      </c>
      <c r="G11" s="55">
        <f>[21]f!G11</f>
        <v>0.1740753192251161</v>
      </c>
    </row>
    <row r="12" spans="1:10" ht="20" customHeight="1" thickBot="1">
      <c r="A12" s="52">
        <f>[21]f!A12</f>
        <v>1999</v>
      </c>
      <c r="B12" s="26">
        <f>[21]f!B12</f>
        <v>252.9206761523119</v>
      </c>
      <c r="C12" s="54">
        <f>[21]f!C12</f>
        <v>388.69953216955696</v>
      </c>
      <c r="D12" s="26">
        <f>[21]f!D12</f>
        <v>77.254014427763764</v>
      </c>
      <c r="E12" s="54">
        <f>[21]f!E12</f>
        <v>225.46370960896115</v>
      </c>
      <c r="F12" s="26">
        <f>[21]f!F12</f>
        <v>301.36445656484921</v>
      </c>
      <c r="G12" s="55">
        <f>[21]f!G12</f>
        <v>4.1598432610236324E-2</v>
      </c>
    </row>
    <row r="13" spans="1:10" ht="20" customHeight="1" thickBot="1">
      <c r="A13" s="52">
        <f>[21]f!A13</f>
        <v>2000</v>
      </c>
      <c r="B13" s="26">
        <f>[21]f!B13</f>
        <v>268.86321064682579</v>
      </c>
      <c r="C13" s="54">
        <f>[21]f!C13</f>
        <v>395.3932486834517</v>
      </c>
      <c r="D13" s="26">
        <f>[21]f!D13</f>
        <v>127.52815615125883</v>
      </c>
      <c r="E13" s="54">
        <f>[21]f!E13</f>
        <v>245.03773318265758</v>
      </c>
      <c r="F13" s="26">
        <f>[21]f!F13</f>
        <v>314.8004551705385</v>
      </c>
      <c r="G13" s="55">
        <f>[21]f!G13</f>
        <v>4.4583886098717995E-2</v>
      </c>
    </row>
    <row r="14" spans="1:10" ht="30" customHeight="1" thickBot="1">
      <c r="A14" s="56">
        <f>[21]f!A14</f>
        <v>2001</v>
      </c>
      <c r="B14" s="39">
        <f>[21]f!B14</f>
        <v>279.09861261334129</v>
      </c>
      <c r="C14" s="57">
        <f>[21]f!C14</f>
        <v>408.78213723121047</v>
      </c>
      <c r="D14" s="39">
        <f>[21]f!D14</f>
        <v>135.75644256503585</v>
      </c>
      <c r="E14" s="57">
        <f>[21]f!E14</f>
        <v>263.43962200829282</v>
      </c>
      <c r="F14" s="39">
        <f>[21]f!F14</f>
        <v>327.83710416351659</v>
      </c>
      <c r="G14" s="58">
        <f>[21]f!G14</f>
        <v>4.1412421039593639E-2</v>
      </c>
    </row>
    <row r="15" spans="1:10" ht="20" customHeight="1">
      <c r="A15" s="28" t="str">
        <f>'[2]data an-1'!$D$2</f>
        <v>Datenstand: 6.11.02</v>
      </c>
      <c r="B15" s="28"/>
      <c r="C15" s="28"/>
      <c r="D15" s="28"/>
      <c r="E15" s="28"/>
      <c r="F15" s="28"/>
      <c r="G15" s="28"/>
    </row>
  </sheetData>
  <phoneticPr fontId="0" type="noConversion"/>
  <pageMargins left="0.78740157480314965" right="0.78740157480314965" top="1.46" bottom="0.49" header="0.92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2EDB-7E13-F347-AF74-F5243C45AC89}">
  <dimension ref="A1:J16"/>
  <sheetViews>
    <sheetView zoomScale="75" workbookViewId="0">
      <selection activeCell="A12" sqref="A12:IV12"/>
    </sheetView>
  </sheetViews>
  <sheetFormatPr baseColWidth="10" defaultColWidth="11.3984375" defaultRowHeight="13"/>
  <cols>
    <col min="1" max="7" width="15.19921875" style="7" customWidth="1"/>
    <col min="8" max="16384" width="11.3984375" style="7"/>
  </cols>
  <sheetData>
    <row r="1" spans="1:10" s="1" customFormat="1" ht="14" customHeight="1"/>
    <row r="2" spans="1:10" s="1" customFormat="1" ht="28" customHeight="1">
      <c r="A2" s="2" t="s">
        <v>724</v>
      </c>
    </row>
    <row r="3" spans="1:10" ht="24" customHeight="1">
      <c r="A3" s="41" t="s">
        <v>640</v>
      </c>
      <c r="B3" s="6" t="s">
        <v>662</v>
      </c>
      <c r="C3" s="42" t="s">
        <v>622</v>
      </c>
      <c r="D3" s="6" t="s">
        <v>623</v>
      </c>
      <c r="E3" s="42" t="s">
        <v>624</v>
      </c>
      <c r="F3" s="6" t="s">
        <v>514</v>
      </c>
      <c r="G3" s="42" t="s">
        <v>522</v>
      </c>
    </row>
    <row r="4" spans="1:10" ht="15" customHeight="1">
      <c r="A4" s="43"/>
      <c r="B4" s="12" t="s">
        <v>625</v>
      </c>
      <c r="C4" s="44" t="s">
        <v>626</v>
      </c>
      <c r="D4" s="12" t="s">
        <v>627</v>
      </c>
      <c r="E4" s="45" t="s">
        <v>628</v>
      </c>
      <c r="F4" s="12"/>
      <c r="G4" s="44" t="s">
        <v>523</v>
      </c>
    </row>
    <row r="5" spans="1:10" ht="15" customHeight="1">
      <c r="A5" s="43"/>
      <c r="B5" s="12" t="s">
        <v>629</v>
      </c>
      <c r="C5" s="44" t="s">
        <v>630</v>
      </c>
      <c r="D5" s="12" t="s">
        <v>631</v>
      </c>
      <c r="E5" s="45" t="s">
        <v>632</v>
      </c>
      <c r="F5" s="12"/>
      <c r="G5" s="44" t="s">
        <v>524</v>
      </c>
    </row>
    <row r="6" spans="1:10" ht="24" customHeight="1">
      <c r="A6" s="46"/>
      <c r="B6" s="16"/>
      <c r="C6" s="47"/>
      <c r="D6" s="16"/>
      <c r="E6" s="48" t="s">
        <v>633</v>
      </c>
      <c r="F6" s="16"/>
      <c r="G6" s="47"/>
    </row>
    <row r="7" spans="1:10" ht="30" customHeight="1" thickBot="1">
      <c r="A7" s="49">
        <f>[22]f!A7</f>
        <v>1994</v>
      </c>
      <c r="B7" s="21">
        <f>[22]f!B7</f>
        <v>8897293000</v>
      </c>
      <c r="C7" s="50">
        <f>[22]f!C7</f>
        <v>618045000</v>
      </c>
      <c r="D7" s="20">
        <f>[22]f!D7</f>
        <v>6337000</v>
      </c>
      <c r="E7" s="50">
        <f>[22]f!E7</f>
        <v>27260000</v>
      </c>
      <c r="F7" s="21">
        <f>[22]f!F7</f>
        <v>9549125000</v>
      </c>
      <c r="G7" s="51" t="str">
        <f>[22]f!G7</f>
        <v>–</v>
      </c>
    </row>
    <row r="8" spans="1:10" ht="20" customHeight="1" thickBot="1">
      <c r="A8" s="52">
        <f>[22]f!A8</f>
        <v>1995</v>
      </c>
      <c r="B8" s="53">
        <f>[22]f!B8</f>
        <v>9259779000</v>
      </c>
      <c r="C8" s="54">
        <f>[22]f!C8</f>
        <v>691350000</v>
      </c>
      <c r="D8" s="26">
        <f>[22]f!D8</f>
        <v>23023000</v>
      </c>
      <c r="E8" s="54">
        <f>[22]f!E8</f>
        <v>43075000</v>
      </c>
      <c r="F8" s="26">
        <f>[22]f!F8</f>
        <v>10017202000</v>
      </c>
      <c r="G8" s="55">
        <f>[22]f!G8</f>
        <v>4.901778958805126E-2</v>
      </c>
    </row>
    <row r="9" spans="1:10" ht="20" customHeight="1" thickBot="1">
      <c r="A9" s="52">
        <f>[22]f!A9</f>
        <v>1996</v>
      </c>
      <c r="B9" s="26">
        <f>[22]f!B9</f>
        <v>8068747832</v>
      </c>
      <c r="C9" s="54">
        <f>[22]f!C9</f>
        <v>2578797499</v>
      </c>
      <c r="D9" s="26">
        <f>[22]f!D9</f>
        <v>25416930</v>
      </c>
      <c r="E9" s="54">
        <f>[22]f!E9</f>
        <v>107523248</v>
      </c>
      <c r="F9" s="26">
        <f>[22]f!F9</f>
        <v>10780485509</v>
      </c>
      <c r="G9" s="55">
        <f>[22]f!G9</f>
        <v>7.6197276345230935E-2</v>
      </c>
    </row>
    <row r="10" spans="1:10" ht="20" customHeight="1" thickBot="1">
      <c r="A10" s="52">
        <f>[22]f!A10</f>
        <v>1997</v>
      </c>
      <c r="B10" s="26">
        <f>[22]f!B10</f>
        <v>7130343665</v>
      </c>
      <c r="C10" s="54">
        <f>[22]f!C10</f>
        <v>3864390214</v>
      </c>
      <c r="D10" s="26">
        <f>[22]f!D10</f>
        <v>13596114</v>
      </c>
      <c r="E10" s="54">
        <f>[22]f!E10</f>
        <v>352165200</v>
      </c>
      <c r="F10" s="26">
        <f>[22]f!F10</f>
        <v>11360495192</v>
      </c>
      <c r="G10" s="55">
        <f>[22]f!G10</f>
        <v>5.3801814632168807E-2</v>
      </c>
      <c r="H10" s="27"/>
      <c r="I10" s="27"/>
      <c r="J10" s="27"/>
    </row>
    <row r="11" spans="1:10" ht="20" customHeight="1" thickBot="1">
      <c r="A11" s="52">
        <f>[22]f!A11</f>
        <v>1998</v>
      </c>
      <c r="B11" s="26">
        <f>[22]f!B11</f>
        <v>7021022570</v>
      </c>
      <c r="C11" s="54">
        <f>[22]f!C11</f>
        <v>4312733832</v>
      </c>
      <c r="D11" s="26">
        <f>[22]f!D11</f>
        <v>6419087</v>
      </c>
      <c r="E11" s="54">
        <f>[22]f!E11</f>
        <v>586684363</v>
      </c>
      <c r="F11" s="26">
        <f>[22]f!F11</f>
        <v>11926859852</v>
      </c>
      <c r="G11" s="55">
        <f>[22]f!G11</f>
        <v>4.9853870841724483E-2</v>
      </c>
    </row>
    <row r="12" spans="1:10" ht="20" customHeight="1" thickBot="1">
      <c r="A12" s="52">
        <f>[22]f!A12</f>
        <v>1999</v>
      </c>
      <c r="B12" s="26">
        <f>[22]f!B12</f>
        <v>7777714326</v>
      </c>
      <c r="C12" s="54">
        <f>[22]f!C12</f>
        <v>3929182211</v>
      </c>
      <c r="D12" s="26">
        <f>[22]f!D12</f>
        <v>6480040</v>
      </c>
      <c r="E12" s="54">
        <f>[22]f!E12</f>
        <v>717232756</v>
      </c>
      <c r="F12" s="26">
        <f>[22]f!F12</f>
        <v>12430609334</v>
      </c>
      <c r="G12" s="55">
        <f>[22]f!G12</f>
        <v>4.2236555828693408E-2</v>
      </c>
    </row>
    <row r="13" spans="1:10" ht="20" customHeight="1" thickBot="1">
      <c r="A13" s="52">
        <f>[22]f!A13</f>
        <v>2000</v>
      </c>
      <c r="B13" s="26">
        <f>[22]f!B13</f>
        <v>8082711555.3000002</v>
      </c>
      <c r="C13" s="54">
        <f>[22]f!C13</f>
        <v>4300222314.6999998</v>
      </c>
      <c r="D13" s="26">
        <f>[22]f!D13</f>
        <v>6284846.5800000001</v>
      </c>
      <c r="E13" s="54">
        <f>[22]f!E13</f>
        <v>801091180.21000004</v>
      </c>
      <c r="F13" s="26">
        <f>[22]f!F13</f>
        <v>13190309896.790001</v>
      </c>
      <c r="G13" s="55">
        <f>[22]f!G13</f>
        <v>6.1115311597162041E-2</v>
      </c>
    </row>
    <row r="14" spans="1:10" ht="30" customHeight="1" thickBot="1">
      <c r="A14" s="56">
        <f>[22]f!A14</f>
        <v>2001</v>
      </c>
      <c r="B14" s="39">
        <f>[22]f!B14</f>
        <v>8576260475.6000004</v>
      </c>
      <c r="C14" s="57">
        <f>[22]f!C14</f>
        <v>4525688630.3999996</v>
      </c>
      <c r="D14" s="39">
        <f>[22]f!D14</f>
        <v>7093455.9400000004</v>
      </c>
      <c r="E14" s="57">
        <f>[22]f!E14</f>
        <v>877228721.29999995</v>
      </c>
      <c r="F14" s="39">
        <f>[22]f!F14</f>
        <v>13986271283.24</v>
      </c>
      <c r="G14" s="58">
        <f>[22]f!G14</f>
        <v>6.0344403784152512E-2</v>
      </c>
    </row>
    <row r="15" spans="1:10" ht="20" customHeight="1">
      <c r="A15" s="28" t="str">
        <f>'[2]data an-1'!$D$2</f>
        <v>Datenstand: 6.11.02</v>
      </c>
      <c r="B15" s="28"/>
      <c r="C15" s="28"/>
      <c r="D15" s="28"/>
      <c r="E15" s="28"/>
      <c r="F15" s="28"/>
      <c r="G15" s="28"/>
    </row>
    <row r="16" spans="1:10">
      <c r="A16" s="7" t="s">
        <v>725</v>
      </c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5F22F-486B-D944-9ADB-99614FC836D7}">
  <dimension ref="A1:K16"/>
  <sheetViews>
    <sheetView zoomScale="75" workbookViewId="0">
      <selection activeCell="A3" sqref="A3"/>
    </sheetView>
  </sheetViews>
  <sheetFormatPr baseColWidth="10" defaultColWidth="11.3984375" defaultRowHeight="13"/>
  <cols>
    <col min="1" max="1" width="14.59765625" style="7" customWidth="1"/>
    <col min="2" max="7" width="15.59765625" style="7" customWidth="1"/>
    <col min="8" max="16384" width="11.3984375" style="7"/>
  </cols>
  <sheetData>
    <row r="1" spans="1:11" s="1" customFormat="1" ht="14" customHeight="1"/>
    <row r="2" spans="1:11" s="1" customFormat="1" ht="28" customHeight="1">
      <c r="A2" s="2" t="s">
        <v>726</v>
      </c>
    </row>
    <row r="3" spans="1:11" ht="24" customHeight="1">
      <c r="A3" s="41" t="s">
        <v>640</v>
      </c>
      <c r="B3" s="6" t="s">
        <v>662</v>
      </c>
      <c r="C3" s="42" t="s">
        <v>622</v>
      </c>
      <c r="D3" s="6" t="s">
        <v>623</v>
      </c>
      <c r="E3" s="42" t="s">
        <v>624</v>
      </c>
      <c r="F3" s="6" t="s">
        <v>514</v>
      </c>
      <c r="G3" s="42" t="s">
        <v>522</v>
      </c>
    </row>
    <row r="4" spans="1:11" ht="15" customHeight="1">
      <c r="A4" s="43"/>
      <c r="B4" s="12" t="s">
        <v>625</v>
      </c>
      <c r="C4" s="44" t="s">
        <v>626</v>
      </c>
      <c r="D4" s="12" t="s">
        <v>627</v>
      </c>
      <c r="E4" s="45" t="s">
        <v>628</v>
      </c>
      <c r="F4" s="12"/>
      <c r="G4" s="44" t="s">
        <v>523</v>
      </c>
    </row>
    <row r="5" spans="1:11" ht="15" customHeight="1">
      <c r="A5" s="43"/>
      <c r="B5" s="12" t="s">
        <v>629</v>
      </c>
      <c r="C5" s="44" t="s">
        <v>630</v>
      </c>
      <c r="D5" s="12" t="s">
        <v>631</v>
      </c>
      <c r="E5" s="45" t="s">
        <v>632</v>
      </c>
      <c r="F5" s="12"/>
      <c r="G5" s="44" t="s">
        <v>524</v>
      </c>
    </row>
    <row r="6" spans="1:11" ht="24" customHeight="1">
      <c r="A6" s="46"/>
      <c r="B6" s="16"/>
      <c r="C6" s="47"/>
      <c r="D6" s="16"/>
      <c r="E6" s="48" t="s">
        <v>633</v>
      </c>
      <c r="F6" s="16"/>
      <c r="G6" s="47"/>
    </row>
    <row r="7" spans="1:11" ht="30" customHeight="1" thickBot="1">
      <c r="A7" s="49">
        <f>[23]f!A7</f>
        <v>1994</v>
      </c>
      <c r="B7" s="21">
        <f>[23]f!B7</f>
        <v>1379.946869840104</v>
      </c>
      <c r="C7" s="50">
        <f>[23]f!C7</f>
        <v>959.71061707384115</v>
      </c>
      <c r="D7" s="20">
        <f>[23]f!D7</f>
        <v>414.23715518368414</v>
      </c>
      <c r="E7" s="50">
        <f>[23]f!E7</f>
        <v>1099.1049108942827</v>
      </c>
      <c r="F7" s="21">
        <f>[23]f!F7</f>
        <v>1338.9777937877795</v>
      </c>
      <c r="G7" s="51" t="str">
        <f>[23]f!G7</f>
        <v>–</v>
      </c>
      <c r="H7" s="22"/>
    </row>
    <row r="8" spans="1:11" ht="20" customHeight="1" thickBot="1">
      <c r="A8" s="52">
        <f>[23]f!A8</f>
        <v>1995</v>
      </c>
      <c r="B8" s="53">
        <f>[23]f!B8</f>
        <v>1446.9575818792835</v>
      </c>
      <c r="C8" s="54">
        <f>[23]f!C8</f>
        <v>989.41390803824561</v>
      </c>
      <c r="D8" s="26">
        <f>[23]f!D8</f>
        <v>703.95963919889925</v>
      </c>
      <c r="E8" s="54">
        <f>[23]f!E8</f>
        <v>1217.3925331373823</v>
      </c>
      <c r="F8" s="26">
        <f>[23]f!F8</f>
        <v>1398.3984284423786</v>
      </c>
      <c r="G8" s="55">
        <f>[23]f!G8</f>
        <v>4.4377610241396533E-2</v>
      </c>
      <c r="H8" s="22"/>
    </row>
    <row r="9" spans="1:11" ht="20" customHeight="1" thickBot="1">
      <c r="A9" s="52">
        <f>[23]f!A9</f>
        <v>1996</v>
      </c>
      <c r="B9" s="26">
        <f>[23]f!B9</f>
        <v>1702.3967710627812</v>
      </c>
      <c r="C9" s="54">
        <f>[23]f!C9</f>
        <v>1118.4503276245528</v>
      </c>
      <c r="D9" s="26">
        <f>[23]f!D9</f>
        <v>913.3581285036654</v>
      </c>
      <c r="E9" s="54">
        <f>[23]f!E9</f>
        <v>884.25178045691541</v>
      </c>
      <c r="F9" s="26">
        <f>[23]f!F9</f>
        <v>1498.3813913582035</v>
      </c>
      <c r="G9" s="55">
        <f>[23]f!G9</f>
        <v>7.1498194564757866E-2</v>
      </c>
    </row>
    <row r="10" spans="1:11" ht="20" customHeight="1" thickBot="1">
      <c r="A10" s="52">
        <f>[23]f!A10</f>
        <v>1997</v>
      </c>
      <c r="B10" s="26">
        <f>[23]f!B10</f>
        <v>1745.983981062986</v>
      </c>
      <c r="C10" s="54">
        <f>[23]f!C10</f>
        <v>1412.2354387062539</v>
      </c>
      <c r="D10" s="26">
        <f>[23]f!D10</f>
        <v>1182.8879415347137</v>
      </c>
      <c r="E10" s="54">
        <f>[23]f!E10</f>
        <v>919.26816725964716</v>
      </c>
      <c r="F10" s="26">
        <f>[23]f!F10</f>
        <v>1574.6087651710613</v>
      </c>
      <c r="G10" s="55">
        <f>[23]f!G10</f>
        <v>5.087314501667816E-2</v>
      </c>
      <c r="I10" s="27"/>
      <c r="J10" s="27"/>
      <c r="K10" s="27"/>
    </row>
    <row r="11" spans="1:11" ht="20" customHeight="1" thickBot="1">
      <c r="A11" s="52">
        <f>[23]f!A11</f>
        <v>1998</v>
      </c>
      <c r="B11" s="26">
        <f>[23]f!B11</f>
        <v>1748.1463682568913</v>
      </c>
      <c r="C11" s="54">
        <f>[23]f!C11</f>
        <v>1581.8024755837955</v>
      </c>
      <c r="D11" s="26">
        <f>[23]f!D11</f>
        <v>542.70265471761923</v>
      </c>
      <c r="E11" s="54">
        <f>[23]f!E11</f>
        <v>1187.5240122257308</v>
      </c>
      <c r="F11" s="26">
        <f>[23]f!F11</f>
        <v>1645.4011693011744</v>
      </c>
      <c r="G11" s="55">
        <f>[23]f!G11</f>
        <v>4.495872606324678E-2</v>
      </c>
    </row>
    <row r="12" spans="1:11" ht="20" customHeight="1" thickBot="1">
      <c r="A12" s="52">
        <f>[23]f!A12</f>
        <v>1999</v>
      </c>
      <c r="B12" s="26">
        <f>[23]f!B12</f>
        <v>1945.0393238476881</v>
      </c>
      <c r="C12" s="54">
        <f>[23]f!C12</f>
        <v>1446.870467830443</v>
      </c>
      <c r="D12" s="26">
        <f>[23]f!D12</f>
        <v>631.70598557223627</v>
      </c>
      <c r="E12" s="54">
        <f>[23]f!E12</f>
        <v>1323.5762903910388</v>
      </c>
      <c r="F12" s="26">
        <f>[23]f!F12</f>
        <v>1710.6655434351508</v>
      </c>
      <c r="G12" s="55">
        <f>[23]f!G12</f>
        <v>3.9664718459933461E-2</v>
      </c>
    </row>
    <row r="13" spans="1:11" ht="20" customHeight="1" thickBot="1">
      <c r="A13" s="52">
        <f>[23]f!A13</f>
        <v>2000</v>
      </c>
      <c r="B13" s="26">
        <f>[23]f!B13</f>
        <v>2060.9067893531742</v>
      </c>
      <c r="C13" s="54">
        <f>[23]f!C13</f>
        <v>1558.8767513165483</v>
      </c>
      <c r="D13" s="26">
        <f>[23]f!D13</f>
        <v>640.59184384874118</v>
      </c>
      <c r="E13" s="54">
        <f>[23]f!E13</f>
        <v>1386.3522668173425</v>
      </c>
      <c r="F13" s="26">
        <f>[23]f!F13</f>
        <v>1814.8195448294614</v>
      </c>
      <c r="G13" s="55">
        <f>[23]f!G13</f>
        <v>6.0885075866531579E-2</v>
      </c>
    </row>
    <row r="14" spans="1:11" ht="30" customHeight="1" thickBot="1">
      <c r="A14" s="56">
        <f>[23]f!A14</f>
        <v>2001</v>
      </c>
      <c r="B14" s="39">
        <f>[23]f!B14</f>
        <v>2209.1289366236747</v>
      </c>
      <c r="C14" s="57">
        <f>[23]f!C14</f>
        <v>1597.0298108275201</v>
      </c>
      <c r="D14" s="39">
        <f>[23]f!D14</f>
        <v>759.38935231773905</v>
      </c>
      <c r="E14" s="57">
        <f>[23]f!E14</f>
        <v>1472.0109294743254</v>
      </c>
      <c r="F14" s="39">
        <f>[23]f!F14</f>
        <v>1910.356919929515</v>
      </c>
      <c r="G14" s="58">
        <f>[23]f!G14</f>
        <v>5.2642906217450547E-2</v>
      </c>
    </row>
    <row r="15" spans="1:11" ht="20" customHeight="1">
      <c r="A15" s="28" t="str">
        <f>'[2]data an-1'!$D$2</f>
        <v>Datenstand: 6.11.02</v>
      </c>
      <c r="B15" s="28"/>
      <c r="C15" s="28"/>
      <c r="D15" s="28"/>
      <c r="E15" s="28"/>
      <c r="F15" s="28"/>
      <c r="G15" s="28"/>
    </row>
    <row r="16" spans="1:11">
      <c r="A16" s="7" t="s">
        <v>725</v>
      </c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0343-CD0F-6A48-8ACD-B5B997B6368F}">
  <dimension ref="A1:J16"/>
  <sheetViews>
    <sheetView zoomScale="75" workbookViewId="0">
      <selection activeCell="G4" sqref="G4"/>
    </sheetView>
  </sheetViews>
  <sheetFormatPr baseColWidth="10" defaultColWidth="11.3984375" defaultRowHeight="13"/>
  <cols>
    <col min="1" max="1" width="14.59765625" style="7" customWidth="1"/>
    <col min="2" max="7" width="15.59765625" style="7" customWidth="1"/>
    <col min="8" max="8" width="15.796875" style="7" customWidth="1"/>
    <col min="9" max="16384" width="11.3984375" style="7"/>
  </cols>
  <sheetData>
    <row r="1" spans="1:10" s="1" customFormat="1" ht="14" customHeight="1"/>
    <row r="2" spans="1:10" s="1" customFormat="1" ht="28" customHeight="1">
      <c r="A2" s="2" t="s">
        <v>727</v>
      </c>
      <c r="H2" s="167"/>
    </row>
    <row r="3" spans="1:10" ht="24" customHeight="1">
      <c r="A3" s="41" t="s">
        <v>640</v>
      </c>
      <c r="B3" s="6" t="s">
        <v>662</v>
      </c>
      <c r="C3" s="42" t="s">
        <v>622</v>
      </c>
      <c r="D3" s="6" t="s">
        <v>623</v>
      </c>
      <c r="E3" s="42" t="s">
        <v>624</v>
      </c>
      <c r="F3" s="6" t="s">
        <v>514</v>
      </c>
      <c r="G3" s="42" t="s">
        <v>728</v>
      </c>
      <c r="H3" s="12" t="s">
        <v>729</v>
      </c>
    </row>
    <row r="4" spans="1:10" ht="15" customHeight="1">
      <c r="A4" s="43"/>
      <c r="B4" s="12" t="s">
        <v>625</v>
      </c>
      <c r="C4" s="44" t="s">
        <v>626</v>
      </c>
      <c r="D4" s="12" t="s">
        <v>627</v>
      </c>
      <c r="E4" s="44" t="s">
        <v>628</v>
      </c>
      <c r="F4" s="12"/>
      <c r="G4" s="44" t="s">
        <v>729</v>
      </c>
      <c r="H4" s="168" t="s">
        <v>730</v>
      </c>
    </row>
    <row r="5" spans="1:10" ht="15" customHeight="1">
      <c r="A5" s="43"/>
      <c r="B5" s="12" t="s">
        <v>629</v>
      </c>
      <c r="C5" s="44" t="s">
        <v>630</v>
      </c>
      <c r="D5" s="12" t="s">
        <v>631</v>
      </c>
      <c r="E5" s="44" t="s">
        <v>632</v>
      </c>
      <c r="F5" s="12"/>
      <c r="G5" s="169" t="s">
        <v>730</v>
      </c>
      <c r="H5" s="170" t="s">
        <v>731</v>
      </c>
    </row>
    <row r="6" spans="1:10" ht="24" customHeight="1">
      <c r="A6" s="46"/>
      <c r="B6" s="16"/>
      <c r="C6" s="47"/>
      <c r="D6" s="16"/>
      <c r="E6" s="47" t="s">
        <v>633</v>
      </c>
      <c r="F6" s="16"/>
      <c r="G6" s="47" t="s">
        <v>732</v>
      </c>
      <c r="H6" s="16"/>
    </row>
    <row r="7" spans="1:10" ht="30" customHeight="1" thickBot="1">
      <c r="A7" s="171">
        <f>[24]f!A6</f>
        <v>1994</v>
      </c>
      <c r="B7" s="21">
        <f>[24]f!B6</f>
        <v>733363000</v>
      </c>
      <c r="C7" s="50">
        <f>[24]f!C6</f>
        <v>78160000</v>
      </c>
      <c r="D7" s="21">
        <f>[24]f!D6</f>
        <v>1052000</v>
      </c>
      <c r="E7" s="50">
        <f>[24]f!E6</f>
        <v>1766000</v>
      </c>
      <c r="F7" s="21">
        <f>[24]f!F6</f>
        <v>814341000</v>
      </c>
      <c r="G7" s="51">
        <f>[24]f!G6</f>
        <v>7.7199191662869149E-2</v>
      </c>
      <c r="H7" s="21">
        <f>[24]f!H6</f>
        <v>10548569000</v>
      </c>
    </row>
    <row r="8" spans="1:10" ht="20" customHeight="1" thickBot="1">
      <c r="A8" s="172">
        <f>[24]f!A7</f>
        <v>1995</v>
      </c>
      <c r="B8" s="53">
        <f>[24]f!B7</f>
        <v>745858000</v>
      </c>
      <c r="C8" s="54">
        <f>[24]f!C7</f>
        <v>78872000</v>
      </c>
      <c r="D8" s="53">
        <f>[24]f!D7</f>
        <v>2850000</v>
      </c>
      <c r="E8" s="54">
        <f>[24]f!E7</f>
        <v>2825000</v>
      </c>
      <c r="F8" s="53">
        <f>[24]f!F7</f>
        <v>830405000</v>
      </c>
      <c r="G8" s="51">
        <f>[24]f!G7</f>
        <v>7.5769589569261969E-2</v>
      </c>
      <c r="H8" s="53">
        <f>[24]f!H7</f>
        <v>10959608000</v>
      </c>
    </row>
    <row r="9" spans="1:10" ht="20" customHeight="1" thickBot="1">
      <c r="A9" s="172">
        <f>[24]f!A8</f>
        <v>1996</v>
      </c>
      <c r="B9" s="26">
        <f>[24]f!B8</f>
        <v>649209078</v>
      </c>
      <c r="C9" s="54">
        <f>[24]f!C8</f>
        <v>296204692</v>
      </c>
      <c r="D9" s="26">
        <f>[24]f!D8</f>
        <v>2703444</v>
      </c>
      <c r="E9" s="54">
        <f>[24]f!E8</f>
        <v>11710365</v>
      </c>
      <c r="F9" s="26">
        <f>[24]f!F8</f>
        <v>959827579</v>
      </c>
      <c r="G9" s="51">
        <f>[24]f!G8</f>
        <v>8.160992566527614E-2</v>
      </c>
      <c r="H9" s="26">
        <f>[24]f!H8</f>
        <v>11761162275</v>
      </c>
    </row>
    <row r="10" spans="1:10" ht="20" customHeight="1" thickBot="1">
      <c r="A10" s="172">
        <f>[24]f!A9</f>
        <v>1997</v>
      </c>
      <c r="B10" s="26">
        <f>[24]f!B9</f>
        <v>500889187</v>
      </c>
      <c r="C10" s="54">
        <f>[24]f!C9</f>
        <v>356202290</v>
      </c>
      <c r="D10" s="26">
        <f>[24]f!D9</f>
        <v>947002</v>
      </c>
      <c r="E10" s="54">
        <f>[24]f!E9</f>
        <v>35169957</v>
      </c>
      <c r="F10" s="26">
        <f>[24]f!F9</f>
        <v>893208437</v>
      </c>
      <c r="G10" s="51">
        <f>[24]f!G9</f>
        <v>7.2355407590263501E-2</v>
      </c>
      <c r="H10" s="26">
        <f>[24]f!H9</f>
        <v>12344736444</v>
      </c>
      <c r="I10" s="27"/>
      <c r="J10" s="27"/>
    </row>
    <row r="11" spans="1:10" ht="20" customHeight="1" thickBot="1">
      <c r="A11" s="172">
        <f>[24]f!A10</f>
        <v>1998</v>
      </c>
      <c r="B11" s="26">
        <f>[24]f!B10</f>
        <v>457365467</v>
      </c>
      <c r="C11" s="54">
        <f>[24]f!C10</f>
        <v>348237805</v>
      </c>
      <c r="D11" s="26">
        <f>[24]f!D10</f>
        <v>775330</v>
      </c>
      <c r="E11" s="54">
        <f>[24]f!E10</f>
        <v>48566196</v>
      </c>
      <c r="F11" s="26">
        <f>[24]f!F10</f>
        <v>854944797</v>
      </c>
      <c r="G11" s="51">
        <f>[24]f!G10</f>
        <v>6.5539994260804979E-2</v>
      </c>
      <c r="H11" s="26">
        <f>[24]f!H10</f>
        <v>13044627279</v>
      </c>
    </row>
    <row r="12" spans="1:10" ht="20" customHeight="1" thickBot="1">
      <c r="A12" s="172">
        <f>[24]f!A11</f>
        <v>1999</v>
      </c>
      <c r="B12" s="26">
        <f>[24]f!B11</f>
        <v>466630422</v>
      </c>
      <c r="C12" s="54">
        <f>[24]f!C11</f>
        <v>332810614</v>
      </c>
      <c r="D12" s="26">
        <f>[24]f!D11</f>
        <v>653141</v>
      </c>
      <c r="E12" s="54">
        <f>[24]f!E11</f>
        <v>54148946</v>
      </c>
      <c r="F12" s="26">
        <f>[24]f!F11</f>
        <v>854243123</v>
      </c>
      <c r="G12" s="51">
        <f>[24]f!G11</f>
        <v>6.3520258007815578E-2</v>
      </c>
      <c r="H12" s="26">
        <f>[24]f!H11</f>
        <v>13448357261</v>
      </c>
    </row>
    <row r="13" spans="1:10" ht="20" customHeight="1" thickBot="1">
      <c r="A13" s="172">
        <f>[24]f!A12</f>
        <v>2000</v>
      </c>
      <c r="B13" s="26">
        <f>[24]f!B12</f>
        <v>463039687.31</v>
      </c>
      <c r="C13" s="54">
        <f>[24]f!C12</f>
        <v>338664058.75</v>
      </c>
      <c r="D13" s="26">
        <f>[24]f!D12</f>
        <v>692132.4</v>
      </c>
      <c r="E13" s="54">
        <f>[24]f!E12</f>
        <v>60882478.25</v>
      </c>
      <c r="F13" s="26">
        <f>[24]f!F12</f>
        <v>863278356.70999992</v>
      </c>
      <c r="G13" s="51">
        <f>[24]f!G12</f>
        <v>6.0778319554744789E-2</v>
      </c>
      <c r="H13" s="26">
        <f>[24]f!H12</f>
        <v>14203722035</v>
      </c>
    </row>
    <row r="14" spans="1:10" ht="30" customHeight="1" thickBot="1">
      <c r="A14" s="173">
        <f>[24]f!A13</f>
        <v>2001</v>
      </c>
      <c r="B14" s="39">
        <f>[24]f!B13</f>
        <v>473405802.30000001</v>
      </c>
      <c r="C14" s="57">
        <f>[24]f!C13</f>
        <v>367784678.56</v>
      </c>
      <c r="D14" s="39">
        <f>[24]f!D13</f>
        <v>749931.27</v>
      </c>
      <c r="E14" s="57">
        <f>[24]f!E13</f>
        <v>66915939.469999999</v>
      </c>
      <c r="F14" s="39">
        <f>[24]f!F13</f>
        <v>908856351.60000002</v>
      </c>
      <c r="G14" s="174">
        <f>[24]f!G13</f>
        <v>6.0883052653460515E-2</v>
      </c>
      <c r="H14" s="175">
        <f>[24]f!H13</f>
        <v>14927903776</v>
      </c>
      <c r="I14" s="22"/>
    </row>
    <row r="15" spans="1:10" ht="20" customHeight="1">
      <c r="A15" s="28" t="str">
        <f>'[2]data an-1'!$D$2</f>
        <v>Datenstand: 6.11.02</v>
      </c>
      <c r="B15" s="28"/>
      <c r="C15" s="28"/>
      <c r="D15" s="28"/>
      <c r="E15" s="28"/>
      <c r="F15" s="28"/>
      <c r="G15" s="28"/>
    </row>
    <row r="16" spans="1:10">
      <c r="F16" s="176"/>
    </row>
  </sheetData>
  <phoneticPr fontId="0" type="noConversion"/>
  <pageMargins left="0.48" right="0.44" top="1.47" bottom="0.49" header="0.94" footer="0.4921259845"/>
  <pageSetup paperSize="9" scale="75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3EDD-70EC-F047-9225-D1A5D5C449FC}">
  <dimension ref="A1:J15"/>
  <sheetViews>
    <sheetView zoomScale="75" workbookViewId="0">
      <selection activeCell="D19" sqref="D19"/>
    </sheetView>
  </sheetViews>
  <sheetFormatPr baseColWidth="10" defaultColWidth="11.3984375" defaultRowHeight="13"/>
  <cols>
    <col min="1" max="1" width="18.796875" style="7" customWidth="1"/>
    <col min="2" max="7" width="14.796875" style="7" customWidth="1"/>
    <col min="8" max="8" width="9.19921875" style="7" customWidth="1"/>
    <col min="9" max="16384" width="11.3984375" style="7"/>
  </cols>
  <sheetData>
    <row r="1" spans="1:10" s="1" customFormat="1" ht="14" customHeight="1"/>
    <row r="2" spans="1:10" s="1" customFormat="1" ht="28" customHeight="1">
      <c r="A2" s="2" t="s">
        <v>733</v>
      </c>
    </row>
    <row r="3" spans="1:10" ht="24" customHeight="1">
      <c r="A3" s="41" t="s">
        <v>640</v>
      </c>
      <c r="B3" s="6" t="s">
        <v>662</v>
      </c>
      <c r="C3" s="42" t="s">
        <v>622</v>
      </c>
      <c r="D3" s="6" t="s">
        <v>623</v>
      </c>
      <c r="E3" s="42" t="s">
        <v>624</v>
      </c>
      <c r="F3" s="6" t="s">
        <v>514</v>
      </c>
      <c r="G3" s="42" t="s">
        <v>522</v>
      </c>
    </row>
    <row r="4" spans="1:10" ht="15" customHeight="1">
      <c r="A4" s="43"/>
      <c r="B4" s="12" t="s">
        <v>625</v>
      </c>
      <c r="C4" s="44" t="s">
        <v>626</v>
      </c>
      <c r="D4" s="12" t="s">
        <v>627</v>
      </c>
      <c r="E4" s="45" t="s">
        <v>628</v>
      </c>
      <c r="F4" s="12"/>
      <c r="G4" s="44" t="s">
        <v>523</v>
      </c>
    </row>
    <row r="5" spans="1:10" ht="15" customHeight="1">
      <c r="A5" s="43"/>
      <c r="B5" s="12" t="s">
        <v>629</v>
      </c>
      <c r="C5" s="44" t="s">
        <v>630</v>
      </c>
      <c r="D5" s="12" t="s">
        <v>631</v>
      </c>
      <c r="E5" s="45" t="s">
        <v>632</v>
      </c>
      <c r="F5" s="12"/>
      <c r="G5" s="44" t="s">
        <v>524</v>
      </c>
    </row>
    <row r="6" spans="1:10" ht="24" customHeight="1">
      <c r="A6" s="46"/>
      <c r="B6" s="16"/>
      <c r="C6" s="47"/>
      <c r="D6" s="16"/>
      <c r="E6" s="48" t="s">
        <v>633</v>
      </c>
      <c r="F6" s="16"/>
      <c r="G6" s="47"/>
    </row>
    <row r="7" spans="1:10" ht="30" customHeight="1" thickBot="1">
      <c r="A7" s="49">
        <f>[25]f!A7</f>
        <v>1994</v>
      </c>
      <c r="B7" s="21">
        <f>[25]f!B7</f>
        <v>113.74268289316178</v>
      </c>
      <c r="C7" s="50">
        <f>[25]f!C7</f>
        <v>121.36815576615201</v>
      </c>
      <c r="D7" s="20">
        <f>[25]f!D7</f>
        <v>68.767159105765458</v>
      </c>
      <c r="E7" s="50">
        <f>[25]f!E7</f>
        <v>71.203935166518832</v>
      </c>
      <c r="F7" s="21">
        <f>[25]f!F7</f>
        <v>114.18685121107266</v>
      </c>
      <c r="G7" s="51" t="str">
        <f>[25]f!G7</f>
        <v>–</v>
      </c>
    </row>
    <row r="8" spans="1:10" ht="20" customHeight="1" thickBot="1">
      <c r="A8" s="52">
        <f>[25]f!A8</f>
        <v>1995</v>
      </c>
      <c r="B8" s="53">
        <f>[25]f!B8</f>
        <v>116.54974574504624</v>
      </c>
      <c r="C8" s="54">
        <f>[25]f!C8</f>
        <v>112.87633435277719</v>
      </c>
      <c r="D8" s="26">
        <f>[25]f!D8</f>
        <v>87.142638740253787</v>
      </c>
      <c r="E8" s="54">
        <f>[25]f!E8</f>
        <v>79.840601418760428</v>
      </c>
      <c r="F8" s="26">
        <f>[25]f!F8</f>
        <v>115.87611879295878</v>
      </c>
      <c r="G8" s="55">
        <f>[25]f!G8</f>
        <v>1.4793888823184449E-2</v>
      </c>
    </row>
    <row r="9" spans="1:10" ht="20" customHeight="1" thickBot="1">
      <c r="A9" s="52">
        <f>[25]f!A9</f>
        <v>1996</v>
      </c>
      <c r="B9" s="26">
        <f>[25]f!B9</f>
        <v>136.97434362103451</v>
      </c>
      <c r="C9" s="54">
        <f>[25]f!C9</f>
        <v>128.46694435673865</v>
      </c>
      <c r="D9" s="26">
        <f>[25]f!D9</f>
        <v>97.148339801638642</v>
      </c>
      <c r="E9" s="54">
        <f>[25]f!E9</f>
        <v>96.303927696179215</v>
      </c>
      <c r="F9" s="26">
        <f>[25]f!F9</f>
        <v>133.40658749416588</v>
      </c>
      <c r="G9" s="55">
        <f>[25]f!G9</f>
        <v>0.15128629508664851</v>
      </c>
    </row>
    <row r="10" spans="1:10" ht="20" customHeight="1" thickBot="1">
      <c r="A10" s="52">
        <f>[25]f!A10</f>
        <v>1997</v>
      </c>
      <c r="B10" s="26">
        <f>[25]f!B10</f>
        <v>122.6511004066257</v>
      </c>
      <c r="C10" s="54">
        <f>[25]f!C10</f>
        <v>130.17357705334524</v>
      </c>
      <c r="D10" s="26">
        <f>[25]f!D10</f>
        <v>82.390986601705237</v>
      </c>
      <c r="E10" s="54">
        <f>[25]f!E10</f>
        <v>91.805271826945415</v>
      </c>
      <c r="F10" s="26">
        <f>[25]f!F10</f>
        <v>123.8021591713151</v>
      </c>
      <c r="G10" s="55">
        <f>[25]f!G10</f>
        <v>-7.1993658658503643E-2</v>
      </c>
      <c r="H10" s="27"/>
      <c r="I10" s="27"/>
      <c r="J10" s="27"/>
    </row>
    <row r="11" spans="1:10" ht="20" customHeight="1" thickBot="1">
      <c r="A11" s="52">
        <f>[25]f!A11</f>
        <v>1998</v>
      </c>
      <c r="B11" s="26">
        <f>[25]f!B11</f>
        <v>113.87825236718575</v>
      </c>
      <c r="C11" s="54">
        <f>[25]f!C11</f>
        <v>127.72488252200283</v>
      </c>
      <c r="D11" s="26">
        <f>[25]f!D11</f>
        <v>65.550388907676705</v>
      </c>
      <c r="E11" s="54">
        <f>[25]f!E11</f>
        <v>98.304177799368475</v>
      </c>
      <c r="F11" s="26">
        <f>[25]f!F11</f>
        <v>117.94614727831004</v>
      </c>
      <c r="G11" s="55">
        <f>[25]f!G11</f>
        <v>-4.7301371253966752E-2</v>
      </c>
    </row>
    <row r="12" spans="1:10" ht="20" customHeight="1" thickBot="1">
      <c r="A12" s="52">
        <f>[25]f!A12</f>
        <v>1999</v>
      </c>
      <c r="B12" s="26">
        <f>[25]f!B12</f>
        <v>116.69424749371302</v>
      </c>
      <c r="C12" s="54">
        <f>[25]f!C12</f>
        <v>122.55319883843305</v>
      </c>
      <c r="D12" s="26">
        <f>[25]f!D12</f>
        <v>63.671378436342366</v>
      </c>
      <c r="E12" s="54">
        <f>[25]f!E12</f>
        <v>99.926084629721899</v>
      </c>
      <c r="F12" s="26">
        <f>[25]f!F12</f>
        <v>117.55853932562621</v>
      </c>
      <c r="G12" s="55">
        <f>[25]f!G12</f>
        <v>-3.2863129625523811E-3</v>
      </c>
    </row>
    <row r="13" spans="1:10" ht="20" customHeight="1" thickBot="1">
      <c r="A13" s="52">
        <f>[25]f!A13</f>
        <v>2000</v>
      </c>
      <c r="B13" s="26">
        <f>[25]f!B13</f>
        <v>118.06454168111537</v>
      </c>
      <c r="C13" s="54">
        <f>[25]f!C13</f>
        <v>122.76935680445337</v>
      </c>
      <c r="D13" s="26">
        <f>[25]f!D13</f>
        <v>70.546570176332693</v>
      </c>
      <c r="E13" s="54">
        <f>[25]f!E13</f>
        <v>105.36199101482934</v>
      </c>
      <c r="F13" s="26">
        <f>[25]f!F13</f>
        <v>118.77616573412266</v>
      </c>
      <c r="G13" s="55">
        <f>[25]f!G13</f>
        <v>1.0357617706730186E-2</v>
      </c>
    </row>
    <row r="14" spans="1:10" ht="30" customHeight="1" thickBot="1">
      <c r="A14" s="56">
        <f>[25]f!A14</f>
        <v>2001</v>
      </c>
      <c r="B14" s="39">
        <f>[25]f!B14</f>
        <v>121.94294466707073</v>
      </c>
      <c r="C14" s="57">
        <f>[25]f!C14</f>
        <v>129.78424801045657</v>
      </c>
      <c r="D14" s="39">
        <f>[25]f!D14</f>
        <v>80.283831495557223</v>
      </c>
      <c r="E14" s="57">
        <f>[25]f!E14</f>
        <v>112.28655864106896</v>
      </c>
      <c r="F14" s="39">
        <f>[25]f!F14</f>
        <v>124.13887771371346</v>
      </c>
      <c r="G14" s="58">
        <f>[25]f!G14</f>
        <v>4.514973139977501E-2</v>
      </c>
    </row>
    <row r="15" spans="1:10" ht="20.25" customHeight="1">
      <c r="A15" s="28" t="str">
        <f>'[2]data an-1'!$D$2</f>
        <v>Datenstand: 6.11.02</v>
      </c>
      <c r="B15" s="28"/>
      <c r="C15" s="28"/>
      <c r="D15" s="28"/>
      <c r="E15" s="28"/>
      <c r="F15" s="28"/>
      <c r="G15" s="28"/>
    </row>
  </sheetData>
  <phoneticPr fontId="0" type="noConversion"/>
  <pageMargins left="0.55000000000000004" right="0.47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DA61-F81B-6343-AD8D-1F16FD95DAF8}">
  <dimension ref="A1:J16"/>
  <sheetViews>
    <sheetView zoomScale="75" workbookViewId="0">
      <selection activeCell="D17" sqref="D17"/>
    </sheetView>
  </sheetViews>
  <sheetFormatPr baseColWidth="10" defaultColWidth="11.3984375" defaultRowHeight="13"/>
  <cols>
    <col min="1" max="1" width="14.59765625" style="7" customWidth="1"/>
    <col min="2" max="5" width="15.19921875" style="7" customWidth="1"/>
    <col min="6" max="6" width="16.59765625" style="7" customWidth="1"/>
    <col min="7" max="16384" width="11.3984375" style="7"/>
  </cols>
  <sheetData>
    <row r="1" spans="1:10" s="1" customFormat="1" ht="14" customHeight="1"/>
    <row r="2" spans="1:10" s="1" customFormat="1" ht="28" customHeight="1">
      <c r="A2" s="2" t="s">
        <v>734</v>
      </c>
    </row>
    <row r="3" spans="1:10" ht="24" customHeight="1">
      <c r="A3" s="41" t="s">
        <v>535</v>
      </c>
      <c r="B3" s="6" t="s">
        <v>662</v>
      </c>
      <c r="C3" s="42" t="s">
        <v>622</v>
      </c>
      <c r="D3" s="6" t="s">
        <v>623</v>
      </c>
      <c r="E3" s="42" t="s">
        <v>624</v>
      </c>
      <c r="F3" s="6" t="s">
        <v>514</v>
      </c>
    </row>
    <row r="4" spans="1:10" ht="15" customHeight="1">
      <c r="A4" s="43"/>
      <c r="B4" s="12" t="s">
        <v>625</v>
      </c>
      <c r="C4" s="44" t="s">
        <v>626</v>
      </c>
      <c r="D4" s="12" t="s">
        <v>627</v>
      </c>
      <c r="E4" s="45" t="s">
        <v>628</v>
      </c>
      <c r="F4" s="12"/>
    </row>
    <row r="5" spans="1:10" ht="15" customHeight="1">
      <c r="A5" s="43"/>
      <c r="B5" s="12" t="s">
        <v>629</v>
      </c>
      <c r="C5" s="44" t="s">
        <v>630</v>
      </c>
      <c r="D5" s="12" t="s">
        <v>631</v>
      </c>
      <c r="E5" s="45" t="s">
        <v>632</v>
      </c>
      <c r="F5" s="12"/>
    </row>
    <row r="6" spans="1:10" ht="24" customHeight="1">
      <c r="A6" s="46"/>
      <c r="B6" s="16"/>
      <c r="C6" s="47"/>
      <c r="D6" s="16"/>
      <c r="E6" s="48" t="s">
        <v>633</v>
      </c>
      <c r="F6" s="16"/>
    </row>
    <row r="7" spans="1:10" ht="30" customHeight="1" thickBot="1">
      <c r="A7" s="49">
        <f>[26]f!A7</f>
        <v>1994</v>
      </c>
      <c r="B7" s="177" t="str">
        <f>[26]f!B7</f>
        <v>–</v>
      </c>
      <c r="C7" s="165" t="str">
        <f>[26]f!C7</f>
        <v>–</v>
      </c>
      <c r="D7" s="177" t="str">
        <f>[26]f!D7</f>
        <v>–</v>
      </c>
      <c r="E7" s="165" t="str">
        <f>[26]f!E7</f>
        <v>–</v>
      </c>
      <c r="F7" s="21">
        <f>[26]f!F7</f>
        <v>126395373</v>
      </c>
      <c r="G7" s="22"/>
    </row>
    <row r="8" spans="1:10" ht="20" customHeight="1" thickBot="1">
      <c r="A8" s="52">
        <f>[26]f!A8</f>
        <v>1995</v>
      </c>
      <c r="B8" s="26" t="str">
        <f>[26]f!B8</f>
        <v>–</v>
      </c>
      <c r="C8" s="54" t="str">
        <f>[26]f!C8</f>
        <v>–</v>
      </c>
      <c r="D8" s="26" t="str">
        <f>[26]f!D8</f>
        <v>–</v>
      </c>
      <c r="E8" s="54" t="str">
        <f>[26]f!E8</f>
        <v>–</v>
      </c>
      <c r="F8" s="26">
        <f>[26]f!F8</f>
        <v>-81798816</v>
      </c>
      <c r="G8" s="22"/>
    </row>
    <row r="9" spans="1:10" ht="20" customHeight="1" thickBot="1">
      <c r="A9" s="52">
        <f>[26]f!A9</f>
        <v>1996</v>
      </c>
      <c r="B9" s="26">
        <f>[26]f!B9</f>
        <v>-991775322</v>
      </c>
      <c r="C9" s="54">
        <f>[26]f!C9</f>
        <v>663779882</v>
      </c>
      <c r="D9" s="26">
        <f>[26]f!D9</f>
        <v>3167199</v>
      </c>
      <c r="E9" s="54">
        <f>[26]f!E9</f>
        <v>4895896</v>
      </c>
      <c r="F9" s="26">
        <f>[26]f!F9</f>
        <v>-319932346</v>
      </c>
      <c r="G9" s="22"/>
    </row>
    <row r="10" spans="1:10" ht="20" customHeight="1" thickBot="1">
      <c r="A10" s="52">
        <f>[26]f!A10</f>
        <v>1997</v>
      </c>
      <c r="B10" s="26">
        <f>[26]f!B10</f>
        <v>-876459686</v>
      </c>
      <c r="C10" s="54">
        <f>[26]f!C10</f>
        <v>838256173</v>
      </c>
      <c r="D10" s="26">
        <f>[26]f!D10</f>
        <v>-2030295</v>
      </c>
      <c r="E10" s="54">
        <f>[26]f!E10</f>
        <v>110405696</v>
      </c>
      <c r="F10" s="26">
        <f>[26]f!F10</f>
        <v>70171888</v>
      </c>
      <c r="G10" s="22"/>
      <c r="H10" s="27"/>
      <c r="I10" s="27"/>
      <c r="J10" s="27"/>
    </row>
    <row r="11" spans="1:10" ht="20" customHeight="1" thickBot="1">
      <c r="A11" s="52">
        <f>[26]f!A11</f>
        <v>1998</v>
      </c>
      <c r="B11" s="26">
        <f>[26]f!B11</f>
        <v>-430866451</v>
      </c>
      <c r="C11" s="54">
        <f>[26]f!C11</f>
        <v>357976738</v>
      </c>
      <c r="D11" s="26">
        <f>[26]f!D11</f>
        <v>4544767</v>
      </c>
      <c r="E11" s="54">
        <f>[26]f!E11</f>
        <v>68311649</v>
      </c>
      <c r="F11" s="26">
        <f>[26]f!F11</f>
        <v>-33297</v>
      </c>
      <c r="G11" s="22"/>
    </row>
    <row r="12" spans="1:10" ht="20" customHeight="1" thickBot="1">
      <c r="A12" s="52">
        <f>[26]f!A12</f>
        <v>1999</v>
      </c>
      <c r="B12" s="26">
        <f>[26]f!B12</f>
        <v>-927498708</v>
      </c>
      <c r="C12" s="54">
        <f>[26]f!C12</f>
        <v>825438408</v>
      </c>
      <c r="D12" s="26">
        <f>[26]f!D12</f>
        <v>3614253</v>
      </c>
      <c r="E12" s="54">
        <f>[26]f!E12</f>
        <v>49059277</v>
      </c>
      <c r="F12" s="26">
        <f>[26]f!F12</f>
        <v>-49386770</v>
      </c>
      <c r="G12" s="22"/>
    </row>
    <row r="13" spans="1:10" ht="20" customHeight="1" thickBot="1">
      <c r="A13" s="52">
        <f>[26]f!A13</f>
        <v>2000</v>
      </c>
      <c r="B13" s="26">
        <f>[26]f!B13</f>
        <v>-1105229685</v>
      </c>
      <c r="C13" s="54">
        <f>[26]f!C13</f>
        <v>733255417.92999995</v>
      </c>
      <c r="D13" s="26">
        <f>[26]f!D13</f>
        <v>3877650.94</v>
      </c>
      <c r="E13" s="54">
        <f>[26]f!E13</f>
        <v>62142502.969999999</v>
      </c>
      <c r="F13" s="26">
        <f>[26]f!F13</f>
        <v>-305954113.39999998</v>
      </c>
      <c r="G13" s="22"/>
    </row>
    <row r="14" spans="1:10" ht="30" customHeight="1" thickBot="1">
      <c r="A14" s="56">
        <f>[26]f!A14</f>
        <v>2001</v>
      </c>
      <c r="B14" s="39">
        <f>[26]f!B14</f>
        <v>-1433346588</v>
      </c>
      <c r="C14" s="57">
        <f>[26]f!C14</f>
        <v>618037013.5</v>
      </c>
      <c r="D14" s="39">
        <f>[26]f!D14</f>
        <v>2472338.21</v>
      </c>
      <c r="E14" s="57">
        <f>[26]f!E14</f>
        <v>23119861.41</v>
      </c>
      <c r="F14" s="39">
        <f>[26]f!F14</f>
        <v>-789717374.88</v>
      </c>
      <c r="G14" s="178"/>
    </row>
    <row r="15" spans="1:10" ht="20" customHeight="1">
      <c r="A15" s="28" t="str">
        <f>'[2]data an-1'!$D$2</f>
        <v>Datenstand: 6.11.02</v>
      </c>
      <c r="B15" s="28"/>
      <c r="C15" s="28"/>
      <c r="D15" s="28"/>
      <c r="E15" s="28"/>
      <c r="F15" s="28"/>
    </row>
    <row r="16" spans="1:10" ht="12" customHeight="1">
      <c r="A16" s="7" t="s">
        <v>735</v>
      </c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564F-5239-E748-8742-76ACDA0B2BF2}">
  <dimension ref="A1:J16"/>
  <sheetViews>
    <sheetView zoomScale="75" workbookViewId="0">
      <selection activeCell="E21" sqref="E21"/>
    </sheetView>
  </sheetViews>
  <sheetFormatPr baseColWidth="10" defaultColWidth="11.3984375" defaultRowHeight="13"/>
  <cols>
    <col min="1" max="1" width="14.59765625" style="7" customWidth="1"/>
    <col min="2" max="6" width="15.59765625" style="7" customWidth="1"/>
    <col min="7" max="16384" width="11.3984375" style="7"/>
  </cols>
  <sheetData>
    <row r="1" spans="1:10" s="1" customFormat="1" ht="14" customHeight="1"/>
    <row r="2" spans="1:10" s="1" customFormat="1" ht="28" customHeight="1">
      <c r="A2" s="2" t="s">
        <v>736</v>
      </c>
    </row>
    <row r="3" spans="1:10" ht="24" customHeight="1">
      <c r="A3" s="41" t="s">
        <v>535</v>
      </c>
      <c r="B3" s="6" t="s">
        <v>662</v>
      </c>
      <c r="C3" s="42" t="s">
        <v>622</v>
      </c>
      <c r="D3" s="6" t="s">
        <v>623</v>
      </c>
      <c r="E3" s="42" t="s">
        <v>624</v>
      </c>
      <c r="F3" s="6" t="s">
        <v>514</v>
      </c>
    </row>
    <row r="4" spans="1:10" ht="15" customHeight="1">
      <c r="A4" s="43"/>
      <c r="B4" s="12" t="s">
        <v>625</v>
      </c>
      <c r="C4" s="44" t="s">
        <v>626</v>
      </c>
      <c r="D4" s="12" t="s">
        <v>627</v>
      </c>
      <c r="E4" s="45" t="s">
        <v>628</v>
      </c>
      <c r="F4" s="12"/>
    </row>
    <row r="5" spans="1:10" ht="15" customHeight="1">
      <c r="A5" s="43"/>
      <c r="B5" s="12" t="s">
        <v>629</v>
      </c>
      <c r="C5" s="44" t="s">
        <v>630</v>
      </c>
      <c r="D5" s="12" t="s">
        <v>631</v>
      </c>
      <c r="E5" s="45" t="s">
        <v>632</v>
      </c>
      <c r="F5" s="12"/>
    </row>
    <row r="6" spans="1:10" ht="24" customHeight="1">
      <c r="A6" s="46"/>
      <c r="B6" s="16"/>
      <c r="C6" s="47"/>
      <c r="D6" s="16"/>
      <c r="E6" s="48" t="s">
        <v>633</v>
      </c>
      <c r="F6" s="16"/>
    </row>
    <row r="7" spans="1:10" ht="30" customHeight="1" thickBot="1">
      <c r="A7" s="49">
        <f>[27]f!A7</f>
        <v>1994</v>
      </c>
      <c r="B7" s="177" t="str">
        <f>[27]f!B7</f>
        <v>–</v>
      </c>
      <c r="C7" s="165" t="str">
        <f>[27]f!C7</f>
        <v>–</v>
      </c>
      <c r="D7" s="177" t="str">
        <f>[27]f!D7</f>
        <v>–</v>
      </c>
      <c r="E7" s="165" t="str">
        <f>[27]f!E7</f>
        <v>–</v>
      </c>
      <c r="F7" s="21">
        <f>[27]f!F7</f>
        <v>17.72315240239535</v>
      </c>
      <c r="G7" s="22"/>
    </row>
    <row r="8" spans="1:10" ht="20" customHeight="1" thickBot="1">
      <c r="A8" s="52">
        <f>[27]f!A8</f>
        <v>1995</v>
      </c>
      <c r="B8" s="26" t="str">
        <f>[27]f!B8</f>
        <v>–</v>
      </c>
      <c r="C8" s="54" t="str">
        <f>[27]f!C8</f>
        <v>–</v>
      </c>
      <c r="D8" s="26" t="str">
        <f>[27]f!D8</f>
        <v>–</v>
      </c>
      <c r="E8" s="54" t="str">
        <f>[27]f!E8</f>
        <v>–</v>
      </c>
      <c r="F8" s="26">
        <f>[27]f!F8</f>
        <v>-11.414345192935228</v>
      </c>
      <c r="G8" s="22"/>
    </row>
    <row r="9" spans="1:10" ht="20" customHeight="1" thickBot="1">
      <c r="A9" s="52">
        <f>[27]f!A9</f>
        <v>1996</v>
      </c>
      <c r="B9" s="26">
        <f>[27]f!B9</f>
        <v>-209.25119249563258</v>
      </c>
      <c r="C9" s="54">
        <f>[27]f!C9</f>
        <v>287.88798918153714</v>
      </c>
      <c r="D9" s="26">
        <f>[27]f!D9</f>
        <v>113.8133893919793</v>
      </c>
      <c r="E9" s="54">
        <f>[27]f!E9</f>
        <v>40.26296485139558</v>
      </c>
      <c r="F9" s="26">
        <f>[27]f!F9</f>
        <v>-44.467447531910054</v>
      </c>
    </row>
    <row r="10" spans="1:10" ht="20" customHeight="1" thickBot="1">
      <c r="A10" s="52">
        <f>[27]f!A10</f>
        <v>1997</v>
      </c>
      <c r="B10" s="26">
        <f>[27]f!B10</f>
        <v>-214.61582270081155</v>
      </c>
      <c r="C10" s="54">
        <f>[27]f!C10</f>
        <v>306.33942450638875</v>
      </c>
      <c r="D10" s="26">
        <f>[27]f!D10</f>
        <v>-176.63955107012353</v>
      </c>
      <c r="E10" s="54">
        <f>[27]f!E10</f>
        <v>288.19554520703849</v>
      </c>
      <c r="F10" s="26">
        <f>[27]f!F10</f>
        <v>9.7260962701001628</v>
      </c>
      <c r="H10" s="27"/>
      <c r="I10" s="27"/>
      <c r="J10" s="27"/>
    </row>
    <row r="11" spans="1:10" ht="20" customHeight="1" thickBot="1">
      <c r="A11" s="52">
        <f>[27]f!A11</f>
        <v>1998</v>
      </c>
      <c r="B11" s="26">
        <f>[27]f!B11</f>
        <v>-107.28033046607707</v>
      </c>
      <c r="C11" s="54">
        <f>[27]f!C11</f>
        <v>131.29687859897859</v>
      </c>
      <c r="D11" s="26">
        <f>[27]f!D11</f>
        <v>384.2379945891106</v>
      </c>
      <c r="E11" s="54">
        <f>[27]f!E11</f>
        <v>138.27149421099506</v>
      </c>
      <c r="F11" s="26">
        <f>[27]f!F11</f>
        <v>-4.5935747895146139E-3</v>
      </c>
    </row>
    <row r="12" spans="1:10" ht="20" customHeight="1" thickBot="1">
      <c r="A12" s="52">
        <f>[27]f!A12</f>
        <v>1999</v>
      </c>
      <c r="B12" s="26">
        <f>[27]f!B12</f>
        <v>-231.94750851767455</v>
      </c>
      <c r="C12" s="54">
        <f>[27]f!C12</f>
        <v>303.95700464199626</v>
      </c>
      <c r="D12" s="26">
        <f>[27]f!D12</f>
        <v>352.33505556638721</v>
      </c>
      <c r="E12" s="54">
        <f>[27]f!E12</f>
        <v>90.53364520474635</v>
      </c>
      <c r="F12" s="26">
        <f>[27]f!F12</f>
        <v>-6.7964685777290796</v>
      </c>
    </row>
    <row r="13" spans="1:10" ht="20" customHeight="1" thickBot="1">
      <c r="A13" s="52">
        <f>[27]f!A13</f>
        <v>2000</v>
      </c>
      <c r="B13" s="26">
        <f>[27]f!B13</f>
        <v>-281.80831964955939</v>
      </c>
      <c r="C13" s="54">
        <f>[27]f!C13</f>
        <v>265.81296038591444</v>
      </c>
      <c r="D13" s="26">
        <f>[27]f!D13</f>
        <v>395.23503618387525</v>
      </c>
      <c r="E13" s="54">
        <f>[27]f!E13</f>
        <v>107.54256442516194</v>
      </c>
      <c r="F13" s="26">
        <f>[27]f!F13</f>
        <v>-42.095410127886048</v>
      </c>
    </row>
    <row r="14" spans="1:10" s="81" customFormat="1" ht="30" customHeight="1" thickBot="1">
      <c r="A14" s="56">
        <f>[27]f!A14</f>
        <v>2001</v>
      </c>
      <c r="B14" s="39">
        <f>[27]f!B14</f>
        <v>-369.21073383560986</v>
      </c>
      <c r="C14" s="57">
        <f>[27]f!C14</f>
        <v>218.09355776804139</v>
      </c>
      <c r="D14" s="39">
        <f>[27]f!D14</f>
        <v>264.67596724119471</v>
      </c>
      <c r="E14" s="57">
        <f>[27]f!E14</f>
        <v>38.795684474417683</v>
      </c>
      <c r="F14" s="39">
        <f>[27]f!F14</f>
        <v>-107.86592232759077</v>
      </c>
    </row>
    <row r="15" spans="1:10" ht="20" customHeight="1">
      <c r="A15" s="28" t="str">
        <f>'[2]data an-1'!$D$2</f>
        <v>Datenstand: 6.11.02</v>
      </c>
      <c r="B15" s="28"/>
      <c r="C15" s="28"/>
      <c r="D15" s="28"/>
      <c r="E15" s="28"/>
      <c r="F15" s="28"/>
    </row>
    <row r="16" spans="1:10">
      <c r="A16" s="7" t="s">
        <v>735</v>
      </c>
    </row>
  </sheetData>
  <phoneticPr fontId="0" type="noConversion"/>
  <pageMargins left="0.78740157480314965" right="0.78740157480314965" top="1.46" bottom="0.49" header="0.95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AE737-3980-A947-B61B-D8BD8E28DD97}">
  <dimension ref="A1:E31"/>
  <sheetViews>
    <sheetView zoomScale="75" workbookViewId="0">
      <selection activeCell="A3" sqref="A3"/>
    </sheetView>
  </sheetViews>
  <sheetFormatPr baseColWidth="10" defaultColWidth="11.3984375" defaultRowHeight="13"/>
  <cols>
    <col min="1" max="1" width="8.796875" style="7" customWidth="1"/>
    <col min="2" max="2" width="48.796875" style="116" customWidth="1"/>
    <col min="3" max="3" width="16.796875" style="7" customWidth="1"/>
    <col min="4" max="4" width="16.796875" style="22" customWidth="1"/>
    <col min="5" max="5" width="17.19921875" style="22" customWidth="1"/>
    <col min="6" max="16384" width="11.3984375" style="7"/>
  </cols>
  <sheetData>
    <row r="1" spans="1:5" s="1" customFormat="1" ht="14" customHeight="1">
      <c r="B1" s="179"/>
      <c r="D1" s="180"/>
      <c r="E1" s="180"/>
    </row>
    <row r="2" spans="1:5" s="1" customFormat="1" ht="28" customHeight="1">
      <c r="A2" s="2" t="str">
        <f>"T 1.27  Betriebsrechnung der obligatorischen Krankenpflegeversicherung KVG insgesamt "&amp;'[2]data an-1'!$B$2</f>
        <v>T 1.27  Betriebsrechnung der obligatorischen Krankenpflegeversicherung KVG insgesamt 2001</v>
      </c>
      <c r="B2" s="179"/>
      <c r="D2" s="180"/>
      <c r="E2" s="180"/>
    </row>
    <row r="3" spans="1:5" ht="39" customHeight="1">
      <c r="A3" s="41" t="s">
        <v>737</v>
      </c>
      <c r="B3" s="41"/>
      <c r="C3" s="6" t="s">
        <v>738</v>
      </c>
      <c r="D3" s="96" t="s">
        <v>739</v>
      </c>
      <c r="E3" s="181" t="s">
        <v>514</v>
      </c>
    </row>
    <row r="4" spans="1:5" ht="38" customHeight="1">
      <c r="A4" s="182"/>
      <c r="B4" s="97"/>
      <c r="C4" s="16" t="s">
        <v>740</v>
      </c>
      <c r="D4" s="48" t="s">
        <v>740</v>
      </c>
      <c r="E4" s="183" t="s">
        <v>740</v>
      </c>
    </row>
    <row r="5" spans="1:5" ht="30" customHeight="1" thickBot="1">
      <c r="A5" s="67">
        <v>61</v>
      </c>
      <c r="B5" s="67" t="s">
        <v>741</v>
      </c>
      <c r="C5" s="20">
        <f>[28]f!C5</f>
        <v>13407590808</v>
      </c>
      <c r="D5" s="50">
        <f>[28]f!D5</f>
        <v>589721586.75999999</v>
      </c>
      <c r="E5" s="122">
        <f>[28]f!E5</f>
        <v>13997312395</v>
      </c>
    </row>
    <row r="6" spans="1:5" ht="20" customHeight="1" thickBot="1">
      <c r="A6" s="70">
        <v>64</v>
      </c>
      <c r="B6" s="70" t="s">
        <v>742</v>
      </c>
      <c r="C6" s="26">
        <f>[28]f!C6</f>
        <v>-42614949.670000002</v>
      </c>
      <c r="D6" s="54">
        <f>[28]f!D6</f>
        <v>-1951567.83</v>
      </c>
      <c r="E6" s="124">
        <f>[28]f!E6</f>
        <v>-44566517.5</v>
      </c>
    </row>
    <row r="7" spans="1:5" ht="20" customHeight="1" thickBot="1">
      <c r="A7" s="70">
        <v>65</v>
      </c>
      <c r="B7" s="70" t="s">
        <v>743</v>
      </c>
      <c r="C7" s="26">
        <f>[28]f!C7</f>
        <v>1898817.18</v>
      </c>
      <c r="D7" s="54">
        <f>[28]f!D7</f>
        <v>82540.14</v>
      </c>
      <c r="E7" s="124">
        <f>[28]f!E7</f>
        <v>1981357.32</v>
      </c>
    </row>
    <row r="8" spans="1:5" ht="27" customHeight="1" thickBot="1">
      <c r="A8" s="73" t="s">
        <v>744</v>
      </c>
      <c r="B8" s="73" t="s">
        <v>745</v>
      </c>
      <c r="C8" s="149">
        <f>[28]f!C8</f>
        <v>13366874706</v>
      </c>
      <c r="D8" s="150">
        <f>[28]f!D8</f>
        <v>587852559.04999995</v>
      </c>
      <c r="E8" s="184">
        <f>[28]f!E8</f>
        <v>13954727265</v>
      </c>
    </row>
    <row r="9" spans="1:5" ht="20" customHeight="1" thickBot="1">
      <c r="A9" s="70">
        <v>66</v>
      </c>
      <c r="B9" s="70" t="s">
        <v>746</v>
      </c>
      <c r="C9" s="26">
        <f>[28]f!C9</f>
        <v>-28394687.780000001</v>
      </c>
      <c r="D9" s="54">
        <f>[28]f!D9</f>
        <v>-1064159.95</v>
      </c>
      <c r="E9" s="124">
        <f>[28]f!E9</f>
        <v>-29458847.73</v>
      </c>
    </row>
    <row r="10" spans="1:5" ht="27" customHeight="1" thickBot="1">
      <c r="A10" s="73" t="s">
        <v>747</v>
      </c>
      <c r="B10" s="73" t="s">
        <v>748</v>
      </c>
      <c r="C10" s="149">
        <f>[28]f!C10</f>
        <v>13338479988</v>
      </c>
      <c r="D10" s="150">
        <f>[28]f!D10</f>
        <v>586788399.10000002</v>
      </c>
      <c r="E10" s="184">
        <f>[28]f!E10</f>
        <v>13925268387</v>
      </c>
    </row>
    <row r="11" spans="1:5" ht="20" customHeight="1" thickBot="1">
      <c r="A11" s="70">
        <v>67</v>
      </c>
      <c r="B11" s="70" t="s">
        <v>749</v>
      </c>
      <c r="C11" s="26">
        <f>[28]f!C11</f>
        <v>1315249488.0999999</v>
      </c>
      <c r="D11" s="54">
        <f>[28]f!D11</f>
        <v>61656748.18</v>
      </c>
      <c r="E11" s="124">
        <f>[28]f!E11</f>
        <v>1376906236.2</v>
      </c>
    </row>
    <row r="12" spans="1:5" ht="20" customHeight="1" thickBot="1">
      <c r="A12" s="70">
        <v>68</v>
      </c>
      <c r="B12" s="70" t="s">
        <v>750</v>
      </c>
      <c r="C12" s="26">
        <f>[28]f!C12</f>
        <v>-1288410111</v>
      </c>
      <c r="D12" s="54">
        <f>[28]f!D12</f>
        <v>-59659514.619999997</v>
      </c>
      <c r="E12" s="124">
        <f>[28]f!E12</f>
        <v>-1348069626</v>
      </c>
    </row>
    <row r="13" spans="1:5" ht="20" customHeight="1" thickBot="1">
      <c r="A13" s="70">
        <v>69</v>
      </c>
      <c r="B13" s="70" t="s">
        <v>751</v>
      </c>
      <c r="C13" s="26">
        <f>[28]f!C13</f>
        <v>62009805.18</v>
      </c>
      <c r="D13" s="54">
        <f>[28]f!D13</f>
        <v>2757345.29</v>
      </c>
      <c r="E13" s="124">
        <f>[28]f!E13</f>
        <v>64767150.469999999</v>
      </c>
    </row>
    <row r="14" spans="1:5" ht="27" customHeight="1" thickBot="1">
      <c r="A14" s="73">
        <v>6</v>
      </c>
      <c r="B14" s="73" t="s">
        <v>752</v>
      </c>
      <c r="C14" s="149">
        <f>[28]f!C14</f>
        <v>13427329170</v>
      </c>
      <c r="D14" s="150">
        <f>[28]f!D14</f>
        <v>591542977.96000004</v>
      </c>
      <c r="E14" s="184">
        <f>[28]f!E14</f>
        <v>14018872148</v>
      </c>
    </row>
    <row r="15" spans="1:5" ht="20" customHeight="1" thickBot="1">
      <c r="A15" s="70">
        <v>31</v>
      </c>
      <c r="B15" s="70" t="s">
        <v>677</v>
      </c>
      <c r="C15" s="26">
        <f>[28]f!C15</f>
        <v>15881822793</v>
      </c>
      <c r="D15" s="54">
        <f>[28]f!D15</f>
        <v>504638018.70999998</v>
      </c>
      <c r="E15" s="124">
        <f>[28]f!E15</f>
        <v>16386460812</v>
      </c>
    </row>
    <row r="16" spans="1:5" ht="20" customHeight="1" thickBot="1">
      <c r="A16" s="70">
        <v>32</v>
      </c>
      <c r="B16" s="70" t="s">
        <v>753</v>
      </c>
      <c r="C16" s="26">
        <f>[28]f!C16</f>
        <v>-2336727108</v>
      </c>
      <c r="D16" s="54">
        <f>[28]f!D16</f>
        <v>-63462420.149999999</v>
      </c>
      <c r="E16" s="124">
        <f>[28]f!E16</f>
        <v>-2400189529</v>
      </c>
    </row>
    <row r="17" spans="1:5" ht="27" customHeight="1" thickBot="1">
      <c r="A17" s="73" t="s">
        <v>754</v>
      </c>
      <c r="B17" s="73" t="s">
        <v>755</v>
      </c>
      <c r="C17" s="149">
        <f>[28]f!C17</f>
        <v>13545095685</v>
      </c>
      <c r="D17" s="150">
        <f>[28]f!D17</f>
        <v>441175598.55000001</v>
      </c>
      <c r="E17" s="184">
        <f>[28]f!E17</f>
        <v>13986271283</v>
      </c>
    </row>
    <row r="18" spans="1:5" ht="20" customHeight="1" thickBot="1">
      <c r="A18" s="70">
        <v>34</v>
      </c>
      <c r="B18" s="70" t="s">
        <v>756</v>
      </c>
      <c r="C18" s="26">
        <f>[28]f!C18</f>
        <v>29671529.219999999</v>
      </c>
      <c r="D18" s="54">
        <f>[28]f!D18</f>
        <v>862713.19</v>
      </c>
      <c r="E18" s="124">
        <f>[28]f!E18</f>
        <v>30534242.41</v>
      </c>
    </row>
    <row r="19" spans="1:5" ht="20" customHeight="1" thickBot="1">
      <c r="A19" s="70">
        <v>35</v>
      </c>
      <c r="B19" s="70" t="s">
        <v>757</v>
      </c>
      <c r="C19" s="26">
        <f>[28]f!C19</f>
        <v>40592103.920000002</v>
      </c>
      <c r="D19" s="54">
        <f>[28]f!D19</f>
        <v>1172354</v>
      </c>
      <c r="E19" s="124">
        <f>[28]f!E19</f>
        <v>41764457.920000002</v>
      </c>
    </row>
    <row r="20" spans="1:5" ht="27" customHeight="1" thickBot="1">
      <c r="A20" s="73" t="s">
        <v>758</v>
      </c>
      <c r="B20" s="73" t="s">
        <v>759</v>
      </c>
      <c r="C20" s="149">
        <f>[28]f!C20</f>
        <v>13615359318</v>
      </c>
      <c r="D20" s="150">
        <f>[28]f!D20</f>
        <v>443210665.79000002</v>
      </c>
      <c r="E20" s="184">
        <f>[28]f!E20</f>
        <v>14058569984</v>
      </c>
    </row>
    <row r="21" spans="1:5" ht="20" customHeight="1" thickBot="1">
      <c r="A21" s="70">
        <v>36</v>
      </c>
      <c r="B21" s="70" t="s">
        <v>760</v>
      </c>
      <c r="C21" s="26">
        <f>[28]f!C21</f>
        <v>-33385994.760000002</v>
      </c>
      <c r="D21" s="54">
        <f>[28]f!D21</f>
        <v>-919664.97</v>
      </c>
      <c r="E21" s="124">
        <f>[28]f!E21</f>
        <v>-34305659.729999997</v>
      </c>
    </row>
    <row r="22" spans="1:5" ht="20" customHeight="1" thickBot="1">
      <c r="A22" s="70">
        <v>37</v>
      </c>
      <c r="B22" s="70" t="s">
        <v>761</v>
      </c>
      <c r="C22" s="26">
        <f>[28]f!C22</f>
        <v>-950241.32</v>
      </c>
      <c r="D22" s="54">
        <f>[28]f!D22</f>
        <v>-6716709.3300000001</v>
      </c>
      <c r="E22" s="124">
        <f>[28]f!E22</f>
        <v>-7666950.6500000004</v>
      </c>
    </row>
    <row r="23" spans="1:5" ht="27" customHeight="1" thickBot="1">
      <c r="A23" s="73">
        <v>3</v>
      </c>
      <c r="B23" s="73" t="s">
        <v>762</v>
      </c>
      <c r="C23" s="149">
        <f>[28]f!C23</f>
        <v>13581023082</v>
      </c>
      <c r="D23" s="150">
        <f>[28]f!D23</f>
        <v>435574291.38999999</v>
      </c>
      <c r="E23" s="184">
        <f>[28]f!E23</f>
        <v>14016597373</v>
      </c>
    </row>
    <row r="24" spans="1:5" ht="21" customHeight="1" thickBot="1">
      <c r="A24" s="70" t="s">
        <v>763</v>
      </c>
      <c r="B24" s="70" t="s">
        <v>764</v>
      </c>
      <c r="C24" s="26">
        <f>[28]f!C24</f>
        <v>870449123.09000003</v>
      </c>
      <c r="D24" s="54">
        <f>[28]f!D24</f>
        <v>38407228.509999998</v>
      </c>
      <c r="E24" s="124">
        <f>[28]f!E24</f>
        <v>908856351.60000002</v>
      </c>
    </row>
    <row r="25" spans="1:5" ht="21" customHeight="1" thickBot="1">
      <c r="A25" s="70">
        <v>49</v>
      </c>
      <c r="B25" s="70" t="s">
        <v>765</v>
      </c>
      <c r="C25" s="26">
        <f>[28]f!C25</f>
        <v>2345528.9900000002</v>
      </c>
      <c r="D25" s="54">
        <f>[28]f!D25</f>
        <v>104522.69</v>
      </c>
      <c r="E25" s="124">
        <f>[28]f!E25</f>
        <v>2450051.6800000002</v>
      </c>
    </row>
    <row r="26" spans="1:5" ht="27" customHeight="1" thickBot="1">
      <c r="A26" s="73">
        <v>4</v>
      </c>
      <c r="B26" s="73" t="s">
        <v>766</v>
      </c>
      <c r="C26" s="149">
        <f>[28]f!C26</f>
        <v>872794652.08000004</v>
      </c>
      <c r="D26" s="150">
        <f>[28]f!D26</f>
        <v>38511751.200000003</v>
      </c>
      <c r="E26" s="184">
        <f>[28]f!E26</f>
        <v>911306403.27999997</v>
      </c>
    </row>
    <row r="27" spans="1:5" ht="27" customHeight="1" thickBot="1">
      <c r="A27" s="73" t="s">
        <v>767</v>
      </c>
      <c r="B27" s="73" t="s">
        <v>768</v>
      </c>
      <c r="C27" s="149">
        <f>[28]f!C27</f>
        <v>14453817734</v>
      </c>
      <c r="D27" s="150">
        <f>[28]f!D27</f>
        <v>474086042.58999997</v>
      </c>
      <c r="E27" s="184">
        <f>[28]f!E27</f>
        <v>14927903776</v>
      </c>
    </row>
    <row r="28" spans="1:5" ht="27" customHeight="1" thickBot="1">
      <c r="A28" s="73"/>
      <c r="B28" s="73" t="s">
        <v>769</v>
      </c>
      <c r="C28" s="149">
        <f>[28]f!C28</f>
        <v>-1026488564</v>
      </c>
      <c r="D28" s="150">
        <f>[28]f!D28</f>
        <v>117456935.37</v>
      </c>
      <c r="E28" s="184">
        <f>[28]f!E28</f>
        <v>-909031628.10000002</v>
      </c>
    </row>
    <row r="29" spans="1:5" ht="27" customHeight="1" thickBot="1">
      <c r="A29" s="73">
        <v>7</v>
      </c>
      <c r="B29" s="73" t="s">
        <v>770</v>
      </c>
      <c r="C29" s="149">
        <f>[28]f!C29</f>
        <v>115517664.76000001</v>
      </c>
      <c r="D29" s="150">
        <f>[28]f!D29</f>
        <v>3796888.8</v>
      </c>
      <c r="E29" s="184">
        <f>[28]f!E29</f>
        <v>119314553.56</v>
      </c>
    </row>
    <row r="30" spans="1:5" ht="34.5" customHeight="1" thickBot="1">
      <c r="A30" s="185"/>
      <c r="B30" s="185" t="s">
        <v>771</v>
      </c>
      <c r="C30" s="186">
        <f>[28]f!C30</f>
        <v>-910970898.70000005</v>
      </c>
      <c r="D30" s="187">
        <f>[28]f!D30</f>
        <v>121253524.17</v>
      </c>
      <c r="E30" s="188">
        <f>[28]f!E30</f>
        <v>-789717374.5</v>
      </c>
    </row>
    <row r="31" spans="1:5" ht="19.5" customHeight="1">
      <c r="A31" s="7" t="str">
        <f>'[2]data an-1'!$D$2</f>
        <v>Datenstand: 6.11.02</v>
      </c>
    </row>
  </sheetData>
  <phoneticPr fontId="0" type="noConversion"/>
  <pageMargins left="0.64" right="0.78740157480314965" top="1.46" bottom="0.49" header="0.95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32AD-6E17-5E40-9414-DFAC4271A999}">
  <dimension ref="A1:E31"/>
  <sheetViews>
    <sheetView zoomScale="75" workbookViewId="0">
      <selection activeCell="H15" sqref="H15"/>
    </sheetView>
  </sheetViews>
  <sheetFormatPr baseColWidth="10" defaultColWidth="11.3984375" defaultRowHeight="13"/>
  <cols>
    <col min="1" max="1" width="8.796875" style="7" customWidth="1"/>
    <col min="2" max="2" width="48.796875" style="116" customWidth="1"/>
    <col min="3" max="3" width="16.796875" style="7" customWidth="1"/>
    <col min="4" max="5" width="16.796875" style="22" customWidth="1"/>
    <col min="6" max="16384" width="11.3984375" style="7"/>
  </cols>
  <sheetData>
    <row r="1" spans="1:5" s="1" customFormat="1" ht="14" customHeight="1">
      <c r="B1" s="179"/>
      <c r="D1" s="180"/>
      <c r="E1" s="180"/>
    </row>
    <row r="2" spans="1:5" s="1" customFormat="1" ht="28" customHeight="1">
      <c r="A2" s="2" t="str">
        <f>"T 1.28  Betriebsrechnung der Versicherung mit ordentlicher Franchise "&amp;'[2]data an-1'!$B$2</f>
        <v>T 1.28  Betriebsrechnung der Versicherung mit ordentlicher Franchise 2001</v>
      </c>
      <c r="B2" s="179"/>
      <c r="D2" s="180"/>
      <c r="E2" s="180"/>
    </row>
    <row r="3" spans="1:5" ht="39" customHeight="1">
      <c r="A3" s="41" t="s">
        <v>737</v>
      </c>
      <c r="B3" s="41"/>
      <c r="C3" s="6" t="s">
        <v>738</v>
      </c>
      <c r="D3" s="96" t="s">
        <v>739</v>
      </c>
      <c r="E3" s="181" t="s">
        <v>514</v>
      </c>
    </row>
    <row r="4" spans="1:5" ht="39" customHeight="1">
      <c r="A4" s="182"/>
      <c r="B4" s="97"/>
      <c r="C4" s="16" t="s">
        <v>740</v>
      </c>
      <c r="D4" s="48" t="s">
        <v>740</v>
      </c>
      <c r="E4" s="183" t="s">
        <v>740</v>
      </c>
    </row>
    <row r="5" spans="1:5" ht="30" customHeight="1" thickBot="1">
      <c r="A5" s="67">
        <v>61</v>
      </c>
      <c r="B5" s="67" t="s">
        <v>741</v>
      </c>
      <c r="C5" s="20">
        <f>[29]f!C5</f>
        <v>6803224498.1999998</v>
      </c>
      <c r="D5" s="50">
        <f>[29]f!D5</f>
        <v>331776424.31999999</v>
      </c>
      <c r="E5" s="122">
        <f>[29]f!E5</f>
        <v>7135000922.5</v>
      </c>
    </row>
    <row r="6" spans="1:5" ht="19.5" customHeight="1" thickBot="1">
      <c r="A6" s="70">
        <v>64</v>
      </c>
      <c r="B6" s="70" t="s">
        <v>742</v>
      </c>
      <c r="C6" s="26">
        <f>[29]f!C6</f>
        <v>-23990695.98</v>
      </c>
      <c r="D6" s="54">
        <f>[29]f!D6</f>
        <v>-1108501.01</v>
      </c>
      <c r="E6" s="124">
        <f>[29]f!E6</f>
        <v>-25099196.989999998</v>
      </c>
    </row>
    <row r="7" spans="1:5" ht="19.5" customHeight="1" thickBot="1">
      <c r="A7" s="70">
        <v>65</v>
      </c>
      <c r="B7" s="70" t="s">
        <v>743</v>
      </c>
      <c r="C7" s="26">
        <f>[29]f!C7</f>
        <v>1177720.49</v>
      </c>
      <c r="D7" s="54">
        <f>[29]f!D7</f>
        <v>55866.21</v>
      </c>
      <c r="E7" s="124">
        <f>[29]f!E7</f>
        <v>1233586.7</v>
      </c>
    </row>
    <row r="8" spans="1:5" ht="27" customHeight="1" thickBot="1">
      <c r="A8" s="73" t="s">
        <v>744</v>
      </c>
      <c r="B8" s="73" t="s">
        <v>745</v>
      </c>
      <c r="C8" s="149">
        <f>[29]f!C8</f>
        <v>6780411552.6999998</v>
      </c>
      <c r="D8" s="150">
        <f>[29]f!D8</f>
        <v>330723789.50999999</v>
      </c>
      <c r="E8" s="184">
        <f>[29]f!E8</f>
        <v>7111135342.1999998</v>
      </c>
    </row>
    <row r="9" spans="1:5" ht="19.5" customHeight="1" thickBot="1">
      <c r="A9" s="70">
        <v>66</v>
      </c>
      <c r="B9" s="70" t="s">
        <v>746</v>
      </c>
      <c r="C9" s="26">
        <f>[29]f!C9</f>
        <v>-15311784</v>
      </c>
      <c r="D9" s="54">
        <f>[29]f!D9</f>
        <v>-616319.89</v>
      </c>
      <c r="E9" s="124">
        <f>[29]f!E9</f>
        <v>-15928103.890000001</v>
      </c>
    </row>
    <row r="10" spans="1:5" ht="27" customHeight="1" thickBot="1">
      <c r="A10" s="73" t="s">
        <v>747</v>
      </c>
      <c r="B10" s="73" t="s">
        <v>748</v>
      </c>
      <c r="C10" s="149">
        <f>[29]f!C10</f>
        <v>6765099738.6999998</v>
      </c>
      <c r="D10" s="150">
        <f>[29]f!D10</f>
        <v>330107469.62</v>
      </c>
      <c r="E10" s="184">
        <f>[29]f!E10</f>
        <v>7095207208.3000002</v>
      </c>
    </row>
    <row r="11" spans="1:5" ht="19.5" customHeight="1" thickBot="1">
      <c r="A11" s="70">
        <v>67</v>
      </c>
      <c r="B11" s="70" t="s">
        <v>749</v>
      </c>
      <c r="C11" s="26">
        <f>[29]f!C11</f>
        <v>739754868.98000002</v>
      </c>
      <c r="D11" s="54">
        <f>[29]f!D11</f>
        <v>37907650.479999997</v>
      </c>
      <c r="E11" s="124">
        <f>[29]f!E11</f>
        <v>777662519.46000004</v>
      </c>
    </row>
    <row r="12" spans="1:5" ht="19.5" customHeight="1" thickBot="1">
      <c r="A12" s="70">
        <v>68</v>
      </c>
      <c r="B12" s="70" t="s">
        <v>750</v>
      </c>
      <c r="C12" s="26">
        <f>[29]f!C12</f>
        <v>-719735313</v>
      </c>
      <c r="D12" s="54">
        <f>[29]f!D12</f>
        <v>-36295255.869999997</v>
      </c>
      <c r="E12" s="124">
        <f>[29]f!E12</f>
        <v>-756030568.89999998</v>
      </c>
    </row>
    <row r="13" spans="1:5" ht="19.5" customHeight="1" thickBot="1">
      <c r="A13" s="70">
        <v>69</v>
      </c>
      <c r="B13" s="70" t="s">
        <v>751</v>
      </c>
      <c r="C13" s="26">
        <f>[29]f!C13</f>
        <v>37172715.340000004</v>
      </c>
      <c r="D13" s="54">
        <f>[29]f!D13</f>
        <v>1795035.42</v>
      </c>
      <c r="E13" s="124">
        <f>[29]f!E13</f>
        <v>38967750.759999998</v>
      </c>
    </row>
    <row r="14" spans="1:5" ht="27" customHeight="1" thickBot="1">
      <c r="A14" s="73">
        <v>6</v>
      </c>
      <c r="B14" s="73" t="s">
        <v>752</v>
      </c>
      <c r="C14" s="149">
        <f>[29]f!C14</f>
        <v>6822292010</v>
      </c>
      <c r="D14" s="150">
        <f>[29]f!D14</f>
        <v>333514899.64999998</v>
      </c>
      <c r="E14" s="184">
        <f>[29]f!E14</f>
        <v>7155806909.6999998</v>
      </c>
    </row>
    <row r="15" spans="1:5" ht="20" customHeight="1" thickBot="1">
      <c r="A15" s="70">
        <v>31</v>
      </c>
      <c r="B15" s="70" t="s">
        <v>677</v>
      </c>
      <c r="C15" s="26">
        <f>[29]f!C15</f>
        <v>9349938331.6000004</v>
      </c>
      <c r="D15" s="54">
        <f>[29]f!D15</f>
        <v>309836265.89999998</v>
      </c>
      <c r="E15" s="124">
        <f>[29]f!E15</f>
        <v>9659774597.5</v>
      </c>
    </row>
    <row r="16" spans="1:5" ht="20" customHeight="1" thickBot="1">
      <c r="A16" s="70">
        <v>32</v>
      </c>
      <c r="B16" s="70" t="s">
        <v>753</v>
      </c>
      <c r="C16" s="26">
        <f>[29]f!C16</f>
        <v>-1053808677</v>
      </c>
      <c r="D16" s="54">
        <f>[29]f!D16</f>
        <v>-29705444.98</v>
      </c>
      <c r="E16" s="124">
        <f>[29]f!E16</f>
        <v>-1083514122</v>
      </c>
    </row>
    <row r="17" spans="1:5" ht="27" customHeight="1" thickBot="1">
      <c r="A17" s="73" t="s">
        <v>754</v>
      </c>
      <c r="B17" s="73" t="s">
        <v>755</v>
      </c>
      <c r="C17" s="149">
        <f>[29]f!C17</f>
        <v>8296129654.6000004</v>
      </c>
      <c r="D17" s="150">
        <f>[29]f!D17</f>
        <v>280130820.92000002</v>
      </c>
      <c r="E17" s="184">
        <f>[29]f!E17</f>
        <v>8576260475.6000004</v>
      </c>
    </row>
    <row r="18" spans="1:5" ht="20" customHeight="1" thickBot="1">
      <c r="A18" s="70">
        <v>34</v>
      </c>
      <c r="B18" s="70" t="s">
        <v>756</v>
      </c>
      <c r="C18" s="26">
        <f>[29]f!C18</f>
        <v>19890035.940000001</v>
      </c>
      <c r="D18" s="54">
        <f>[29]f!D18</f>
        <v>588255.32999999996</v>
      </c>
      <c r="E18" s="124">
        <f>[29]f!E18</f>
        <v>20478291.27</v>
      </c>
    </row>
    <row r="19" spans="1:5" ht="20" customHeight="1" thickBot="1">
      <c r="A19" s="70">
        <v>35</v>
      </c>
      <c r="B19" s="70" t="s">
        <v>757</v>
      </c>
      <c r="C19" s="26">
        <f>[29]f!C19</f>
        <v>22724387.829999998</v>
      </c>
      <c r="D19" s="54">
        <f>[29]f!D19</f>
        <v>770031.52</v>
      </c>
      <c r="E19" s="124">
        <f>[29]f!E19</f>
        <v>23494419.350000001</v>
      </c>
    </row>
    <row r="20" spans="1:5" ht="27" customHeight="1" thickBot="1">
      <c r="A20" s="73" t="s">
        <v>758</v>
      </c>
      <c r="B20" s="73" t="s">
        <v>759</v>
      </c>
      <c r="C20" s="149">
        <f>[29]f!C20</f>
        <v>8338744078.3999996</v>
      </c>
      <c r="D20" s="150">
        <f>[29]f!D20</f>
        <v>281489107.76999998</v>
      </c>
      <c r="E20" s="184">
        <f>[29]f!E20</f>
        <v>8620233186.2000008</v>
      </c>
    </row>
    <row r="21" spans="1:5" ht="19.5" customHeight="1" thickBot="1">
      <c r="A21" s="70">
        <v>36</v>
      </c>
      <c r="B21" s="70" t="s">
        <v>760</v>
      </c>
      <c r="C21" s="26">
        <f>[29]f!C21</f>
        <v>-19912300.859999999</v>
      </c>
      <c r="D21" s="54">
        <f>[29]f!D21</f>
        <v>-575988.98</v>
      </c>
      <c r="E21" s="124">
        <f>[29]f!E21</f>
        <v>-20488289.84</v>
      </c>
    </row>
    <row r="22" spans="1:5" ht="19.5" customHeight="1" thickBot="1">
      <c r="A22" s="70">
        <v>37</v>
      </c>
      <c r="B22" s="70" t="s">
        <v>761</v>
      </c>
      <c r="C22" s="26">
        <f>[29]f!C22</f>
        <v>-406237716.39999998</v>
      </c>
      <c r="D22" s="54">
        <f>[29]f!D22</f>
        <v>-15756244.75</v>
      </c>
      <c r="E22" s="124">
        <f>[29]f!E22</f>
        <v>-421993961.10000002</v>
      </c>
    </row>
    <row r="23" spans="1:5" ht="27" customHeight="1" thickBot="1">
      <c r="A23" s="73">
        <v>3</v>
      </c>
      <c r="B23" s="73" t="s">
        <v>762</v>
      </c>
      <c r="C23" s="149">
        <f>[29]f!C23</f>
        <v>7912594061.1999998</v>
      </c>
      <c r="D23" s="150">
        <f>[29]f!D23</f>
        <v>265156873.97</v>
      </c>
      <c r="E23" s="184">
        <f>[29]f!E23</f>
        <v>8177750935.1000004</v>
      </c>
    </row>
    <row r="24" spans="1:5" ht="20" customHeight="1" thickBot="1">
      <c r="A24" s="70" t="s">
        <v>763</v>
      </c>
      <c r="B24" s="70" t="s">
        <v>764</v>
      </c>
      <c r="C24" s="26">
        <f>[29]f!C24</f>
        <v>450967867.94999999</v>
      </c>
      <c r="D24" s="54">
        <f>[29]f!D24</f>
        <v>22437934.350000001</v>
      </c>
      <c r="E24" s="124">
        <f>[29]f!E24</f>
        <v>473405802.30000001</v>
      </c>
    </row>
    <row r="25" spans="1:5" ht="20" customHeight="1" thickBot="1">
      <c r="A25" s="70">
        <v>49</v>
      </c>
      <c r="B25" s="70" t="s">
        <v>765</v>
      </c>
      <c r="C25" s="26">
        <f>[29]f!C25</f>
        <v>1421010.96</v>
      </c>
      <c r="D25" s="54">
        <f>[29]f!D25</f>
        <v>69752.009999999995</v>
      </c>
      <c r="E25" s="124">
        <f>[29]f!E25</f>
        <v>1490762.97</v>
      </c>
    </row>
    <row r="26" spans="1:5" ht="27" customHeight="1" thickBot="1">
      <c r="A26" s="73">
        <v>4</v>
      </c>
      <c r="B26" s="73" t="s">
        <v>766</v>
      </c>
      <c r="C26" s="149">
        <f>[29]f!C26</f>
        <v>452388878.91000003</v>
      </c>
      <c r="D26" s="150">
        <f>[29]f!D26</f>
        <v>22507686.350000001</v>
      </c>
      <c r="E26" s="184">
        <f>[29]f!E26</f>
        <v>474896565.25999999</v>
      </c>
    </row>
    <row r="27" spans="1:5" ht="27" customHeight="1" thickBot="1">
      <c r="A27" s="73" t="s">
        <v>767</v>
      </c>
      <c r="B27" s="73" t="s">
        <v>768</v>
      </c>
      <c r="C27" s="149">
        <f>[29]f!C27</f>
        <v>8364982940.1000004</v>
      </c>
      <c r="D27" s="150">
        <f>[29]f!D27</f>
        <v>287664560.31999999</v>
      </c>
      <c r="E27" s="184">
        <f>[29]f!E27</f>
        <v>8652647500.3999996</v>
      </c>
    </row>
    <row r="28" spans="1:5" ht="27" customHeight="1" thickBot="1">
      <c r="A28" s="73"/>
      <c r="B28" s="73" t="s">
        <v>769</v>
      </c>
      <c r="C28" s="149">
        <f>[29]f!C28</f>
        <v>-1542690930</v>
      </c>
      <c r="D28" s="150">
        <f>[29]f!D28</f>
        <v>45850339.329999998</v>
      </c>
      <c r="E28" s="184">
        <f>[29]f!E28</f>
        <v>-1496840591</v>
      </c>
    </row>
    <row r="29" spans="1:5" ht="27" customHeight="1" thickBot="1">
      <c r="A29" s="73">
        <v>7</v>
      </c>
      <c r="B29" s="73" t="s">
        <v>770</v>
      </c>
      <c r="C29" s="149">
        <f>[29]f!C29</f>
        <v>61310894.75</v>
      </c>
      <c r="D29" s="150">
        <f>[29]f!D29</f>
        <v>2183108.2599999998</v>
      </c>
      <c r="E29" s="184">
        <f>[29]f!E29</f>
        <v>63494003.009999998</v>
      </c>
    </row>
    <row r="30" spans="1:5" ht="34.5" customHeight="1" thickBot="1">
      <c r="A30" s="185"/>
      <c r="B30" s="185" t="s">
        <v>771</v>
      </c>
      <c r="C30" s="186">
        <f>[29]f!C30</f>
        <v>-1481380035</v>
      </c>
      <c r="D30" s="187">
        <f>[29]f!D30</f>
        <v>48033447.579999998</v>
      </c>
      <c r="E30" s="188">
        <f>[29]f!E30</f>
        <v>-1433346588</v>
      </c>
    </row>
    <row r="31" spans="1:5" ht="19.5" customHeight="1">
      <c r="A31" s="7" t="str">
        <f>'[2]data an-1'!$D$2</f>
        <v>Datenstand: 6.11.02</v>
      </c>
    </row>
  </sheetData>
  <phoneticPr fontId="0" type="noConversion"/>
  <pageMargins left="0.64" right="0.7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EB65C-A31C-8B49-A4DB-64F8A47F834A}">
  <dimension ref="A1:E31"/>
  <sheetViews>
    <sheetView zoomScale="75" workbookViewId="0">
      <selection activeCell="C5" sqref="C5:E30"/>
    </sheetView>
  </sheetViews>
  <sheetFormatPr baseColWidth="10" defaultColWidth="11.3984375" defaultRowHeight="13"/>
  <cols>
    <col min="1" max="1" width="8.796875" style="7" customWidth="1"/>
    <col min="2" max="2" width="49.59765625" style="116" customWidth="1"/>
    <col min="3" max="3" width="16.796875" style="7" customWidth="1"/>
    <col min="4" max="5" width="16.796875" style="22" customWidth="1"/>
    <col min="6" max="16384" width="11.3984375" style="7"/>
  </cols>
  <sheetData>
    <row r="1" spans="1:5" s="1" customFormat="1" ht="14" customHeight="1">
      <c r="B1" s="179"/>
      <c r="D1" s="180"/>
      <c r="E1" s="180"/>
    </row>
    <row r="2" spans="1:5" s="1" customFormat="1" ht="28" customHeight="1">
      <c r="A2" s="2" t="str">
        <f>"T 1.29  Betriebsrechnung der Versicherungen mit wählbarer Franchise "&amp;'[2]data an-1'!$B$2</f>
        <v>T 1.29  Betriebsrechnung der Versicherungen mit wählbarer Franchise 2001</v>
      </c>
      <c r="B2" s="179"/>
      <c r="D2" s="180"/>
      <c r="E2" s="180"/>
    </row>
    <row r="3" spans="1:5" ht="39" customHeight="1">
      <c r="A3" s="41" t="s">
        <v>737</v>
      </c>
      <c r="B3" s="41"/>
      <c r="C3" s="6" t="s">
        <v>738</v>
      </c>
      <c r="D3" s="96" t="s">
        <v>739</v>
      </c>
      <c r="E3" s="115" t="s">
        <v>514</v>
      </c>
    </row>
    <row r="4" spans="1:5" ht="39" customHeight="1">
      <c r="A4" s="182"/>
      <c r="B4" s="97"/>
      <c r="C4" s="16" t="s">
        <v>740</v>
      </c>
      <c r="D4" s="48" t="s">
        <v>740</v>
      </c>
      <c r="E4" s="189" t="s">
        <v>740</v>
      </c>
    </row>
    <row r="5" spans="1:5" ht="30" customHeight="1" thickBot="1">
      <c r="A5" s="67">
        <v>61</v>
      </c>
      <c r="B5" s="67" t="s">
        <v>741</v>
      </c>
      <c r="C5" s="20">
        <f>[30]f!C5</f>
        <v>5642537190.3000002</v>
      </c>
      <c r="D5" s="50">
        <f>[30]f!D5</f>
        <v>219559705.38999999</v>
      </c>
      <c r="E5" s="122">
        <f>[30]f!E5</f>
        <v>5862096895.6999998</v>
      </c>
    </row>
    <row r="6" spans="1:5" ht="20" customHeight="1" thickBot="1">
      <c r="A6" s="70">
        <v>64</v>
      </c>
      <c r="B6" s="70" t="s">
        <v>742</v>
      </c>
      <c r="C6" s="26">
        <f>[30]f!C6</f>
        <v>-16002922.6</v>
      </c>
      <c r="D6" s="54">
        <f>[30]f!D6</f>
        <v>-734192.16</v>
      </c>
      <c r="E6" s="124">
        <f>[30]f!E6</f>
        <v>-16737114.76</v>
      </c>
    </row>
    <row r="7" spans="1:5" ht="20" customHeight="1" thickBot="1">
      <c r="A7" s="70">
        <v>65</v>
      </c>
      <c r="B7" s="70" t="s">
        <v>743</v>
      </c>
      <c r="C7" s="26">
        <f>[30]f!C7</f>
        <v>626973.61</v>
      </c>
      <c r="D7" s="54">
        <f>[30]f!D7</f>
        <v>23059.35</v>
      </c>
      <c r="E7" s="124">
        <f>[30]f!E7</f>
        <v>650032.96</v>
      </c>
    </row>
    <row r="8" spans="1:5" ht="27" customHeight="1" thickBot="1">
      <c r="A8" s="73" t="s">
        <v>744</v>
      </c>
      <c r="B8" s="73" t="s">
        <v>745</v>
      </c>
      <c r="C8" s="149">
        <f>[30]f!C8</f>
        <v>5627161241.3000002</v>
      </c>
      <c r="D8" s="150">
        <f>[30]f!D8</f>
        <v>218848572.58000001</v>
      </c>
      <c r="E8" s="184">
        <f>[30]f!E8</f>
        <v>5846009813.8999996</v>
      </c>
    </row>
    <row r="9" spans="1:5" ht="20" customHeight="1" thickBot="1">
      <c r="A9" s="70">
        <v>66</v>
      </c>
      <c r="B9" s="70" t="s">
        <v>746</v>
      </c>
      <c r="C9" s="26">
        <f>[30]f!C9</f>
        <v>-12392950.529999999</v>
      </c>
      <c r="D9" s="54">
        <f>[30]f!D9</f>
        <v>-421364.18</v>
      </c>
      <c r="E9" s="124">
        <f>[30]f!E9</f>
        <v>-12814314.710000001</v>
      </c>
    </row>
    <row r="10" spans="1:5" ht="27" customHeight="1" thickBot="1">
      <c r="A10" s="73" t="s">
        <v>747</v>
      </c>
      <c r="B10" s="73" t="s">
        <v>748</v>
      </c>
      <c r="C10" s="149">
        <f>[30]f!C10</f>
        <v>5614768290.8000002</v>
      </c>
      <c r="D10" s="150">
        <f>[30]f!D10</f>
        <v>218427208.40000001</v>
      </c>
      <c r="E10" s="184">
        <f>[30]f!E10</f>
        <v>5833195499.1999998</v>
      </c>
    </row>
    <row r="11" spans="1:5" ht="20" customHeight="1" thickBot="1">
      <c r="A11" s="70">
        <v>67</v>
      </c>
      <c r="B11" s="70" t="s">
        <v>749</v>
      </c>
      <c r="C11" s="26">
        <f>[30]f!C11</f>
        <v>492341506.94</v>
      </c>
      <c r="D11" s="54">
        <f>[30]f!D11</f>
        <v>20280616.809999999</v>
      </c>
      <c r="E11" s="124">
        <f>[30]f!E11</f>
        <v>512622123.75</v>
      </c>
    </row>
    <row r="12" spans="1:5" ht="20" customHeight="1" thickBot="1">
      <c r="A12" s="70">
        <v>68</v>
      </c>
      <c r="B12" s="70" t="s">
        <v>750</v>
      </c>
      <c r="C12" s="26">
        <f>[30]f!C12</f>
        <v>-488515098.80000001</v>
      </c>
      <c r="D12" s="54">
        <f>[30]f!D12</f>
        <v>-20046992.02</v>
      </c>
      <c r="E12" s="124">
        <f>[30]f!E12</f>
        <v>-508562090.89999998</v>
      </c>
    </row>
    <row r="13" spans="1:5" ht="20" customHeight="1" thickBot="1">
      <c r="A13" s="70">
        <v>69</v>
      </c>
      <c r="B13" s="70" t="s">
        <v>751</v>
      </c>
      <c r="C13" s="26">
        <f>[30]f!C13</f>
        <v>19754073.199999999</v>
      </c>
      <c r="D13" s="54">
        <f>[30]f!D13</f>
        <v>752820.85</v>
      </c>
      <c r="E13" s="124">
        <f>[30]f!E13</f>
        <v>20506894.050000001</v>
      </c>
    </row>
    <row r="14" spans="1:5" ht="27" customHeight="1" thickBot="1">
      <c r="A14" s="73">
        <v>6</v>
      </c>
      <c r="B14" s="73" t="s">
        <v>752</v>
      </c>
      <c r="C14" s="149">
        <f>[30]f!C14</f>
        <v>5638348772.1000004</v>
      </c>
      <c r="D14" s="150">
        <f>[30]f!D14</f>
        <v>219413654.03999999</v>
      </c>
      <c r="E14" s="184">
        <f>[30]f!E14</f>
        <v>5857762426.1000004</v>
      </c>
    </row>
    <row r="15" spans="1:5" ht="20" customHeight="1" thickBot="1">
      <c r="A15" s="70">
        <v>31</v>
      </c>
      <c r="B15" s="70" t="s">
        <v>677</v>
      </c>
      <c r="C15" s="26">
        <f>[30]f!C15</f>
        <v>5525572396</v>
      </c>
      <c r="D15" s="54">
        <f>[30]f!D15</f>
        <v>158529595.28</v>
      </c>
      <c r="E15" s="124">
        <f>[30]f!E15</f>
        <v>5684101991.3000002</v>
      </c>
    </row>
    <row r="16" spans="1:5" ht="20" customHeight="1" thickBot="1">
      <c r="A16" s="70">
        <v>32</v>
      </c>
      <c r="B16" s="70" t="s">
        <v>753</v>
      </c>
      <c r="C16" s="26">
        <f>[30]f!C16</f>
        <v>-1129300427</v>
      </c>
      <c r="D16" s="54">
        <f>[30]f!D16</f>
        <v>-29112934.199999999</v>
      </c>
      <c r="E16" s="124">
        <f>[30]f!E16</f>
        <v>-1158413361</v>
      </c>
    </row>
    <row r="17" spans="1:5" ht="27" customHeight="1" thickBot="1">
      <c r="A17" s="73" t="s">
        <v>754</v>
      </c>
      <c r="B17" s="73" t="s">
        <v>755</v>
      </c>
      <c r="C17" s="149">
        <f>[30]f!C17</f>
        <v>4396271969.3999996</v>
      </c>
      <c r="D17" s="150">
        <f>[30]f!D17</f>
        <v>129416661.06999999</v>
      </c>
      <c r="E17" s="184">
        <f>[30]f!E17</f>
        <v>4525688630.3999996</v>
      </c>
    </row>
    <row r="18" spans="1:5" ht="20" customHeight="1" thickBot="1">
      <c r="A18" s="70">
        <v>34</v>
      </c>
      <c r="B18" s="70" t="s">
        <v>756</v>
      </c>
      <c r="C18" s="26">
        <f>[30]f!C18</f>
        <v>8161187.04</v>
      </c>
      <c r="D18" s="54">
        <f>[30]f!D18</f>
        <v>227964.27</v>
      </c>
      <c r="E18" s="124">
        <f>[30]f!E18</f>
        <v>8389151.3100000005</v>
      </c>
    </row>
    <row r="19" spans="1:5" ht="20" customHeight="1" thickBot="1">
      <c r="A19" s="70">
        <v>35</v>
      </c>
      <c r="B19" s="70" t="s">
        <v>757</v>
      </c>
      <c r="C19" s="26">
        <f>[30]f!C19</f>
        <v>13729857.48</v>
      </c>
      <c r="D19" s="54">
        <f>[30]f!D19</f>
        <v>282304.31</v>
      </c>
      <c r="E19" s="124">
        <f>[30]f!E19</f>
        <v>14012161.789999999</v>
      </c>
    </row>
    <row r="20" spans="1:5" ht="27" customHeight="1" thickBot="1">
      <c r="A20" s="73" t="s">
        <v>758</v>
      </c>
      <c r="B20" s="73" t="s">
        <v>759</v>
      </c>
      <c r="C20" s="149">
        <f>[30]f!C20</f>
        <v>4418163013.8999996</v>
      </c>
      <c r="D20" s="150">
        <f>[30]f!D20</f>
        <v>129926929.69</v>
      </c>
      <c r="E20" s="184">
        <f>[30]f!E20</f>
        <v>4548089943.6000004</v>
      </c>
    </row>
    <row r="21" spans="1:5" ht="20" customHeight="1" thickBot="1">
      <c r="A21" s="70">
        <v>36</v>
      </c>
      <c r="B21" s="70" t="s">
        <v>760</v>
      </c>
      <c r="C21" s="26">
        <f>[30]f!C21</f>
        <v>-12659489.140000001</v>
      </c>
      <c r="D21" s="54">
        <f>[30]f!D21</f>
        <v>-328316.90999999997</v>
      </c>
      <c r="E21" s="124">
        <f>[30]f!E21</f>
        <v>-12987806.050000001</v>
      </c>
    </row>
    <row r="22" spans="1:5" ht="20" customHeight="1" thickBot="1">
      <c r="A22" s="70">
        <v>37</v>
      </c>
      <c r="B22" s="70" t="s">
        <v>761</v>
      </c>
      <c r="C22" s="26">
        <f>[30]f!C22</f>
        <v>382254362.01999998</v>
      </c>
      <c r="D22" s="54">
        <f>[30]f!D22</f>
        <v>8271340.9400000004</v>
      </c>
      <c r="E22" s="124">
        <f>[30]f!E22</f>
        <v>390525702.95999998</v>
      </c>
    </row>
    <row r="23" spans="1:5" ht="27" customHeight="1" thickBot="1">
      <c r="A23" s="73">
        <v>3</v>
      </c>
      <c r="B23" s="73" t="s">
        <v>762</v>
      </c>
      <c r="C23" s="149">
        <f>[30]f!C23</f>
        <v>4787757886.8000002</v>
      </c>
      <c r="D23" s="150">
        <f>[30]f!D23</f>
        <v>137869953.69999999</v>
      </c>
      <c r="E23" s="184">
        <f>[30]f!E23</f>
        <v>4925627840.5</v>
      </c>
    </row>
    <row r="24" spans="1:5" ht="20" customHeight="1" thickBot="1">
      <c r="A24" s="70" t="s">
        <v>763</v>
      </c>
      <c r="B24" s="70" t="s">
        <v>764</v>
      </c>
      <c r="C24" s="26">
        <f>[30]f!C24</f>
        <v>354628459.93000001</v>
      </c>
      <c r="D24" s="54">
        <f>[30]f!D24</f>
        <v>13156218.630000001</v>
      </c>
      <c r="E24" s="124">
        <f>[30]f!E24</f>
        <v>367784678.56</v>
      </c>
    </row>
    <row r="25" spans="1:5" ht="20" customHeight="1" thickBot="1">
      <c r="A25" s="70">
        <v>49</v>
      </c>
      <c r="B25" s="70" t="s">
        <v>765</v>
      </c>
      <c r="C25" s="26">
        <f>[30]f!C25</f>
        <v>744462.29</v>
      </c>
      <c r="D25" s="54">
        <f>[30]f!D25</f>
        <v>26716.17</v>
      </c>
      <c r="E25" s="124">
        <f>[30]f!E25</f>
        <v>771178.46</v>
      </c>
    </row>
    <row r="26" spans="1:5" ht="27" customHeight="1" thickBot="1">
      <c r="A26" s="73">
        <v>4</v>
      </c>
      <c r="B26" s="73" t="s">
        <v>766</v>
      </c>
      <c r="C26" s="149">
        <f>[30]f!C26</f>
        <v>355372922.22000003</v>
      </c>
      <c r="D26" s="150">
        <f>[30]f!D26</f>
        <v>13182934.800000001</v>
      </c>
      <c r="E26" s="184">
        <f>[30]f!E26</f>
        <v>368555857.01999998</v>
      </c>
    </row>
    <row r="27" spans="1:5" ht="27" customHeight="1" thickBot="1">
      <c r="A27" s="73" t="s">
        <v>767</v>
      </c>
      <c r="B27" s="73" t="s">
        <v>768</v>
      </c>
      <c r="C27" s="149">
        <f>[30]f!C27</f>
        <v>5143130809</v>
      </c>
      <c r="D27" s="150">
        <f>[30]f!D27</f>
        <v>151052888.5</v>
      </c>
      <c r="E27" s="184">
        <f>[30]f!E27</f>
        <v>5294183697.5</v>
      </c>
    </row>
    <row r="28" spans="1:5" ht="27" customHeight="1" thickBot="1">
      <c r="A28" s="73"/>
      <c r="B28" s="73" t="s">
        <v>769</v>
      </c>
      <c r="C28" s="149">
        <f>[30]f!C28</f>
        <v>495217963.06999999</v>
      </c>
      <c r="D28" s="150">
        <f>[30]f!D28</f>
        <v>68360765.540000007</v>
      </c>
      <c r="E28" s="184">
        <f>[30]f!E28</f>
        <v>563578728.61000001</v>
      </c>
    </row>
    <row r="29" spans="1:5" ht="27" customHeight="1" thickBot="1">
      <c r="A29" s="73">
        <v>7</v>
      </c>
      <c r="B29" s="73" t="s">
        <v>770</v>
      </c>
      <c r="C29" s="149">
        <f>[30]f!C29</f>
        <v>52829774.009999998</v>
      </c>
      <c r="D29" s="150">
        <f>[30]f!D29</f>
        <v>1628810.89</v>
      </c>
      <c r="E29" s="184">
        <f>[30]f!E29</f>
        <v>54458584.899999999</v>
      </c>
    </row>
    <row r="30" spans="1:5" ht="34.5" customHeight="1" thickBot="1">
      <c r="A30" s="185"/>
      <c r="B30" s="185" t="s">
        <v>771</v>
      </c>
      <c r="C30" s="186">
        <f>[30]f!C30</f>
        <v>548047737.08000004</v>
      </c>
      <c r="D30" s="187">
        <f>[30]f!D30</f>
        <v>69989276.420000002</v>
      </c>
      <c r="E30" s="188">
        <f>[30]f!E30</f>
        <v>618037013.5</v>
      </c>
    </row>
    <row r="31" spans="1:5" ht="19.5" customHeight="1">
      <c r="A31" s="7" t="str">
        <f>'[2]data an-1'!$D$2</f>
        <v>Datenstand: 6.11.02</v>
      </c>
    </row>
  </sheetData>
  <phoneticPr fontId="0" type="noConversion"/>
  <pageMargins left="0.59" right="0.66" top="1.46" bottom="0.49" header="0.94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E221-C594-7E4A-81F1-FAD60521982A}">
  <dimension ref="A1:E31"/>
  <sheetViews>
    <sheetView topLeftCell="A2" zoomScale="75" workbookViewId="0">
      <selection activeCell="G8" sqref="G8"/>
    </sheetView>
  </sheetViews>
  <sheetFormatPr baseColWidth="10" defaultColWidth="11.3984375" defaultRowHeight="13"/>
  <cols>
    <col min="1" max="1" width="8.796875" style="7" customWidth="1"/>
    <col min="2" max="2" width="48.796875" style="116" customWidth="1"/>
    <col min="3" max="3" width="16.796875" style="7" customWidth="1"/>
    <col min="4" max="5" width="16.796875" style="22" customWidth="1"/>
    <col min="6" max="16384" width="11.3984375" style="7"/>
  </cols>
  <sheetData>
    <row r="1" spans="1:5" s="1" customFormat="1" ht="14" customHeight="1">
      <c r="B1" s="179"/>
      <c r="D1" s="180"/>
      <c r="E1" s="180"/>
    </row>
    <row r="2" spans="1:5" s="1" customFormat="1" ht="28" customHeight="1">
      <c r="A2" s="2" t="str">
        <f>"T 1.30  Betriebsrechnung der BONUS-Versicherung "&amp;'[2]data an-1'!$B$2</f>
        <v>T 1.30  Betriebsrechnung der BONUS-Versicherung 2001</v>
      </c>
      <c r="B2" s="179"/>
      <c r="D2" s="180"/>
      <c r="E2" s="180"/>
    </row>
    <row r="3" spans="1:5" ht="39" customHeight="1">
      <c r="A3" s="41" t="s">
        <v>737</v>
      </c>
      <c r="B3" s="41"/>
      <c r="C3" s="6" t="s">
        <v>738</v>
      </c>
      <c r="D3" s="96" t="s">
        <v>739</v>
      </c>
      <c r="E3" s="181" t="s">
        <v>514</v>
      </c>
    </row>
    <row r="4" spans="1:5" ht="39" customHeight="1">
      <c r="A4" s="182"/>
      <c r="B4" s="97"/>
      <c r="C4" s="16" t="s">
        <v>740</v>
      </c>
      <c r="D4" s="48" t="s">
        <v>740</v>
      </c>
      <c r="E4" s="183" t="s">
        <v>740</v>
      </c>
    </row>
    <row r="5" spans="1:5" ht="30" customHeight="1" thickBot="1">
      <c r="A5" s="67">
        <v>61</v>
      </c>
      <c r="B5" s="67" t="s">
        <v>741</v>
      </c>
      <c r="C5" s="20">
        <f>[31]f!C5</f>
        <v>14375511.25</v>
      </c>
      <c r="D5" s="50">
        <f>[31]f!D5</f>
        <v>483856.34</v>
      </c>
      <c r="E5" s="122">
        <f>[31]f!E5</f>
        <v>14859367.59</v>
      </c>
    </row>
    <row r="6" spans="1:5" ht="20" customHeight="1" thickBot="1">
      <c r="A6" s="70">
        <v>64</v>
      </c>
      <c r="B6" s="70" t="s">
        <v>742</v>
      </c>
      <c r="C6" s="26">
        <f>[31]f!C6</f>
        <v>-17120.400000000001</v>
      </c>
      <c r="D6" s="54">
        <f>[31]f!D6</f>
        <v>-620.19000000000005</v>
      </c>
      <c r="E6" s="124">
        <f>[31]f!E6</f>
        <v>-17740.59</v>
      </c>
    </row>
    <row r="7" spans="1:5" ht="20" customHeight="1" thickBot="1">
      <c r="A7" s="70">
        <v>65</v>
      </c>
      <c r="B7" s="70" t="s">
        <v>743</v>
      </c>
      <c r="C7" s="26">
        <f>[31]f!C7</f>
        <v>2928.3</v>
      </c>
      <c r="D7" s="54">
        <f>[31]f!D7</f>
        <v>92.1</v>
      </c>
      <c r="E7" s="124">
        <f>[31]f!E7</f>
        <v>3020.4</v>
      </c>
    </row>
    <row r="8" spans="1:5" ht="26.25" customHeight="1" thickBot="1">
      <c r="A8" s="73" t="s">
        <v>744</v>
      </c>
      <c r="B8" s="73" t="s">
        <v>745</v>
      </c>
      <c r="C8" s="149">
        <f>[31]f!C8</f>
        <v>14361319.15</v>
      </c>
      <c r="D8" s="150">
        <f>[31]f!D8</f>
        <v>483328.25</v>
      </c>
      <c r="E8" s="184">
        <f>[31]f!E8</f>
        <v>14844647.4</v>
      </c>
    </row>
    <row r="9" spans="1:5" ht="20" customHeight="1" thickBot="1">
      <c r="A9" s="70">
        <v>66</v>
      </c>
      <c r="B9" s="70" t="s">
        <v>746</v>
      </c>
      <c r="C9" s="26">
        <f>[31]f!C9</f>
        <v>0</v>
      </c>
      <c r="D9" s="54">
        <f>[31]f!D9</f>
        <v>0</v>
      </c>
      <c r="E9" s="124">
        <f>[31]f!E9</f>
        <v>0</v>
      </c>
    </row>
    <row r="10" spans="1:5" ht="27" customHeight="1" thickBot="1">
      <c r="A10" s="73" t="s">
        <v>747</v>
      </c>
      <c r="B10" s="73" t="s">
        <v>748</v>
      </c>
      <c r="C10" s="149">
        <f>[31]f!C10</f>
        <v>14361319.15</v>
      </c>
      <c r="D10" s="150">
        <f>[31]f!D10</f>
        <v>483328.25</v>
      </c>
      <c r="E10" s="184">
        <f>[31]f!E10</f>
        <v>14844647.4</v>
      </c>
    </row>
    <row r="11" spans="1:5" ht="20" customHeight="1" thickBot="1">
      <c r="A11" s="70">
        <v>67</v>
      </c>
      <c r="B11" s="70" t="s">
        <v>749</v>
      </c>
      <c r="C11" s="26">
        <f>[31]f!C11</f>
        <v>565203.75</v>
      </c>
      <c r="D11" s="54">
        <f>[31]f!D11</f>
        <v>22063.23</v>
      </c>
      <c r="E11" s="124">
        <f>[31]f!E11</f>
        <v>587266.98</v>
      </c>
    </row>
    <row r="12" spans="1:5" ht="20" customHeight="1" thickBot="1">
      <c r="A12" s="70">
        <v>68</v>
      </c>
      <c r="B12" s="70" t="s">
        <v>750</v>
      </c>
      <c r="C12" s="26">
        <f>[31]f!C12</f>
        <v>-573149.92000000004</v>
      </c>
      <c r="D12" s="54">
        <f>[31]f!D12</f>
        <v>-22335.3</v>
      </c>
      <c r="E12" s="124">
        <f>[31]f!E12</f>
        <v>-595485.22</v>
      </c>
    </row>
    <row r="13" spans="1:5" ht="20" customHeight="1" thickBot="1">
      <c r="A13" s="70">
        <v>69</v>
      </c>
      <c r="B13" s="70" t="s">
        <v>751</v>
      </c>
      <c r="C13" s="26">
        <f>[31]f!C13</f>
        <v>24666.57</v>
      </c>
      <c r="D13" s="54">
        <f>[31]f!D13</f>
        <v>883.55</v>
      </c>
      <c r="E13" s="124">
        <f>[31]f!E13</f>
        <v>25550.12</v>
      </c>
    </row>
    <row r="14" spans="1:5" ht="27" customHeight="1" thickBot="1">
      <c r="A14" s="73">
        <v>6</v>
      </c>
      <c r="B14" s="73" t="s">
        <v>752</v>
      </c>
      <c r="C14" s="149">
        <f>[31]f!C14</f>
        <v>14378039.550000001</v>
      </c>
      <c r="D14" s="150">
        <f>[31]f!D14</f>
        <v>483939.74</v>
      </c>
      <c r="E14" s="184">
        <f>[31]f!E14</f>
        <v>14861979.289999999</v>
      </c>
    </row>
    <row r="15" spans="1:5" ht="20" customHeight="1" thickBot="1">
      <c r="A15" s="70">
        <v>31</v>
      </c>
      <c r="B15" s="70" t="s">
        <v>677</v>
      </c>
      <c r="C15" s="26">
        <f>[31]f!C15</f>
        <v>8118157.5300000003</v>
      </c>
      <c r="D15" s="54">
        <f>[31]f!D15</f>
        <v>243399.35</v>
      </c>
      <c r="E15" s="124">
        <f>[31]f!E15</f>
        <v>8361556.8799999999</v>
      </c>
    </row>
    <row r="16" spans="1:5" ht="20" customHeight="1" thickBot="1">
      <c r="A16" s="70">
        <v>32</v>
      </c>
      <c r="B16" s="70" t="s">
        <v>753</v>
      </c>
      <c r="C16" s="26">
        <f>[31]f!C16</f>
        <v>-1232653.55</v>
      </c>
      <c r="D16" s="54">
        <f>[31]f!D16</f>
        <v>-35447.379999999997</v>
      </c>
      <c r="E16" s="124">
        <f>[31]f!E16</f>
        <v>-1268100.93</v>
      </c>
    </row>
    <row r="17" spans="1:5" ht="27" customHeight="1" thickBot="1">
      <c r="A17" s="73" t="s">
        <v>754</v>
      </c>
      <c r="B17" s="73" t="s">
        <v>755</v>
      </c>
      <c r="C17" s="149">
        <f>[31]f!C17</f>
        <v>6885503.9800000004</v>
      </c>
      <c r="D17" s="150">
        <f>[31]f!D17</f>
        <v>207951.96</v>
      </c>
      <c r="E17" s="184">
        <f>[31]f!E17</f>
        <v>7093455.9400000004</v>
      </c>
    </row>
    <row r="18" spans="1:5" ht="20" customHeight="1" thickBot="1">
      <c r="A18" s="70">
        <v>34</v>
      </c>
      <c r="B18" s="70" t="s">
        <v>756</v>
      </c>
      <c r="C18" s="26">
        <f>[31]f!C18</f>
        <v>7178.62</v>
      </c>
      <c r="D18" s="54">
        <f>[31]f!D18</f>
        <v>214.75</v>
      </c>
      <c r="E18" s="124">
        <f>[31]f!E18</f>
        <v>7393.37</v>
      </c>
    </row>
    <row r="19" spans="1:5" ht="20" customHeight="1" thickBot="1">
      <c r="A19" s="70">
        <v>35</v>
      </c>
      <c r="B19" s="70" t="s">
        <v>757</v>
      </c>
      <c r="C19" s="26">
        <f>[31]f!C19</f>
        <v>-30222.16</v>
      </c>
      <c r="D19" s="54">
        <f>[31]f!D19</f>
        <v>-431.89</v>
      </c>
      <c r="E19" s="124">
        <f>[31]f!E19</f>
        <v>-30654.05</v>
      </c>
    </row>
    <row r="20" spans="1:5" ht="27" customHeight="1" thickBot="1">
      <c r="A20" s="73" t="s">
        <v>758</v>
      </c>
      <c r="B20" s="73" t="s">
        <v>759</v>
      </c>
      <c r="C20" s="149">
        <f>[31]f!C20</f>
        <v>6862460.4500000002</v>
      </c>
      <c r="D20" s="150">
        <f>[31]f!D20</f>
        <v>207734.83</v>
      </c>
      <c r="E20" s="184">
        <f>[31]f!E20</f>
        <v>7070195.2800000003</v>
      </c>
    </row>
    <row r="21" spans="1:5" ht="20" customHeight="1" thickBot="1">
      <c r="A21" s="70">
        <v>36</v>
      </c>
      <c r="B21" s="70" t="s">
        <v>760</v>
      </c>
      <c r="C21" s="26">
        <f>[31]f!C21</f>
        <v>0</v>
      </c>
      <c r="D21" s="54">
        <f>[31]f!D21</f>
        <v>0</v>
      </c>
      <c r="E21" s="124">
        <f>[31]f!E21</f>
        <v>0</v>
      </c>
    </row>
    <row r="22" spans="1:5" ht="20" customHeight="1" thickBot="1">
      <c r="A22" s="70">
        <v>37</v>
      </c>
      <c r="B22" s="70" t="s">
        <v>761</v>
      </c>
      <c r="C22" s="26">
        <f>[31]f!C22</f>
        <v>4449996.4000000004</v>
      </c>
      <c r="D22" s="54">
        <f>[31]f!D22</f>
        <v>132794.93</v>
      </c>
      <c r="E22" s="124">
        <f>[31]f!E22</f>
        <v>4582791.33</v>
      </c>
    </row>
    <row r="23" spans="1:5" ht="26.25" customHeight="1" thickBot="1">
      <c r="A23" s="73">
        <v>3</v>
      </c>
      <c r="B23" s="73" t="s">
        <v>762</v>
      </c>
      <c r="C23" s="149">
        <f>[31]f!C23</f>
        <v>11312456.85</v>
      </c>
      <c r="D23" s="150">
        <f>[31]f!D23</f>
        <v>340529.75</v>
      </c>
      <c r="E23" s="184">
        <f>[31]f!E23</f>
        <v>11652986.6</v>
      </c>
    </row>
    <row r="24" spans="1:5" ht="20" customHeight="1" thickBot="1">
      <c r="A24" s="70" t="s">
        <v>763</v>
      </c>
      <c r="B24" s="70" t="s">
        <v>764</v>
      </c>
      <c r="C24" s="26">
        <f>[31]f!C24</f>
        <v>725102.09</v>
      </c>
      <c r="D24" s="54">
        <f>[31]f!D24</f>
        <v>24829.18</v>
      </c>
      <c r="E24" s="124">
        <f>[31]f!E24</f>
        <v>749931.27</v>
      </c>
    </row>
    <row r="25" spans="1:5" ht="20" customHeight="1" thickBot="1">
      <c r="A25" s="70">
        <v>49</v>
      </c>
      <c r="B25" s="70" t="s">
        <v>765</v>
      </c>
      <c r="C25" s="26">
        <f>[31]f!C25</f>
        <v>707.17</v>
      </c>
      <c r="D25" s="54">
        <f>[31]f!D25</f>
        <v>17.14</v>
      </c>
      <c r="E25" s="124">
        <f>[31]f!E25</f>
        <v>724.31</v>
      </c>
    </row>
    <row r="26" spans="1:5" ht="27" customHeight="1" thickBot="1">
      <c r="A26" s="73">
        <v>4</v>
      </c>
      <c r="B26" s="73" t="s">
        <v>766</v>
      </c>
      <c r="C26" s="149">
        <f>[31]f!C26</f>
        <v>725809.26</v>
      </c>
      <c r="D26" s="150">
        <f>[31]f!D26</f>
        <v>24846.32</v>
      </c>
      <c r="E26" s="184">
        <f>[31]f!E26</f>
        <v>750655.58</v>
      </c>
    </row>
    <row r="27" spans="1:5" ht="27" customHeight="1" thickBot="1">
      <c r="A27" s="73" t="s">
        <v>767</v>
      </c>
      <c r="B27" s="73" t="s">
        <v>768</v>
      </c>
      <c r="C27" s="149">
        <f>[31]f!C27</f>
        <v>12038266.109999999</v>
      </c>
      <c r="D27" s="150">
        <f>[31]f!D27</f>
        <v>365376.07</v>
      </c>
      <c r="E27" s="184">
        <f>[31]f!E27</f>
        <v>12403642.18</v>
      </c>
    </row>
    <row r="28" spans="1:5" ht="27" customHeight="1" thickBot="1">
      <c r="A28" s="73"/>
      <c r="B28" s="73" t="s">
        <v>769</v>
      </c>
      <c r="C28" s="149">
        <f>[31]f!C28</f>
        <v>2339773.4500000002</v>
      </c>
      <c r="D28" s="150">
        <f>[31]f!D28</f>
        <v>118563.66</v>
      </c>
      <c r="E28" s="184">
        <f>[31]f!E28</f>
        <v>2458337.11</v>
      </c>
    </row>
    <row r="29" spans="1:5" ht="27" customHeight="1" thickBot="1">
      <c r="A29" s="73">
        <v>7</v>
      </c>
      <c r="B29" s="73" t="s">
        <v>770</v>
      </c>
      <c r="C29" s="149">
        <f>[31]f!C29</f>
        <v>14951.91</v>
      </c>
      <c r="D29" s="150">
        <f>[31]f!D29</f>
        <v>-950.82</v>
      </c>
      <c r="E29" s="184">
        <f>[31]f!E29</f>
        <v>14001.09</v>
      </c>
    </row>
    <row r="30" spans="1:5" ht="34.5" customHeight="1" thickBot="1">
      <c r="A30" s="185"/>
      <c r="B30" s="185" t="s">
        <v>771</v>
      </c>
      <c r="C30" s="186">
        <f>[31]f!C30</f>
        <v>2354725.36</v>
      </c>
      <c r="D30" s="187">
        <f>[31]f!D30</f>
        <v>117612.85</v>
      </c>
      <c r="E30" s="188">
        <f>[31]f!E30</f>
        <v>2472338.21</v>
      </c>
    </row>
    <row r="31" spans="1:5" ht="20.25" customHeight="1">
      <c r="A31" s="7" t="str">
        <f>'[2]data an-1'!$D$2</f>
        <v>Datenstand: 6.11.02</v>
      </c>
    </row>
  </sheetData>
  <phoneticPr fontId="0" type="noConversion"/>
  <pageMargins left="0.64" right="0.7" top="1.46" bottom="0.49" header="0.92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7326C-EE7D-774A-B3DE-6B2F8EB5DBA1}">
  <dimension ref="A1:E31"/>
  <sheetViews>
    <sheetView zoomScale="75" workbookViewId="0">
      <selection activeCell="G11" sqref="G11"/>
    </sheetView>
  </sheetViews>
  <sheetFormatPr baseColWidth="10" defaultColWidth="11.3984375" defaultRowHeight="13"/>
  <cols>
    <col min="1" max="1" width="8.796875" style="7" customWidth="1"/>
    <col min="2" max="2" width="48.796875" style="116" customWidth="1"/>
    <col min="3" max="3" width="16.796875" style="7" customWidth="1"/>
    <col min="4" max="5" width="16.796875" style="22" customWidth="1"/>
    <col min="6" max="16384" width="11.3984375" style="7"/>
  </cols>
  <sheetData>
    <row r="1" spans="1:5" s="1" customFormat="1" ht="14" customHeight="1">
      <c r="B1" s="179"/>
      <c r="D1" s="180"/>
      <c r="E1" s="180"/>
    </row>
    <row r="2" spans="1:5" s="1" customFormat="1" ht="28" customHeight="1">
      <c r="A2" s="2" t="str">
        <f>"T 1.31  Betriebsrechnung der Versicherungen mit eingeschränkter Wahl des Leistungserbringers "&amp;'[2]data an-1'!$B$2</f>
        <v>T 1.31  Betriebsrechnung der Versicherungen mit eingeschränkter Wahl des Leistungserbringers 2001</v>
      </c>
      <c r="B2" s="179"/>
      <c r="D2" s="180"/>
      <c r="E2" s="180"/>
    </row>
    <row r="3" spans="1:5" ht="39" customHeight="1">
      <c r="A3" s="41" t="s">
        <v>737</v>
      </c>
      <c r="B3" s="41"/>
      <c r="C3" s="6" t="s">
        <v>738</v>
      </c>
      <c r="D3" s="96" t="s">
        <v>739</v>
      </c>
      <c r="E3" s="181" t="s">
        <v>514</v>
      </c>
    </row>
    <row r="4" spans="1:5" ht="39" customHeight="1">
      <c r="A4" s="182"/>
      <c r="B4" s="97"/>
      <c r="C4" s="16" t="s">
        <v>740</v>
      </c>
      <c r="D4" s="48" t="s">
        <v>740</v>
      </c>
      <c r="E4" s="183" t="s">
        <v>740</v>
      </c>
    </row>
    <row r="5" spans="1:5" ht="30" customHeight="1" thickBot="1">
      <c r="A5" s="67">
        <v>61</v>
      </c>
      <c r="B5" s="67" t="s">
        <v>741</v>
      </c>
      <c r="C5" s="20">
        <f>[32]f!C5</f>
        <v>947453608.73000002</v>
      </c>
      <c r="D5" s="50">
        <f>[32]f!D5</f>
        <v>37901600.710000001</v>
      </c>
      <c r="E5" s="122">
        <f>[32]f!E5</f>
        <v>985355209.44000006</v>
      </c>
    </row>
    <row r="6" spans="1:5" ht="20" customHeight="1" thickBot="1">
      <c r="A6" s="70">
        <v>64</v>
      </c>
      <c r="B6" s="70" t="s">
        <v>742</v>
      </c>
      <c r="C6" s="26">
        <f>[32]f!C6</f>
        <v>-2604210.69</v>
      </c>
      <c r="D6" s="54">
        <f>[32]f!D6</f>
        <v>-108254.47</v>
      </c>
      <c r="E6" s="124">
        <f>[32]f!E6</f>
        <v>-2712465.16</v>
      </c>
    </row>
    <row r="7" spans="1:5" ht="20" customHeight="1" thickBot="1">
      <c r="A7" s="70">
        <v>65</v>
      </c>
      <c r="B7" s="70" t="s">
        <v>743</v>
      </c>
      <c r="C7" s="26">
        <f>[32]f!C7</f>
        <v>91194.78</v>
      </c>
      <c r="D7" s="54">
        <f>[32]f!D7</f>
        <v>3522.48</v>
      </c>
      <c r="E7" s="124">
        <f>[32]f!E7</f>
        <v>94717.26</v>
      </c>
    </row>
    <row r="8" spans="1:5" ht="27" customHeight="1" thickBot="1">
      <c r="A8" s="73" t="s">
        <v>744</v>
      </c>
      <c r="B8" s="73" t="s">
        <v>745</v>
      </c>
      <c r="C8" s="149">
        <f>[32]f!C8</f>
        <v>944940592.82000005</v>
      </c>
      <c r="D8" s="150">
        <f>[32]f!D8</f>
        <v>37796868.710000001</v>
      </c>
      <c r="E8" s="184">
        <f>[32]f!E8</f>
        <v>982737461.52999997</v>
      </c>
    </row>
    <row r="9" spans="1:5" ht="20" customHeight="1" thickBot="1">
      <c r="A9" s="70">
        <v>66</v>
      </c>
      <c r="B9" s="70" t="s">
        <v>746</v>
      </c>
      <c r="C9" s="26">
        <f>[32]f!C9</f>
        <v>-689953.25</v>
      </c>
      <c r="D9" s="54">
        <f>[32]f!D9</f>
        <v>-26475.88</v>
      </c>
      <c r="E9" s="124">
        <f>[32]f!E9</f>
        <v>-716429.13</v>
      </c>
    </row>
    <row r="10" spans="1:5" ht="30" customHeight="1" thickBot="1">
      <c r="A10" s="73" t="s">
        <v>747</v>
      </c>
      <c r="B10" s="73" t="s">
        <v>748</v>
      </c>
      <c r="C10" s="149">
        <f>[32]f!C10</f>
        <v>944250639.57000005</v>
      </c>
      <c r="D10" s="150">
        <f>[32]f!D10</f>
        <v>37770392.829999998</v>
      </c>
      <c r="E10" s="184">
        <f>[32]f!E10</f>
        <v>982021032.39999998</v>
      </c>
    </row>
    <row r="11" spans="1:5" ht="20" customHeight="1" thickBot="1">
      <c r="A11" s="70">
        <v>67</v>
      </c>
      <c r="B11" s="70" t="s">
        <v>749</v>
      </c>
      <c r="C11" s="26">
        <f>[32]f!C11</f>
        <v>82587908.390000001</v>
      </c>
      <c r="D11" s="54">
        <f>[32]f!D11</f>
        <v>3446417.66</v>
      </c>
      <c r="E11" s="124">
        <f>[32]f!E11</f>
        <v>86034326.049999997</v>
      </c>
    </row>
    <row r="12" spans="1:5" ht="20" customHeight="1" thickBot="1">
      <c r="A12" s="70">
        <v>68</v>
      </c>
      <c r="B12" s="70" t="s">
        <v>750</v>
      </c>
      <c r="C12" s="26">
        <f>[32]f!C12</f>
        <v>-79586549.370000005</v>
      </c>
      <c r="D12" s="54">
        <f>[32]f!D12</f>
        <v>-3294931.43</v>
      </c>
      <c r="E12" s="124">
        <f>[32]f!E12</f>
        <v>-82881480.799999997</v>
      </c>
    </row>
    <row r="13" spans="1:5" ht="20" customHeight="1" thickBot="1">
      <c r="A13" s="70">
        <v>69</v>
      </c>
      <c r="B13" s="70" t="s">
        <v>751</v>
      </c>
      <c r="C13" s="26">
        <f>[32]f!C13</f>
        <v>5058350.07</v>
      </c>
      <c r="D13" s="54">
        <f>[32]f!D13</f>
        <v>208605.47</v>
      </c>
      <c r="E13" s="124">
        <f>[32]f!E13</f>
        <v>5266955.54</v>
      </c>
    </row>
    <row r="14" spans="1:5" ht="27" customHeight="1" thickBot="1">
      <c r="A14" s="73">
        <v>6</v>
      </c>
      <c r="B14" s="73" t="s">
        <v>752</v>
      </c>
      <c r="C14" s="149">
        <f>[32]f!C14</f>
        <v>952310348.65999997</v>
      </c>
      <c r="D14" s="150">
        <f>[32]f!D14</f>
        <v>38130484.530000001</v>
      </c>
      <c r="E14" s="184">
        <f>[32]f!E14</f>
        <v>990440833.19000006</v>
      </c>
    </row>
    <row r="15" spans="1:5" ht="20" customHeight="1" thickBot="1">
      <c r="A15" s="70">
        <v>31</v>
      </c>
      <c r="B15" s="70" t="s">
        <v>677</v>
      </c>
      <c r="C15" s="26">
        <f>[32]f!C15</f>
        <v>998193907.98000002</v>
      </c>
      <c r="D15" s="54">
        <f>[32]f!D15</f>
        <v>36028758.18</v>
      </c>
      <c r="E15" s="124">
        <f>[32]f!E15</f>
        <v>1034222666.2</v>
      </c>
    </row>
    <row r="16" spans="1:5" ht="20" customHeight="1" thickBot="1">
      <c r="A16" s="70">
        <v>32</v>
      </c>
      <c r="B16" s="70" t="s">
        <v>753</v>
      </c>
      <c r="C16" s="26">
        <f>[32]f!C16</f>
        <v>-152385351.30000001</v>
      </c>
      <c r="D16" s="54">
        <f>[32]f!D16</f>
        <v>-4608593.59</v>
      </c>
      <c r="E16" s="124">
        <f>[32]f!E16</f>
        <v>-156993944.90000001</v>
      </c>
    </row>
    <row r="17" spans="1:5" ht="27" customHeight="1" thickBot="1">
      <c r="A17" s="73" t="s">
        <v>754</v>
      </c>
      <c r="B17" s="73" t="s">
        <v>755</v>
      </c>
      <c r="C17" s="149">
        <f>[32]f!C17</f>
        <v>845808556.70000005</v>
      </c>
      <c r="D17" s="150">
        <f>[32]f!D17</f>
        <v>31420164.600000001</v>
      </c>
      <c r="E17" s="184">
        <f>[32]f!E17</f>
        <v>877228721.29999995</v>
      </c>
    </row>
    <row r="18" spans="1:5" ht="20" customHeight="1" thickBot="1">
      <c r="A18" s="70">
        <v>34</v>
      </c>
      <c r="B18" s="70" t="s">
        <v>756</v>
      </c>
      <c r="C18" s="26">
        <f>[32]f!C18</f>
        <v>1613127.62</v>
      </c>
      <c r="D18" s="54">
        <f>[32]f!D18</f>
        <v>46278.84</v>
      </c>
      <c r="E18" s="124">
        <f>[32]f!E18</f>
        <v>1659406.46</v>
      </c>
    </row>
    <row r="19" spans="1:5" ht="20" customHeight="1" thickBot="1">
      <c r="A19" s="70">
        <v>35</v>
      </c>
      <c r="B19" s="70" t="s">
        <v>757</v>
      </c>
      <c r="C19" s="26">
        <f>[32]f!C19</f>
        <v>4168080.77</v>
      </c>
      <c r="D19" s="54">
        <f>[32]f!D19</f>
        <v>120450.06</v>
      </c>
      <c r="E19" s="124">
        <f>[32]f!E19</f>
        <v>4288530.83</v>
      </c>
    </row>
    <row r="20" spans="1:5" ht="27" customHeight="1" thickBot="1">
      <c r="A20" s="73" t="s">
        <v>758</v>
      </c>
      <c r="B20" s="73" t="s">
        <v>759</v>
      </c>
      <c r="C20" s="149">
        <f>[32]f!C20</f>
        <v>851589765.09000003</v>
      </c>
      <c r="D20" s="150">
        <f>[32]f!D20</f>
        <v>31586893.5</v>
      </c>
      <c r="E20" s="184">
        <f>[32]f!E20</f>
        <v>883176658.59000003</v>
      </c>
    </row>
    <row r="21" spans="1:5" ht="20" customHeight="1" thickBot="1">
      <c r="A21" s="70">
        <v>36</v>
      </c>
      <c r="B21" s="70" t="s">
        <v>760</v>
      </c>
      <c r="C21" s="26">
        <f>[32]f!C21</f>
        <v>-814204.76</v>
      </c>
      <c r="D21" s="54">
        <f>[32]f!D21</f>
        <v>-15359.08</v>
      </c>
      <c r="E21" s="124">
        <f>[32]f!E21</f>
        <v>-829563.84</v>
      </c>
    </row>
    <row r="22" spans="1:5" ht="20" customHeight="1" thickBot="1">
      <c r="A22" s="70">
        <v>37</v>
      </c>
      <c r="B22" s="70" t="s">
        <v>761</v>
      </c>
      <c r="C22" s="26">
        <f>[32]f!C22</f>
        <v>18583116.649999999</v>
      </c>
      <c r="D22" s="54">
        <f>[32]f!D22</f>
        <v>635399.55000000005</v>
      </c>
      <c r="E22" s="124">
        <f>[32]f!E22</f>
        <v>19218516.199999999</v>
      </c>
    </row>
    <row r="23" spans="1:5" ht="27" customHeight="1" thickBot="1">
      <c r="A23" s="73">
        <v>3</v>
      </c>
      <c r="B23" s="73" t="s">
        <v>762</v>
      </c>
      <c r="C23" s="149">
        <f>[32]f!C23</f>
        <v>869358676.97000003</v>
      </c>
      <c r="D23" s="150">
        <f>[32]f!D23</f>
        <v>32206933.969999999</v>
      </c>
      <c r="E23" s="184">
        <f>[32]f!E23</f>
        <v>901565610.94000006</v>
      </c>
    </row>
    <row r="24" spans="1:5" ht="20" customHeight="1" thickBot="1">
      <c r="A24" s="70" t="s">
        <v>763</v>
      </c>
      <c r="B24" s="70" t="s">
        <v>764</v>
      </c>
      <c r="C24" s="26">
        <f>[32]f!C24</f>
        <v>64127693.119999997</v>
      </c>
      <c r="D24" s="54">
        <f>[32]f!D24</f>
        <v>2788246.35</v>
      </c>
      <c r="E24" s="124">
        <f>[32]f!E24</f>
        <v>66915939.469999999</v>
      </c>
    </row>
    <row r="25" spans="1:5" ht="20" customHeight="1" thickBot="1">
      <c r="A25" s="70">
        <v>49</v>
      </c>
      <c r="B25" s="70" t="s">
        <v>765</v>
      </c>
      <c r="C25" s="26">
        <f>[32]f!C25</f>
        <v>179348.57</v>
      </c>
      <c r="D25" s="54">
        <f>[32]f!D25</f>
        <v>8037.37</v>
      </c>
      <c r="E25" s="124">
        <f>[32]f!E25</f>
        <v>187385.94</v>
      </c>
    </row>
    <row r="26" spans="1:5" ht="27" customHeight="1" thickBot="1">
      <c r="A26" s="73">
        <v>4</v>
      </c>
      <c r="B26" s="73" t="s">
        <v>766</v>
      </c>
      <c r="C26" s="149">
        <f>[32]f!C26</f>
        <v>64307041.689999998</v>
      </c>
      <c r="D26" s="150">
        <f>[32]f!D26</f>
        <v>2796283.73</v>
      </c>
      <c r="E26" s="184">
        <f>[32]f!E26</f>
        <v>67103325.420000002</v>
      </c>
    </row>
    <row r="27" spans="1:5" ht="27" customHeight="1" thickBot="1">
      <c r="A27" s="73" t="s">
        <v>767</v>
      </c>
      <c r="B27" s="73" t="s">
        <v>768</v>
      </c>
      <c r="C27" s="149">
        <f>[32]f!C27</f>
        <v>933665718.65999997</v>
      </c>
      <c r="D27" s="150">
        <f>[32]f!D27</f>
        <v>35003217.700000003</v>
      </c>
      <c r="E27" s="184">
        <f>[32]f!E27</f>
        <v>968668936.36000001</v>
      </c>
    </row>
    <row r="28" spans="1:5" ht="27" customHeight="1" thickBot="1">
      <c r="A28" s="73"/>
      <c r="B28" s="73" t="s">
        <v>769</v>
      </c>
      <c r="C28" s="149">
        <f>[32]f!C28</f>
        <v>18644629.989999998</v>
      </c>
      <c r="D28" s="150">
        <f>[32]f!D28</f>
        <v>3127266.84</v>
      </c>
      <c r="E28" s="184">
        <f>[32]f!E28</f>
        <v>21771896.829999998</v>
      </c>
    </row>
    <row r="29" spans="1:5" ht="27" customHeight="1" thickBot="1">
      <c r="A29" s="73">
        <v>7</v>
      </c>
      <c r="B29" s="73" t="s">
        <v>770</v>
      </c>
      <c r="C29" s="149">
        <f>[32]f!C29</f>
        <v>1362044.09</v>
      </c>
      <c r="D29" s="150">
        <f>[32]f!D29</f>
        <v>-14079.53</v>
      </c>
      <c r="E29" s="184">
        <f>[32]f!E29</f>
        <v>1347964.56</v>
      </c>
    </row>
    <row r="30" spans="1:5" ht="34.5" customHeight="1" thickBot="1">
      <c r="A30" s="185"/>
      <c r="B30" s="185" t="s">
        <v>771</v>
      </c>
      <c r="C30" s="186">
        <f>[32]f!C30</f>
        <v>20006674.09</v>
      </c>
      <c r="D30" s="187">
        <f>[32]f!D30</f>
        <v>3113187.32</v>
      </c>
      <c r="E30" s="188">
        <f>[32]f!E30</f>
        <v>23119861.41</v>
      </c>
    </row>
    <row r="31" spans="1:5">
      <c r="A31" s="7" t="str">
        <f>'[2]data an-1'!$D$2</f>
        <v>Datenstand: 6.11.02</v>
      </c>
    </row>
  </sheetData>
  <phoneticPr fontId="0" type="noConversion"/>
  <pageMargins left="0.64" right="0.56000000000000005" top="1.46" bottom="0.49" header="0.95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AED6-32E7-664D-9DC9-CCCF3A6CBAA8}">
  <dimension ref="A1:K17"/>
  <sheetViews>
    <sheetView zoomScale="75" workbookViewId="0">
      <selection activeCell="F5" sqref="F5"/>
    </sheetView>
  </sheetViews>
  <sheetFormatPr baseColWidth="10" defaultColWidth="11.3984375" defaultRowHeight="13"/>
  <cols>
    <col min="1" max="1" width="14.3984375" style="7" customWidth="1"/>
    <col min="2" max="2" width="15.59765625" style="7" customWidth="1"/>
    <col min="3" max="5" width="15.3984375" style="7" customWidth="1"/>
    <col min="6" max="6" width="15.3984375" style="83" customWidth="1"/>
    <col min="7" max="7" width="15.3984375" style="7" customWidth="1"/>
    <col min="8" max="16384" width="11.3984375" style="7"/>
  </cols>
  <sheetData>
    <row r="1" spans="1:11" s="1" customFormat="1" ht="14" customHeight="1">
      <c r="F1" s="59"/>
    </row>
    <row r="2" spans="1:11" s="1" customFormat="1" ht="28" customHeight="1">
      <c r="A2" s="2" t="s">
        <v>772</v>
      </c>
      <c r="F2" s="59"/>
    </row>
    <row r="3" spans="1:11" ht="24" customHeight="1">
      <c r="A3" s="41" t="s">
        <v>773</v>
      </c>
      <c r="B3" s="6" t="s">
        <v>774</v>
      </c>
      <c r="C3" s="42" t="s">
        <v>522</v>
      </c>
      <c r="D3" s="6" t="s">
        <v>775</v>
      </c>
      <c r="E3" s="42" t="s">
        <v>522</v>
      </c>
      <c r="F3" s="60" t="s">
        <v>776</v>
      </c>
      <c r="G3" s="42" t="s">
        <v>522</v>
      </c>
    </row>
    <row r="4" spans="1:11" ht="15" customHeight="1">
      <c r="A4" s="43"/>
      <c r="B4" s="11" t="s">
        <v>775</v>
      </c>
      <c r="C4" s="44" t="s">
        <v>523</v>
      </c>
      <c r="D4" s="11" t="s">
        <v>777</v>
      </c>
      <c r="E4" s="44" t="s">
        <v>523</v>
      </c>
      <c r="F4" s="63" t="s">
        <v>778</v>
      </c>
      <c r="G4" s="44" t="s">
        <v>523</v>
      </c>
    </row>
    <row r="5" spans="1:11" ht="15" customHeight="1">
      <c r="A5" s="43"/>
      <c r="B5" s="12" t="s">
        <v>740</v>
      </c>
      <c r="C5" s="44" t="s">
        <v>524</v>
      </c>
      <c r="D5" s="12" t="s">
        <v>779</v>
      </c>
      <c r="E5" s="44" t="s">
        <v>524</v>
      </c>
      <c r="F5" s="63"/>
      <c r="G5" s="44" t="s">
        <v>524</v>
      </c>
    </row>
    <row r="6" spans="1:11" ht="24" customHeight="1">
      <c r="A6" s="46"/>
      <c r="B6" s="16"/>
      <c r="C6" s="47"/>
      <c r="D6" s="16" t="s">
        <v>780</v>
      </c>
      <c r="E6" s="47"/>
      <c r="F6" s="66"/>
      <c r="G6" s="47"/>
    </row>
    <row r="7" spans="1:11" ht="30" customHeight="1" thickBot="1">
      <c r="A7" s="49">
        <f>[33]f!A7</f>
        <v>1994</v>
      </c>
      <c r="B7" s="177" t="str">
        <f>[33]f!B7</f>
        <v>–</v>
      </c>
      <c r="C7" s="51" t="str">
        <f>[33]f!C7</f>
        <v>–</v>
      </c>
      <c r="D7" s="177" t="str">
        <f>[33]f!D7</f>
        <v>–</v>
      </c>
      <c r="E7" s="51" t="str">
        <f>[33]f!E7</f>
        <v>–</v>
      </c>
      <c r="F7" s="146" t="str">
        <f>[33]f!F7</f>
        <v>–</v>
      </c>
      <c r="G7" s="51" t="str">
        <f>[33]f!G7</f>
        <v>–</v>
      </c>
      <c r="H7" s="22"/>
    </row>
    <row r="8" spans="1:11" ht="20" customHeight="1" thickBot="1">
      <c r="A8" s="52">
        <f>[33]f!A8</f>
        <v>1995</v>
      </c>
      <c r="B8" s="26" t="str">
        <f>[33]f!B8</f>
        <v>–</v>
      </c>
      <c r="C8" s="55" t="str">
        <f>[33]f!C8</f>
        <v>–</v>
      </c>
      <c r="D8" s="26" t="str">
        <f>[33]f!D8</f>
        <v>–</v>
      </c>
      <c r="E8" s="55" t="str">
        <f>[33]f!E8</f>
        <v>–</v>
      </c>
      <c r="F8" s="190" t="str">
        <f>[33]f!F8</f>
        <v>–</v>
      </c>
      <c r="G8" s="55" t="str">
        <f>[33]f!G8</f>
        <v>–</v>
      </c>
      <c r="H8" s="22"/>
    </row>
    <row r="9" spans="1:11" ht="20" customHeight="1" thickBot="1">
      <c r="A9" s="52">
        <f>[33]f!A9</f>
        <v>1996</v>
      </c>
      <c r="B9" s="26">
        <f>[33]f!B9</f>
        <v>2856077149.5999999</v>
      </c>
      <c r="C9" s="55" t="str">
        <f>[33]f!C9</f>
        <v>–</v>
      </c>
      <c r="D9" s="26">
        <f>[33]f!D9</f>
        <v>396.96661617617502</v>
      </c>
      <c r="E9" s="55" t="str">
        <f>[33]f!E9</f>
        <v>–</v>
      </c>
      <c r="F9" s="190">
        <f>[33]f!F9</f>
        <v>0.25659604678130066</v>
      </c>
      <c r="G9" s="55" t="str">
        <f>[33]f!G9</f>
        <v>–</v>
      </c>
    </row>
    <row r="10" spans="1:11" ht="20" customHeight="1" thickBot="1">
      <c r="A10" s="52">
        <f>[33]f!A10</f>
        <v>1997</v>
      </c>
      <c r="B10" s="26">
        <f>[33]f!B10</f>
        <v>2991879965.3000002</v>
      </c>
      <c r="C10" s="55">
        <f>[33]f!C10</f>
        <v>4.7548721055738909E-2</v>
      </c>
      <c r="D10" s="26">
        <f>[33]f!D10</f>
        <v>414.68618560030387</v>
      </c>
      <c r="E10" s="55">
        <f>[33]f!E10</f>
        <v>4.4637429703320061E-2</v>
      </c>
      <c r="F10" s="190">
        <f>[33]f!F10</f>
        <v>0.24848089473110047</v>
      </c>
      <c r="G10" s="55">
        <f>[33]f!G10</f>
        <v>-3.1626177222897033E-2</v>
      </c>
      <c r="I10" s="27"/>
      <c r="J10" s="27"/>
      <c r="K10" s="27"/>
    </row>
    <row r="11" spans="1:11" ht="20" customHeight="1" thickBot="1">
      <c r="A11" s="52">
        <f>[33]f!A11</f>
        <v>1998</v>
      </c>
      <c r="B11" s="26">
        <f>[33]f!B11</f>
        <v>2985530959.1999998</v>
      </c>
      <c r="C11" s="55">
        <f>[33]f!C11</f>
        <v>-2.1220791521172401E-3</v>
      </c>
      <c r="D11" s="26">
        <f>[33]f!D11</f>
        <v>411.87673806939074</v>
      </c>
      <c r="E11" s="55">
        <f>[33]f!E11</f>
        <v>-6.7748761074501391E-3</v>
      </c>
      <c r="F11" s="190">
        <f>[33]f!F11</f>
        <v>0.23492819435144413</v>
      </c>
      <c r="G11" s="55">
        <f>[33]f!G11</f>
        <v>-5.4542223032167977E-2</v>
      </c>
    </row>
    <row r="12" spans="1:11" ht="20" customHeight="1" thickBot="1">
      <c r="A12" s="52">
        <f>[33]f!A12</f>
        <v>1999</v>
      </c>
      <c r="B12" s="26">
        <f>[33]f!B12</f>
        <v>3077412147.1999998</v>
      </c>
      <c r="C12" s="55">
        <f>[33]f!C12</f>
        <v>3.0775493289347901E-2</v>
      </c>
      <c r="D12" s="26">
        <f>[33]f!D12</f>
        <v>423.5048163539866</v>
      </c>
      <c r="E12" s="55">
        <f>[33]f!E12</f>
        <v>2.823193739734052E-2</v>
      </c>
      <c r="F12" s="190">
        <f>[33]f!F12</f>
        <v>0.23610935015841622</v>
      </c>
      <c r="G12" s="55">
        <f>[33]f!G12</f>
        <v>5.0277311764680014E-3</v>
      </c>
    </row>
    <row r="13" spans="1:11" ht="20" customHeight="1" thickBot="1">
      <c r="A13" s="52">
        <f>[33]f!A13</f>
        <v>2000</v>
      </c>
      <c r="B13" s="26">
        <f>[33]f!B13</f>
        <v>2832106458.9000001</v>
      </c>
      <c r="C13" s="55">
        <f>[33]f!C13</f>
        <v>-7.971167869834804E-2</v>
      </c>
      <c r="D13" s="26">
        <f>[33]f!D13</f>
        <v>389.66197116417186</v>
      </c>
      <c r="E13" s="55">
        <f>[33]f!E13</f>
        <v>-7.9911358461451809E-2</v>
      </c>
      <c r="F13" s="190">
        <f>[33]f!F13</f>
        <v>0.21069626660407667</v>
      </c>
      <c r="G13" s="55">
        <f>[33]f!G13</f>
        <v>-0.10763268602996361</v>
      </c>
    </row>
    <row r="14" spans="1:11" ht="30" customHeight="1" thickBot="1">
      <c r="A14" s="56">
        <f>[33]f!A14</f>
        <v>2001</v>
      </c>
      <c r="B14" s="39">
        <f>[33]f!B14</f>
        <v>2102639270.2</v>
      </c>
      <c r="C14" s="58">
        <f>[33]f!C14</f>
        <v>-0.25757053955638648</v>
      </c>
      <c r="D14" s="39">
        <f>[33]f!D14</f>
        <v>287.19530735511393</v>
      </c>
      <c r="E14" s="58">
        <f>[33]f!E14</f>
        <v>-0.26296295607940356</v>
      </c>
      <c r="F14" s="80">
        <f>[33]f!F14</f>
        <v>0.15021735666544661</v>
      </c>
      <c r="G14" s="58">
        <f>[33]f!G14</f>
        <v>-0.28704310196571786</v>
      </c>
    </row>
    <row r="15" spans="1:11" ht="20" customHeight="1">
      <c r="A15" s="28" t="str">
        <f>'[2]data an-1'!$D$2</f>
        <v>Datenstand: 6.11.02</v>
      </c>
      <c r="B15" s="28"/>
      <c r="C15" s="28"/>
      <c r="D15" s="28"/>
      <c r="E15" s="28"/>
      <c r="F15" s="82"/>
      <c r="G15" s="28"/>
    </row>
    <row r="16" spans="1:11" ht="12.75" customHeight="1">
      <c r="A16" s="7" t="s">
        <v>781</v>
      </c>
    </row>
    <row r="17" spans="1:1">
      <c r="A17" s="7" t="s">
        <v>782</v>
      </c>
    </row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0267-B3DF-2F46-86E5-499364AC7A34}">
  <dimension ref="A1:K17"/>
  <sheetViews>
    <sheetView zoomScale="75" workbookViewId="0">
      <selection activeCell="G18" sqref="G18"/>
    </sheetView>
  </sheetViews>
  <sheetFormatPr baseColWidth="10" defaultColWidth="11.3984375" defaultRowHeight="13"/>
  <cols>
    <col min="1" max="5" width="15.19921875" style="7" customWidth="1"/>
    <col min="6" max="6" width="15.19921875" style="83" customWidth="1"/>
    <col min="7" max="7" width="15.19921875" style="7" customWidth="1"/>
    <col min="8" max="16384" width="11.3984375" style="7"/>
  </cols>
  <sheetData>
    <row r="1" spans="1:11" s="1" customFormat="1" ht="14" customHeight="1">
      <c r="F1" s="59"/>
    </row>
    <row r="2" spans="1:11" s="1" customFormat="1" ht="28" customHeight="1">
      <c r="A2" s="2" t="s">
        <v>783</v>
      </c>
      <c r="F2" s="59"/>
    </row>
    <row r="3" spans="1:11" ht="24" customHeight="1">
      <c r="A3" s="41" t="s">
        <v>773</v>
      </c>
      <c r="B3" s="6" t="s">
        <v>774</v>
      </c>
      <c r="C3" s="42" t="s">
        <v>522</v>
      </c>
      <c r="D3" s="6" t="s">
        <v>784</v>
      </c>
      <c r="E3" s="42" t="s">
        <v>522</v>
      </c>
      <c r="F3" s="60" t="s">
        <v>785</v>
      </c>
      <c r="G3" s="42" t="s">
        <v>522</v>
      </c>
    </row>
    <row r="4" spans="1:11" ht="15" customHeight="1">
      <c r="A4" s="43"/>
      <c r="B4" s="11" t="s">
        <v>786</v>
      </c>
      <c r="C4" s="44" t="s">
        <v>523</v>
      </c>
      <c r="D4" s="11" t="s">
        <v>787</v>
      </c>
      <c r="E4" s="44" t="s">
        <v>523</v>
      </c>
      <c r="F4" s="63" t="s">
        <v>788</v>
      </c>
      <c r="G4" s="44" t="s">
        <v>523</v>
      </c>
    </row>
    <row r="5" spans="1:11" ht="15" customHeight="1">
      <c r="A5" s="43"/>
      <c r="B5" s="12" t="s">
        <v>789</v>
      </c>
      <c r="C5" s="44" t="s">
        <v>524</v>
      </c>
      <c r="D5" s="12" t="s">
        <v>790</v>
      </c>
      <c r="E5" s="44" t="s">
        <v>524</v>
      </c>
      <c r="F5" s="63" t="s">
        <v>791</v>
      </c>
      <c r="G5" s="44" t="s">
        <v>524</v>
      </c>
    </row>
    <row r="6" spans="1:11" ht="24" customHeight="1">
      <c r="A6" s="46"/>
      <c r="B6" s="16" t="s">
        <v>740</v>
      </c>
      <c r="C6" s="47"/>
      <c r="D6" s="16" t="s">
        <v>792</v>
      </c>
      <c r="E6" s="47"/>
      <c r="F6" s="66" t="s">
        <v>793</v>
      </c>
      <c r="G6" s="47"/>
    </row>
    <row r="7" spans="1:11" ht="30" customHeight="1" thickBot="1">
      <c r="A7" s="49">
        <f>[34]f!A7</f>
        <v>1994</v>
      </c>
      <c r="B7" s="177" t="str">
        <f>[34]f!B7</f>
        <v>–</v>
      </c>
      <c r="C7" s="51" t="str">
        <f>[34]f!C7</f>
        <v>–</v>
      </c>
      <c r="D7" s="177" t="str">
        <f>[34]f!D7</f>
        <v>–</v>
      </c>
      <c r="E7" s="51" t="str">
        <f>[34]f!E7</f>
        <v>–</v>
      </c>
      <c r="F7" s="146" t="str">
        <f>[34]f!F7</f>
        <v>–</v>
      </c>
      <c r="G7" s="51" t="str">
        <f>[34]f!G7</f>
        <v>–</v>
      </c>
      <c r="H7" s="22"/>
    </row>
    <row r="8" spans="1:11" ht="20" customHeight="1" thickBot="1">
      <c r="A8" s="52">
        <f>[34]f!A8</f>
        <v>1995</v>
      </c>
      <c r="B8" s="26" t="str">
        <f>[34]f!B8</f>
        <v>–</v>
      </c>
      <c r="C8" s="55" t="str">
        <f>[34]f!C8</f>
        <v>–</v>
      </c>
      <c r="D8" s="26" t="str">
        <f>[34]f!D8</f>
        <v>–</v>
      </c>
      <c r="E8" s="55" t="str">
        <f>[34]f!E8</f>
        <v>–</v>
      </c>
      <c r="F8" s="190" t="str">
        <f>[34]f!F8</f>
        <v>–</v>
      </c>
      <c r="G8" s="55" t="str">
        <f>[34]f!G8</f>
        <v>–</v>
      </c>
      <c r="H8" s="22"/>
    </row>
    <row r="9" spans="1:11" ht="20" customHeight="1" thickBot="1">
      <c r="A9" s="52">
        <f>[34]f!A9</f>
        <v>1996</v>
      </c>
      <c r="B9" s="26">
        <f>[34]f!B9</f>
        <v>3454536792</v>
      </c>
      <c r="C9" s="55" t="str">
        <f>[34]f!C9</f>
        <v>–</v>
      </c>
      <c r="D9" s="26">
        <f>[34]f!D9</f>
        <v>480.14661682664899</v>
      </c>
      <c r="E9" s="55" t="str">
        <f>[34]f!E9</f>
        <v>–</v>
      </c>
      <c r="F9" s="190">
        <f>[34]f!F9</f>
        <v>0.3204435263250443</v>
      </c>
      <c r="G9" s="55" t="str">
        <f>[34]f!G9</f>
        <v>–</v>
      </c>
    </row>
    <row r="10" spans="1:11" ht="20" customHeight="1" thickBot="1">
      <c r="A10" s="52">
        <f>[34]f!A10</f>
        <v>1997</v>
      </c>
      <c r="B10" s="26">
        <f>[34]f!B10</f>
        <v>3507897754</v>
      </c>
      <c r="C10" s="55">
        <f>[34]f!C10</f>
        <v>1.5446632996809605E-2</v>
      </c>
      <c r="D10" s="26">
        <f>[34]f!D10</f>
        <v>486.20825566318149</v>
      </c>
      <c r="E10" s="55">
        <f>[34]f!E10</f>
        <v>1.2624558049777898E-2</v>
      </c>
      <c r="F10" s="190">
        <f>[34]f!F10</f>
        <v>0.30878035637656381</v>
      </c>
      <c r="G10" s="55">
        <f>[34]f!G10</f>
        <v>-3.6396959184158598E-2</v>
      </c>
      <c r="I10" s="27"/>
      <c r="J10" s="27"/>
      <c r="K10" s="27"/>
    </row>
    <row r="11" spans="1:11" ht="20" customHeight="1" thickBot="1">
      <c r="A11" s="52">
        <f>[34]f!A11</f>
        <v>1998</v>
      </c>
      <c r="B11" s="26">
        <f>[34]f!B11</f>
        <v>3693957839</v>
      </c>
      <c r="C11" s="55">
        <f>[34]f!C11</f>
        <v>5.3040338700818361E-2</v>
      </c>
      <c r="D11" s="26">
        <f>[34]f!D11</f>
        <v>509.60962257141136</v>
      </c>
      <c r="E11" s="55">
        <f>[34]f!E11</f>
        <v>4.8130336405560879E-2</v>
      </c>
      <c r="F11" s="190">
        <f>[34]f!F11</f>
        <v>0.30971755221728081</v>
      </c>
      <c r="G11" s="55">
        <f>[34]f!G11</f>
        <v>3.0351536986182783E-3</v>
      </c>
    </row>
    <row r="12" spans="1:11" ht="20" customHeight="1" thickBot="1">
      <c r="A12" s="52">
        <f>[34]f!A12</f>
        <v>1999</v>
      </c>
      <c r="B12" s="26">
        <f>[34]f!B12</f>
        <v>3810018376.6999998</v>
      </c>
      <c r="C12" s="55">
        <f>[34]f!C12</f>
        <v>3.1419020670636247E-2</v>
      </c>
      <c r="D12" s="26">
        <f>[34]f!D12</f>
        <v>524.32402803041998</v>
      </c>
      <c r="E12" s="55">
        <f>[34]f!E12</f>
        <v>2.8873876801544685E-2</v>
      </c>
      <c r="F12" s="190">
        <f>[34]f!F12</f>
        <v>0.30650294561819263</v>
      </c>
      <c r="G12" s="55">
        <f>[34]f!G12</f>
        <v>-1.037915538229808E-2</v>
      </c>
    </row>
    <row r="13" spans="1:11" ht="20" customHeight="1" thickBot="1">
      <c r="A13" s="52">
        <f>[34]f!A13</f>
        <v>2000</v>
      </c>
      <c r="B13" s="26">
        <f>[34]f!B13</f>
        <v>3956218486.3000002</v>
      </c>
      <c r="C13" s="55">
        <f>[34]f!C13</f>
        <v>3.8372547096906601E-2</v>
      </c>
      <c r="D13" s="26">
        <f>[34]f!D13</f>
        <v>544.32554570231525</v>
      </c>
      <c r="E13" s="55">
        <f>[34]f!E13</f>
        <v>3.8147245982659471E-2</v>
      </c>
      <c r="F13" s="190">
        <f>[34]f!F13</f>
        <v>0.29993370263899466</v>
      </c>
      <c r="G13" s="55">
        <f>[34]f!G13</f>
        <v>-2.1432886936692642E-2</v>
      </c>
    </row>
    <row r="14" spans="1:11" ht="30" customHeight="1" thickBot="1">
      <c r="A14" s="56">
        <f>[34]f!A14</f>
        <v>2001</v>
      </c>
      <c r="B14" s="39">
        <f>[34]f!B14</f>
        <v>3996358840.3000002</v>
      </c>
      <c r="C14" s="58">
        <f>[34]f!C14</f>
        <v>1.0146141862235905E-2</v>
      </c>
      <c r="D14" s="39">
        <f>[34]f!D14</f>
        <v>545.85468925067414</v>
      </c>
      <c r="E14" s="58">
        <f>[34]f!E14</f>
        <v>2.8092445053004324E-3</v>
      </c>
      <c r="F14" s="80">
        <f>[34]f!F14</f>
        <v>0.28573440049664334</v>
      </c>
      <c r="G14" s="58">
        <f>[34]f!G14</f>
        <v>-4.7341469189415654E-2</v>
      </c>
    </row>
    <row r="15" spans="1:11" ht="20" customHeight="1">
      <c r="A15" s="28" t="str">
        <f>'[2]data an-1'!$D$2</f>
        <v>Datenstand: 6.11.02</v>
      </c>
      <c r="B15" s="28"/>
      <c r="C15" s="28"/>
      <c r="D15" s="28"/>
      <c r="E15" s="28"/>
      <c r="F15" s="82"/>
      <c r="G15" s="28"/>
    </row>
    <row r="16" spans="1:11" ht="12.75" customHeight="1">
      <c r="A16" s="7" t="s">
        <v>781</v>
      </c>
    </row>
    <row r="17" spans="1:1" ht="12.75" customHeight="1">
      <c r="A17" s="7" t="s">
        <v>794</v>
      </c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EBAEB-2231-DF49-9831-D95F066E9578}">
  <dimension ref="A1:G15"/>
  <sheetViews>
    <sheetView zoomScale="75" workbookViewId="0">
      <selection activeCell="A3" sqref="A3"/>
    </sheetView>
  </sheetViews>
  <sheetFormatPr baseColWidth="10" defaultColWidth="11.3984375" defaultRowHeight="13"/>
  <cols>
    <col min="1" max="1" width="18.19921875" style="7" customWidth="1"/>
    <col min="2" max="6" width="14.796875" style="7" customWidth="1"/>
    <col min="7" max="16384" width="11.3984375" style="7"/>
  </cols>
  <sheetData>
    <row r="1" spans="1:7" s="1" customFormat="1" ht="14" customHeight="1"/>
    <row r="2" spans="1:7" s="1" customFormat="1" ht="28" customHeight="1">
      <c r="A2" s="2" t="s">
        <v>795</v>
      </c>
    </row>
    <row r="3" spans="1:7" ht="24" customHeight="1">
      <c r="A3" s="41" t="s">
        <v>620</v>
      </c>
      <c r="B3" s="6" t="s">
        <v>662</v>
      </c>
      <c r="C3" s="42" t="s">
        <v>622</v>
      </c>
      <c r="D3" s="6" t="s">
        <v>623</v>
      </c>
      <c r="E3" s="96" t="s">
        <v>624</v>
      </c>
      <c r="F3" s="6" t="s">
        <v>514</v>
      </c>
    </row>
    <row r="4" spans="1:7" ht="15" customHeight="1">
      <c r="A4" s="43"/>
      <c r="B4" s="12" t="s">
        <v>625</v>
      </c>
      <c r="C4" s="44" t="s">
        <v>626</v>
      </c>
      <c r="D4" s="12" t="s">
        <v>627</v>
      </c>
      <c r="E4" s="45" t="s">
        <v>628</v>
      </c>
      <c r="F4" s="12"/>
    </row>
    <row r="5" spans="1:7" ht="15" customHeight="1">
      <c r="A5" s="43"/>
      <c r="B5" s="12" t="s">
        <v>629</v>
      </c>
      <c r="C5" s="44" t="s">
        <v>630</v>
      </c>
      <c r="D5" s="12" t="s">
        <v>631</v>
      </c>
      <c r="E5" s="45" t="s">
        <v>632</v>
      </c>
      <c r="F5" s="12"/>
    </row>
    <row r="6" spans="1:7" ht="24" customHeight="1">
      <c r="A6" s="46"/>
      <c r="B6" s="16"/>
      <c r="C6" s="47"/>
      <c r="D6" s="16"/>
      <c r="E6" s="48" t="s">
        <v>633</v>
      </c>
      <c r="F6" s="16"/>
    </row>
    <row r="7" spans="1:7" ht="30" customHeight="1" thickBot="1">
      <c r="A7" s="49">
        <f>[35]f!A7</f>
        <v>1994</v>
      </c>
      <c r="B7" s="146">
        <f>[35]f!B7</f>
        <v>0.90407679678189612</v>
      </c>
      <c r="C7" s="90">
        <f>[35]f!C7</f>
        <v>9.0300383375354912E-2</v>
      </c>
      <c r="D7" s="146">
        <f>[35]f!D7</f>
        <v>2.1450847370167898E-3</v>
      </c>
      <c r="E7" s="51">
        <f>[35]f!E7</f>
        <v>3.4777351057321492E-3</v>
      </c>
      <c r="F7" s="69">
        <f>[35]f!F7</f>
        <v>1</v>
      </c>
      <c r="G7" s="22"/>
    </row>
    <row r="8" spans="1:7" ht="20" customHeight="1" thickBot="1">
      <c r="A8" s="52">
        <f>[35]f!A8</f>
        <v>1995</v>
      </c>
      <c r="B8" s="190">
        <f>[35]f!B8</f>
        <v>0.89299454657113275</v>
      </c>
      <c r="C8" s="191">
        <f>[35]f!C8</f>
        <v>9.7504338700060297E-2</v>
      </c>
      <c r="D8" s="190">
        <f>[35]f!D8</f>
        <v>4.5637110387385877E-3</v>
      </c>
      <c r="E8" s="55">
        <f>[35]f!E8</f>
        <v>4.9374036900684129E-3</v>
      </c>
      <c r="F8" s="72">
        <f>[35]f!F8</f>
        <v>1</v>
      </c>
      <c r="G8" s="22"/>
    </row>
    <row r="9" spans="1:7" ht="20" customHeight="1" thickBot="1">
      <c r="A9" s="52">
        <f>[35]f!A9</f>
        <v>1996</v>
      </c>
      <c r="B9" s="190">
        <f>[35]f!B9</f>
        <v>0.65876331560467527</v>
      </c>
      <c r="C9" s="55">
        <f>[35]f!C9</f>
        <v>0.32046794094697328</v>
      </c>
      <c r="D9" s="190">
        <f>[35]f!D9</f>
        <v>3.8678181352691143E-3</v>
      </c>
      <c r="E9" s="55">
        <f>[35]f!E9</f>
        <v>1.6900925313082283E-2</v>
      </c>
      <c r="F9" s="72">
        <f>[35]f!F9</f>
        <v>1</v>
      </c>
    </row>
    <row r="10" spans="1:7" ht="20" customHeight="1" thickBot="1">
      <c r="A10" s="52">
        <f>[35]f!A10</f>
        <v>1997</v>
      </c>
      <c r="B10" s="190">
        <f>[35]f!B10</f>
        <v>0.56603802874783171</v>
      </c>
      <c r="C10" s="55">
        <f>[35]f!C10</f>
        <v>0.37927068021935451</v>
      </c>
      <c r="D10" s="190">
        <f>[35]f!D10</f>
        <v>1.5931130501794573E-3</v>
      </c>
      <c r="E10" s="55">
        <f>[35]f!E10</f>
        <v>5.3098177982634318E-2</v>
      </c>
      <c r="F10" s="190">
        <f>[35]f!F10</f>
        <v>1</v>
      </c>
    </row>
    <row r="11" spans="1:7" ht="20" customHeight="1" thickBot="1">
      <c r="A11" s="52">
        <f>[35]f!A11</f>
        <v>1998</v>
      </c>
      <c r="B11" s="190">
        <f>[35]f!B11</f>
        <v>0.55407462651768902</v>
      </c>
      <c r="C11" s="55">
        <f>[35]f!C11</f>
        <v>0.37613702943863803</v>
      </c>
      <c r="D11" s="190">
        <f>[35]f!D11</f>
        <v>1.6317626996539885E-3</v>
      </c>
      <c r="E11" s="55">
        <f>[35]f!E11</f>
        <v>6.8156581344018974E-2</v>
      </c>
      <c r="F11" s="190">
        <f>[35]f!F11</f>
        <v>1</v>
      </c>
    </row>
    <row r="12" spans="1:7" ht="20" customHeight="1" thickBot="1">
      <c r="A12" s="52">
        <f>[35]f!A12</f>
        <v>1999</v>
      </c>
      <c r="B12" s="190">
        <f>[35]f!B12</f>
        <v>0.55029591824658086</v>
      </c>
      <c r="C12" s="55">
        <f>[35]f!C12</f>
        <v>0.37371902477852575</v>
      </c>
      <c r="D12" s="190">
        <f>[35]f!D12</f>
        <v>1.4116771489681326E-3</v>
      </c>
      <c r="E12" s="55">
        <f>[35]f!E12</f>
        <v>7.4573379825925268E-2</v>
      </c>
      <c r="F12" s="190">
        <f>[35]f!F12</f>
        <v>1</v>
      </c>
    </row>
    <row r="13" spans="1:7" ht="20" customHeight="1" thickBot="1">
      <c r="A13" s="52">
        <f>[35]f!A13</f>
        <v>2000</v>
      </c>
      <c r="B13" s="190">
        <f>[35]f!B13</f>
        <v>0.53960650848618019</v>
      </c>
      <c r="C13" s="55">
        <f>[35]f!C13</f>
        <v>0.37954002078394233</v>
      </c>
      <c r="D13" s="190">
        <f>[35]f!D13</f>
        <v>1.3498693126728527E-3</v>
      </c>
      <c r="E13" s="55">
        <f>[35]f!E13</f>
        <v>7.9503601417204556E-2</v>
      </c>
      <c r="F13" s="190">
        <f>[35]f!F13</f>
        <v>1</v>
      </c>
    </row>
    <row r="14" spans="1:7" ht="30" customHeight="1" thickBot="1">
      <c r="A14" s="56">
        <f>[35]f!A14</f>
        <v>2001</v>
      </c>
      <c r="B14" s="80">
        <f>[35]f!B14</f>
        <v>0.53026073148068087</v>
      </c>
      <c r="C14" s="192">
        <f>[35]f!C14</f>
        <v>0.38706527964277321</v>
      </c>
      <c r="D14" s="80">
        <f>[35]f!D14</f>
        <v>1.2758685733806091E-3</v>
      </c>
      <c r="E14" s="192">
        <f>[35]f!E14</f>
        <v>8.1398120303165275E-2</v>
      </c>
      <c r="F14" s="80">
        <f>[35]f!F14</f>
        <v>1</v>
      </c>
    </row>
    <row r="15" spans="1:7" ht="19.5" customHeight="1">
      <c r="A15" s="28" t="str">
        <f>'[2]data an-1'!$D$2</f>
        <v>Datenstand: 6.11.02</v>
      </c>
      <c r="B15" s="28"/>
      <c r="C15" s="28"/>
      <c r="D15" s="28"/>
      <c r="E15" s="28"/>
      <c r="F15" s="28"/>
    </row>
  </sheetData>
  <phoneticPr fontId="0" type="noConversion"/>
  <pageMargins left="0.78740157480314965" right="0.78740157480314965" top="1.46" bottom="0.49" header="0.92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BDF8-688C-B042-A42F-7A79452E7A3C}">
  <dimension ref="A1:I16"/>
  <sheetViews>
    <sheetView zoomScale="75" workbookViewId="0">
      <selection activeCell="A3" sqref="A3"/>
    </sheetView>
  </sheetViews>
  <sheetFormatPr baseColWidth="10" defaultColWidth="11.3984375" defaultRowHeight="13"/>
  <cols>
    <col min="1" max="1" width="14.796875" style="7" customWidth="1"/>
    <col min="2" max="2" width="14.796875" style="81" customWidth="1"/>
    <col min="3" max="3" width="12.3984375" style="7" customWidth="1"/>
    <col min="4" max="4" width="13.19921875" style="7" customWidth="1"/>
    <col min="5" max="5" width="12.796875" style="7" customWidth="1"/>
    <col min="6" max="6" width="13.59765625" style="7" customWidth="1"/>
    <col min="7" max="7" width="14.796875" style="209" customWidth="1"/>
    <col min="8" max="8" width="14.59765625" style="81" customWidth="1"/>
    <col min="9" max="9" width="12.19921875" style="7" customWidth="1"/>
    <col min="10" max="16384" width="11.3984375" style="7"/>
  </cols>
  <sheetData>
    <row r="1" spans="1:9" s="1" customFormat="1" ht="14" customHeight="1">
      <c r="B1" s="159"/>
      <c r="G1" s="193"/>
      <c r="H1" s="159"/>
    </row>
    <row r="2" spans="1:9" s="1" customFormat="1" ht="28" customHeight="1">
      <c r="A2" s="2" t="s">
        <v>806</v>
      </c>
      <c r="B2" s="159"/>
      <c r="G2" s="193"/>
      <c r="H2" s="159"/>
    </row>
    <row r="3" spans="1:9" ht="27" customHeight="1">
      <c r="A3" s="41" t="s">
        <v>620</v>
      </c>
      <c r="B3" s="194" t="s">
        <v>662</v>
      </c>
      <c r="C3" s="862" t="s">
        <v>636</v>
      </c>
      <c r="D3" s="863"/>
      <c r="E3" s="863"/>
      <c r="F3" s="863"/>
      <c r="G3" s="863"/>
      <c r="H3" s="194" t="s">
        <v>796</v>
      </c>
      <c r="I3" s="42" t="s">
        <v>514</v>
      </c>
    </row>
    <row r="4" spans="1:9" ht="15" customHeight="1">
      <c r="A4" s="61"/>
      <c r="B4" s="195" t="s">
        <v>625</v>
      </c>
      <c r="C4" s="61"/>
      <c r="D4" s="62"/>
      <c r="E4" s="44"/>
      <c r="F4" s="12"/>
      <c r="G4" s="196" t="s">
        <v>514</v>
      </c>
      <c r="H4" s="195" t="s">
        <v>627</v>
      </c>
      <c r="I4" s="61"/>
    </row>
    <row r="5" spans="1:9" ht="15" customHeight="1">
      <c r="A5" s="61"/>
      <c r="B5" s="195" t="s">
        <v>629</v>
      </c>
      <c r="C5" s="61" t="s">
        <v>797</v>
      </c>
      <c r="D5" s="62" t="s">
        <v>798</v>
      </c>
      <c r="E5" s="44" t="s">
        <v>799</v>
      </c>
      <c r="F5" s="12" t="s">
        <v>800</v>
      </c>
      <c r="G5" s="197"/>
      <c r="H5" s="195" t="s">
        <v>801</v>
      </c>
      <c r="I5" s="61"/>
    </row>
    <row r="6" spans="1:9" ht="24" customHeight="1">
      <c r="A6" s="64"/>
      <c r="B6" s="198" t="s">
        <v>802</v>
      </c>
      <c r="C6" s="64"/>
      <c r="D6" s="65"/>
      <c r="E6" s="47"/>
      <c r="F6" s="16"/>
      <c r="G6" s="199"/>
      <c r="H6" s="198"/>
      <c r="I6" s="64"/>
    </row>
    <row r="7" spans="1:9" ht="20" customHeight="1" thickBot="1">
      <c r="A7" s="200" t="s">
        <v>807</v>
      </c>
      <c r="B7" s="201">
        <f>[36]f!B7</f>
        <v>0.47310000000000002</v>
      </c>
      <c r="C7" s="51">
        <f>[36]f!C7</f>
        <v>0.2923</v>
      </c>
      <c r="D7" s="146">
        <f>[36]f!D7</f>
        <v>8.3000000000000004E-2</v>
      </c>
      <c r="E7" s="51">
        <f>[36]f!E7</f>
        <v>2.1299999999999999E-2</v>
      </c>
      <c r="F7" s="146">
        <f>[36]f!F7</f>
        <v>5.2400000000000002E-2</v>
      </c>
      <c r="G7" s="202">
        <f>[36]f!G7</f>
        <v>0.44900000000000001</v>
      </c>
      <c r="H7" s="201">
        <f>[36]f!H7</f>
        <v>7.7799999999999994E-2</v>
      </c>
      <c r="I7" s="51">
        <f>[36]f!I7</f>
        <v>1</v>
      </c>
    </row>
    <row r="8" spans="1:9" ht="20" customHeight="1" thickBot="1">
      <c r="A8" s="70">
        <v>1998</v>
      </c>
      <c r="B8" s="201">
        <f>[36]f!B8</f>
        <v>0.47549999999999998</v>
      </c>
      <c r="C8" s="51">
        <f>[36]f!C8</f>
        <v>0.30769999999999997</v>
      </c>
      <c r="D8" s="146">
        <f>[36]f!D8</f>
        <v>7.5800000000000006E-2</v>
      </c>
      <c r="E8" s="51">
        <f>[36]f!E8</f>
        <v>3.1699999999999999E-2</v>
      </c>
      <c r="F8" s="146">
        <f>[36]f!F8</f>
        <v>3.9199999999999999E-2</v>
      </c>
      <c r="G8" s="202">
        <f>[36]f!G8</f>
        <v>0.45440000000000003</v>
      </c>
      <c r="H8" s="201">
        <f>[36]f!H8</f>
        <v>7.0099999999999996E-2</v>
      </c>
      <c r="I8" s="51">
        <f>[36]f!I8</f>
        <v>1</v>
      </c>
    </row>
    <row r="9" spans="1:9" ht="20" customHeight="1" thickBot="1">
      <c r="A9" s="70">
        <v>1999</v>
      </c>
      <c r="B9" s="201">
        <f>[36]f!B9</f>
        <v>0.47310000000000002</v>
      </c>
      <c r="C9" s="51">
        <f>[36]f!C9</f>
        <v>0.2923</v>
      </c>
      <c r="D9" s="146">
        <f>[36]f!D9</f>
        <v>8.3000000000000004E-2</v>
      </c>
      <c r="E9" s="51">
        <f>[36]f!E9</f>
        <v>2.1299999999999999E-2</v>
      </c>
      <c r="F9" s="146">
        <f>[36]f!F9</f>
        <v>5.2400000000000002E-2</v>
      </c>
      <c r="G9" s="202">
        <f>[36]f!G9</f>
        <v>0.44900000000000001</v>
      </c>
      <c r="H9" s="201">
        <f>[36]f!H9</f>
        <v>7.7799999999999994E-2</v>
      </c>
      <c r="I9" s="51">
        <f>[36]f!I9</f>
        <v>1</v>
      </c>
    </row>
    <row r="10" spans="1:9" ht="20" customHeight="1" thickBot="1">
      <c r="A10" s="73">
        <v>2000</v>
      </c>
      <c r="B10" s="201">
        <f>[36]f!B10</f>
        <v>0.45929999999999999</v>
      </c>
      <c r="C10" s="51">
        <f>[36]f!C10</f>
        <v>0.27900000000000003</v>
      </c>
      <c r="D10" s="146">
        <f>[36]f!D10</f>
        <v>8.9399999999999993E-2</v>
      </c>
      <c r="E10" s="51">
        <f>[36]f!E10</f>
        <v>2.23E-2</v>
      </c>
      <c r="F10" s="146">
        <f>[36]f!F10</f>
        <v>6.8099999999999994E-2</v>
      </c>
      <c r="G10" s="202">
        <f>[36]f!G10</f>
        <v>0.4587</v>
      </c>
      <c r="H10" s="201">
        <f>[36]f!H10</f>
        <v>8.2000000000000003E-2</v>
      </c>
      <c r="I10" s="51">
        <f>[36]f!I10</f>
        <v>1</v>
      </c>
    </row>
    <row r="11" spans="1:9" ht="30" customHeight="1" thickBot="1">
      <c r="A11" s="78">
        <v>2001</v>
      </c>
      <c r="B11" s="203">
        <f>[36]f!B11</f>
        <v>0.4501</v>
      </c>
      <c r="C11" s="174">
        <f>[36]f!C11</f>
        <v>0.2591</v>
      </c>
      <c r="D11" s="203">
        <f>[36]f!D11</f>
        <v>9.2299999999999993E-2</v>
      </c>
      <c r="E11" s="174">
        <f>[36]f!E11</f>
        <v>2.3099999999999999E-2</v>
      </c>
      <c r="F11" s="203">
        <f>[36]f!F11</f>
        <v>9.0200000000000002E-2</v>
      </c>
      <c r="G11" s="174">
        <f>[36]f!G11</f>
        <v>0.46479999999999999</v>
      </c>
      <c r="H11" s="204">
        <f>[36]f!H11</f>
        <v>8.5000000000000006E-2</v>
      </c>
      <c r="I11" s="205">
        <f>[36]f!I11</f>
        <v>1</v>
      </c>
    </row>
    <row r="12" spans="1:9" ht="20" customHeight="1">
      <c r="A12" s="28" t="s">
        <v>803</v>
      </c>
      <c r="B12" s="206"/>
      <c r="C12" s="28"/>
      <c r="D12" s="28"/>
      <c r="E12" s="28"/>
      <c r="F12" s="28"/>
      <c r="G12" s="207"/>
      <c r="I12" s="208"/>
    </row>
    <row r="13" spans="1:9" ht="17.25" customHeight="1">
      <c r="A13" s="7" t="s">
        <v>804</v>
      </c>
    </row>
    <row r="14" spans="1:9" ht="12" customHeight="1">
      <c r="A14" s="7" t="s">
        <v>805</v>
      </c>
    </row>
    <row r="15" spans="1:9" ht="12" customHeight="1"/>
    <row r="16" spans="1:9" ht="12" customHeight="1"/>
  </sheetData>
  <mergeCells count="1">
    <mergeCell ref="C3:G3"/>
  </mergeCells>
  <phoneticPr fontId="0" type="noConversion"/>
  <pageMargins left="0.43" right="0.28000000000000003" top="1.1200000000000001" bottom="0.49" header="0.72" footer="0.4921259845"/>
  <pageSetup paperSize="9" scale="75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29BD-C4C8-1B43-9DFC-F22BB0C331DE}">
  <dimension ref="A1:I38"/>
  <sheetViews>
    <sheetView topLeftCell="A19" zoomScale="75" workbookViewId="0">
      <selection activeCell="I3" activeCellId="2" sqref="B6 G4 I3"/>
    </sheetView>
  </sheetViews>
  <sheetFormatPr baseColWidth="10" defaultColWidth="11.3984375" defaultRowHeight="13"/>
  <cols>
    <col min="1" max="1" width="14.796875" style="7" customWidth="1"/>
    <col min="2" max="2" width="14.796875" style="81" customWidth="1"/>
    <col min="3" max="3" width="12.3984375" style="7" customWidth="1"/>
    <col min="4" max="4" width="13.19921875" style="7" customWidth="1"/>
    <col min="5" max="5" width="12.796875" style="7" customWidth="1"/>
    <col min="6" max="6" width="13.59765625" style="7" customWidth="1"/>
    <col min="7" max="7" width="14.796875" style="209" customWidth="1"/>
    <col min="8" max="8" width="15.19921875" style="81" customWidth="1"/>
    <col min="9" max="9" width="12.19921875" style="7" customWidth="1"/>
    <col min="10" max="16384" width="11.3984375" style="7"/>
  </cols>
  <sheetData>
    <row r="1" spans="1:9" s="1" customFormat="1" ht="14" customHeight="1">
      <c r="B1" s="159"/>
      <c r="G1" s="193"/>
      <c r="H1" s="159"/>
    </row>
    <row r="2" spans="1:9" s="1" customFormat="1" ht="28" customHeight="1">
      <c r="A2" s="2" t="str">
        <f>"T 1.36 Verteilung der Versicherungsformen in % nach Kanton - Versicherte ab 19 Jahren - "&amp;'[2]data an-1'!$B$2</f>
        <v>T 1.36 Verteilung der Versicherungsformen in % nach Kanton - Versicherte ab 19 Jahren - 2001</v>
      </c>
      <c r="B2" s="159"/>
      <c r="G2" s="193"/>
      <c r="H2" s="159"/>
    </row>
    <row r="3" spans="1:9" ht="27" customHeight="1">
      <c r="A3" s="41" t="s">
        <v>537</v>
      </c>
      <c r="B3" s="194" t="s">
        <v>621</v>
      </c>
      <c r="C3" s="864" t="s">
        <v>636</v>
      </c>
      <c r="D3" s="865"/>
      <c r="E3" s="865"/>
      <c r="F3" s="865"/>
      <c r="G3" s="865"/>
      <c r="H3" s="194" t="s">
        <v>796</v>
      </c>
      <c r="I3" s="42" t="s">
        <v>514</v>
      </c>
    </row>
    <row r="4" spans="1:9" ht="15" customHeight="1">
      <c r="A4" s="61"/>
      <c r="B4" s="195" t="s">
        <v>625</v>
      </c>
      <c r="C4" s="61"/>
      <c r="D4" s="62"/>
      <c r="E4" s="44"/>
      <c r="F4" s="12"/>
      <c r="G4" s="196" t="s">
        <v>514</v>
      </c>
      <c r="H4" s="195" t="s">
        <v>627</v>
      </c>
      <c r="I4" s="61"/>
    </row>
    <row r="5" spans="1:9" ht="15" customHeight="1">
      <c r="A5" s="61"/>
      <c r="B5" s="195" t="s">
        <v>629</v>
      </c>
      <c r="C5" s="61" t="s">
        <v>797</v>
      </c>
      <c r="D5" s="62" t="s">
        <v>798</v>
      </c>
      <c r="E5" s="44" t="s">
        <v>799</v>
      </c>
      <c r="F5" s="12" t="s">
        <v>800</v>
      </c>
      <c r="G5" s="197"/>
      <c r="H5" s="195" t="s">
        <v>801</v>
      </c>
      <c r="I5" s="61"/>
    </row>
    <row r="6" spans="1:9" ht="24" customHeight="1">
      <c r="A6" s="64"/>
      <c r="B6" s="198" t="s">
        <v>802</v>
      </c>
      <c r="C6" s="64"/>
      <c r="D6" s="65"/>
      <c r="E6" s="47"/>
      <c r="F6" s="16"/>
      <c r="G6" s="199"/>
      <c r="H6" s="198"/>
      <c r="I6" s="64"/>
    </row>
    <row r="7" spans="1:9" ht="30" customHeight="1" thickBot="1">
      <c r="A7" s="67" t="s">
        <v>541</v>
      </c>
      <c r="B7" s="201">
        <f>[37]f!B7</f>
        <v>0.47610000000000002</v>
      </c>
      <c r="C7" s="51">
        <f>[37]f!C7</f>
        <v>0.24060000000000001</v>
      </c>
      <c r="D7" s="146">
        <f>[37]f!D7</f>
        <v>7.8899999999999998E-2</v>
      </c>
      <c r="E7" s="51">
        <f>[37]f!E7</f>
        <v>2.1299999999999999E-2</v>
      </c>
      <c r="F7" s="146">
        <f>[37]f!F7</f>
        <v>8.8099999999999998E-2</v>
      </c>
      <c r="G7" s="202">
        <f>[37]f!G7</f>
        <v>0.4289</v>
      </c>
      <c r="H7" s="201">
        <f>[37]f!H7</f>
        <v>9.5000000000000001E-2</v>
      </c>
      <c r="I7" s="51">
        <f>[37]f!I7</f>
        <v>1</v>
      </c>
    </row>
    <row r="8" spans="1:9" ht="20" customHeight="1" thickBot="1">
      <c r="A8" s="70" t="s">
        <v>542</v>
      </c>
      <c r="B8" s="201">
        <f>[37]f!B8</f>
        <v>0.33910000000000001</v>
      </c>
      <c r="C8" s="51">
        <f>[37]f!C8</f>
        <v>0.38169999999999998</v>
      </c>
      <c r="D8" s="146">
        <f>[37]f!D8</f>
        <v>0.10059999999999999</v>
      </c>
      <c r="E8" s="51">
        <f>[37]f!E8</f>
        <v>2.1999999999999999E-2</v>
      </c>
      <c r="F8" s="146">
        <f>[37]f!F8</f>
        <v>7.4200000000000002E-2</v>
      </c>
      <c r="G8" s="202">
        <f>[37]f!G8</f>
        <v>0.57840000000000003</v>
      </c>
      <c r="H8" s="201">
        <f>[37]f!H8</f>
        <v>8.2400000000000001E-2</v>
      </c>
      <c r="I8" s="51">
        <f>[37]f!I8</f>
        <v>1</v>
      </c>
    </row>
    <row r="9" spans="1:9" ht="20" customHeight="1" thickBot="1">
      <c r="A9" s="70" t="s">
        <v>543</v>
      </c>
      <c r="B9" s="201">
        <f>[37]f!B9</f>
        <v>0.63019999999999998</v>
      </c>
      <c r="C9" s="51">
        <f>[37]f!C9</f>
        <v>0.189</v>
      </c>
      <c r="D9" s="146">
        <f>[37]f!D9</f>
        <v>5.2200000000000003E-2</v>
      </c>
      <c r="E9" s="51">
        <f>[37]f!E9</f>
        <v>1.4500000000000001E-2</v>
      </c>
      <c r="F9" s="146">
        <f>[37]f!F9</f>
        <v>6.5699999999999995E-2</v>
      </c>
      <c r="G9" s="202">
        <f>[37]f!G9</f>
        <v>0.32140000000000002</v>
      </c>
      <c r="H9" s="201">
        <f>[37]f!H9</f>
        <v>4.8399999999999999E-2</v>
      </c>
      <c r="I9" s="51">
        <f>[37]f!I9</f>
        <v>1</v>
      </c>
    </row>
    <row r="10" spans="1:9" ht="20" customHeight="1" thickBot="1">
      <c r="A10" s="70" t="s">
        <v>544</v>
      </c>
      <c r="B10" s="201">
        <f>[37]f!B10</f>
        <v>0.54179999999999995</v>
      </c>
      <c r="C10" s="51">
        <f>[37]f!C10</f>
        <v>0.33329999999999999</v>
      </c>
      <c r="D10" s="146">
        <f>[37]f!D10</f>
        <v>6.08E-2</v>
      </c>
      <c r="E10" s="51">
        <f>[37]f!E10</f>
        <v>1.41E-2</v>
      </c>
      <c r="F10" s="146">
        <f>[37]f!F10</f>
        <v>4.6800000000000001E-2</v>
      </c>
      <c r="G10" s="202">
        <f>[37]f!G10</f>
        <v>0.45500000000000002</v>
      </c>
      <c r="H10" s="201">
        <f>[37]f!H10</f>
        <v>3.2000000000000002E-3</v>
      </c>
      <c r="I10" s="51">
        <f>[37]f!I10</f>
        <v>1</v>
      </c>
    </row>
    <row r="11" spans="1:9" ht="20" customHeight="1" thickBot="1">
      <c r="A11" s="70" t="s">
        <v>545</v>
      </c>
      <c r="B11" s="201">
        <f>[37]f!B11</f>
        <v>0.57369999999999999</v>
      </c>
      <c r="C11" s="51">
        <f>[37]f!C11</f>
        <v>0.25419999999999998</v>
      </c>
      <c r="D11" s="146">
        <f>[37]f!D11</f>
        <v>6.54E-2</v>
      </c>
      <c r="E11" s="51">
        <f>[37]f!E11</f>
        <v>1.61E-2</v>
      </c>
      <c r="F11" s="146">
        <f>[37]f!F11</f>
        <v>7.4700000000000003E-2</v>
      </c>
      <c r="G11" s="202">
        <f>[37]f!G11</f>
        <v>0.41049999999999998</v>
      </c>
      <c r="H11" s="201">
        <f>[37]f!H11</f>
        <v>1.5800000000000002E-2</v>
      </c>
      <c r="I11" s="51">
        <f>[37]f!I11</f>
        <v>1</v>
      </c>
    </row>
    <row r="12" spans="1:9" ht="20" customHeight="1" thickBot="1">
      <c r="A12" s="70" t="s">
        <v>546</v>
      </c>
      <c r="B12" s="201">
        <f>[37]f!B12</f>
        <v>0.53890000000000005</v>
      </c>
      <c r="C12" s="51">
        <f>[37]f!C12</f>
        <v>0.31069999999999998</v>
      </c>
      <c r="D12" s="146">
        <f>[37]f!D12</f>
        <v>6.83E-2</v>
      </c>
      <c r="E12" s="51">
        <f>[37]f!E12</f>
        <v>1.4999999999999999E-2</v>
      </c>
      <c r="F12" s="146">
        <f>[37]f!F12</f>
        <v>6.0499999999999998E-2</v>
      </c>
      <c r="G12" s="202">
        <f>[37]f!G12</f>
        <v>0.45450000000000002</v>
      </c>
      <c r="H12" s="201">
        <f>[37]f!H12</f>
        <v>6.4999999999999997E-3</v>
      </c>
      <c r="I12" s="51">
        <f>[37]f!I12</f>
        <v>1</v>
      </c>
    </row>
    <row r="13" spans="1:9" ht="20" customHeight="1" thickBot="1">
      <c r="A13" s="70" t="s">
        <v>547</v>
      </c>
      <c r="B13" s="201">
        <f>[37]f!B13</f>
        <v>0.59719999999999995</v>
      </c>
      <c r="C13" s="51">
        <f>[37]f!C13</f>
        <v>0.24010000000000001</v>
      </c>
      <c r="D13" s="146">
        <f>[37]f!D13</f>
        <v>5.7599999999999998E-2</v>
      </c>
      <c r="E13" s="51">
        <f>[37]f!E13</f>
        <v>1.7500000000000002E-2</v>
      </c>
      <c r="F13" s="146">
        <f>[37]f!F13</f>
        <v>7.7299999999999994E-2</v>
      </c>
      <c r="G13" s="202">
        <f>[37]f!G13</f>
        <v>0.39240000000000003</v>
      </c>
      <c r="H13" s="201">
        <f>[37]f!H13</f>
        <v>1.04E-2</v>
      </c>
      <c r="I13" s="51">
        <f>[37]f!I13</f>
        <v>1</v>
      </c>
    </row>
    <row r="14" spans="1:9" ht="20" customHeight="1" thickBot="1">
      <c r="A14" s="70" t="s">
        <v>548</v>
      </c>
      <c r="B14" s="201">
        <f>[37]f!B14</f>
        <v>0.65810000000000002</v>
      </c>
      <c r="C14" s="51">
        <f>[37]f!C14</f>
        <v>0.2082</v>
      </c>
      <c r="D14" s="146">
        <f>[37]f!D14</f>
        <v>5.3499999999999999E-2</v>
      </c>
      <c r="E14" s="51">
        <f>[37]f!E14</f>
        <v>1.3100000000000001E-2</v>
      </c>
      <c r="F14" s="146">
        <f>[37]f!F14</f>
        <v>5.3400000000000003E-2</v>
      </c>
      <c r="G14" s="202">
        <f>[37]f!G14</f>
        <v>0.32819999999999999</v>
      </c>
      <c r="H14" s="201">
        <f>[37]f!H14</f>
        <v>1.3599999999999999E-2</v>
      </c>
      <c r="I14" s="51">
        <f>[37]f!I14</f>
        <v>1</v>
      </c>
    </row>
    <row r="15" spans="1:9" ht="20" customHeight="1" thickBot="1">
      <c r="A15" s="70" t="s">
        <v>549</v>
      </c>
      <c r="B15" s="201">
        <f>[37]f!B15</f>
        <v>0.53120000000000001</v>
      </c>
      <c r="C15" s="51">
        <f>[37]f!C15</f>
        <v>0.27429999999999999</v>
      </c>
      <c r="D15" s="146">
        <f>[37]f!D15</f>
        <v>8.0199999999999994E-2</v>
      </c>
      <c r="E15" s="51">
        <f>[37]f!E15</f>
        <v>2.1899999999999999E-2</v>
      </c>
      <c r="F15" s="146">
        <f>[37]f!F15</f>
        <v>7.5899999999999995E-2</v>
      </c>
      <c r="G15" s="202">
        <f>[37]f!G15</f>
        <v>0.45240000000000002</v>
      </c>
      <c r="H15" s="201">
        <f>[37]f!H15</f>
        <v>1.6400000000000001E-2</v>
      </c>
      <c r="I15" s="51">
        <f>[37]f!I15</f>
        <v>1</v>
      </c>
    </row>
    <row r="16" spans="1:9" ht="20" customHeight="1" thickBot="1">
      <c r="A16" s="70" t="s">
        <v>550</v>
      </c>
      <c r="B16" s="201">
        <f>[37]f!B16</f>
        <v>0.40620000000000001</v>
      </c>
      <c r="C16" s="51">
        <f>[37]f!C16</f>
        <v>0.35220000000000001</v>
      </c>
      <c r="D16" s="146">
        <f>[37]f!D16</f>
        <v>0.12559999999999999</v>
      </c>
      <c r="E16" s="51">
        <f>[37]f!E16</f>
        <v>2.9899999999999999E-2</v>
      </c>
      <c r="F16" s="146">
        <f>[37]f!F16</f>
        <v>7.1800000000000003E-2</v>
      </c>
      <c r="G16" s="202">
        <f>[37]f!G16</f>
        <v>0.5796</v>
      </c>
      <c r="H16" s="201">
        <f>[37]f!H16</f>
        <v>1.4200000000000001E-2</v>
      </c>
      <c r="I16" s="51">
        <f>[37]f!I16</f>
        <v>1</v>
      </c>
    </row>
    <row r="17" spans="1:9" ht="20" customHeight="1" thickBot="1">
      <c r="A17" s="70" t="s">
        <v>551</v>
      </c>
      <c r="B17" s="201">
        <f>[37]f!B17</f>
        <v>0.46039999999999998</v>
      </c>
      <c r="C17" s="51">
        <f>[37]f!C17</f>
        <v>0.3468</v>
      </c>
      <c r="D17" s="146">
        <f>[37]f!D17</f>
        <v>7.3899999999999993E-2</v>
      </c>
      <c r="E17" s="51">
        <f>[37]f!E17</f>
        <v>1.83E-2</v>
      </c>
      <c r="F17" s="146">
        <f>[37]f!F17</f>
        <v>7.0999999999999994E-2</v>
      </c>
      <c r="G17" s="202">
        <f>[37]f!G17</f>
        <v>0.51</v>
      </c>
      <c r="H17" s="201">
        <f>[37]f!H17</f>
        <v>2.9600000000000001E-2</v>
      </c>
      <c r="I17" s="51">
        <f>[37]f!I17</f>
        <v>1</v>
      </c>
    </row>
    <row r="18" spans="1:9" ht="20" customHeight="1" thickBot="1">
      <c r="A18" s="70" t="s">
        <v>552</v>
      </c>
      <c r="B18" s="201">
        <f>[37]f!B18</f>
        <v>0.51249999999999996</v>
      </c>
      <c r="C18" s="51">
        <f>[37]f!C18</f>
        <v>0.1636</v>
      </c>
      <c r="D18" s="146">
        <f>[37]f!D18</f>
        <v>8.9200000000000002E-2</v>
      </c>
      <c r="E18" s="51">
        <f>[37]f!E18</f>
        <v>2.1899999999999999E-2</v>
      </c>
      <c r="F18" s="146">
        <f>[37]f!F18</f>
        <v>0.1154</v>
      </c>
      <c r="G18" s="202">
        <f>[37]f!G18</f>
        <v>0.39019999999999999</v>
      </c>
      <c r="H18" s="201">
        <f>[37]f!H18</f>
        <v>9.7299999999999998E-2</v>
      </c>
      <c r="I18" s="51">
        <f>[37]f!I18</f>
        <v>1</v>
      </c>
    </row>
    <row r="19" spans="1:9" ht="20" customHeight="1" thickBot="1">
      <c r="A19" s="70" t="s">
        <v>553</v>
      </c>
      <c r="B19" s="201">
        <f>[37]f!B19</f>
        <v>0.42859999999999998</v>
      </c>
      <c r="C19" s="51">
        <f>[37]f!C19</f>
        <v>0.26429999999999998</v>
      </c>
      <c r="D19" s="146">
        <f>[37]f!D19</f>
        <v>9.8500000000000004E-2</v>
      </c>
      <c r="E19" s="51">
        <f>[37]f!E19</f>
        <v>2.3199999999999998E-2</v>
      </c>
      <c r="F19" s="146">
        <f>[37]f!F19</f>
        <v>9.6600000000000005E-2</v>
      </c>
      <c r="G19" s="202">
        <f>[37]f!G19</f>
        <v>0.48249999999999998</v>
      </c>
      <c r="H19" s="201">
        <f>[37]f!H19</f>
        <v>8.8900000000000007E-2</v>
      </c>
      <c r="I19" s="51">
        <f>[37]f!I19</f>
        <v>1</v>
      </c>
    </row>
    <row r="20" spans="1:9" ht="20" customHeight="1" thickBot="1">
      <c r="A20" s="70" t="s">
        <v>554</v>
      </c>
      <c r="B20" s="201">
        <f>[37]f!B20</f>
        <v>0.4123</v>
      </c>
      <c r="C20" s="51">
        <f>[37]f!C20</f>
        <v>0.22900000000000001</v>
      </c>
      <c r="D20" s="146">
        <f>[37]f!D20</f>
        <v>4.5699999999999998E-2</v>
      </c>
      <c r="E20" s="51">
        <f>[37]f!E20</f>
        <v>1.18E-2</v>
      </c>
      <c r="F20" s="146">
        <f>[37]f!F20</f>
        <v>6.2799999999999995E-2</v>
      </c>
      <c r="G20" s="202">
        <f>[37]f!G20</f>
        <v>0.34920000000000001</v>
      </c>
      <c r="H20" s="201">
        <f>[37]f!H20</f>
        <v>0.23849999999999999</v>
      </c>
      <c r="I20" s="51">
        <f>[37]f!I20</f>
        <v>1</v>
      </c>
    </row>
    <row r="21" spans="1:9" ht="20" customHeight="1" thickBot="1">
      <c r="A21" s="70" t="s">
        <v>555</v>
      </c>
      <c r="B21" s="201">
        <f>[37]f!B21</f>
        <v>0.58189999999999997</v>
      </c>
      <c r="C21" s="51">
        <f>[37]f!C21</f>
        <v>0.15310000000000001</v>
      </c>
      <c r="D21" s="146">
        <f>[37]f!D21</f>
        <v>4.87E-2</v>
      </c>
      <c r="E21" s="51">
        <f>[37]f!E21</f>
        <v>1.2699999999999999E-2</v>
      </c>
      <c r="F21" s="146">
        <f>[37]f!F21</f>
        <v>5.67E-2</v>
      </c>
      <c r="G21" s="202">
        <f>[37]f!G21</f>
        <v>0.2712</v>
      </c>
      <c r="H21" s="201">
        <f>[37]f!H21</f>
        <v>0.1469</v>
      </c>
      <c r="I21" s="51">
        <f>[37]f!I21</f>
        <v>1</v>
      </c>
    </row>
    <row r="22" spans="1:9" ht="20" customHeight="1" thickBot="1">
      <c r="A22" s="70" t="s">
        <v>556</v>
      </c>
      <c r="B22" s="201">
        <f>[37]f!B22</f>
        <v>0.62929999999999997</v>
      </c>
      <c r="C22" s="51">
        <f>[37]f!C22</f>
        <v>0.1356</v>
      </c>
      <c r="D22" s="146">
        <f>[37]f!D22</f>
        <v>4.3299999999999998E-2</v>
      </c>
      <c r="E22" s="51">
        <f>[37]f!E22</f>
        <v>1.0800000000000001E-2</v>
      </c>
      <c r="F22" s="146">
        <f>[37]f!F22</f>
        <v>4.8399999999999999E-2</v>
      </c>
      <c r="G22" s="202">
        <f>[37]f!G22</f>
        <v>0.23810000000000001</v>
      </c>
      <c r="H22" s="201">
        <f>[37]f!H22</f>
        <v>0.13270000000000001</v>
      </c>
      <c r="I22" s="51">
        <f>[37]f!I22</f>
        <v>1</v>
      </c>
    </row>
    <row r="23" spans="1:9" ht="20" customHeight="1" thickBot="1">
      <c r="A23" s="70" t="s">
        <v>557</v>
      </c>
      <c r="B23" s="201">
        <f>[37]f!B23</f>
        <v>0.55120000000000002</v>
      </c>
      <c r="C23" s="51">
        <f>[37]f!C23</f>
        <v>0.17730000000000001</v>
      </c>
      <c r="D23" s="146">
        <f>[37]f!D23</f>
        <v>4.2599999999999999E-2</v>
      </c>
      <c r="E23" s="51">
        <f>[37]f!E23</f>
        <v>1.21E-2</v>
      </c>
      <c r="F23" s="146">
        <f>[37]f!F23</f>
        <v>5.6099999999999997E-2</v>
      </c>
      <c r="G23" s="202">
        <f>[37]f!G23</f>
        <v>0.28810000000000002</v>
      </c>
      <c r="H23" s="201">
        <f>[37]f!H23</f>
        <v>0.16070000000000001</v>
      </c>
      <c r="I23" s="51">
        <f>[37]f!I23</f>
        <v>1</v>
      </c>
    </row>
    <row r="24" spans="1:9" ht="20" customHeight="1" thickBot="1">
      <c r="A24" s="70" t="s">
        <v>558</v>
      </c>
      <c r="B24" s="201">
        <f>[37]f!B24</f>
        <v>0.66379999999999995</v>
      </c>
      <c r="C24" s="51">
        <f>[37]f!C24</f>
        <v>0.1125</v>
      </c>
      <c r="D24" s="146">
        <f>[37]f!D24</f>
        <v>3.56E-2</v>
      </c>
      <c r="E24" s="51">
        <f>[37]f!E24</f>
        <v>1.01E-2</v>
      </c>
      <c r="F24" s="146">
        <f>[37]f!F24</f>
        <v>4.5199999999999997E-2</v>
      </c>
      <c r="G24" s="202">
        <f>[37]f!G24</f>
        <v>0.20349999999999999</v>
      </c>
      <c r="H24" s="201">
        <f>[37]f!H24</f>
        <v>0.13270000000000001</v>
      </c>
      <c r="I24" s="51">
        <f>[37]f!I24</f>
        <v>1</v>
      </c>
    </row>
    <row r="25" spans="1:9" ht="20" customHeight="1" thickBot="1">
      <c r="A25" s="70" t="s">
        <v>559</v>
      </c>
      <c r="B25" s="201">
        <f>[37]f!B25</f>
        <v>0.50060000000000004</v>
      </c>
      <c r="C25" s="51">
        <f>[37]f!C25</f>
        <v>0.1832</v>
      </c>
      <c r="D25" s="146">
        <f>[37]f!D25</f>
        <v>5.1299999999999998E-2</v>
      </c>
      <c r="E25" s="51">
        <f>[37]f!E25</f>
        <v>1.3899999999999999E-2</v>
      </c>
      <c r="F25" s="146">
        <f>[37]f!F25</f>
        <v>5.6599999999999998E-2</v>
      </c>
      <c r="G25" s="202">
        <f>[37]f!G25</f>
        <v>0.30499999999999999</v>
      </c>
      <c r="H25" s="201">
        <f>[37]f!H25</f>
        <v>0.19439999999999999</v>
      </c>
      <c r="I25" s="51">
        <f>[37]f!I25</f>
        <v>1</v>
      </c>
    </row>
    <row r="26" spans="1:9" ht="20" customHeight="1" thickBot="1">
      <c r="A26" s="70" t="s">
        <v>560</v>
      </c>
      <c r="B26" s="201">
        <f>[37]f!B26</f>
        <v>0.49</v>
      </c>
      <c r="C26" s="51">
        <f>[37]f!C26</f>
        <v>0.13159999999999999</v>
      </c>
      <c r="D26" s="146">
        <f>[37]f!D26</f>
        <v>4.7100000000000003E-2</v>
      </c>
      <c r="E26" s="51">
        <f>[37]f!E26</f>
        <v>1.2800000000000001E-2</v>
      </c>
      <c r="F26" s="146">
        <f>[37]f!F26</f>
        <v>6.1199999999999997E-2</v>
      </c>
      <c r="G26" s="202">
        <f>[37]f!G26</f>
        <v>0.25280000000000002</v>
      </c>
      <c r="H26" s="201">
        <f>[37]f!H26</f>
        <v>0.25719999999999998</v>
      </c>
      <c r="I26" s="51">
        <f>[37]f!I26</f>
        <v>1</v>
      </c>
    </row>
    <row r="27" spans="1:9" ht="20" customHeight="1" thickBot="1">
      <c r="A27" s="70" t="s">
        <v>561</v>
      </c>
      <c r="B27" s="201">
        <f>[37]f!B27</f>
        <v>0.37680000000000002</v>
      </c>
      <c r="C27" s="51">
        <f>[37]f!C27</f>
        <v>0.30109999999999998</v>
      </c>
      <c r="D27" s="146">
        <f>[37]f!D27</f>
        <v>0.1038</v>
      </c>
      <c r="E27" s="51">
        <f>[37]f!E27</f>
        <v>2.6200000000000001E-2</v>
      </c>
      <c r="F27" s="146">
        <f>[37]f!F27</f>
        <v>0.14940000000000001</v>
      </c>
      <c r="G27" s="202">
        <f>[37]f!G27</f>
        <v>0.58050000000000002</v>
      </c>
      <c r="H27" s="201">
        <f>[37]f!H27</f>
        <v>4.2700000000000002E-2</v>
      </c>
      <c r="I27" s="51">
        <f>[37]f!I27</f>
        <v>1</v>
      </c>
    </row>
    <row r="28" spans="1:9" ht="20" customHeight="1" thickBot="1">
      <c r="A28" s="70" t="s">
        <v>562</v>
      </c>
      <c r="B28" s="201">
        <f>[37]f!B28</f>
        <v>0.28839999999999999</v>
      </c>
      <c r="C28" s="51">
        <f>[37]f!C28</f>
        <v>0.25019999999999998</v>
      </c>
      <c r="D28" s="146">
        <f>[37]f!D28</f>
        <v>0.20730000000000001</v>
      </c>
      <c r="E28" s="51">
        <f>[37]f!E28</f>
        <v>5.7099999999999998E-2</v>
      </c>
      <c r="F28" s="146">
        <f>[37]f!F28</f>
        <v>0.16400000000000001</v>
      </c>
      <c r="G28" s="202">
        <f>[37]f!G28</f>
        <v>0.67869999999999997</v>
      </c>
      <c r="H28" s="201">
        <f>[37]f!H28</f>
        <v>3.2800000000000003E-2</v>
      </c>
      <c r="I28" s="51">
        <f>[37]f!I28</f>
        <v>1</v>
      </c>
    </row>
    <row r="29" spans="1:9" ht="20" customHeight="1" thickBot="1">
      <c r="A29" s="70" t="s">
        <v>563</v>
      </c>
      <c r="B29" s="201">
        <f>[37]f!B29</f>
        <v>0.55800000000000005</v>
      </c>
      <c r="C29" s="51">
        <f>[37]f!C29</f>
        <v>0.316</v>
      </c>
      <c r="D29" s="146">
        <f>[37]f!D29</f>
        <v>6.59E-2</v>
      </c>
      <c r="E29" s="51">
        <f>[37]f!E29</f>
        <v>1.83E-2</v>
      </c>
      <c r="F29" s="146">
        <f>[37]f!F29</f>
        <v>3.9300000000000002E-2</v>
      </c>
      <c r="G29" s="202">
        <f>[37]f!G29</f>
        <v>0.43959999999999999</v>
      </c>
      <c r="H29" s="201">
        <f>[37]f!H29</f>
        <v>2.3E-3</v>
      </c>
      <c r="I29" s="51">
        <f>[37]f!I29</f>
        <v>1</v>
      </c>
    </row>
    <row r="30" spans="1:9" ht="20" customHeight="1" thickBot="1">
      <c r="A30" s="70" t="s">
        <v>564</v>
      </c>
      <c r="B30" s="201">
        <f>[37]f!B30</f>
        <v>0.373</v>
      </c>
      <c r="C30" s="51">
        <f>[37]f!C30</f>
        <v>0.3417</v>
      </c>
      <c r="D30" s="146">
        <f>[37]f!D30</f>
        <v>0.14449999999999999</v>
      </c>
      <c r="E30" s="51">
        <f>[37]f!E30</f>
        <v>2.6599999999999999E-2</v>
      </c>
      <c r="F30" s="146">
        <f>[37]f!F30</f>
        <v>0.1109</v>
      </c>
      <c r="G30" s="202">
        <f>[37]f!G30</f>
        <v>0.62370000000000003</v>
      </c>
      <c r="H30" s="201">
        <f>[37]f!H30</f>
        <v>3.3E-3</v>
      </c>
      <c r="I30" s="51">
        <f>[37]f!I30</f>
        <v>1</v>
      </c>
    </row>
    <row r="31" spans="1:9" ht="20" customHeight="1" thickBot="1">
      <c r="A31" s="70" t="s">
        <v>565</v>
      </c>
      <c r="B31" s="201">
        <f>[37]f!B31</f>
        <v>0.34</v>
      </c>
      <c r="C31" s="51">
        <f>[37]f!C31</f>
        <v>0.28770000000000001</v>
      </c>
      <c r="D31" s="146">
        <f>[37]f!D31</f>
        <v>0.1474</v>
      </c>
      <c r="E31" s="51">
        <f>[37]f!E31</f>
        <v>3.6600000000000001E-2</v>
      </c>
      <c r="F31" s="146">
        <f>[37]f!F31</f>
        <v>0.13320000000000001</v>
      </c>
      <c r="G31" s="202">
        <f>[37]f!G31</f>
        <v>0.60489999999999999</v>
      </c>
      <c r="H31" s="201">
        <f>[37]f!H31</f>
        <v>5.5E-2</v>
      </c>
      <c r="I31" s="51">
        <f>[37]f!I31</f>
        <v>1</v>
      </c>
    </row>
    <row r="32" spans="1:9" ht="20" customHeight="1" thickBot="1">
      <c r="A32" s="73" t="s">
        <v>566</v>
      </c>
      <c r="B32" s="201">
        <f>[37]f!B32</f>
        <v>0.37640000000000001</v>
      </c>
      <c r="C32" s="51">
        <f>[37]f!C32</f>
        <v>0.31290000000000001</v>
      </c>
      <c r="D32" s="146">
        <f>[37]f!D32</f>
        <v>0.1459</v>
      </c>
      <c r="E32" s="51">
        <f>[37]f!E32</f>
        <v>2.41E-2</v>
      </c>
      <c r="F32" s="146">
        <f>[37]f!F32</f>
        <v>0.13750000000000001</v>
      </c>
      <c r="G32" s="202">
        <f>[37]f!G32</f>
        <v>0.62050000000000005</v>
      </c>
      <c r="H32" s="201">
        <f>[37]f!H32</f>
        <v>3.0999999999999999E-3</v>
      </c>
      <c r="I32" s="51">
        <f>[37]f!I32</f>
        <v>1</v>
      </c>
    </row>
    <row r="33" spans="1:9" ht="30" customHeight="1" thickBot="1">
      <c r="A33" s="78" t="s">
        <v>808</v>
      </c>
      <c r="B33" s="203">
        <f>[37]f!B33</f>
        <v>0.4501</v>
      </c>
      <c r="C33" s="174">
        <f>[37]f!C33</f>
        <v>0.2591</v>
      </c>
      <c r="D33" s="203">
        <f>[37]f!D33</f>
        <v>9.2299999999999993E-2</v>
      </c>
      <c r="E33" s="174">
        <f>[37]f!E33</f>
        <v>2.3099999999999999E-2</v>
      </c>
      <c r="F33" s="203">
        <f>[37]f!F33</f>
        <v>9.0200000000000002E-2</v>
      </c>
      <c r="G33" s="174">
        <f>[37]f!G33</f>
        <v>0.46479999999999999</v>
      </c>
      <c r="H33" s="204">
        <f>[37]f!H33</f>
        <v>8.5000000000000006E-2</v>
      </c>
      <c r="I33" s="205">
        <f>[37]f!I33</f>
        <v>1</v>
      </c>
    </row>
    <row r="34" spans="1:9" ht="20" customHeight="1">
      <c r="A34" s="28" t="s">
        <v>803</v>
      </c>
      <c r="B34" s="206"/>
      <c r="C34" s="28"/>
      <c r="D34" s="28"/>
      <c r="E34" s="28"/>
      <c r="F34" s="28"/>
      <c r="G34" s="207"/>
      <c r="I34" s="208"/>
    </row>
    <row r="35" spans="1:9" ht="12" customHeight="1">
      <c r="A35" s="7" t="s">
        <v>809</v>
      </c>
    </row>
    <row r="36" spans="1:9" ht="12" customHeight="1"/>
    <row r="37" spans="1:9" ht="12" customHeight="1"/>
    <row r="38" spans="1:9" ht="12" customHeight="1"/>
  </sheetData>
  <mergeCells count="1">
    <mergeCell ref="C3:G3"/>
  </mergeCells>
  <phoneticPr fontId="0" type="noConversion"/>
  <pageMargins left="0.43" right="0.28000000000000003" top="1.1200000000000001" bottom="0.49" header="0.72" footer="0.4921259845"/>
  <pageSetup paperSize="9" scale="75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6062-F87B-A744-BAB9-270ADD7E83B1}">
  <dimension ref="A1:H16"/>
  <sheetViews>
    <sheetView zoomScale="75" workbookViewId="0">
      <selection activeCell="B6" sqref="B6"/>
    </sheetView>
  </sheetViews>
  <sheetFormatPr baseColWidth="10" defaultColWidth="11.3984375" defaultRowHeight="13"/>
  <cols>
    <col min="1" max="1" width="14.796875" style="7" customWidth="1"/>
    <col min="2" max="2" width="14.796875" style="81" customWidth="1"/>
    <col min="3" max="4" width="12.19921875" style="7" customWidth="1"/>
    <col min="5" max="5" width="12.59765625" style="7" customWidth="1"/>
    <col min="6" max="6" width="15.19921875" style="81" customWidth="1"/>
    <col min="7" max="7" width="16" style="209" customWidth="1"/>
    <col min="8" max="8" width="13.796875" style="7" customWidth="1"/>
    <col min="9" max="16384" width="11.3984375" style="7"/>
  </cols>
  <sheetData>
    <row r="1" spans="1:8" s="1" customFormat="1" ht="14" customHeight="1">
      <c r="A1" s="163"/>
      <c r="B1" s="210"/>
      <c r="C1" s="163"/>
      <c r="D1" s="163"/>
      <c r="E1" s="163"/>
      <c r="F1" s="210"/>
      <c r="G1" s="211"/>
    </row>
    <row r="2" spans="1:8" s="1" customFormat="1" ht="28" customHeight="1">
      <c r="A2" s="164" t="s">
        <v>810</v>
      </c>
      <c r="B2" s="210"/>
      <c r="C2" s="163"/>
      <c r="D2" s="163"/>
      <c r="E2" s="163"/>
      <c r="F2" s="212"/>
      <c r="G2" s="213"/>
    </row>
    <row r="3" spans="1:8" ht="27" customHeight="1">
      <c r="A3" s="41" t="s">
        <v>620</v>
      </c>
      <c r="B3" s="194" t="s">
        <v>621</v>
      </c>
      <c r="C3" s="864" t="s">
        <v>636</v>
      </c>
      <c r="D3" s="864"/>
      <c r="E3" s="864"/>
      <c r="F3" s="195"/>
      <c r="G3" s="144" t="s">
        <v>796</v>
      </c>
      <c r="H3" s="6" t="s">
        <v>514</v>
      </c>
    </row>
    <row r="4" spans="1:8" ht="15" customHeight="1">
      <c r="A4" s="61"/>
      <c r="B4" s="195" t="s">
        <v>625</v>
      </c>
      <c r="C4" s="61"/>
      <c r="D4" s="62"/>
      <c r="E4" s="44"/>
      <c r="F4" s="195" t="s">
        <v>514</v>
      </c>
      <c r="G4" s="196" t="s">
        <v>627</v>
      </c>
      <c r="H4" s="12"/>
    </row>
    <row r="5" spans="1:8" ht="15" customHeight="1">
      <c r="A5" s="61"/>
      <c r="B5" s="195" t="s">
        <v>629</v>
      </c>
      <c r="C5" s="61" t="s">
        <v>811</v>
      </c>
      <c r="D5" s="62" t="s">
        <v>812</v>
      </c>
      <c r="E5" s="44" t="s">
        <v>813</v>
      </c>
      <c r="F5" s="195"/>
      <c r="G5" s="196" t="s">
        <v>801</v>
      </c>
      <c r="H5" s="12"/>
    </row>
    <row r="6" spans="1:8" ht="24" customHeight="1">
      <c r="A6" s="64"/>
      <c r="B6" s="198" t="s">
        <v>814</v>
      </c>
      <c r="C6" s="64"/>
      <c r="D6" s="65"/>
      <c r="E6" s="47"/>
      <c r="F6" s="198"/>
      <c r="G6" s="199"/>
      <c r="H6" s="16"/>
    </row>
    <row r="7" spans="1:8" ht="20" customHeight="1" thickBot="1">
      <c r="A7" s="200">
        <v>1997</v>
      </c>
      <c r="B7" s="201">
        <f>[38]f!B7</f>
        <v>0.8206</v>
      </c>
      <c r="C7" s="51">
        <f>[38]f!C7</f>
        <v>9.915910780669146E-2</v>
      </c>
      <c r="D7" s="146">
        <f>[38]f!D7</f>
        <v>2.4563271375464685E-2</v>
      </c>
      <c r="E7" s="51">
        <f>[38]f!E7</f>
        <v>1.1677620817843865E-2</v>
      </c>
      <c r="F7" s="201">
        <f>[38]f!F7</f>
        <v>0.13550000000000001</v>
      </c>
      <c r="G7" s="202">
        <f>[38]f!G7</f>
        <v>4.3900000000000002E-2</v>
      </c>
      <c r="H7" s="146">
        <f>[38]f!H7</f>
        <v>1</v>
      </c>
    </row>
    <row r="8" spans="1:8" ht="20" customHeight="1" thickBot="1">
      <c r="A8" s="70">
        <v>1998</v>
      </c>
      <c r="B8" s="201">
        <f>[38]f!B8</f>
        <v>0.8075</v>
      </c>
      <c r="C8" s="51">
        <f>[38]f!C8</f>
        <v>8.9319669551534225E-2</v>
      </c>
      <c r="D8" s="146">
        <f>[38]f!D8</f>
        <v>2.1300078678206137E-2</v>
      </c>
      <c r="E8" s="51">
        <f>[38]f!E8</f>
        <v>1.7080251770259638E-2</v>
      </c>
      <c r="F8" s="201">
        <f>[38]f!F8</f>
        <v>0.12759999999999999</v>
      </c>
      <c r="G8" s="202">
        <f>[38]f!G8</f>
        <v>6.4899999999999999E-2</v>
      </c>
      <c r="H8" s="146">
        <f>[38]f!H8</f>
        <v>1</v>
      </c>
    </row>
    <row r="9" spans="1:8" ht="20" customHeight="1" thickBot="1">
      <c r="A9" s="70">
        <v>1999</v>
      </c>
      <c r="B9" s="201">
        <f>[38]f!B9</f>
        <v>0.80579999999999996</v>
      </c>
      <c r="C9" s="51">
        <f>[38]f!C9</f>
        <v>8.0600000000000005E-2</v>
      </c>
      <c r="D9" s="146">
        <f>[38]f!D9</f>
        <v>1.9599999999999999E-2</v>
      </c>
      <c r="E9" s="51">
        <f>[38]f!E9</f>
        <v>2.2200000000000001E-2</v>
      </c>
      <c r="F9" s="201">
        <f>[38]f!F9</f>
        <v>0.1226</v>
      </c>
      <c r="G9" s="202">
        <f>[38]f!G9</f>
        <v>7.17E-2</v>
      </c>
      <c r="H9" s="146">
        <f>[38]f!H9</f>
        <v>1</v>
      </c>
    </row>
    <row r="10" spans="1:8" ht="20" customHeight="1" thickBot="1">
      <c r="A10" s="73">
        <v>2000</v>
      </c>
      <c r="B10" s="201">
        <f>[38]f!B10</f>
        <v>0.8034</v>
      </c>
      <c r="C10" s="51">
        <f>[38]f!C10</f>
        <v>7.5622923588039861E-2</v>
      </c>
      <c r="D10" s="146">
        <f>[38]f!D10</f>
        <v>1.9056976744186046E-2</v>
      </c>
      <c r="E10" s="51">
        <f>[38]f!E10</f>
        <v>2.6720099667774087E-2</v>
      </c>
      <c r="F10" s="201">
        <f>[38]f!F10</f>
        <v>0.12139999999999999</v>
      </c>
      <c r="G10" s="202">
        <f>[38]f!G10</f>
        <v>7.5200000000000003E-2</v>
      </c>
      <c r="H10" s="146">
        <f>[38]f!H10</f>
        <v>1</v>
      </c>
    </row>
    <row r="11" spans="1:8" ht="30" customHeight="1" thickBot="1">
      <c r="A11" s="78">
        <v>2001</v>
      </c>
      <c r="B11" s="203">
        <f>[38]f!B11</f>
        <v>0.80359999999999998</v>
      </c>
      <c r="C11" s="174">
        <f>[38]f!C11</f>
        <v>7.1444453924914678E-2</v>
      </c>
      <c r="D11" s="203">
        <f>[38]f!D11</f>
        <v>1.6425170648464164E-2</v>
      </c>
      <c r="E11" s="174">
        <f>[38]f!E11</f>
        <v>3.0230375426621159E-2</v>
      </c>
      <c r="F11" s="203">
        <f>[38]f!F11</f>
        <v>0.1181</v>
      </c>
      <c r="G11" s="174">
        <f>[38]f!G11</f>
        <v>7.8299999999999995E-2</v>
      </c>
      <c r="H11" s="214">
        <f>[38]f!H11</f>
        <v>1</v>
      </c>
    </row>
    <row r="12" spans="1:8" ht="20" customHeight="1">
      <c r="A12" s="28" t="s">
        <v>803</v>
      </c>
      <c r="B12" s="215"/>
      <c r="C12" s="166"/>
      <c r="D12" s="166"/>
      <c r="E12" s="166"/>
      <c r="F12" s="215"/>
      <c r="G12" s="216"/>
    </row>
    <row r="13" spans="1:8" ht="15.75" customHeight="1">
      <c r="A13" s="7" t="s">
        <v>815</v>
      </c>
      <c r="B13" s="217"/>
      <c r="C13" s="218"/>
      <c r="D13" s="218"/>
      <c r="E13" s="218"/>
      <c r="F13" s="217"/>
      <c r="G13" s="219"/>
    </row>
    <row r="14" spans="1:8" ht="12" customHeight="1"/>
    <row r="15" spans="1:8" ht="12" customHeight="1"/>
    <row r="16" spans="1:8" ht="12" customHeight="1"/>
  </sheetData>
  <mergeCells count="1">
    <mergeCell ref="C3:E3"/>
  </mergeCells>
  <phoneticPr fontId="0" type="noConversion"/>
  <pageMargins left="0.45" right="0.21" top="1.1200000000000001" bottom="0.49" header="0.74" footer="0.4921259845"/>
  <pageSetup paperSize="9" scale="75" orientation="portrait" horizontalDpi="4294967292" verticalDpi="4294967292"/>
  <headerFooter alignWithMargins="0">
    <oddHeader>&amp;L&amp;"Arial,Bold"&amp;14Versicherte und Finanzen in der OKP</oddHeader>
    <oddFooter>&amp;L&amp;"Arial,Regular"Statistik der Krankenversicherung, Bundesmat für Sozialversicherung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EADA9-3329-E34A-A3C5-A94261DAB65F}">
  <dimension ref="A1:H38"/>
  <sheetViews>
    <sheetView topLeftCell="A19" zoomScale="75" workbookViewId="0">
      <selection activeCell="C3" sqref="C3:E3"/>
    </sheetView>
  </sheetViews>
  <sheetFormatPr baseColWidth="10" defaultColWidth="11.3984375" defaultRowHeight="13"/>
  <cols>
    <col min="1" max="1" width="14.796875" style="7" customWidth="1"/>
    <col min="2" max="2" width="14.796875" style="81" customWidth="1"/>
    <col min="3" max="4" width="12.19921875" style="7" customWidth="1"/>
    <col min="5" max="5" width="12.59765625" style="7" customWidth="1"/>
    <col min="6" max="6" width="15.19921875" style="81" customWidth="1"/>
    <col min="7" max="7" width="15.3984375" style="209" customWidth="1"/>
    <col min="8" max="8" width="13.796875" style="7" customWidth="1"/>
    <col min="9" max="16384" width="11.3984375" style="7"/>
  </cols>
  <sheetData>
    <row r="1" spans="1:8" s="1" customFormat="1" ht="14" customHeight="1">
      <c r="A1" s="163"/>
      <c r="B1" s="210"/>
      <c r="C1" s="163"/>
      <c r="D1" s="163"/>
      <c r="E1" s="163"/>
      <c r="F1" s="210"/>
      <c r="G1" s="211"/>
    </row>
    <row r="2" spans="1:8" s="1" customFormat="1" ht="28" customHeight="1">
      <c r="A2" s="164" t="str">
        <f>"T 1.38  Verteilung der Versicherungsformen in % nach Kanton - Versicherte 0-18 Jahre - "&amp;'[2]data an-1'!$B$2</f>
        <v>T 1.38  Verteilung der Versicherungsformen in % nach Kanton - Versicherte 0-18 Jahre - 2001</v>
      </c>
      <c r="B2" s="210"/>
      <c r="C2" s="163"/>
      <c r="D2" s="163"/>
      <c r="E2" s="163"/>
      <c r="F2" s="212"/>
      <c r="G2" s="213"/>
    </row>
    <row r="3" spans="1:8" ht="27" customHeight="1">
      <c r="A3" s="41" t="s">
        <v>537</v>
      </c>
      <c r="B3" s="194" t="s">
        <v>621</v>
      </c>
      <c r="C3" s="862" t="s">
        <v>636</v>
      </c>
      <c r="D3" s="862"/>
      <c r="E3" s="862"/>
      <c r="F3" s="195"/>
      <c r="G3" s="144" t="s">
        <v>796</v>
      </c>
      <c r="H3" s="6" t="s">
        <v>514</v>
      </c>
    </row>
    <row r="4" spans="1:8" ht="15" customHeight="1">
      <c r="A4" s="61"/>
      <c r="B4" s="195" t="s">
        <v>625</v>
      </c>
      <c r="C4" s="61"/>
      <c r="D4" s="62"/>
      <c r="E4" s="44"/>
      <c r="F4" s="195" t="s">
        <v>514</v>
      </c>
      <c r="G4" s="196" t="s">
        <v>627</v>
      </c>
      <c r="H4" s="12"/>
    </row>
    <row r="5" spans="1:8" ht="15" customHeight="1">
      <c r="A5" s="61"/>
      <c r="B5" s="195" t="s">
        <v>629</v>
      </c>
      <c r="C5" s="61" t="s">
        <v>811</v>
      </c>
      <c r="D5" s="62" t="s">
        <v>812</v>
      </c>
      <c r="E5" s="44" t="s">
        <v>813</v>
      </c>
      <c r="F5" s="195"/>
      <c r="G5" s="196" t="s">
        <v>801</v>
      </c>
      <c r="H5" s="12"/>
    </row>
    <row r="6" spans="1:8" ht="24" customHeight="1">
      <c r="A6" s="64"/>
      <c r="B6" s="198" t="s">
        <v>814</v>
      </c>
      <c r="C6" s="64"/>
      <c r="D6" s="65"/>
      <c r="E6" s="47"/>
      <c r="F6" s="198"/>
      <c r="G6" s="199"/>
      <c r="H6" s="16"/>
    </row>
    <row r="7" spans="1:8" ht="30" customHeight="1" thickBot="1">
      <c r="A7" s="67" t="s">
        <v>541</v>
      </c>
      <c r="B7" s="201">
        <f>[39]f!B7</f>
        <v>0.81659999999999999</v>
      </c>
      <c r="C7" s="51">
        <f>[39]f!C7</f>
        <v>5.7101775147928996E-2</v>
      </c>
      <c r="D7" s="146">
        <f>[39]f!D7</f>
        <v>8.1862721893491124E-3</v>
      </c>
      <c r="E7" s="51">
        <f>[39]f!E7</f>
        <v>2.0111952662721894E-2</v>
      </c>
      <c r="F7" s="201">
        <f>[39]f!F7</f>
        <v>8.5300000000000001E-2</v>
      </c>
      <c r="G7" s="202">
        <f>[39]f!G7</f>
        <v>9.8100000000000007E-2</v>
      </c>
      <c r="H7" s="146">
        <f>[39]f!H7</f>
        <v>1</v>
      </c>
    </row>
    <row r="8" spans="1:8" ht="20" customHeight="1" thickBot="1">
      <c r="A8" s="70" t="s">
        <v>542</v>
      </c>
      <c r="B8" s="201">
        <f>[39]f!B8</f>
        <v>0.80930000000000002</v>
      </c>
      <c r="C8" s="51">
        <f>[39]f!C8</f>
        <v>8.8700000000000001E-2</v>
      </c>
      <c r="D8" s="146">
        <f>[39]f!D8</f>
        <v>9.9000000000000008E-3</v>
      </c>
      <c r="E8" s="51">
        <f>[39]f!E8</f>
        <v>2.1399999999999999E-2</v>
      </c>
      <c r="F8" s="201">
        <f>[39]f!F8</f>
        <v>0.1201</v>
      </c>
      <c r="G8" s="202">
        <f>[39]f!G8</f>
        <v>7.0599999999999996E-2</v>
      </c>
      <c r="H8" s="146">
        <f>[39]f!H8</f>
        <v>1</v>
      </c>
    </row>
    <row r="9" spans="1:8" ht="20" customHeight="1" thickBot="1">
      <c r="A9" s="70" t="s">
        <v>543</v>
      </c>
      <c r="B9" s="201">
        <f>[39]f!B9</f>
        <v>0.93269999999999997</v>
      </c>
      <c r="C9" s="51">
        <f>[39]f!C9</f>
        <v>1.7500000000000002E-2</v>
      </c>
      <c r="D9" s="146">
        <f>[39]f!D9</f>
        <v>5.3E-3</v>
      </c>
      <c r="E9" s="51">
        <f>[39]f!E9</f>
        <v>1.4800000000000001E-2</v>
      </c>
      <c r="F9" s="201">
        <f>[39]f!F9</f>
        <v>3.7600000000000001E-2</v>
      </c>
      <c r="G9" s="202">
        <f>[39]f!G9</f>
        <v>2.9700000000000001E-2</v>
      </c>
      <c r="H9" s="146">
        <f>[39]f!H9</f>
        <v>1</v>
      </c>
    </row>
    <row r="10" spans="1:8" ht="20" customHeight="1" thickBot="1">
      <c r="A10" s="70" t="s">
        <v>544</v>
      </c>
      <c r="B10" s="201">
        <f>[39]f!B10</f>
        <v>0.9365</v>
      </c>
      <c r="C10" s="51">
        <f>[39]f!C10</f>
        <v>1.7299999999999999E-2</v>
      </c>
      <c r="D10" s="146">
        <f>[39]f!D10</f>
        <v>2.3900000000000001E-2</v>
      </c>
      <c r="E10" s="51">
        <f>[39]f!E10</f>
        <v>2.01E-2</v>
      </c>
      <c r="F10" s="201">
        <f>[39]f!F10</f>
        <v>6.13E-2</v>
      </c>
      <c r="G10" s="202">
        <f>[39]f!G10</f>
        <v>2.2000000000000001E-3</v>
      </c>
      <c r="H10" s="146">
        <f>[39]f!H10</f>
        <v>1</v>
      </c>
    </row>
    <row r="11" spans="1:8" ht="20" customHeight="1" thickBot="1">
      <c r="A11" s="70" t="s">
        <v>545</v>
      </c>
      <c r="B11" s="201">
        <f>[39]f!B11</f>
        <v>0.93640000000000001</v>
      </c>
      <c r="C11" s="51">
        <f>[39]f!C11</f>
        <v>3.15E-2</v>
      </c>
      <c r="D11" s="146">
        <f>[39]f!D11</f>
        <v>5.1000000000000004E-3</v>
      </c>
      <c r="E11" s="51">
        <f>[39]f!E11</f>
        <v>1.38E-2</v>
      </c>
      <c r="F11" s="201">
        <f>[39]f!F11</f>
        <v>5.04E-2</v>
      </c>
      <c r="G11" s="202">
        <f>[39]f!G11</f>
        <v>1.32E-2</v>
      </c>
      <c r="H11" s="146">
        <f>[39]f!H11</f>
        <v>1</v>
      </c>
    </row>
    <row r="12" spans="1:8" ht="20" customHeight="1" thickBot="1">
      <c r="A12" s="70" t="s">
        <v>546</v>
      </c>
      <c r="B12" s="201">
        <f>[39]f!B12</f>
        <v>0.94199999999999995</v>
      </c>
      <c r="C12" s="51">
        <f>[39]f!C12</f>
        <v>2.8199999999999999E-2</v>
      </c>
      <c r="D12" s="146">
        <f>[39]f!D12</f>
        <v>8.3999999999999995E-3</v>
      </c>
      <c r="E12" s="51">
        <f>[39]f!E12</f>
        <v>1.4800000000000001E-2</v>
      </c>
      <c r="F12" s="201">
        <f>[39]f!F12</f>
        <v>5.1299999999999998E-2</v>
      </c>
      <c r="G12" s="202">
        <f>[39]f!G12</f>
        <v>6.7000000000000002E-3</v>
      </c>
      <c r="H12" s="146">
        <f>[39]f!H12</f>
        <v>1</v>
      </c>
    </row>
    <row r="13" spans="1:8" ht="20" customHeight="1" thickBot="1">
      <c r="A13" s="70" t="s">
        <v>547</v>
      </c>
      <c r="B13" s="201">
        <f>[39]f!B13</f>
        <v>0.92659999999999998</v>
      </c>
      <c r="C13" s="51">
        <f>[39]f!C13</f>
        <v>2.0799999999999999E-2</v>
      </c>
      <c r="D13" s="146">
        <f>[39]f!D13</f>
        <v>3.7000000000000002E-3</v>
      </c>
      <c r="E13" s="51">
        <f>[39]f!E13</f>
        <v>3.9800000000000002E-2</v>
      </c>
      <c r="F13" s="201">
        <f>[39]f!F13</f>
        <v>6.4299999999999996E-2</v>
      </c>
      <c r="G13" s="202">
        <f>[39]f!G13</f>
        <v>9.1000000000000004E-3</v>
      </c>
      <c r="H13" s="146">
        <f>[39]f!H13</f>
        <v>1</v>
      </c>
    </row>
    <row r="14" spans="1:8" ht="20" customHeight="1" thickBot="1">
      <c r="A14" s="70" t="s">
        <v>548</v>
      </c>
      <c r="B14" s="201">
        <f>[39]f!B14</f>
        <v>0.94499999999999995</v>
      </c>
      <c r="C14" s="51">
        <f>[39]f!C14</f>
        <v>2.305897435897436E-2</v>
      </c>
      <c r="D14" s="146">
        <f>[39]f!D14</f>
        <v>4.311025641025641E-3</v>
      </c>
      <c r="E14" s="51">
        <f>[39]f!E14</f>
        <v>1.1730000000000001E-2</v>
      </c>
      <c r="F14" s="201">
        <f>[39]f!F14</f>
        <v>3.9100000000000003E-2</v>
      </c>
      <c r="G14" s="202">
        <f>[39]f!G14</f>
        <v>1.6E-2</v>
      </c>
      <c r="H14" s="146">
        <f>[39]f!H14</f>
        <v>1</v>
      </c>
    </row>
    <row r="15" spans="1:8" ht="20" customHeight="1" thickBot="1">
      <c r="A15" s="70" t="s">
        <v>549</v>
      </c>
      <c r="B15" s="201">
        <f>[39]f!B15</f>
        <v>0.9304</v>
      </c>
      <c r="C15" s="51">
        <f>[39]f!C15</f>
        <v>3.4466537717601546E-2</v>
      </c>
      <c r="D15" s="146">
        <f>[39]f!D15</f>
        <v>4.7090909090909093E-3</v>
      </c>
      <c r="E15" s="51">
        <f>[39]f!E15</f>
        <v>1.2624371373307543E-2</v>
      </c>
      <c r="F15" s="201">
        <f>[39]f!F15</f>
        <v>5.1700000000000003E-2</v>
      </c>
      <c r="G15" s="202">
        <f>[39]f!G15</f>
        <v>1.7899999999999999E-2</v>
      </c>
      <c r="H15" s="146">
        <f>[39]f!H15</f>
        <v>1</v>
      </c>
    </row>
    <row r="16" spans="1:8" ht="20" customHeight="1" thickBot="1">
      <c r="A16" s="70" t="s">
        <v>550</v>
      </c>
      <c r="B16" s="201">
        <f>[39]f!B16</f>
        <v>0.85450000000000004</v>
      </c>
      <c r="C16" s="51">
        <f>[39]f!C16</f>
        <v>9.1999999999999998E-2</v>
      </c>
      <c r="D16" s="146">
        <f>[39]f!D16</f>
        <v>2.0799999999999999E-2</v>
      </c>
      <c r="E16" s="51">
        <f>[39]f!E16</f>
        <v>2.3900000000000001E-2</v>
      </c>
      <c r="F16" s="201">
        <f>[39]f!F16</f>
        <v>0.13669999999999999</v>
      </c>
      <c r="G16" s="202">
        <f>[39]f!G16</f>
        <v>8.8999999999999999E-3</v>
      </c>
      <c r="H16" s="146">
        <f>[39]f!H16</f>
        <v>1</v>
      </c>
    </row>
    <row r="17" spans="1:8" ht="20" customHeight="1" thickBot="1">
      <c r="A17" s="70" t="s">
        <v>551</v>
      </c>
      <c r="B17" s="201">
        <f>[39]f!B17</f>
        <v>0.89870000000000005</v>
      </c>
      <c r="C17" s="51">
        <f>[39]f!C17</f>
        <v>4.3400000000000001E-2</v>
      </c>
      <c r="D17" s="146">
        <f>[39]f!D17</f>
        <v>1.04E-2</v>
      </c>
      <c r="E17" s="51">
        <f>[39]f!E17</f>
        <v>1.67E-2</v>
      </c>
      <c r="F17" s="201">
        <f>[39]f!F17</f>
        <v>7.0599999999999996E-2</v>
      </c>
      <c r="G17" s="202">
        <f>[39]f!G17</f>
        <v>3.0700000000000002E-2</v>
      </c>
      <c r="H17" s="146">
        <f>[39]f!H17</f>
        <v>1</v>
      </c>
    </row>
    <row r="18" spans="1:8" ht="20" customHeight="1" thickBot="1">
      <c r="A18" s="70" t="s">
        <v>552</v>
      </c>
      <c r="B18" s="201">
        <f>[39]f!B18</f>
        <v>0.78349999999999997</v>
      </c>
      <c r="C18" s="51">
        <f>[39]f!C18</f>
        <v>4.58E-2</v>
      </c>
      <c r="D18" s="146">
        <f>[39]f!D18</f>
        <v>1.5100000000000001E-2</v>
      </c>
      <c r="E18" s="51">
        <f>[39]f!E18</f>
        <v>3.1199999999999999E-2</v>
      </c>
      <c r="F18" s="201">
        <f>[39]f!F18</f>
        <v>9.2100000000000001E-2</v>
      </c>
      <c r="G18" s="202">
        <f>[39]f!G18</f>
        <v>0.1244</v>
      </c>
      <c r="H18" s="146">
        <f>[39]f!H18</f>
        <v>1</v>
      </c>
    </row>
    <row r="19" spans="1:8" ht="20" customHeight="1" thickBot="1">
      <c r="A19" s="70" t="s">
        <v>553</v>
      </c>
      <c r="B19" s="201">
        <f>[39]f!B19</f>
        <v>0.85329999999999995</v>
      </c>
      <c r="C19" s="51">
        <f>[39]f!C19</f>
        <v>4.8599999999999997E-2</v>
      </c>
      <c r="D19" s="146">
        <f>[39]f!D19</f>
        <v>8.5000000000000006E-3</v>
      </c>
      <c r="E19" s="51">
        <f>[39]f!E19</f>
        <v>2.3400000000000001E-2</v>
      </c>
      <c r="F19" s="201">
        <f>[39]f!F19</f>
        <v>8.0500000000000002E-2</v>
      </c>
      <c r="G19" s="202">
        <f>[39]f!G19</f>
        <v>6.6199999999999995E-2</v>
      </c>
      <c r="H19" s="146">
        <f>[39]f!H19</f>
        <v>1</v>
      </c>
    </row>
    <row r="20" spans="1:8" ht="20" customHeight="1" thickBot="1">
      <c r="A20" s="70" t="s">
        <v>554</v>
      </c>
      <c r="B20" s="201">
        <f>[39]f!B20</f>
        <v>0.75290000000000001</v>
      </c>
      <c r="C20" s="51">
        <f>[39]f!C20</f>
        <v>2.5253731343283584E-2</v>
      </c>
      <c r="D20" s="146">
        <f>[39]f!D20</f>
        <v>2.6055437100213218E-3</v>
      </c>
      <c r="E20" s="51">
        <f>[39]f!E20</f>
        <v>1.9140724946695095E-2</v>
      </c>
      <c r="F20" s="201">
        <f>[39]f!F20</f>
        <v>4.7199999999999999E-2</v>
      </c>
      <c r="G20" s="202">
        <f>[39]f!G20</f>
        <v>0.19989999999999999</v>
      </c>
      <c r="H20" s="146">
        <f>[39]f!H20</f>
        <v>1</v>
      </c>
    </row>
    <row r="21" spans="1:8" ht="20" customHeight="1" thickBot="1">
      <c r="A21" s="70" t="s">
        <v>555</v>
      </c>
      <c r="B21" s="201">
        <f>[39]f!B21</f>
        <v>0.8276</v>
      </c>
      <c r="C21" s="51">
        <f>[39]f!C21</f>
        <v>1.7600000000000001E-2</v>
      </c>
      <c r="D21" s="146">
        <f>[39]f!D21</f>
        <v>3.8E-3</v>
      </c>
      <c r="E21" s="51">
        <f>[39]f!E21</f>
        <v>9.4000000000000004E-3</v>
      </c>
      <c r="F21" s="201">
        <f>[39]f!F21</f>
        <v>3.0800000000000001E-2</v>
      </c>
      <c r="G21" s="202">
        <f>[39]f!G21</f>
        <v>0.1416</v>
      </c>
      <c r="H21" s="146">
        <f>[39]f!H21</f>
        <v>1</v>
      </c>
    </row>
    <row r="22" spans="1:8" ht="20" customHeight="1" thickBot="1">
      <c r="A22" s="70" t="s">
        <v>556</v>
      </c>
      <c r="B22" s="201">
        <f>[39]f!B22</f>
        <v>0.83909999999999996</v>
      </c>
      <c r="C22" s="51">
        <f>[39]f!C22</f>
        <v>6.4000000000000003E-3</v>
      </c>
      <c r="D22" s="146">
        <f>[39]f!D22</f>
        <v>2.5000000000000001E-3</v>
      </c>
      <c r="E22" s="51">
        <f>[39]f!E22</f>
        <v>4.5999999999999999E-3</v>
      </c>
      <c r="F22" s="201">
        <f>[39]f!F22</f>
        <v>1.34E-2</v>
      </c>
      <c r="G22" s="202">
        <f>[39]f!G22</f>
        <v>0.14749999999999999</v>
      </c>
      <c r="H22" s="146">
        <f>[39]f!H22</f>
        <v>1</v>
      </c>
    </row>
    <row r="23" spans="1:8" ht="20" customHeight="1" thickBot="1">
      <c r="A23" s="70" t="s">
        <v>557</v>
      </c>
      <c r="B23" s="201">
        <f>[39]f!B23</f>
        <v>0.8246</v>
      </c>
      <c r="C23" s="51">
        <f>[39]f!C23</f>
        <v>2.3085175202156333E-2</v>
      </c>
      <c r="D23" s="146">
        <f>[39]f!D23</f>
        <v>3.528301886792453E-3</v>
      </c>
      <c r="E23" s="51">
        <f>[39]f!E23</f>
        <v>1.0786522911051212E-2</v>
      </c>
      <c r="F23" s="201">
        <f>[39]f!F23</f>
        <v>3.7400000000000003E-2</v>
      </c>
      <c r="G23" s="202">
        <f>[39]f!G23</f>
        <v>0.13789999999999999</v>
      </c>
      <c r="H23" s="146">
        <f>[39]f!H23</f>
        <v>1</v>
      </c>
    </row>
    <row r="24" spans="1:8" ht="20" customHeight="1" thickBot="1">
      <c r="A24" s="70" t="s">
        <v>558</v>
      </c>
      <c r="B24" s="201">
        <f>[39]f!B24</f>
        <v>0.82289999999999996</v>
      </c>
      <c r="C24" s="51">
        <f>[39]f!C24</f>
        <v>2.1202030456852788E-2</v>
      </c>
      <c r="D24" s="146">
        <f>[39]f!D24</f>
        <v>5.9918781725888321E-3</v>
      </c>
      <c r="E24" s="51">
        <f>[39]f!E24</f>
        <v>1.8206091370558376E-2</v>
      </c>
      <c r="F24" s="201">
        <f>[39]f!F24</f>
        <v>4.5400000000000003E-2</v>
      </c>
      <c r="G24" s="202">
        <f>[39]f!G24</f>
        <v>0.1318</v>
      </c>
      <c r="H24" s="146">
        <f>[39]f!H24</f>
        <v>1</v>
      </c>
    </row>
    <row r="25" spans="1:8" ht="20" customHeight="1" thickBot="1">
      <c r="A25" s="70" t="s">
        <v>559</v>
      </c>
      <c r="B25" s="201">
        <f>[39]f!B25</f>
        <v>0.78400000000000003</v>
      </c>
      <c r="C25" s="51">
        <f>[39]f!C25</f>
        <v>3.0300000000000001E-2</v>
      </c>
      <c r="D25" s="146">
        <f>[39]f!D25</f>
        <v>4.7999999999999996E-3</v>
      </c>
      <c r="E25" s="51">
        <f>[39]f!E25</f>
        <v>1.12E-2</v>
      </c>
      <c r="F25" s="201">
        <f>[39]f!F25</f>
        <v>4.6300000000000001E-2</v>
      </c>
      <c r="G25" s="202">
        <f>[39]f!G25</f>
        <v>0.16969999999999999</v>
      </c>
      <c r="H25" s="146">
        <f>[39]f!H25</f>
        <v>1</v>
      </c>
    </row>
    <row r="26" spans="1:8" ht="20" customHeight="1" thickBot="1">
      <c r="A26" s="70" t="s">
        <v>560</v>
      </c>
      <c r="B26" s="201">
        <f>[39]f!B26</f>
        <v>0.68259999999999998</v>
      </c>
      <c r="C26" s="51">
        <f>[39]f!C26</f>
        <v>2.3348717948717946E-2</v>
      </c>
      <c r="D26" s="146">
        <f>[39]f!D26</f>
        <v>7.0448717948717954E-3</v>
      </c>
      <c r="E26" s="51">
        <f>[39]f!E26</f>
        <v>1.6706410256410256E-2</v>
      </c>
      <c r="F26" s="201">
        <f>[39]f!F26</f>
        <v>4.7100000000000003E-2</v>
      </c>
      <c r="G26" s="202">
        <f>[39]f!G26</f>
        <v>0.27029999999999998</v>
      </c>
      <c r="H26" s="146">
        <f>[39]f!H26</f>
        <v>1</v>
      </c>
    </row>
    <row r="27" spans="1:8" ht="20" customHeight="1" thickBot="1">
      <c r="A27" s="70" t="s">
        <v>561</v>
      </c>
      <c r="B27" s="201">
        <f>[39]f!B27</f>
        <v>0.74829999999999997</v>
      </c>
      <c r="C27" s="51">
        <f>[39]f!C27</f>
        <v>0.11085782881002088</v>
      </c>
      <c r="D27" s="146">
        <f>[39]f!D27</f>
        <v>2.071080375782881E-2</v>
      </c>
      <c r="E27" s="51">
        <f>[39]f!E27</f>
        <v>6.0131367432150314E-2</v>
      </c>
      <c r="F27" s="201">
        <f>[39]f!F27</f>
        <v>0.1918</v>
      </c>
      <c r="G27" s="202">
        <f>[39]f!G27</f>
        <v>5.9900000000000002E-2</v>
      </c>
      <c r="H27" s="146">
        <f>[39]f!H27</f>
        <v>1</v>
      </c>
    </row>
    <row r="28" spans="1:8" ht="20" customHeight="1" thickBot="1">
      <c r="A28" s="70" t="s">
        <v>562</v>
      </c>
      <c r="B28" s="201">
        <f>[39]f!B28</f>
        <v>0.61729999999999996</v>
      </c>
      <c r="C28" s="51">
        <f>[39]f!C28</f>
        <v>0.17610000000000001</v>
      </c>
      <c r="D28" s="146">
        <f>[39]f!D28</f>
        <v>7.1300000000000002E-2</v>
      </c>
      <c r="E28" s="51">
        <f>[39]f!E28</f>
        <v>0.1129</v>
      </c>
      <c r="F28" s="201">
        <f>[39]f!F28</f>
        <v>0.3604</v>
      </c>
      <c r="G28" s="202">
        <f>[39]f!G28</f>
        <v>2.23E-2</v>
      </c>
      <c r="H28" s="146">
        <f>[39]f!H28</f>
        <v>1</v>
      </c>
    </row>
    <row r="29" spans="1:8" ht="20" customHeight="1" thickBot="1">
      <c r="A29" s="70" t="s">
        <v>563</v>
      </c>
      <c r="B29" s="201">
        <f>[39]f!B29</f>
        <v>0.85870000000000002</v>
      </c>
      <c r="C29" s="51">
        <f>[39]f!C29</f>
        <v>0.115</v>
      </c>
      <c r="D29" s="146">
        <f>[39]f!D29</f>
        <v>1.0999999999999999E-2</v>
      </c>
      <c r="E29" s="51">
        <f>[39]f!E29</f>
        <v>1.37E-2</v>
      </c>
      <c r="F29" s="201">
        <f>[39]f!F29</f>
        <v>0.13980000000000001</v>
      </c>
      <c r="G29" s="202">
        <f>[39]f!G29</f>
        <v>1.5E-3</v>
      </c>
      <c r="H29" s="146">
        <f>[39]f!H29</f>
        <v>1</v>
      </c>
    </row>
    <row r="30" spans="1:8" ht="20" customHeight="1" thickBot="1">
      <c r="A30" s="70" t="s">
        <v>564</v>
      </c>
      <c r="B30" s="201">
        <f>[39]f!B30</f>
        <v>0.80979999999999996</v>
      </c>
      <c r="C30" s="51">
        <f>[39]f!C30</f>
        <v>0.10855877573131094</v>
      </c>
      <c r="D30" s="146">
        <f>[39]f!D30</f>
        <v>4.3923781148429035E-2</v>
      </c>
      <c r="E30" s="51">
        <f>[39]f!E30</f>
        <v>3.2217443120260023E-2</v>
      </c>
      <c r="F30" s="201">
        <f>[39]f!F30</f>
        <v>0.18459999999999999</v>
      </c>
      <c r="G30" s="202">
        <f>[39]f!G30</f>
        <v>5.5999999999999999E-3</v>
      </c>
      <c r="H30" s="146">
        <f>[39]f!H30</f>
        <v>1</v>
      </c>
    </row>
    <row r="31" spans="1:8" ht="20" customHeight="1" thickBot="1">
      <c r="A31" s="70" t="s">
        <v>565</v>
      </c>
      <c r="B31" s="201">
        <f>[39]f!B31</f>
        <v>0.72270000000000001</v>
      </c>
      <c r="C31" s="51">
        <f>[39]f!C31</f>
        <v>0.15920000000000001</v>
      </c>
      <c r="D31" s="146">
        <f>[39]f!D31</f>
        <v>3.85E-2</v>
      </c>
      <c r="E31" s="51">
        <f>[39]f!E31</f>
        <v>5.2499999999999998E-2</v>
      </c>
      <c r="F31" s="201">
        <f>[39]f!F31</f>
        <v>0.25019999999999998</v>
      </c>
      <c r="G31" s="202">
        <f>[39]f!G31</f>
        <v>2.7099999999999999E-2</v>
      </c>
      <c r="H31" s="146">
        <f>[39]f!H31</f>
        <v>1</v>
      </c>
    </row>
    <row r="32" spans="1:8" ht="20" customHeight="1" thickBot="1">
      <c r="A32" s="73" t="s">
        <v>566</v>
      </c>
      <c r="B32" s="201">
        <f>[39]f!B32</f>
        <v>0.81489999999999996</v>
      </c>
      <c r="C32" s="51">
        <f>[39]f!C32</f>
        <v>0.1002</v>
      </c>
      <c r="D32" s="146">
        <f>[39]f!D32</f>
        <v>2.35E-2</v>
      </c>
      <c r="E32" s="51">
        <f>[39]f!E32</f>
        <v>5.28E-2</v>
      </c>
      <c r="F32" s="201">
        <f>[39]f!F32</f>
        <v>0.17660000000000001</v>
      </c>
      <c r="G32" s="202">
        <f>[39]f!G32</f>
        <v>8.5000000000000006E-3</v>
      </c>
      <c r="H32" s="146">
        <f>[39]f!H32</f>
        <v>1</v>
      </c>
    </row>
    <row r="33" spans="1:8" ht="30" customHeight="1" thickBot="1">
      <c r="A33" s="78" t="s">
        <v>808</v>
      </c>
      <c r="B33" s="203">
        <f>[39]f!B33</f>
        <v>0.80359999999999998</v>
      </c>
      <c r="C33" s="174">
        <f>[39]f!C33</f>
        <v>7.1444453924914678E-2</v>
      </c>
      <c r="D33" s="203">
        <f>[39]f!D33</f>
        <v>1.6425170648464164E-2</v>
      </c>
      <c r="E33" s="174">
        <f>[39]f!E33</f>
        <v>3.0230375426621159E-2</v>
      </c>
      <c r="F33" s="203">
        <f>[39]f!F33</f>
        <v>0.1181</v>
      </c>
      <c r="G33" s="174">
        <f>[39]f!G33</f>
        <v>7.8299999999999995E-2</v>
      </c>
      <c r="H33" s="214">
        <f>[39]f!H33</f>
        <v>1</v>
      </c>
    </row>
    <row r="34" spans="1:8" ht="20" customHeight="1">
      <c r="A34" s="28" t="s">
        <v>803</v>
      </c>
      <c r="B34" s="215"/>
      <c r="C34" s="166"/>
      <c r="D34" s="166"/>
      <c r="E34" s="166"/>
      <c r="F34" s="215"/>
      <c r="G34" s="216"/>
    </row>
    <row r="35" spans="1:8" ht="15.75" customHeight="1">
      <c r="A35" s="7" t="s">
        <v>816</v>
      </c>
      <c r="B35" s="217"/>
      <c r="C35" s="218"/>
      <c r="D35" s="218"/>
      <c r="E35" s="218"/>
      <c r="F35" s="217"/>
      <c r="G35" s="219"/>
    </row>
    <row r="36" spans="1:8" ht="12" customHeight="1"/>
    <row r="37" spans="1:8" ht="12" customHeight="1"/>
    <row r="38" spans="1:8" ht="12" customHeight="1"/>
  </sheetData>
  <mergeCells count="1">
    <mergeCell ref="C3:E3"/>
  </mergeCells>
  <phoneticPr fontId="0" type="noConversion"/>
  <pageMargins left="0.45" right="0.21" top="1.1200000000000001" bottom="0.49" header="0.74" footer="0.4921259845"/>
  <pageSetup paperSize="9" scale="75" orientation="portrait" horizontalDpi="4294967292" verticalDpi="4294967292"/>
  <headerFooter alignWithMargins="0">
    <oddHeader>&amp;L&amp;"Arial,Bold"&amp;14Versicherte und Finanzen in der OKP</oddHeader>
    <oddFooter>&amp;L&amp;"Arial,Regular"Statistik der Krankenversicherung, Bundesmat für Sozialversicherung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1527-6E4C-2C48-ACC9-EEC10DD6A9A1}">
  <dimension ref="A1:I12"/>
  <sheetViews>
    <sheetView zoomScale="75" workbookViewId="0">
      <selection activeCell="A3" sqref="A3"/>
    </sheetView>
  </sheetViews>
  <sheetFormatPr baseColWidth="10" defaultColWidth="11.3984375" defaultRowHeight="13"/>
  <cols>
    <col min="1" max="1" width="19.3984375" style="7" customWidth="1"/>
    <col min="2" max="4" width="14.796875" style="7" customWidth="1"/>
    <col min="5" max="5" width="15.796875" style="7" customWidth="1"/>
    <col min="6" max="7" width="13.59765625" style="7" customWidth="1"/>
    <col min="8" max="8" width="11.3984375" style="7"/>
    <col min="9" max="9" width="15.796875" style="7" hidden="1" customWidth="1"/>
    <col min="10" max="16384" width="11.3984375" style="7"/>
  </cols>
  <sheetData>
    <row r="1" spans="1:9" ht="14" customHeight="1">
      <c r="A1" s="1"/>
    </row>
    <row r="2" spans="1:9" ht="28" customHeight="1">
      <c r="A2" s="2" t="str">
        <f>"T 1.39  Leistungen (brutto) in Fr. nach Versicherungsform und Geschlecht / Kinder "&amp;'[2]data an-1'!$B$2</f>
        <v>T 1.39  Leistungen (brutto) in Fr. nach Versicherungsform und Geschlecht / Kinder 2001</v>
      </c>
    </row>
    <row r="3" spans="1:9" ht="24" customHeight="1">
      <c r="A3" s="41" t="s">
        <v>634</v>
      </c>
      <c r="B3" s="6" t="s">
        <v>529</v>
      </c>
      <c r="C3" s="42" t="s">
        <v>530</v>
      </c>
      <c r="D3" s="6" t="s">
        <v>538</v>
      </c>
      <c r="E3" s="42" t="s">
        <v>514</v>
      </c>
      <c r="F3" s="6" t="s">
        <v>575</v>
      </c>
      <c r="G3" s="42" t="s">
        <v>522</v>
      </c>
      <c r="I3" s="42" t="s">
        <v>514</v>
      </c>
    </row>
    <row r="4" spans="1:9" ht="15" customHeight="1">
      <c r="A4" s="43"/>
      <c r="B4" s="12"/>
      <c r="C4" s="44"/>
      <c r="D4" s="12"/>
      <c r="E4" s="45"/>
      <c r="F4" s="12" t="s">
        <v>577</v>
      </c>
      <c r="G4" s="44" t="s">
        <v>523</v>
      </c>
      <c r="I4" s="45">
        <v>1999</v>
      </c>
    </row>
    <row r="5" spans="1:9" ht="15" customHeight="1">
      <c r="A5" s="61"/>
      <c r="B5" s="12"/>
      <c r="C5" s="44"/>
      <c r="D5" s="12"/>
      <c r="E5" s="44"/>
      <c r="F5" s="12" t="s">
        <v>578</v>
      </c>
      <c r="G5" s="44" t="s">
        <v>524</v>
      </c>
      <c r="I5" s="44"/>
    </row>
    <row r="6" spans="1:9" ht="24" customHeight="1">
      <c r="A6" s="97"/>
      <c r="B6" s="98"/>
      <c r="C6" s="99"/>
      <c r="D6" s="98"/>
      <c r="E6" s="99"/>
      <c r="F6" s="16"/>
      <c r="G6" s="47"/>
      <c r="I6" s="99"/>
    </row>
    <row r="7" spans="1:9" ht="36" customHeight="1" thickBot="1">
      <c r="A7" s="100" t="s">
        <v>635</v>
      </c>
      <c r="B7" s="101">
        <f>[40]f!B7</f>
        <v>3418235682</v>
      </c>
      <c r="C7" s="102">
        <f>[40]f!C7</f>
        <v>5338413882</v>
      </c>
      <c r="D7" s="101">
        <f>[40]f!D7</f>
        <v>903125039</v>
      </c>
      <c r="E7" s="102">
        <f>[40]f!E7</f>
        <v>9659774603</v>
      </c>
      <c r="F7" s="103">
        <f>[40]f!F7</f>
        <v>0.58949731188924859</v>
      </c>
      <c r="G7" s="104">
        <f>[40]f!G7</f>
        <v>5.7196363386943047E-2</v>
      </c>
      <c r="I7" s="136">
        <v>6794064715</v>
      </c>
    </row>
    <row r="8" spans="1:9" ht="28.5" customHeight="1" thickBot="1">
      <c r="A8" s="100" t="s">
        <v>636</v>
      </c>
      <c r="B8" s="101">
        <f>[40]f!B8</f>
        <v>2240472344</v>
      </c>
      <c r="C8" s="102">
        <f>[40]f!C8</f>
        <v>3318786585</v>
      </c>
      <c r="D8" s="101">
        <f>[40]f!D8</f>
        <v>124843062</v>
      </c>
      <c r="E8" s="102">
        <f>[40]f!E8</f>
        <v>5684101991</v>
      </c>
      <c r="F8" s="103">
        <f>[40]f!F8</f>
        <v>0.34687795335909721</v>
      </c>
      <c r="G8" s="104">
        <f>[40]f!G8</f>
        <v>5.4379850945336358E-2</v>
      </c>
      <c r="I8" s="136">
        <v>5396193285</v>
      </c>
    </row>
    <row r="9" spans="1:9" ht="30.75" customHeight="1" thickBot="1">
      <c r="A9" s="100" t="s">
        <v>637</v>
      </c>
      <c r="B9" s="101">
        <f>[40]f!B9</f>
        <v>4474227</v>
      </c>
      <c r="C9" s="102">
        <f>[40]f!C9</f>
        <v>3752797</v>
      </c>
      <c r="D9" s="101">
        <f>[40]f!D9</f>
        <v>134532</v>
      </c>
      <c r="E9" s="102">
        <f>[40]f!E9</f>
        <v>8361556</v>
      </c>
      <c r="F9" s="103">
        <f>[40]f!F9</f>
        <v>5.1027223592573282E-4</v>
      </c>
      <c r="G9" s="104">
        <f>[40]f!G9</f>
        <v>0.10953828972880818</v>
      </c>
      <c r="I9" s="136">
        <v>15330070</v>
      </c>
    </row>
    <row r="10" spans="1:9" ht="34.5" customHeight="1" thickBot="1">
      <c r="A10" s="100" t="s">
        <v>638</v>
      </c>
      <c r="B10" s="101">
        <f>[40]f!B10</f>
        <v>416812869</v>
      </c>
      <c r="C10" s="102">
        <f>[40]f!C10</f>
        <v>546361042</v>
      </c>
      <c r="D10" s="101">
        <f>[40]f!D10</f>
        <v>71048755</v>
      </c>
      <c r="E10" s="102">
        <f>[40]f!E10</f>
        <v>1034222666</v>
      </c>
      <c r="F10" s="103">
        <f>[40]f!F10</f>
        <v>6.3114462454702494E-2</v>
      </c>
      <c r="G10" s="104">
        <f>[40]f!G10</f>
        <v>9.7102061310091484E-2</v>
      </c>
      <c r="I10" s="136">
        <v>828254703</v>
      </c>
    </row>
    <row r="11" spans="1:9" s="140" customFormat="1" ht="38.25" customHeight="1" thickBot="1">
      <c r="A11" s="137" t="s">
        <v>514</v>
      </c>
      <c r="B11" s="111">
        <f>[40]f!B11</f>
        <v>6079994263</v>
      </c>
      <c r="C11" s="79">
        <f>[40]f!C11</f>
        <v>9207314362</v>
      </c>
      <c r="D11" s="111">
        <f>[40]f!D11</f>
        <v>1099152192</v>
      </c>
      <c r="E11" s="79">
        <f>[40]f!E11</f>
        <v>16386460817</v>
      </c>
      <c r="F11" s="138">
        <f>[40]f!F11</f>
        <v>1</v>
      </c>
      <c r="G11" s="139">
        <f>[40]f!G11</f>
        <v>5.8671285925623075E-2</v>
      </c>
      <c r="I11" s="141">
        <v>13033842773</v>
      </c>
    </row>
    <row r="12" spans="1:9" ht="19.5" customHeight="1">
      <c r="A12" s="28" t="str">
        <f>'[2]data an-1'!$D$2</f>
        <v>Datenstand: 6.11.02</v>
      </c>
      <c r="B12" s="28"/>
      <c r="C12" s="28"/>
      <c r="D12" s="28"/>
      <c r="E12" s="28"/>
      <c r="F12" s="28"/>
      <c r="G12" s="28"/>
      <c r="I12" s="28"/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D257-E2D2-DE43-8A29-C2C071DE43C6}">
  <dimension ref="A1:G12"/>
  <sheetViews>
    <sheetView zoomScale="75" workbookViewId="0">
      <selection activeCell="F6" sqref="F6"/>
    </sheetView>
  </sheetViews>
  <sheetFormatPr baseColWidth="10" defaultColWidth="11.3984375" defaultRowHeight="13"/>
  <cols>
    <col min="1" max="1" width="19.796875" style="7" customWidth="1"/>
    <col min="2" max="7" width="14.796875" style="7" customWidth="1"/>
    <col min="8" max="8" width="10.3984375" style="7" customWidth="1"/>
    <col min="9" max="16384" width="11.3984375" style="7"/>
  </cols>
  <sheetData>
    <row r="1" spans="1:7" ht="14" customHeight="1">
      <c r="A1" s="1"/>
    </row>
    <row r="2" spans="1:7" ht="28" customHeight="1">
      <c r="A2" s="2" t="str">
        <f>"T 1.40  Leistungen (brutto) in Fr. je versicherte Person nach Versicherungsform und Geschlecht / Kinder "&amp;'[2]data an-1'!$B$2</f>
        <v>T 1.40  Leistungen (brutto) in Fr. je versicherte Person nach Versicherungsform und Geschlecht / Kinder 2001</v>
      </c>
    </row>
    <row r="3" spans="1:7" ht="24" customHeight="1">
      <c r="A3" s="41" t="s">
        <v>634</v>
      </c>
      <c r="B3" s="6" t="s">
        <v>529</v>
      </c>
      <c r="C3" s="42" t="s">
        <v>530</v>
      </c>
      <c r="D3" s="6" t="s">
        <v>538</v>
      </c>
      <c r="E3" s="42" t="s">
        <v>514</v>
      </c>
      <c r="F3" s="6" t="s">
        <v>667</v>
      </c>
      <c r="G3" s="42" t="s">
        <v>522</v>
      </c>
    </row>
    <row r="4" spans="1:7" ht="15" customHeight="1">
      <c r="A4" s="43"/>
      <c r="B4" s="12"/>
      <c r="C4" s="44"/>
      <c r="D4" s="12"/>
      <c r="E4" s="45"/>
      <c r="F4" s="12" t="s">
        <v>668</v>
      </c>
      <c r="G4" s="44" t="s">
        <v>523</v>
      </c>
    </row>
    <row r="5" spans="1:7" ht="15" customHeight="1">
      <c r="A5" s="61"/>
      <c r="B5" s="12"/>
      <c r="C5" s="44"/>
      <c r="D5" s="12"/>
      <c r="E5" s="44"/>
      <c r="F5" s="12" t="s">
        <v>669</v>
      </c>
      <c r="G5" s="44" t="s">
        <v>524</v>
      </c>
    </row>
    <row r="6" spans="1:7" ht="24" customHeight="1">
      <c r="A6" s="97"/>
      <c r="B6" s="98"/>
      <c r="C6" s="99"/>
      <c r="D6" s="98"/>
      <c r="E6" s="99"/>
      <c r="F6" s="16"/>
      <c r="G6" s="47"/>
    </row>
    <row r="7" spans="1:7" ht="35.25" customHeight="1" thickBot="1">
      <c r="A7" s="100" t="s">
        <v>635</v>
      </c>
      <c r="B7" s="101">
        <f>[41]f!B7</f>
        <v>2901.36</v>
      </c>
      <c r="C7" s="102">
        <f>[41]f!C7</f>
        <v>3745.94</v>
      </c>
      <c r="D7" s="101">
        <f>[41]f!D7</f>
        <v>706.16</v>
      </c>
      <c r="E7" s="102">
        <f>[41]f!E7</f>
        <v>2488.23</v>
      </c>
      <c r="F7" s="101">
        <f>[41]f!F7</f>
        <v>250.03</v>
      </c>
      <c r="G7" s="104">
        <f>[41]f!G7</f>
        <v>6.8015297647407269E-2</v>
      </c>
    </row>
    <row r="8" spans="1:7" ht="30.75" customHeight="1" thickBot="1">
      <c r="A8" s="100" t="s">
        <v>636</v>
      </c>
      <c r="B8" s="101">
        <f>[41]f!B8</f>
        <v>1655.67</v>
      </c>
      <c r="C8" s="102">
        <f>[41]f!C8</f>
        <v>2555.15</v>
      </c>
      <c r="D8" s="101">
        <f>[41]f!D8</f>
        <v>686.91</v>
      </c>
      <c r="E8" s="102">
        <f>[41]f!E8</f>
        <v>2005.81</v>
      </c>
      <c r="F8" s="101">
        <f>[41]f!F8</f>
        <v>-232.38</v>
      </c>
      <c r="G8" s="104">
        <f>[41]f!G8</f>
        <v>2.6373019081293764E-2</v>
      </c>
    </row>
    <row r="9" spans="1:7" ht="35.25" customHeight="1" thickBot="1">
      <c r="A9" s="100" t="s">
        <v>637</v>
      </c>
      <c r="B9" s="101">
        <f>[41]f!B9</f>
        <v>781.25</v>
      </c>
      <c r="C9" s="102">
        <f>[41]f!C9</f>
        <v>1201.28</v>
      </c>
      <c r="D9" s="101">
        <f>[41]f!D9</f>
        <v>274.56</v>
      </c>
      <c r="E9" s="102">
        <f>[41]f!E9</f>
        <v>895.15</v>
      </c>
      <c r="F9" s="101">
        <f>[41]f!F9</f>
        <v>-1343</v>
      </c>
      <c r="G9" s="104">
        <f>[41]f!G9</f>
        <v>0.16537780555121592</v>
      </c>
    </row>
    <row r="10" spans="1:7" ht="34.5" customHeight="1" thickBot="1">
      <c r="A10" s="100" t="s">
        <v>638</v>
      </c>
      <c r="B10" s="101">
        <f>[41]f!B10</f>
        <v>1745.85</v>
      </c>
      <c r="C10" s="102">
        <f>[41]f!C10</f>
        <v>2320.71</v>
      </c>
      <c r="D10" s="101">
        <f>[41]f!D10</f>
        <v>583.49</v>
      </c>
      <c r="E10" s="102">
        <f>[41]f!E10</f>
        <v>1735.45</v>
      </c>
      <c r="F10" s="101">
        <f>[41]f!F10</f>
        <v>-502.74</v>
      </c>
      <c r="G10" s="104">
        <f>[41]f!G10</f>
        <v>6.3786096518919408E-2</v>
      </c>
    </row>
    <row r="11" spans="1:7" ht="36" customHeight="1" thickBot="1">
      <c r="A11" s="137" t="s">
        <v>514</v>
      </c>
      <c r="B11" s="111">
        <f>[41]f!B11</f>
        <v>2190.33</v>
      </c>
      <c r="C11" s="79">
        <f>[41]f!C11</f>
        <v>3107.92</v>
      </c>
      <c r="D11" s="111">
        <f>[41]f!D11</f>
        <v>694.38</v>
      </c>
      <c r="E11" s="79">
        <f>[41]f!E11</f>
        <v>2238.19</v>
      </c>
      <c r="F11" s="111">
        <f>[41]f!F11</f>
        <v>0</v>
      </c>
      <c r="G11" s="139">
        <f>[41]f!G11</f>
        <v>5.0980926174622784E-2</v>
      </c>
    </row>
    <row r="12" spans="1:7" ht="19.5" customHeight="1">
      <c r="A12" s="28" t="str">
        <f>'[2]data an-1'!$D$2</f>
        <v>Datenstand: 6.11.02</v>
      </c>
      <c r="B12" s="28"/>
      <c r="C12" s="28"/>
      <c r="D12" s="28"/>
      <c r="E12" s="28"/>
      <c r="F12" s="28"/>
      <c r="G12" s="28"/>
    </row>
  </sheetData>
  <phoneticPr fontId="0" type="noConversion"/>
  <pageMargins left="0.48" right="0.42" top="1.46" bottom="0.49" header="0.93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F030C-6DBE-BD40-ABA1-37F678852E87}">
  <dimension ref="A1:G39"/>
  <sheetViews>
    <sheetView topLeftCell="A36" zoomScale="75" workbookViewId="0">
      <selection activeCell="A3" sqref="A3"/>
    </sheetView>
  </sheetViews>
  <sheetFormatPr baseColWidth="10" defaultColWidth="11.3984375" defaultRowHeight="13"/>
  <cols>
    <col min="1" max="1" width="13.3984375" style="7" customWidth="1"/>
    <col min="2" max="7" width="15.3984375" style="227" customWidth="1"/>
    <col min="8" max="16384" width="11.3984375" style="7"/>
  </cols>
  <sheetData>
    <row r="1" spans="1:7" s="1" customFormat="1" ht="14" customHeight="1">
      <c r="A1" s="163"/>
      <c r="B1" s="220"/>
      <c r="C1" s="220"/>
      <c r="D1" s="220"/>
      <c r="E1" s="220"/>
      <c r="F1" s="220"/>
      <c r="G1" s="220"/>
    </row>
    <row r="2" spans="1:7" s="1" customFormat="1" ht="27" customHeight="1">
      <c r="A2" s="164" t="s">
        <v>839</v>
      </c>
      <c r="B2" s="220"/>
      <c r="C2" s="220"/>
      <c r="D2" s="220"/>
      <c r="E2" s="220"/>
      <c r="F2" s="220"/>
      <c r="G2" s="220"/>
    </row>
    <row r="3" spans="1:7" ht="27" customHeight="1">
      <c r="A3" s="41" t="s">
        <v>640</v>
      </c>
      <c r="B3" s="6" t="s">
        <v>817</v>
      </c>
      <c r="C3" s="42" t="s">
        <v>522</v>
      </c>
      <c r="D3" s="6" t="s">
        <v>818</v>
      </c>
      <c r="E3" s="42" t="s">
        <v>522</v>
      </c>
      <c r="F3" s="6" t="s">
        <v>677</v>
      </c>
      <c r="G3" s="42" t="s">
        <v>522</v>
      </c>
    </row>
    <row r="4" spans="1:7" ht="15" customHeight="1">
      <c r="A4" s="43"/>
      <c r="B4" s="170" t="s">
        <v>819</v>
      </c>
      <c r="C4" s="221" t="s">
        <v>523</v>
      </c>
      <c r="D4" s="12" t="s">
        <v>833</v>
      </c>
      <c r="E4" s="44" t="s">
        <v>523</v>
      </c>
      <c r="F4" s="12" t="s">
        <v>834</v>
      </c>
      <c r="G4" s="44" t="s">
        <v>523</v>
      </c>
    </row>
    <row r="5" spans="1:7" ht="15" customHeight="1">
      <c r="A5" s="43"/>
      <c r="B5" s="170"/>
      <c r="C5" s="221" t="s">
        <v>524</v>
      </c>
      <c r="D5" s="170" t="s">
        <v>819</v>
      </c>
      <c r="E5" s="44" t="s">
        <v>524</v>
      </c>
      <c r="F5" s="170" t="s">
        <v>819</v>
      </c>
      <c r="G5" s="44" t="s">
        <v>524</v>
      </c>
    </row>
    <row r="6" spans="1:7" ht="27" customHeight="1">
      <c r="A6" s="182"/>
      <c r="B6" s="16"/>
      <c r="C6" s="47"/>
      <c r="D6" s="16"/>
      <c r="E6" s="47"/>
      <c r="F6" s="16" t="s">
        <v>835</v>
      </c>
      <c r="G6" s="47"/>
    </row>
    <row r="7" spans="1:7" ht="30" customHeight="1" thickBot="1">
      <c r="A7" s="171">
        <f>[42]f!A9</f>
        <v>1985</v>
      </c>
      <c r="B7" s="20">
        <f>[42]f!B9</f>
        <v>4995.701</v>
      </c>
      <c r="C7" s="51" t="str">
        <f>[42]f!C9</f>
        <v>–</v>
      </c>
      <c r="D7" s="20">
        <f>[42]f!D9</f>
        <v>479.85300000000007</v>
      </c>
      <c r="E7" s="51" t="str">
        <f>[42]f!E9</f>
        <v>–</v>
      </c>
      <c r="F7" s="20">
        <f>[42]f!F9</f>
        <v>4888.7232730000005</v>
      </c>
      <c r="G7" s="51" t="str">
        <f>[42]f!G9</f>
        <v>–</v>
      </c>
    </row>
    <row r="8" spans="1:7" ht="18" customHeight="1" thickBot="1">
      <c r="A8" s="172">
        <f>[42]f!A10</f>
        <v>1986</v>
      </c>
      <c r="B8" s="26">
        <f>[42]f!B10</f>
        <v>5219.1869999999999</v>
      </c>
      <c r="C8" s="55">
        <f>[42]f!C10</f>
        <v>4.4735663723669584E-2</v>
      </c>
      <c r="D8" s="26">
        <f>[42]f!D10</f>
        <v>517.38199999999961</v>
      </c>
      <c r="E8" s="55">
        <f>[42]f!E10</f>
        <v>7.8209368285703199E-2</v>
      </c>
      <c r="F8" s="26">
        <f>[42]f!F10</f>
        <v>5267.3928760000008</v>
      </c>
      <c r="G8" s="55">
        <f>[42]f!G10</f>
        <v>7.7457770025838854E-2</v>
      </c>
    </row>
    <row r="9" spans="1:7" ht="18" customHeight="1" thickBot="1">
      <c r="A9" s="172">
        <f>[42]f!A11</f>
        <v>1987</v>
      </c>
      <c r="B9" s="26">
        <f>[42]f!B11</f>
        <v>5508.0529999999999</v>
      </c>
      <c r="C9" s="55">
        <f>[42]f!C11</f>
        <v>5.5346934302219868E-2</v>
      </c>
      <c r="D9" s="26">
        <f>[42]f!D11</f>
        <v>615.6269999999995</v>
      </c>
      <c r="E9" s="55">
        <f>[42]f!E11</f>
        <v>0.18988870892300072</v>
      </c>
      <c r="F9" s="26">
        <f>[42]f!F11</f>
        <v>5684.4304260000008</v>
      </c>
      <c r="G9" s="55">
        <f>[42]f!G11</f>
        <v>7.9173427883111241E-2</v>
      </c>
    </row>
    <row r="10" spans="1:7" ht="18" customHeight="1" thickBot="1">
      <c r="A10" s="172">
        <f>[42]f!A12</f>
        <v>1988</v>
      </c>
      <c r="B10" s="26">
        <f>[42]f!B12</f>
        <v>5863.0439999999999</v>
      </c>
      <c r="C10" s="55">
        <f>[42]f!C12</f>
        <v>6.444945246532667E-2</v>
      </c>
      <c r="D10" s="26">
        <f>[42]f!D12</f>
        <v>708.3149999999996</v>
      </c>
      <c r="E10" s="55">
        <f>[42]f!E12</f>
        <v>0.15055869869255276</v>
      </c>
      <c r="F10" s="26">
        <f>[42]f!F12</f>
        <v>5965.9517820000001</v>
      </c>
      <c r="G10" s="55">
        <f>[42]f!G12</f>
        <v>4.952498929573481E-2</v>
      </c>
    </row>
    <row r="11" spans="1:7" ht="18" customHeight="1" thickBot="1">
      <c r="A11" s="172">
        <f>[42]f!A13</f>
        <v>1989</v>
      </c>
      <c r="B11" s="26">
        <f>[42]f!B13</f>
        <v>6426.6729999999998</v>
      </c>
      <c r="C11" s="55">
        <f>[42]f!C13</f>
        <v>9.613248681060553E-2</v>
      </c>
      <c r="D11" s="26">
        <f>[42]f!D13</f>
        <v>755.38799999999992</v>
      </c>
      <c r="E11" s="55">
        <f>[42]f!E13</f>
        <v>6.6457720082167326E-2</v>
      </c>
      <c r="F11" s="26">
        <f>[42]f!F13</f>
        <v>6405.9268600000005</v>
      </c>
      <c r="G11" s="55">
        <f>[42]f!G13</f>
        <v>7.3747675823907691E-2</v>
      </c>
    </row>
    <row r="12" spans="1:7" ht="18" customHeight="1" thickBot="1">
      <c r="A12" s="172">
        <f>[42]f!A14</f>
        <v>1990</v>
      </c>
      <c r="B12" s="26">
        <f>[42]f!B14</f>
        <v>6953.5550000000003</v>
      </c>
      <c r="C12" s="55">
        <f>[42]f!C14</f>
        <v>8.1983632899946909E-2</v>
      </c>
      <c r="D12" s="26">
        <f>[42]f!D14</f>
        <v>801.30899999999929</v>
      </c>
      <c r="E12" s="55">
        <f>[42]f!E14</f>
        <v>6.0791275476972592E-2</v>
      </c>
      <c r="F12" s="26">
        <f>[42]f!F14</f>
        <v>6849.9295110000003</v>
      </c>
      <c r="G12" s="55">
        <f>[42]f!G14</f>
        <v>6.9311227040765769E-2</v>
      </c>
    </row>
    <row r="13" spans="1:7" ht="18" customHeight="1" thickBot="1">
      <c r="A13" s="172">
        <f>[42]f!A15</f>
        <v>1991</v>
      </c>
      <c r="B13" s="26">
        <f>[42]f!B15</f>
        <v>7507.79</v>
      </c>
      <c r="C13" s="55">
        <f>[42]f!C15</f>
        <v>7.9705273058169476E-2</v>
      </c>
      <c r="D13" s="26">
        <f>[42]f!D15</f>
        <v>991.54100000000017</v>
      </c>
      <c r="E13" s="55">
        <f>[42]f!E15</f>
        <v>0.23740155171101415</v>
      </c>
      <c r="F13" s="26">
        <f>[42]f!F15</f>
        <v>7579.4598309999992</v>
      </c>
      <c r="G13" s="55">
        <f>[42]f!G15</f>
        <v>0.10650187258547381</v>
      </c>
    </row>
    <row r="14" spans="1:7" ht="18" customHeight="1" thickBot="1">
      <c r="A14" s="172">
        <f>[42]f!A16</f>
        <v>1992</v>
      </c>
      <c r="B14" s="26">
        <f>[42]f!B16</f>
        <v>8082.1289999999999</v>
      </c>
      <c r="C14" s="55">
        <f>[42]f!C16</f>
        <v>7.6499076292757248E-2</v>
      </c>
      <c r="D14" s="26">
        <f>[42]f!D16</f>
        <v>1108.1890000000003</v>
      </c>
      <c r="E14" s="55">
        <f>[42]f!E16</f>
        <v>0.11764314334959433</v>
      </c>
      <c r="F14" s="26">
        <f>[42]f!F16</f>
        <v>8288.9794139999995</v>
      </c>
      <c r="G14" s="55">
        <f>[42]f!G16</f>
        <v>9.3610837555740359E-2</v>
      </c>
    </row>
    <row r="15" spans="1:7" ht="18" customHeight="1" thickBot="1">
      <c r="A15" s="172">
        <f>[42]f!A17</f>
        <v>1993</v>
      </c>
      <c r="B15" s="26">
        <f>[42]f!B17</f>
        <v>8977.9629999999997</v>
      </c>
      <c r="C15" s="55">
        <f>[42]f!C17</f>
        <v>0.1108413389590787</v>
      </c>
      <c r="D15" s="26">
        <f>[42]f!D17</f>
        <v>1190.8549999999977</v>
      </c>
      <c r="E15" s="55">
        <f>[42]f!E17</f>
        <v>7.4595578912980923E-2</v>
      </c>
      <c r="F15" s="26">
        <f>[42]f!F17</f>
        <v>8887.7865050000019</v>
      </c>
      <c r="G15" s="55">
        <f>[42]f!G17</f>
        <v>7.2241353379237913E-2</v>
      </c>
    </row>
    <row r="16" spans="1:7" ht="18" customHeight="1" thickBot="1">
      <c r="A16" s="172">
        <f>[42]f!A18</f>
        <v>1994</v>
      </c>
      <c r="B16" s="26">
        <f>[42]f!B18</f>
        <v>9068.8770000000004</v>
      </c>
      <c r="C16" s="55">
        <f>[42]f!C18</f>
        <v>1.0126350487298808E-2</v>
      </c>
      <c r="D16" s="26">
        <f>[42]f!D18</f>
        <v>1259.2739999999994</v>
      </c>
      <c r="E16" s="55">
        <f>[42]f!E18</f>
        <v>5.7453678239585693E-2</v>
      </c>
      <c r="F16" s="26">
        <f>[42]f!F18</f>
        <v>9549.125</v>
      </c>
      <c r="G16" s="55">
        <f>[42]f!G18</f>
        <v>7.4409808857126461E-2</v>
      </c>
    </row>
    <row r="17" spans="1:7" ht="18" customHeight="1" thickBot="1">
      <c r="A17" s="172">
        <f>[42]f!A19</f>
        <v>1995</v>
      </c>
      <c r="B17" s="26">
        <f>[42]f!B19</f>
        <v>9160.0470000000005</v>
      </c>
      <c r="C17" s="55">
        <f>[42]f!C19</f>
        <v>1.005306390195832E-2</v>
      </c>
      <c r="D17" s="26">
        <f>[42]f!D19</f>
        <v>1290.1959999999999</v>
      </c>
      <c r="E17" s="55">
        <f>[42]f!E19</f>
        <v>2.4555418439513952E-2</v>
      </c>
      <c r="F17" s="26">
        <f>[42]f!F19</f>
        <v>10017.201999999999</v>
      </c>
      <c r="G17" s="55">
        <f>[42]f!G19</f>
        <v>4.901778958805119E-2</v>
      </c>
    </row>
    <row r="18" spans="1:7" ht="18" customHeight="1" thickBot="1">
      <c r="A18" s="172">
        <f>[42]f!A20</f>
        <v>1996</v>
      </c>
      <c r="B18" s="26">
        <f>[42]f!B20</f>
        <v>11130.63582</v>
      </c>
      <c r="C18" s="55">
        <f>[42]f!C20</f>
        <v>0.21512868001659805</v>
      </c>
      <c r="D18" s="26">
        <f>[42]f!D20</f>
        <v>1678.5317379999997</v>
      </c>
      <c r="E18" s="55">
        <f>[42]f!E20</f>
        <v>0.30098972404192836</v>
      </c>
      <c r="F18" s="26">
        <f>[42]f!F20</f>
        <v>10780.485509</v>
      </c>
      <c r="G18" s="55">
        <f>[42]f!G20</f>
        <v>7.6197276345231019E-2</v>
      </c>
    </row>
    <row r="19" spans="1:7" ht="18" customHeight="1" thickBot="1">
      <c r="A19" s="172">
        <f>[42]f!A21</f>
        <v>1997</v>
      </c>
      <c r="B19" s="26">
        <f>[42]f!B21</f>
        <v>12040.684128000001</v>
      </c>
      <c r="C19" s="55">
        <f>[42]f!C21</f>
        <v>8.1760675914379286E-2</v>
      </c>
      <c r="D19" s="26">
        <f>[42]f!D21</f>
        <v>1777.9823429999997</v>
      </c>
      <c r="E19" s="55">
        <f>[42]f!E21</f>
        <v>5.9248569895078158E-2</v>
      </c>
      <c r="F19" s="26">
        <f>[42]f!F21</f>
        <v>11360.495192</v>
      </c>
      <c r="G19" s="55">
        <f>[42]f!G21</f>
        <v>5.3801814632168828E-2</v>
      </c>
    </row>
    <row r="20" spans="1:7" ht="18" customHeight="1" thickBot="1">
      <c r="A20" s="172">
        <f>[42]f!A22</f>
        <v>1998</v>
      </c>
      <c r="B20" s="26">
        <f>[42]f!B22</f>
        <v>12708.270148</v>
      </c>
      <c r="C20" s="55">
        <f>[42]f!C22</f>
        <v>5.5444193444752973E-2</v>
      </c>
      <c r="D20" s="26">
        <f>[42]f!D22</f>
        <v>2097.2327999999998</v>
      </c>
      <c r="E20" s="55">
        <f>[42]f!E22</f>
        <v>0.17955772072591394</v>
      </c>
      <c r="F20" s="26">
        <f>[42]f!F22</f>
        <v>11926.859852</v>
      </c>
      <c r="G20" s="55">
        <f>[42]f!G22</f>
        <v>4.9853870841724421E-2</v>
      </c>
    </row>
    <row r="21" spans="1:7" ht="18" customHeight="1" thickBot="1">
      <c r="A21" s="172">
        <f>[42]f!A23</f>
        <v>1999</v>
      </c>
      <c r="B21" s="26">
        <f>[42]f!B23</f>
        <v>13033.842773</v>
      </c>
      <c r="C21" s="55">
        <f>[42]f!C23</f>
        <v>2.5618956884642448E-2</v>
      </c>
      <c r="D21" s="26">
        <f>[42]f!D23</f>
        <v>2189.9011839999985</v>
      </c>
      <c r="E21" s="55">
        <f>[42]f!E23</f>
        <v>4.4186026463060614E-2</v>
      </c>
      <c r="F21" s="26">
        <f>[42]f!F23</f>
        <v>12430.609334000001</v>
      </c>
      <c r="G21" s="55">
        <f>[42]f!G23</f>
        <v>4.2236555828693498E-2</v>
      </c>
    </row>
    <row r="22" spans="1:7" ht="18" customHeight="1" thickBot="1">
      <c r="A22" s="172">
        <f>[42]f!A24</f>
        <v>2000</v>
      </c>
      <c r="B22" s="26">
        <f>[42]f!B24</f>
        <v>13441.654683999999</v>
      </c>
      <c r="C22" s="55">
        <f>[42]f!C24</f>
        <v>3.1288693450007975E-2</v>
      </c>
      <c r="D22" s="26">
        <f>[42]f!D24</f>
        <v>2288.0175450000006</v>
      </c>
      <c r="E22" s="55">
        <f>[42]f!E24</f>
        <v>4.4804012946733134E-2</v>
      </c>
      <c r="F22" s="26">
        <f>[42]f!F24</f>
        <v>13190.309896999999</v>
      </c>
      <c r="G22" s="55">
        <f>[42]f!G24</f>
        <v>6.1115311614055624E-2</v>
      </c>
    </row>
    <row r="23" spans="1:7" s="81" customFormat="1" ht="30" customHeight="1" thickBot="1">
      <c r="A23" s="173">
        <f>[42]f!A25</f>
        <v>2001</v>
      </c>
      <c r="B23" s="39">
        <f>[42]f!B25</f>
        <v>13997.312406999999</v>
      </c>
      <c r="C23" s="192">
        <f>[42]f!C25</f>
        <v>4.1338491135426661E-2</v>
      </c>
      <c r="D23" s="39">
        <f>[42]f!D25</f>
        <v>2400.1895337599999</v>
      </c>
      <c r="E23" s="192">
        <f>[42]f!E25</f>
        <v>4.9025842920273267E-2</v>
      </c>
      <c r="F23" s="39">
        <f>[42]f!F25</f>
        <v>13986.271283239999</v>
      </c>
      <c r="G23" s="192">
        <f>[42]f!G25</f>
        <v>6.0344403767271106E-2</v>
      </c>
    </row>
    <row r="24" spans="1:7" ht="20" customHeight="1">
      <c r="A24" s="222" t="str">
        <f>'[2]data an-1'!$D$2</f>
        <v>Datenstand: 6.11.02</v>
      </c>
      <c r="B24" s="223"/>
      <c r="C24" s="223"/>
      <c r="D24" s="223"/>
      <c r="E24" s="223"/>
      <c r="F24" s="223"/>
      <c r="G24" s="223"/>
    </row>
    <row r="25" spans="1:7" ht="12" customHeight="1">
      <c r="A25" s="224"/>
      <c r="B25" s="225"/>
      <c r="C25" s="225"/>
      <c r="D25" s="225"/>
      <c r="E25" s="225"/>
      <c r="F25" s="225"/>
      <c r="G25" s="225"/>
    </row>
    <row r="26" spans="1:7" ht="12.75" customHeight="1">
      <c r="A26" s="224" t="s">
        <v>836</v>
      </c>
      <c r="B26" s="225"/>
      <c r="C26" s="225"/>
      <c r="D26" s="225"/>
      <c r="E26" s="225"/>
      <c r="F26" s="225"/>
      <c r="G26" s="225"/>
    </row>
    <row r="27" spans="1:7" ht="12.75" customHeight="1">
      <c r="A27" s="224" t="s">
        <v>837</v>
      </c>
      <c r="B27" s="225"/>
      <c r="C27" s="225"/>
      <c r="D27" s="225"/>
      <c r="E27" s="225"/>
      <c r="F27" s="225"/>
      <c r="G27" s="225"/>
    </row>
    <row r="28" spans="1:7" ht="12.75" customHeight="1">
      <c r="A28" s="224" t="s">
        <v>838</v>
      </c>
      <c r="B28" s="225"/>
      <c r="C28" s="225"/>
      <c r="D28" s="225"/>
      <c r="E28" s="225"/>
      <c r="F28" s="225"/>
      <c r="G28" s="225"/>
    </row>
    <row r="29" spans="1:7" ht="30.75" customHeight="1">
      <c r="A29" s="163"/>
      <c r="B29" s="226"/>
      <c r="C29" s="226"/>
      <c r="D29" s="226"/>
      <c r="E29" s="226"/>
      <c r="F29" s="226"/>
      <c r="G29" s="226"/>
    </row>
    <row r="30" spans="1:7" ht="18" customHeight="1">
      <c r="B30" s="226"/>
      <c r="C30" s="226"/>
      <c r="D30" s="226"/>
      <c r="E30" s="226"/>
      <c r="F30" s="226"/>
      <c r="G30" s="226"/>
    </row>
    <row r="31" spans="1:7" ht="31" customHeight="1">
      <c r="A31" s="218"/>
      <c r="B31" s="226"/>
      <c r="C31" s="226"/>
      <c r="D31" s="226"/>
      <c r="E31" s="226"/>
      <c r="F31" s="226"/>
      <c r="G31" s="226"/>
    </row>
    <row r="32" spans="1:7" ht="31" customHeight="1">
      <c r="A32" s="218"/>
      <c r="B32" s="226"/>
      <c r="C32" s="226"/>
      <c r="D32" s="226"/>
      <c r="E32" s="226"/>
      <c r="F32" s="226"/>
      <c r="G32" s="226"/>
    </row>
    <row r="33" spans="1:7" ht="31" customHeight="1">
      <c r="A33" s="218"/>
      <c r="B33" s="226"/>
      <c r="C33" s="226"/>
      <c r="D33" s="226"/>
      <c r="E33" s="226"/>
      <c r="F33" s="226"/>
      <c r="G33" s="226"/>
    </row>
    <row r="34" spans="1:7" ht="31" customHeight="1">
      <c r="A34" s="218"/>
      <c r="B34" s="226"/>
      <c r="C34" s="226"/>
      <c r="D34" s="226"/>
      <c r="E34" s="226"/>
      <c r="F34" s="226"/>
      <c r="G34" s="226"/>
    </row>
    <row r="35" spans="1:7" ht="31" customHeight="1">
      <c r="A35" s="218"/>
      <c r="B35" s="226"/>
      <c r="C35" s="226"/>
      <c r="D35" s="226"/>
      <c r="E35" s="226"/>
      <c r="F35" s="226"/>
      <c r="G35" s="226"/>
    </row>
    <row r="36" spans="1:7" ht="31" customHeight="1">
      <c r="A36" s="218"/>
      <c r="B36" s="226"/>
      <c r="C36" s="226"/>
      <c r="D36" s="226"/>
      <c r="E36" s="226"/>
      <c r="F36" s="226"/>
      <c r="G36" s="226"/>
    </row>
    <row r="37" spans="1:7" ht="31" customHeight="1">
      <c r="A37" s="218"/>
      <c r="B37" s="226"/>
      <c r="C37" s="226"/>
      <c r="D37" s="226"/>
      <c r="E37" s="226"/>
      <c r="F37" s="226"/>
      <c r="G37" s="226"/>
    </row>
    <row r="38" spans="1:7" ht="31" customHeight="1">
      <c r="A38" s="218"/>
      <c r="B38" s="226"/>
      <c r="C38" s="226"/>
      <c r="D38" s="226"/>
      <c r="E38" s="226"/>
      <c r="F38" s="226"/>
      <c r="G38" s="226"/>
    </row>
    <row r="39" spans="1:7">
      <c r="A39" s="218"/>
      <c r="B39" s="226"/>
      <c r="C39" s="226"/>
      <c r="D39" s="226"/>
      <c r="E39" s="226"/>
      <c r="F39" s="226"/>
      <c r="G39" s="226"/>
    </row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  <rowBreaks count="1" manualBreakCount="1">
    <brk id="29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E7CFF-CAA3-9843-B1C0-9CFABC186E59}">
  <dimension ref="A1:K16"/>
  <sheetViews>
    <sheetView zoomScale="75" workbookViewId="0">
      <selection activeCell="A3" sqref="A3"/>
    </sheetView>
  </sheetViews>
  <sheetFormatPr baseColWidth="10" defaultColWidth="11.3984375" defaultRowHeight="13"/>
  <cols>
    <col min="1" max="1" width="20.796875" style="7" customWidth="1"/>
    <col min="2" max="5" width="14" style="7" customWidth="1"/>
    <col min="6" max="6" width="14.796875" style="7" customWidth="1"/>
    <col min="7" max="7" width="13.796875" style="7" customWidth="1"/>
    <col min="8" max="16384" width="11.3984375" style="7"/>
  </cols>
  <sheetData>
    <row r="1" spans="1:11" s="1" customFormat="1" ht="14" customHeight="1"/>
    <row r="2" spans="1:11" s="1" customFormat="1" ht="28" customHeight="1">
      <c r="A2" s="2" t="s">
        <v>841</v>
      </c>
    </row>
    <row r="3" spans="1:11" ht="24" customHeight="1">
      <c r="A3" s="41" t="s">
        <v>535</v>
      </c>
      <c r="B3" s="6" t="s">
        <v>529</v>
      </c>
      <c r="C3" s="42" t="s">
        <v>530</v>
      </c>
      <c r="D3" s="6" t="s">
        <v>531</v>
      </c>
      <c r="E3" s="42" t="s">
        <v>536</v>
      </c>
      <c r="F3" s="6" t="s">
        <v>514</v>
      </c>
      <c r="G3" s="42" t="s">
        <v>522</v>
      </c>
    </row>
    <row r="4" spans="1:11" ht="15" customHeight="1">
      <c r="A4" s="43"/>
      <c r="B4" s="12"/>
      <c r="C4" s="44"/>
      <c r="D4" s="12"/>
      <c r="E4" s="45"/>
      <c r="F4" s="12"/>
      <c r="G4" s="44" t="s">
        <v>523</v>
      </c>
    </row>
    <row r="5" spans="1:11" ht="15" customHeight="1">
      <c r="A5" s="43"/>
      <c r="B5" s="12"/>
      <c r="C5" s="44"/>
      <c r="D5" s="12"/>
      <c r="E5" s="45"/>
      <c r="F5" s="12"/>
      <c r="G5" s="44" t="s">
        <v>524</v>
      </c>
    </row>
    <row r="6" spans="1:11" ht="24" customHeight="1">
      <c r="A6" s="46"/>
      <c r="B6" s="16"/>
      <c r="C6" s="47"/>
      <c r="D6" s="16"/>
      <c r="E6" s="48"/>
      <c r="F6" s="16"/>
      <c r="G6" s="47"/>
    </row>
    <row r="7" spans="1:11" ht="20" customHeight="1" thickBot="1">
      <c r="A7" s="228">
        <f>[43]f!A7</f>
        <v>1995</v>
      </c>
      <c r="B7" s="101">
        <f>[43]f!B7</f>
        <v>2819147</v>
      </c>
      <c r="C7" s="229">
        <f>[43]f!C7</f>
        <v>2987779</v>
      </c>
      <c r="D7" s="230">
        <f>[43]f!D7</f>
        <v>5806926</v>
      </c>
      <c r="E7" s="229">
        <f>[43]f!E7</f>
        <v>1295411</v>
      </c>
      <c r="F7" s="230">
        <f>[43]f!F7</f>
        <v>7102337</v>
      </c>
      <c r="G7" s="231" t="str">
        <f>[43]f!G7</f>
        <v>-</v>
      </c>
      <c r="H7" s="22"/>
    </row>
    <row r="8" spans="1:11" ht="20" customHeight="1" thickBot="1">
      <c r="A8" s="52">
        <f>[43]f!A8</f>
        <v>1996</v>
      </c>
      <c r="B8" s="26">
        <f>[43]f!B8</f>
        <v>2792349</v>
      </c>
      <c r="C8" s="54">
        <f>[43]f!C8</f>
        <v>2968829</v>
      </c>
      <c r="D8" s="26">
        <f>[43]f!D8</f>
        <v>5761178</v>
      </c>
      <c r="E8" s="54">
        <f>[43]f!E8</f>
        <v>1471489</v>
      </c>
      <c r="F8" s="26">
        <f>[43]f!F8</f>
        <v>7232667</v>
      </c>
      <c r="G8" s="55">
        <f>[43]f!G8</f>
        <v>1.8350297937143788E-2</v>
      </c>
    </row>
    <row r="9" spans="1:11" ht="20" customHeight="1" thickBot="1">
      <c r="A9" s="52">
        <f>[43]f!A9</f>
        <v>1997</v>
      </c>
      <c r="B9" s="26">
        <f>[43]f!B9</f>
        <v>2750986</v>
      </c>
      <c r="C9" s="54">
        <f>[43]f!C9</f>
        <v>2929423</v>
      </c>
      <c r="D9" s="26">
        <f>[43]f!D9</f>
        <v>5680409</v>
      </c>
      <c r="E9" s="54">
        <f>[43]f!E9</f>
        <v>1556062</v>
      </c>
      <c r="F9" s="26">
        <f>[43]f!F9</f>
        <v>7236471</v>
      </c>
      <c r="G9" s="55">
        <f>[43]f!G9</f>
        <v>5.2594706765844463E-4</v>
      </c>
      <c r="I9" s="27"/>
      <c r="J9" s="27"/>
      <c r="K9" s="27"/>
    </row>
    <row r="10" spans="1:11" ht="20" customHeight="1" thickBot="1">
      <c r="A10" s="52">
        <f>[43]f!A10</f>
        <v>1998</v>
      </c>
      <c r="B10" s="26">
        <f>[43]f!B10</f>
        <v>2746839</v>
      </c>
      <c r="C10" s="54">
        <f>[43]f!C10</f>
        <v>2927739</v>
      </c>
      <c r="D10" s="26">
        <f>[43]f!D10</f>
        <v>5674578</v>
      </c>
      <c r="E10" s="54">
        <f>[43]f!E10</f>
        <v>1572038</v>
      </c>
      <c r="F10" s="26">
        <f>[43]f!F10</f>
        <v>7246616</v>
      </c>
      <c r="G10" s="55">
        <f>[43]f!G10</f>
        <v>1.401926436242196E-3</v>
      </c>
    </row>
    <row r="11" spans="1:11" ht="20" customHeight="1" thickBot="1">
      <c r="A11" s="52">
        <f>[43]f!A11</f>
        <v>1999</v>
      </c>
      <c r="B11" s="26">
        <f>[43]f!B11</f>
        <v>2760031</v>
      </c>
      <c r="C11" s="54">
        <f>[43]f!C11</f>
        <v>2940891</v>
      </c>
      <c r="D11" s="26">
        <f>[43]f!D11</f>
        <v>5700922</v>
      </c>
      <c r="E11" s="54">
        <f>[43]f!E11</f>
        <v>1569600</v>
      </c>
      <c r="F11" s="26">
        <f>[43]f!F11</f>
        <v>7270522</v>
      </c>
      <c r="G11" s="55">
        <f>[43]f!G11</f>
        <v>3.298919109278041E-3</v>
      </c>
    </row>
    <row r="12" spans="1:11" ht="20" customHeight="1" thickBot="1">
      <c r="A12" s="52">
        <f>[43]f!A12</f>
        <v>2000</v>
      </c>
      <c r="B12" s="26">
        <f>[43]f!B12</f>
        <v>2758998</v>
      </c>
      <c r="C12" s="54">
        <f>[43]f!C12</f>
        <v>2947662</v>
      </c>
      <c r="D12" s="26">
        <f>[43]f!D12</f>
        <v>5706660</v>
      </c>
      <c r="E12" s="54">
        <f>[43]f!E12</f>
        <v>1558453</v>
      </c>
      <c r="F12" s="26">
        <f>[43]f!F12</f>
        <v>7265113</v>
      </c>
      <c r="G12" s="55">
        <f>[43]f!G12</f>
        <v>-7.4396308820742166E-4</v>
      </c>
    </row>
    <row r="13" spans="1:11" ht="30" customHeight="1" thickBot="1">
      <c r="A13" s="56">
        <f>[43]f!A13</f>
        <v>2001</v>
      </c>
      <c r="B13" s="39">
        <f>[43]f!B13</f>
        <v>2778660</v>
      </c>
      <c r="C13" s="57">
        <f>[43]f!C13</f>
        <v>2968477</v>
      </c>
      <c r="D13" s="39">
        <f>[43]f!D13</f>
        <v>5747137</v>
      </c>
      <c r="E13" s="57">
        <f>[43]f!E13</f>
        <v>1553913</v>
      </c>
      <c r="F13" s="39">
        <f>[43]f!F13</f>
        <v>7301050</v>
      </c>
      <c r="G13" s="58">
        <f>[43]f!G13</f>
        <v>4.9465163170896312E-3</v>
      </c>
    </row>
    <row r="14" spans="1:11" ht="20" customHeight="1">
      <c r="A14" s="28" t="str">
        <f>'[2]data an-1'!$D$2</f>
        <v>Datenstand: 6.11.02</v>
      </c>
      <c r="B14" s="29"/>
      <c r="C14" s="29"/>
      <c r="D14" s="29"/>
      <c r="E14" s="29"/>
      <c r="F14" s="29"/>
      <c r="G14" s="30"/>
    </row>
    <row r="15" spans="1:11" ht="12.75" customHeight="1">
      <c r="A15" s="7" t="s">
        <v>840</v>
      </c>
      <c r="B15" s="31"/>
      <c r="C15" s="31"/>
      <c r="D15" s="31"/>
      <c r="E15" s="31"/>
      <c r="F15" s="31"/>
      <c r="G15" s="32"/>
    </row>
    <row r="16" spans="1:11" ht="12.75" customHeight="1">
      <c r="A16" s="7" t="s">
        <v>534</v>
      </c>
    </row>
  </sheetData>
  <phoneticPr fontId="0" type="noConversion"/>
  <pageMargins left="0.78740157480314965" right="0.78740157480314965" top="1.46" bottom="0.49" header="0.95" footer="0.4921259845"/>
  <pageSetup paperSize="9" scale="80" orientation="portrait" horizontalDpi="4294967292" verticalDpi="4294967292"/>
  <headerFooter alignWithMargins="0">
    <oddHeader>&amp;L&amp;"Arial,Bold"&amp;14Versicherte und Finanzen in der OKP</oddHeader>
    <oddFooter>&amp;L&amp;"Arial,Regular"Statistik über die Krankenversicherung, Bundesamt für Sozialversicherung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B322-8BA2-FF44-A7BC-D2B17F0412AF}">
  <dimension ref="A1:I36"/>
  <sheetViews>
    <sheetView zoomScale="75" workbookViewId="0">
      <selection activeCell="J23" sqref="J23"/>
    </sheetView>
  </sheetViews>
  <sheetFormatPr baseColWidth="10" defaultColWidth="11.3984375" defaultRowHeight="13"/>
  <cols>
    <col min="1" max="1" width="47.19921875" style="7" customWidth="1"/>
    <col min="2" max="2" width="0.19921875" style="257" customWidth="1"/>
    <col min="3" max="3" width="10.19921875" style="257" hidden="1" customWidth="1"/>
    <col min="4" max="4" width="10.796875" style="257" customWidth="1"/>
    <col min="5" max="5" width="12.19921875" style="257" customWidth="1"/>
    <col min="6" max="8" width="12.19921875" style="7" customWidth="1"/>
    <col min="9" max="9" width="12.19921875" style="81" customWidth="1"/>
    <col min="10" max="16384" width="11.3984375" style="7"/>
  </cols>
  <sheetData>
    <row r="1" spans="1:9" ht="18">
      <c r="A1" s="232"/>
      <c r="B1" s="233"/>
      <c r="C1" s="233"/>
      <c r="D1" s="233"/>
      <c r="E1" s="233"/>
      <c r="F1" s="218"/>
      <c r="G1" s="218"/>
      <c r="H1" s="218"/>
      <c r="I1" s="217"/>
    </row>
    <row r="2" spans="1:9" ht="33" customHeight="1" thickBot="1">
      <c r="A2" s="234" t="s">
        <v>842</v>
      </c>
      <c r="B2" s="235"/>
      <c r="C2" s="235"/>
      <c r="D2" s="235"/>
      <c r="E2" s="235"/>
      <c r="F2" s="236"/>
      <c r="G2" s="236"/>
      <c r="H2" s="236"/>
      <c r="I2" s="237"/>
    </row>
    <row r="3" spans="1:9" ht="30" customHeight="1">
      <c r="A3" s="238" t="s">
        <v>843</v>
      </c>
      <c r="B3" s="196">
        <v>1994</v>
      </c>
      <c r="C3" s="195">
        <v>1995</v>
      </c>
      <c r="D3" s="239">
        <f>[44]f!D3</f>
        <v>1996</v>
      </c>
      <c r="E3" s="238">
        <f>[44]f!E3</f>
        <v>1997</v>
      </c>
      <c r="F3" s="239">
        <f>[44]f!F3</f>
        <v>1998</v>
      </c>
      <c r="G3" s="238">
        <f>[44]f!G3</f>
        <v>1999</v>
      </c>
      <c r="H3" s="239">
        <f>[44]f!H3</f>
        <v>2000</v>
      </c>
      <c r="I3" s="195">
        <f>[44]f!I3</f>
        <v>2001</v>
      </c>
    </row>
    <row r="4" spans="1:9" ht="14" customHeight="1">
      <c r="A4" s="238"/>
      <c r="B4" s="239"/>
      <c r="C4" s="238"/>
      <c r="D4" s="239"/>
      <c r="E4" s="238"/>
      <c r="F4" s="239"/>
      <c r="G4" s="238"/>
      <c r="H4" s="239"/>
      <c r="I4" s="195"/>
    </row>
    <row r="5" spans="1:9" ht="27.75" customHeight="1">
      <c r="A5" s="240"/>
      <c r="B5" s="241"/>
      <c r="C5" s="240"/>
      <c r="D5" s="241"/>
      <c r="E5" s="240"/>
      <c r="F5" s="241"/>
      <c r="G5" s="240"/>
      <c r="H5" s="241"/>
      <c r="I5" s="198"/>
    </row>
    <row r="6" spans="1:9" ht="20" customHeight="1" thickBot="1">
      <c r="A6" s="242" t="s">
        <v>844</v>
      </c>
      <c r="B6" s="229" t="s">
        <v>845</v>
      </c>
      <c r="C6" s="230" t="s">
        <v>845</v>
      </c>
      <c r="D6" s="102">
        <f>[44]f!D6</f>
        <v>145</v>
      </c>
      <c r="E6" s="101">
        <f>[44]f!E6</f>
        <v>129</v>
      </c>
      <c r="F6" s="102">
        <f>[44]f!F6</f>
        <v>118</v>
      </c>
      <c r="G6" s="101">
        <f>[44]f!G6</f>
        <v>109</v>
      </c>
      <c r="H6" s="102">
        <f>[44]f!H6</f>
        <v>101</v>
      </c>
      <c r="I6" s="243">
        <f>[44]f!I6</f>
        <v>99</v>
      </c>
    </row>
    <row r="7" spans="1:9" ht="16" customHeight="1" thickBot="1">
      <c r="A7" s="244" t="s">
        <v>846</v>
      </c>
      <c r="B7" s="71">
        <v>7131653</v>
      </c>
      <c r="C7" s="53">
        <v>7166317</v>
      </c>
      <c r="D7" s="71">
        <f>[44]f!D7</f>
        <v>7194754</v>
      </c>
      <c r="E7" s="53">
        <f>[44]f!E7</f>
        <v>7214805</v>
      </c>
      <c r="F7" s="71">
        <f>[44]f!F7</f>
        <v>7248603</v>
      </c>
      <c r="G7" s="53">
        <f>[44]f!G7</f>
        <v>7266534</v>
      </c>
      <c r="H7" s="71">
        <f>[44]f!H7</f>
        <v>7268111</v>
      </c>
      <c r="I7" s="245">
        <f>[44]f!I7</f>
        <v>7321287</v>
      </c>
    </row>
    <row r="8" spans="1:9" ht="16" hidden="1" customHeight="1" thickBot="1">
      <c r="A8" s="244" t="s">
        <v>847</v>
      </c>
      <c r="B8" s="71">
        <v>6447562</v>
      </c>
      <c r="C8" s="53">
        <v>6399482</v>
      </c>
      <c r="D8" s="71">
        <f>[44]f!D8</f>
        <v>4739640</v>
      </c>
      <c r="E8" s="53">
        <f>[44]f!E8</f>
        <v>4083854</v>
      </c>
      <c r="F8" s="71">
        <f>[44]f!F8</f>
        <v>4016267</v>
      </c>
      <c r="G8" s="53">
        <f>[44]f!G8</f>
        <v>3998744</v>
      </c>
      <c r="H8" s="71">
        <f>[44]f!H8</f>
        <v>3921920</v>
      </c>
      <c r="I8" s="245">
        <f>[44]f!I8</f>
        <v>-1.9212032578229565</v>
      </c>
    </row>
    <row r="9" spans="1:9" ht="16" hidden="1" customHeight="1" thickBot="1">
      <c r="A9" s="244" t="s">
        <v>848</v>
      </c>
      <c r="B9" s="71">
        <v>643991</v>
      </c>
      <c r="C9" s="53">
        <v>698747</v>
      </c>
      <c r="D9" s="71">
        <f>[44]f!D9</f>
        <v>2305688</v>
      </c>
      <c r="E9" s="53">
        <f>[44]f!E9</f>
        <v>2736364</v>
      </c>
      <c r="F9" s="71">
        <f>[44]f!F9</f>
        <v>2726468</v>
      </c>
      <c r="G9" s="53">
        <f>[44]f!G9</f>
        <v>2715642</v>
      </c>
      <c r="H9" s="71">
        <f>[44]f!H9</f>
        <v>2758539</v>
      </c>
      <c r="I9" s="245">
        <f>[44]f!I9</f>
        <v>1.5796264750655646</v>
      </c>
    </row>
    <row r="10" spans="1:9" ht="16" hidden="1" customHeight="1" thickBot="1">
      <c r="A10" s="244" t="s">
        <v>849</v>
      </c>
      <c r="B10" s="71">
        <v>15298</v>
      </c>
      <c r="C10" s="53">
        <v>32705</v>
      </c>
      <c r="D10" s="71">
        <f>[44]f!D10</f>
        <v>27828</v>
      </c>
      <c r="E10" s="53">
        <f>[44]f!E10</f>
        <v>11494</v>
      </c>
      <c r="F10" s="71">
        <f>[44]f!F10</f>
        <v>11828</v>
      </c>
      <c r="G10" s="53">
        <f>[44]f!G10</f>
        <v>10258</v>
      </c>
      <c r="H10" s="71">
        <f>[44]f!H10</f>
        <v>9811</v>
      </c>
      <c r="I10" s="245">
        <f>[44]f!I10</f>
        <v>-4.3575745759407294</v>
      </c>
    </row>
    <row r="11" spans="1:9" ht="16" hidden="1" customHeight="1" thickBot="1">
      <c r="A11" s="244" t="s">
        <v>850</v>
      </c>
      <c r="B11" s="71">
        <v>24802</v>
      </c>
      <c r="C11" s="53">
        <v>35383</v>
      </c>
      <c r="D11" s="71">
        <f>[44]f!D11</f>
        <v>121598</v>
      </c>
      <c r="E11" s="53">
        <f>[44]f!E11</f>
        <v>383093</v>
      </c>
      <c r="F11" s="71">
        <f>[44]f!F11</f>
        <v>494040</v>
      </c>
      <c r="G11" s="53">
        <f>[44]f!G11</f>
        <v>541890</v>
      </c>
      <c r="H11" s="71">
        <f>[44]f!H11</f>
        <v>577841</v>
      </c>
      <c r="I11" s="245">
        <f>[44]f!I11</f>
        <v>6.6343722895790656</v>
      </c>
    </row>
    <row r="12" spans="1:9" ht="16" customHeight="1" thickBot="1">
      <c r="A12" s="244" t="s">
        <v>851</v>
      </c>
      <c r="B12" s="54">
        <v>5454599</v>
      </c>
      <c r="C12" s="26">
        <v>5702352</v>
      </c>
      <c r="D12" s="71">
        <f>[44]f!D12</f>
        <v>5599991</v>
      </c>
      <c r="E12" s="53">
        <f>[44]f!E12</f>
        <v>5669325</v>
      </c>
      <c r="F12" s="71">
        <f>[44]f!F12</f>
        <v>5768621</v>
      </c>
      <c r="G12" s="53">
        <f>[44]f!G12</f>
        <v>5833167</v>
      </c>
      <c r="H12" s="71">
        <f>[44]f!H12</f>
        <v>5947035</v>
      </c>
      <c r="I12" s="245">
        <f>[44]f!I12</f>
        <v>6043905</v>
      </c>
    </row>
    <row r="13" spans="1:9" ht="16" customHeight="1" thickBot="1">
      <c r="A13" s="244" t="s">
        <v>852</v>
      </c>
      <c r="B13" s="246">
        <f>B12/B7*100</f>
        <v>76.484357834011277</v>
      </c>
      <c r="C13" s="128">
        <f>C12/C7*100</f>
        <v>79.571584678712924</v>
      </c>
      <c r="D13" s="247">
        <f>[44]f!D13</f>
        <v>77.834363760039608</v>
      </c>
      <c r="E13" s="248">
        <f>[44]f!E13</f>
        <v>78.579046834945643</v>
      </c>
      <c r="F13" s="247">
        <f>[44]f!F13</f>
        <v>79.582520935413342</v>
      </c>
      <c r="G13" s="248">
        <f>[44]f!G13</f>
        <v>80.274405927227477</v>
      </c>
      <c r="H13" s="247">
        <f>[44]f!H13</f>
        <v>81.823667800340417</v>
      </c>
      <c r="I13" s="249">
        <f>[44]f!I13</f>
        <v>82.6</v>
      </c>
    </row>
    <row r="14" spans="1:9" ht="16" customHeight="1" thickBot="1">
      <c r="A14" s="244" t="s">
        <v>853</v>
      </c>
      <c r="B14" s="54">
        <v>1155023</v>
      </c>
      <c r="C14" s="26">
        <v>1201676</v>
      </c>
      <c r="D14" s="71">
        <f>[44]f!D14</f>
        <v>1117084</v>
      </c>
      <c r="E14" s="53">
        <f>[44]f!E14</f>
        <v>1150122</v>
      </c>
      <c r="F14" s="71">
        <f>[44]f!F14</f>
        <v>1154759</v>
      </c>
      <c r="G14" s="53">
        <f>[44]f!G14</f>
        <v>1096033</v>
      </c>
      <c r="H14" s="71">
        <f>[44]f!H14</f>
        <v>1097932</v>
      </c>
      <c r="I14" s="245">
        <f>[44]f!I14</f>
        <v>1193315</v>
      </c>
    </row>
    <row r="15" spans="1:9" ht="15.75" customHeight="1" thickBot="1">
      <c r="A15" s="244" t="s">
        <v>854</v>
      </c>
      <c r="B15" s="54">
        <v>20875.407999999999</v>
      </c>
      <c r="C15" s="26">
        <v>22276.548999999999</v>
      </c>
      <c r="D15" s="71">
        <f>[44]f!D15</f>
        <v>18812.841</v>
      </c>
      <c r="E15" s="53">
        <f>[44]f!E15</f>
        <v>18987.651000000002</v>
      </c>
      <c r="F15" s="71">
        <f>[44]f!F15</f>
        <v>17067.058000000001</v>
      </c>
      <c r="G15" s="53">
        <f>[44]f!G15</f>
        <v>12747.16</v>
      </c>
      <c r="H15" s="71">
        <f>[44]f!H15</f>
        <v>12447.351000000001</v>
      </c>
      <c r="I15" s="245">
        <f>[44]f!I15</f>
        <v>12514.1</v>
      </c>
    </row>
    <row r="16" spans="1:9" ht="20" hidden="1" customHeight="1" thickBot="1">
      <c r="A16" s="250" t="s">
        <v>855</v>
      </c>
      <c r="B16" s="54"/>
      <c r="C16" s="26"/>
      <c r="D16" s="71">
        <f>[44]f!D16</f>
        <v>0</v>
      </c>
      <c r="E16" s="53">
        <f>[44]f!E16</f>
        <v>0</v>
      </c>
      <c r="F16" s="71">
        <f>[44]f!F16</f>
        <v>0</v>
      </c>
      <c r="G16" s="53">
        <f>[44]f!G16</f>
        <v>0</v>
      </c>
      <c r="H16" s="71">
        <f>[44]f!H16</f>
        <v>0</v>
      </c>
      <c r="I16" s="245">
        <f>[44]f!I16</f>
        <v>0</v>
      </c>
    </row>
    <row r="17" spans="1:9" ht="16" customHeight="1" thickBot="1">
      <c r="A17" s="244" t="s">
        <v>856</v>
      </c>
      <c r="B17" s="71">
        <v>9068.8770000000004</v>
      </c>
      <c r="C17" s="53">
        <v>9160.0470000000005</v>
      </c>
      <c r="D17" s="71">
        <f>[44]f!D17</f>
        <v>11130.63582</v>
      </c>
      <c r="E17" s="53">
        <f>[44]f!E17</f>
        <v>12040.684128000001</v>
      </c>
      <c r="F17" s="71">
        <f>[44]f!F17</f>
        <v>12708.270148</v>
      </c>
      <c r="G17" s="53">
        <f>[44]f!G17</f>
        <v>13033.842773</v>
      </c>
      <c r="H17" s="71">
        <f>[44]f!H17</f>
        <v>13441.654683999999</v>
      </c>
      <c r="I17" s="245">
        <f>[44]f!I17</f>
        <v>13997.312</v>
      </c>
    </row>
    <row r="18" spans="1:9" ht="15.75" customHeight="1" thickBot="1">
      <c r="A18" s="244" t="s">
        <v>857</v>
      </c>
      <c r="B18" s="71">
        <f>B17/B7*1000000</f>
        <v>1271.6374450635778</v>
      </c>
      <c r="C18" s="53">
        <f>C17/C7*1000000</f>
        <v>1278.2084577056808</v>
      </c>
      <c r="D18" s="71">
        <f>[44]f!D18</f>
        <v>1547.0488386399313</v>
      </c>
      <c r="E18" s="53">
        <f>[44]f!E18</f>
        <v>1668.885593997343</v>
      </c>
      <c r="F18" s="71">
        <f>[44]f!F18</f>
        <v>1753.2026720183185</v>
      </c>
      <c r="G18" s="53">
        <f>[44]f!G18</f>
        <v>1793.6808350446031</v>
      </c>
      <c r="H18" s="71">
        <f>[44]f!H18</f>
        <v>1849.401403473337</v>
      </c>
      <c r="I18" s="245">
        <f>[44]f!I18</f>
        <v>1912</v>
      </c>
    </row>
    <row r="19" spans="1:9" ht="16" customHeight="1" thickBot="1">
      <c r="A19" s="244" t="s">
        <v>869</v>
      </c>
      <c r="B19" s="71">
        <v>10808.398999999999</v>
      </c>
      <c r="C19" s="53">
        <v>11307.397999999999</v>
      </c>
      <c r="D19" s="71">
        <f>[44]f!D19</f>
        <v>12459.017247</v>
      </c>
      <c r="E19" s="53">
        <f>[44]f!E19</f>
        <v>13138.477535</v>
      </c>
      <c r="F19" s="71">
        <f>[44]f!F19</f>
        <v>14024.092651999999</v>
      </c>
      <c r="G19" s="53">
        <f>[44]f!G19</f>
        <v>14620.510517999999</v>
      </c>
      <c r="H19" s="71">
        <f>[44]f!H19</f>
        <v>15478.327442</v>
      </c>
      <c r="I19" s="245">
        <f>[44]f!I19</f>
        <v>16386.46</v>
      </c>
    </row>
    <row r="20" spans="1:9" ht="16" customHeight="1" thickBot="1">
      <c r="A20" s="244" t="s">
        <v>870</v>
      </c>
      <c r="B20" s="71">
        <f>B19/B7*1000000</f>
        <v>1515.5531263228875</v>
      </c>
      <c r="C20" s="53">
        <f>C19/C7*1000000</f>
        <v>1577.8534496869172</v>
      </c>
      <c r="D20" s="71">
        <f>[44]f!D20</f>
        <v>1731.6807839434121</v>
      </c>
      <c r="E20" s="53">
        <f>[44]f!E20</f>
        <v>1821.0440247518818</v>
      </c>
      <c r="F20" s="71">
        <f>[44]f!F20</f>
        <v>1934.7304097079118</v>
      </c>
      <c r="G20" s="53">
        <f>[44]f!G20</f>
        <v>2012.0335937325824</v>
      </c>
      <c r="H20" s="71">
        <f>[44]f!H20</f>
        <v>2129.6217740758225</v>
      </c>
      <c r="I20" s="245">
        <f>[44]f!I20</f>
        <v>2238</v>
      </c>
    </row>
    <row r="21" spans="1:9" ht="16" customHeight="1" thickBot="1">
      <c r="A21" s="244" t="s">
        <v>858</v>
      </c>
      <c r="B21" s="71">
        <v>1009.132945756054</v>
      </c>
      <c r="C21" s="53">
        <v>1031.5524696995681</v>
      </c>
      <c r="D21" s="71">
        <f>[44]f!D21</f>
        <v>1141.7516401488422</v>
      </c>
      <c r="E21" s="53">
        <f>[44]f!E21</f>
        <v>1210.7956888559779</v>
      </c>
      <c r="F21" s="71">
        <f>[44]f!F21</f>
        <v>1287.51</v>
      </c>
      <c r="G21" s="53">
        <f>[44]f!G21</f>
        <v>1352.3238940325607</v>
      </c>
      <c r="H21" s="71">
        <f>[44]f!H21</f>
        <v>1450.5580412847301</v>
      </c>
      <c r="I21" s="245">
        <f>[44]f!I21</f>
        <v>1545</v>
      </c>
    </row>
    <row r="22" spans="1:9" ht="16" customHeight="1" thickBot="1">
      <c r="A22" s="244" t="s">
        <v>859</v>
      </c>
      <c r="B22" s="71">
        <v>506.41639462828601</v>
      </c>
      <c r="C22" s="53">
        <v>546.29693327827954</v>
      </c>
      <c r="D22" s="71">
        <f>[44]f!D22</f>
        <v>589.92914393356</v>
      </c>
      <c r="E22" s="53">
        <f>[44]f!E22</f>
        <v>610.24833589590401</v>
      </c>
      <c r="F22" s="71">
        <f>[44]f!F22</f>
        <v>647.22</v>
      </c>
      <c r="G22" s="53">
        <f>[44]f!G22</f>
        <v>659.70969970002204</v>
      </c>
      <c r="H22" s="71">
        <f>[44]f!H22</f>
        <v>679.06373279109243</v>
      </c>
      <c r="I22" s="245">
        <f>[44]f!I22</f>
        <v>694</v>
      </c>
    </row>
    <row r="23" spans="1:9" ht="16" customHeight="1" thickBot="1">
      <c r="A23" s="244" t="s">
        <v>860</v>
      </c>
      <c r="B23" s="71">
        <v>-1259.2739999999999</v>
      </c>
      <c r="C23" s="53">
        <v>-1290.1959999999999</v>
      </c>
      <c r="D23" s="71">
        <f>[44]f!D23</f>
        <v>1678.5317379999999</v>
      </c>
      <c r="E23" s="53">
        <f>[44]f!E23</f>
        <v>1777.9823429999999</v>
      </c>
      <c r="F23" s="71">
        <f>[44]f!F23</f>
        <v>2097.2328000000002</v>
      </c>
      <c r="G23" s="53">
        <f>[44]f!G23</f>
        <v>2189.9011839999998</v>
      </c>
      <c r="H23" s="71">
        <f>[44]f!H23</f>
        <v>2288.0175450000002</v>
      </c>
      <c r="I23" s="245">
        <f>[44]f!I23</f>
        <v>2400.1799999999998</v>
      </c>
    </row>
    <row r="24" spans="1:9" ht="16" customHeight="1" thickBot="1">
      <c r="A24" s="244" t="s">
        <v>861</v>
      </c>
      <c r="B24" s="71">
        <f>B23*1000000/B7</f>
        <v>-176.57533253510792</v>
      </c>
      <c r="C24" s="53">
        <f>C23*1000000/C7</f>
        <v>-180.03613292574136</v>
      </c>
      <c r="D24" s="71">
        <f>[44]f!D24</f>
        <v>233.29939258520861</v>
      </c>
      <c r="E24" s="53">
        <f>[44]f!E24</f>
        <v>246.43525958082026</v>
      </c>
      <c r="F24" s="71">
        <f>[44]f!F24</f>
        <v>289.32924040673771</v>
      </c>
      <c r="G24" s="53">
        <f>[44]f!G24</f>
        <v>301.36805029743203</v>
      </c>
      <c r="H24" s="71">
        <f>[44]f!H24</f>
        <v>314.80222921746793</v>
      </c>
      <c r="I24" s="245">
        <f>[44]f!I24</f>
        <v>328</v>
      </c>
    </row>
    <row r="25" spans="1:9" ht="16" customHeight="1" thickBot="1">
      <c r="A25" s="244" t="s">
        <v>871</v>
      </c>
      <c r="B25" s="71">
        <v>9549.125</v>
      </c>
      <c r="C25" s="53">
        <v>10017.201999999999</v>
      </c>
      <c r="D25" s="71">
        <f>[44]f!D25</f>
        <v>10780.485509</v>
      </c>
      <c r="E25" s="53">
        <f>[44]f!E25</f>
        <v>11360.495192</v>
      </c>
      <c r="F25" s="71">
        <f>[44]f!F25</f>
        <v>11926.859852</v>
      </c>
      <c r="G25" s="53">
        <f>[44]f!G25</f>
        <v>12430.609334000001</v>
      </c>
      <c r="H25" s="71">
        <f>[44]f!H25</f>
        <v>13190.309896999999</v>
      </c>
      <c r="I25" s="245">
        <f>[44]f!I25</f>
        <v>13986.27</v>
      </c>
    </row>
    <row r="26" spans="1:9" ht="16" customHeight="1" thickBot="1">
      <c r="A26" s="244" t="s">
        <v>872</v>
      </c>
      <c r="B26" s="71">
        <f>B25/B7*1000000</f>
        <v>1338.9777937877798</v>
      </c>
      <c r="C26" s="53">
        <f>C25/C7*1000000</f>
        <v>1397.8173167611758</v>
      </c>
      <c r="D26" s="71">
        <f>[44]f!D26</f>
        <v>1498.3813913582035</v>
      </c>
      <c r="E26" s="53">
        <f>[44]f!E26</f>
        <v>1574.6087651710613</v>
      </c>
      <c r="F26" s="71">
        <f>[44]f!F26</f>
        <v>1645.4011693011744</v>
      </c>
      <c r="G26" s="53">
        <f>[44]f!G26</f>
        <v>1710.665543435151</v>
      </c>
      <c r="H26" s="71">
        <f>[44]f!H26</f>
        <v>1814.8195448583544</v>
      </c>
      <c r="I26" s="245">
        <f>[44]f!I26</f>
        <v>1910</v>
      </c>
    </row>
    <row r="27" spans="1:9" ht="15.75" customHeight="1" thickBot="1">
      <c r="A27" s="244" t="s">
        <v>862</v>
      </c>
      <c r="B27" s="71">
        <v>814.34100000000001</v>
      </c>
      <c r="C27" s="53">
        <v>830.40499999999997</v>
      </c>
      <c r="D27" s="71">
        <f>[44]f!D27</f>
        <v>959.82757900000001</v>
      </c>
      <c r="E27" s="53">
        <f>[44]f!E27</f>
        <v>893.208437</v>
      </c>
      <c r="F27" s="71">
        <f>[44]f!F27</f>
        <v>854.94479699999999</v>
      </c>
      <c r="G27" s="53">
        <f>[44]f!G27</f>
        <v>854.24312299999997</v>
      </c>
      <c r="H27" s="71">
        <f>[44]f!H27</f>
        <v>863.27835700000003</v>
      </c>
      <c r="I27" s="245">
        <f>[44]f!I27</f>
        <v>908.85</v>
      </c>
    </row>
    <row r="28" spans="1:9" ht="19.5" customHeight="1" thickBot="1">
      <c r="A28" s="244" t="s">
        <v>863</v>
      </c>
      <c r="B28" s="71">
        <v>126.35937300000001</v>
      </c>
      <c r="C28" s="53">
        <v>-81.798816000000002</v>
      </c>
      <c r="D28" s="71">
        <f>[44]f!D28</f>
        <v>-319.932346</v>
      </c>
      <c r="E28" s="53">
        <f>[44]f!E28</f>
        <v>70.171887999999996</v>
      </c>
      <c r="F28" s="71">
        <f>[44]f!F28</f>
        <v>-3.3297E-2</v>
      </c>
      <c r="G28" s="53">
        <f>[44]f!G28</f>
        <v>-49.386769999999999</v>
      </c>
      <c r="H28" s="71">
        <f>[44]f!H28</f>
        <v>-305.95411300000001</v>
      </c>
      <c r="I28" s="245">
        <f>[44]f!I28</f>
        <v>-789.7</v>
      </c>
    </row>
    <row r="29" spans="1:9" ht="19.5" customHeight="1" thickBot="1">
      <c r="A29" s="244" t="s">
        <v>864</v>
      </c>
      <c r="B29" s="54" t="s">
        <v>845</v>
      </c>
      <c r="C29" s="26" t="s">
        <v>845</v>
      </c>
      <c r="D29" s="71">
        <f>[44]f!D29</f>
        <v>3454.5367919999999</v>
      </c>
      <c r="E29" s="53">
        <f>[44]f!E29</f>
        <v>3507.8977540000001</v>
      </c>
      <c r="F29" s="71">
        <f>[44]f!F29</f>
        <v>3693.9578390000001</v>
      </c>
      <c r="G29" s="53">
        <f>[44]f!G29</f>
        <v>3810.0183769999999</v>
      </c>
      <c r="H29" s="71">
        <f>[44]f!H29</f>
        <v>3956.2184860000002</v>
      </c>
      <c r="I29" s="245">
        <f>[44]f!I29</f>
        <v>3996.3</v>
      </c>
    </row>
    <row r="30" spans="1:9" ht="19.5" customHeight="1" thickBot="1">
      <c r="A30" s="244" t="s">
        <v>865</v>
      </c>
      <c r="B30" s="54" t="s">
        <v>845</v>
      </c>
      <c r="C30" s="26" t="s">
        <v>845</v>
      </c>
      <c r="D30" s="71">
        <f>[44]f!D30</f>
        <v>2856.0771500000001</v>
      </c>
      <c r="E30" s="53">
        <f>[44]f!E30</f>
        <v>2991.8799650000001</v>
      </c>
      <c r="F30" s="71">
        <f>[44]f!F30</f>
        <v>2985.5309590000002</v>
      </c>
      <c r="G30" s="53">
        <f>[44]f!G30</f>
        <v>3077.412147</v>
      </c>
      <c r="H30" s="71">
        <f>[44]f!H30</f>
        <v>2832.1064590000001</v>
      </c>
      <c r="I30" s="245">
        <f>[44]f!I30</f>
        <v>2102.63</v>
      </c>
    </row>
    <row r="31" spans="1:9" ht="19.5" customHeight="1" thickBot="1">
      <c r="A31" s="251" t="s">
        <v>873</v>
      </c>
      <c r="B31" s="252" t="s">
        <v>845</v>
      </c>
      <c r="C31" s="253" t="s">
        <v>845</v>
      </c>
      <c r="D31" s="254">
        <f>[44]f!D31</f>
        <v>0.25659604681954279</v>
      </c>
      <c r="E31" s="255">
        <f>[44]f!E31</f>
        <v>0.24848089470618492</v>
      </c>
      <c r="F31" s="254">
        <f>[44]f!F31</f>
        <v>0.23492819433570639</v>
      </c>
      <c r="G31" s="255">
        <f>[44]f!G31</f>
        <v>0.23610935014307161</v>
      </c>
      <c r="H31" s="254">
        <f>[44]f!H31</f>
        <v>0.21069626661151625</v>
      </c>
      <c r="I31" s="256">
        <f>[44]f!I31</f>
        <v>0.15</v>
      </c>
    </row>
    <row r="32" spans="1:9" ht="20.25" customHeight="1">
      <c r="A32" s="28" t="str">
        <f>'[2]data an-1'!$D$2</f>
        <v>Datenstand: 6.11.02</v>
      </c>
      <c r="B32" s="163"/>
      <c r="C32" s="163"/>
      <c r="D32" s="163"/>
      <c r="E32" s="163"/>
      <c r="F32" s="163"/>
      <c r="G32" s="163"/>
      <c r="H32" s="163"/>
      <c r="I32" s="210"/>
    </row>
    <row r="33" spans="1:9" ht="12" customHeight="1">
      <c r="A33" s="218" t="s">
        <v>866</v>
      </c>
      <c r="B33" s="163"/>
      <c r="C33" s="163"/>
      <c r="D33" s="163"/>
      <c r="E33" s="163"/>
      <c r="F33" s="163"/>
      <c r="G33" s="163"/>
      <c r="H33" s="163"/>
      <c r="I33" s="210"/>
    </row>
    <row r="34" spans="1:9" ht="12.75" customHeight="1">
      <c r="A34" s="218" t="s">
        <v>867</v>
      </c>
      <c r="B34" s="163"/>
      <c r="C34" s="163"/>
      <c r="D34" s="163"/>
      <c r="E34" s="163"/>
      <c r="F34" s="163"/>
      <c r="G34" s="163"/>
      <c r="H34" s="163"/>
      <c r="I34" s="210"/>
    </row>
    <row r="35" spans="1:9" ht="12" customHeight="1">
      <c r="A35" s="7" t="s">
        <v>868</v>
      </c>
      <c r="B35" s="180"/>
      <c r="C35" s="180"/>
      <c r="D35" s="180"/>
      <c r="E35" s="180"/>
      <c r="F35" s="1"/>
      <c r="G35" s="1"/>
      <c r="H35" s="1"/>
      <c r="I35" s="159"/>
    </row>
    <row r="36" spans="1:9" ht="11.25" customHeight="1">
      <c r="A36" s="208"/>
      <c r="B36" s="180"/>
      <c r="C36" s="180"/>
      <c r="D36" s="180"/>
      <c r="E36" s="180"/>
      <c r="F36" s="1"/>
      <c r="G36" s="1"/>
      <c r="H36" s="1"/>
      <c r="I36" s="159"/>
    </row>
  </sheetData>
  <phoneticPr fontId="0" type="noConversion"/>
  <pageMargins left="0.41" right="0.44" top="0.88" bottom="0.49" header="0.49" footer="0.4921259845"/>
  <pageSetup paperSize="9" scale="75" orientation="portrait" horizontalDpi="4294967292" verticalDpi="4294967292"/>
  <headerFooter alignWithMargins="0">
    <oddHeader>&amp;L&amp;"55 Helvetica Roman,Gras"&amp;14Versicherte und Finanzen in der OKP</oddHeader>
    <oddFooter>&amp;L&amp;"Arial,Regular"Statistik über die Krankenversicherung, Bundesamt für Sozialversicherung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C6A6-84B2-BB47-96D2-A2DF03BF2C41}">
  <dimension ref="A1:K19"/>
  <sheetViews>
    <sheetView zoomScale="75" workbookViewId="0">
      <selection activeCell="J15" sqref="J15"/>
    </sheetView>
  </sheetViews>
  <sheetFormatPr baseColWidth="10" defaultColWidth="11.3984375" defaultRowHeight="13"/>
  <cols>
    <col min="1" max="1" width="21.796875" style="7" customWidth="1"/>
    <col min="2" max="7" width="12.796875" style="7" customWidth="1"/>
    <col min="8" max="16384" width="11.3984375" style="7"/>
  </cols>
  <sheetData>
    <row r="1" spans="1:11" s="1" customFormat="1" ht="14" customHeight="1"/>
    <row r="2" spans="1:11" s="1" customFormat="1" ht="28" customHeight="1">
      <c r="A2" s="2" t="str">
        <f>"T 2.01  Nettozahler und Nettoempfänger 1993 – "&amp;'[45]an_data an_1'!$B$2</f>
        <v>T 2.01  Nettozahler und Nettoempfänger 1993 – 2001</v>
      </c>
    </row>
    <row r="3" spans="1:11" ht="24" customHeight="1">
      <c r="A3" s="41" t="s">
        <v>874</v>
      </c>
      <c r="B3" s="6" t="s">
        <v>875</v>
      </c>
      <c r="C3" s="42" t="s">
        <v>876</v>
      </c>
      <c r="D3" s="6" t="s">
        <v>875</v>
      </c>
      <c r="E3" s="42" t="s">
        <v>876</v>
      </c>
      <c r="F3" s="6" t="s">
        <v>514</v>
      </c>
      <c r="G3" s="42" t="s">
        <v>522</v>
      </c>
    </row>
    <row r="4" spans="1:11" ht="15" customHeight="1">
      <c r="A4" s="43" t="s">
        <v>877</v>
      </c>
      <c r="B4" s="12" t="s">
        <v>882</v>
      </c>
      <c r="C4" s="44" t="s">
        <v>878</v>
      </c>
      <c r="D4" s="12" t="s">
        <v>883</v>
      </c>
      <c r="E4" s="44" t="s">
        <v>878</v>
      </c>
      <c r="F4" s="12"/>
      <c r="G4" s="44" t="s">
        <v>523</v>
      </c>
    </row>
    <row r="5" spans="1:11" ht="15" customHeight="1">
      <c r="A5" s="43" t="s">
        <v>884</v>
      </c>
      <c r="B5" s="12"/>
      <c r="C5" s="44"/>
      <c r="D5" s="12"/>
      <c r="E5" s="44"/>
      <c r="F5" s="12"/>
      <c r="G5" s="44" t="s">
        <v>524</v>
      </c>
    </row>
    <row r="6" spans="1:11" ht="14.25" customHeight="1">
      <c r="A6" s="46"/>
      <c r="B6" s="16"/>
      <c r="C6" s="47"/>
      <c r="D6" s="16"/>
      <c r="E6" s="47"/>
      <c r="F6" s="16"/>
      <c r="G6" s="47"/>
    </row>
    <row r="7" spans="1:11" ht="24.75" customHeight="1" thickBot="1">
      <c r="A7" s="49">
        <v>1993</v>
      </c>
      <c r="B7" s="101">
        <f>[46]f!B7</f>
        <v>67</v>
      </c>
      <c r="C7" s="231">
        <f>[46]f!C7</f>
        <v>0.36612021857923499</v>
      </c>
      <c r="D7" s="230">
        <f>[46]f!D7</f>
        <v>116</v>
      </c>
      <c r="E7" s="231">
        <f>[46]f!E7</f>
        <v>0.63387978142076506</v>
      </c>
      <c r="F7" s="230">
        <f>[46]f!F7</f>
        <v>183</v>
      </c>
      <c r="G7" s="231" t="str">
        <f>[46]f!G7</f>
        <v>–</v>
      </c>
      <c r="H7" s="22"/>
    </row>
    <row r="8" spans="1:11" ht="20" customHeight="1" thickBot="1">
      <c r="A8" s="52">
        <v>1994</v>
      </c>
      <c r="B8" s="53">
        <f>[46]f!B8</f>
        <v>64</v>
      </c>
      <c r="C8" s="55">
        <f>[46]f!C8</f>
        <v>0.3595505617977528</v>
      </c>
      <c r="D8" s="26">
        <f>[46]f!D8</f>
        <v>114</v>
      </c>
      <c r="E8" s="55">
        <f>[46]f!E8</f>
        <v>0.6404494382022472</v>
      </c>
      <c r="F8" s="26">
        <f>[46]f!F8</f>
        <v>178</v>
      </c>
      <c r="G8" s="55">
        <f>[46]f!G8</f>
        <v>-2.7322404371584699E-2</v>
      </c>
      <c r="H8" s="22"/>
    </row>
    <row r="9" spans="1:11" ht="20" customHeight="1" thickBot="1">
      <c r="A9" s="52">
        <v>1995</v>
      </c>
      <c r="B9" s="53">
        <f>[46]f!B9</f>
        <v>66</v>
      </c>
      <c r="C9" s="55">
        <f>[46]f!C9</f>
        <v>0.39759036144578314</v>
      </c>
      <c r="D9" s="26">
        <f>[46]f!D9</f>
        <v>100</v>
      </c>
      <c r="E9" s="55">
        <f>[46]f!E9</f>
        <v>0.60240963855421692</v>
      </c>
      <c r="F9" s="26">
        <f>[46]f!F9</f>
        <v>166</v>
      </c>
      <c r="G9" s="55">
        <f>[46]f!G9</f>
        <v>-6.741573033707865E-2</v>
      </c>
    </row>
    <row r="10" spans="1:11" ht="20" customHeight="1" thickBot="1">
      <c r="A10" s="52">
        <v>1996</v>
      </c>
      <c r="B10" s="53">
        <f>[46]f!B10</f>
        <v>82</v>
      </c>
      <c r="C10" s="55">
        <f>[46]f!C10</f>
        <v>0.56551724137931036</v>
      </c>
      <c r="D10" s="26">
        <f>[46]f!D10</f>
        <v>63</v>
      </c>
      <c r="E10" s="55">
        <f>[46]f!E10</f>
        <v>0.43448275862068964</v>
      </c>
      <c r="F10" s="26">
        <f>[46]f!F10</f>
        <v>145</v>
      </c>
      <c r="G10" s="55">
        <f>[46]f!G10</f>
        <v>-0.12650602409638553</v>
      </c>
      <c r="I10" s="27"/>
      <c r="J10" s="27"/>
      <c r="K10" s="27"/>
    </row>
    <row r="11" spans="1:11" ht="20" customHeight="1" thickBot="1">
      <c r="A11" s="52">
        <v>1997</v>
      </c>
      <c r="B11" s="53">
        <f>[46]f!B11</f>
        <v>60</v>
      </c>
      <c r="C11" s="55">
        <f>[46]f!C11</f>
        <v>0.46511627906976744</v>
      </c>
      <c r="D11" s="26">
        <f>[46]f!D11</f>
        <v>69</v>
      </c>
      <c r="E11" s="55">
        <f>[46]f!E11</f>
        <v>0.53488372093023251</v>
      </c>
      <c r="F11" s="26">
        <f>[46]f!F11</f>
        <v>129</v>
      </c>
      <c r="G11" s="55">
        <f>[46]f!G11</f>
        <v>-0.1103448275862069</v>
      </c>
    </row>
    <row r="12" spans="1:11" ht="20" customHeight="1" thickBot="1">
      <c r="A12" s="52">
        <v>1998</v>
      </c>
      <c r="B12" s="53">
        <f>[46]f!B12</f>
        <v>62</v>
      </c>
      <c r="C12" s="55">
        <f>[46]f!C12</f>
        <v>0.52542372881355937</v>
      </c>
      <c r="D12" s="26">
        <f>[46]f!D12</f>
        <v>56</v>
      </c>
      <c r="E12" s="55">
        <f>[46]f!E12</f>
        <v>0.47457627118644069</v>
      </c>
      <c r="F12" s="26">
        <f>[46]f!F12</f>
        <v>118</v>
      </c>
      <c r="G12" s="55">
        <f>[46]f!G12</f>
        <v>-8.5271317829457363E-2</v>
      </c>
    </row>
    <row r="13" spans="1:11" ht="20" customHeight="1" thickBot="1">
      <c r="A13" s="52">
        <v>1999</v>
      </c>
      <c r="B13" s="53">
        <f>[46]f!B13</f>
        <v>59</v>
      </c>
      <c r="C13" s="55">
        <f>[46]f!C13</f>
        <v>0.54128440366972475</v>
      </c>
      <c r="D13" s="26">
        <f>[46]f!D13</f>
        <v>50</v>
      </c>
      <c r="E13" s="55">
        <f>[46]f!E13</f>
        <v>0.45871559633027525</v>
      </c>
      <c r="F13" s="26">
        <f>[46]f!F13</f>
        <v>109</v>
      </c>
      <c r="G13" s="55">
        <f>[46]f!G13</f>
        <v>-7.6271186440677971E-2</v>
      </c>
    </row>
    <row r="14" spans="1:11" ht="19.5" customHeight="1" thickBot="1">
      <c r="A14" s="52">
        <v>2000</v>
      </c>
      <c r="B14" s="53">
        <f>[46]f!B14</f>
        <v>59</v>
      </c>
      <c r="C14" s="55">
        <f>[46]f!C14</f>
        <v>0.58415841584158412</v>
      </c>
      <c r="D14" s="26">
        <f>[46]f!D14</f>
        <v>42</v>
      </c>
      <c r="E14" s="55">
        <f>[46]f!E14</f>
        <v>0.41584158415841582</v>
      </c>
      <c r="F14" s="26">
        <f>[46]f!F14</f>
        <v>101</v>
      </c>
      <c r="G14" s="55">
        <f>[46]f!G14</f>
        <v>-7.3394495412844041E-2</v>
      </c>
    </row>
    <row r="15" spans="1:11" ht="20" customHeight="1" thickBot="1">
      <c r="A15" s="258">
        <v>2001</v>
      </c>
      <c r="B15" s="245">
        <f>[46]f!B15</f>
        <v>64</v>
      </c>
      <c r="C15" s="259">
        <f>[46]f!C15</f>
        <v>0.64646464646464652</v>
      </c>
      <c r="D15" s="124">
        <f>[46]f!D15</f>
        <v>35</v>
      </c>
      <c r="E15" s="259">
        <f>[46]f!E15</f>
        <v>0.35353535353535354</v>
      </c>
      <c r="F15" s="124">
        <f>[46]f!F15</f>
        <v>99</v>
      </c>
      <c r="G15" s="259">
        <f>[46]f!G15</f>
        <v>-1.9801980198019802E-2</v>
      </c>
    </row>
    <row r="16" spans="1:11">
      <c r="A16" s="28" t="str">
        <f>"Datenstand: Juli "&amp;'[45]an_data an_1'!$B$2+1</f>
        <v>Datenstand: Juli 2002</v>
      </c>
      <c r="B16" s="28"/>
      <c r="C16" s="28"/>
      <c r="D16" s="28"/>
      <c r="E16" s="28"/>
      <c r="F16" s="28"/>
      <c r="G16" s="28"/>
    </row>
    <row r="17" spans="1:1">
      <c r="A17" s="7" t="s">
        <v>879</v>
      </c>
    </row>
    <row r="18" spans="1:1">
      <c r="A18" s="7" t="s">
        <v>880</v>
      </c>
    </row>
    <row r="19" spans="1:1">
      <c r="A19" s="7" t="s">
        <v>881</v>
      </c>
    </row>
  </sheetData>
  <phoneticPr fontId="0" type="noConversion"/>
  <pageMargins left="0.78740157480314965" right="0.78740157480314965" top="1.37" bottom="0.49" header="0.81" footer="0.4921259845"/>
  <pageSetup paperSize="9" scale="80" orientation="portrait" horizontalDpi="4294967292" verticalDpi="4294967292"/>
  <headerFooter alignWithMargins="0">
    <oddHeader>&amp;L&amp;"Arial,Bold"&amp;14Risikoausgleich in der OKP</oddHeader>
    <oddFooter>&amp;L&amp;"Arial,Regular"Statistik über die Krankenversicherung, Bundesamt für Sozialversicherung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01D8F-1E84-8E4F-AC44-1806CC3EEA48}">
  <dimension ref="A1:K19"/>
  <sheetViews>
    <sheetView zoomScale="75" workbookViewId="0">
      <selection activeCell="B4" sqref="B4"/>
    </sheetView>
  </sheetViews>
  <sheetFormatPr baseColWidth="10" defaultColWidth="11.3984375" defaultRowHeight="13"/>
  <cols>
    <col min="1" max="1" width="21.796875" style="7" customWidth="1"/>
    <col min="2" max="2" width="13" style="7" customWidth="1"/>
    <col min="3" max="4" width="12.796875" style="7" customWidth="1"/>
    <col min="5" max="7" width="13" style="7" customWidth="1"/>
    <col min="8" max="16384" width="11.3984375" style="7"/>
  </cols>
  <sheetData>
    <row r="1" spans="1:11" s="1" customFormat="1" ht="14" customHeight="1"/>
    <row r="2" spans="1:11" s="1" customFormat="1" ht="28" customHeight="1">
      <c r="A2" s="2" t="str">
        <f>"T 2.02 Bruttoumverteilung und Nettoumverteilung in Mio. Fr. 1993 – "&amp;'[45]an_data an_1'!$B$2</f>
        <v>T 2.02 Bruttoumverteilung und Nettoumverteilung in Mio. Fr. 1993 – 2001</v>
      </c>
    </row>
    <row r="3" spans="1:11" ht="24" customHeight="1">
      <c r="A3" s="41" t="s">
        <v>874</v>
      </c>
      <c r="B3" s="261" t="s">
        <v>885</v>
      </c>
      <c r="C3" s="42"/>
      <c r="D3" s="6"/>
      <c r="E3" s="42"/>
      <c r="F3" s="261" t="s">
        <v>886</v>
      </c>
      <c r="G3" s="42"/>
    </row>
    <row r="4" spans="1:11" ht="15" customHeight="1">
      <c r="A4" s="43" t="s">
        <v>877</v>
      </c>
      <c r="B4" s="12" t="s">
        <v>887</v>
      </c>
      <c r="C4" s="44" t="s">
        <v>522</v>
      </c>
      <c r="D4" s="12" t="s">
        <v>888</v>
      </c>
      <c r="E4" s="44" t="s">
        <v>522</v>
      </c>
      <c r="F4" s="12" t="s">
        <v>889</v>
      </c>
      <c r="G4" s="44" t="s">
        <v>522</v>
      </c>
    </row>
    <row r="5" spans="1:11" ht="15" customHeight="1">
      <c r="A5" s="43" t="s">
        <v>890</v>
      </c>
      <c r="B5" s="12" t="s">
        <v>891</v>
      </c>
      <c r="C5" s="44" t="s">
        <v>523</v>
      </c>
      <c r="D5" s="12" t="s">
        <v>892</v>
      </c>
      <c r="E5" s="44" t="s">
        <v>523</v>
      </c>
      <c r="F5" s="12" t="s">
        <v>893</v>
      </c>
      <c r="G5" s="44" t="s">
        <v>523</v>
      </c>
    </row>
    <row r="6" spans="1:11" ht="24" customHeight="1">
      <c r="A6" s="46"/>
      <c r="B6" s="16"/>
      <c r="C6" s="47" t="s">
        <v>524</v>
      </c>
      <c r="D6" s="16"/>
      <c r="E6" s="47" t="s">
        <v>894</v>
      </c>
      <c r="F6" s="16"/>
      <c r="G6" s="47" t="s">
        <v>894</v>
      </c>
    </row>
    <row r="7" spans="1:11" ht="30" customHeight="1" thickBot="1">
      <c r="A7" s="49">
        <v>1993</v>
      </c>
      <c r="B7" s="20" t="str">
        <f>[47]f!B7</f>
        <v>–</v>
      </c>
      <c r="C7" s="50" t="str">
        <f>[47]f!C7</f>
        <v>–</v>
      </c>
      <c r="D7" s="20" t="str">
        <f>[47]f!D7</f>
        <v>–</v>
      </c>
      <c r="E7" s="50" t="str">
        <f>[47]f!E7</f>
        <v>–</v>
      </c>
      <c r="F7" s="21">
        <f>[47]f!F7</f>
        <v>284</v>
      </c>
      <c r="G7" s="50" t="str">
        <f>[47]f!G7</f>
        <v>–</v>
      </c>
      <c r="H7" s="22"/>
    </row>
    <row r="8" spans="1:11" ht="20" customHeight="1" thickBot="1">
      <c r="A8" s="52">
        <v>1994</v>
      </c>
      <c r="B8" s="26">
        <f>[47]f!B8</f>
        <v>435</v>
      </c>
      <c r="C8" s="126" t="str">
        <f>[47]f!C8</f>
        <v>–</v>
      </c>
      <c r="D8" s="26" t="str">
        <f>[47]f!D8</f>
        <v>–</v>
      </c>
      <c r="E8" s="126" t="str">
        <f>[47]f!E8</f>
        <v>–</v>
      </c>
      <c r="F8" s="26">
        <f>[47]f!F8</f>
        <v>315</v>
      </c>
      <c r="G8" s="55">
        <f>[47]f!G8</f>
        <v>0.10915492957746478</v>
      </c>
      <c r="H8" s="22"/>
    </row>
    <row r="9" spans="1:11" ht="20" customHeight="1" thickBot="1">
      <c r="A9" s="52">
        <v>1995</v>
      </c>
      <c r="B9" s="26">
        <f>[47]f!B9</f>
        <v>473</v>
      </c>
      <c r="C9" s="55">
        <f>[47]f!C9</f>
        <v>8.7356321839080459E-2</v>
      </c>
      <c r="D9" s="26" t="str">
        <f>[47]f!D9</f>
        <v>–</v>
      </c>
      <c r="E9" s="126" t="str">
        <f>[47]f!E9</f>
        <v>–</v>
      </c>
      <c r="F9" s="26">
        <f>[47]f!F9</f>
        <v>356</v>
      </c>
      <c r="G9" s="55">
        <f>[47]f!G9</f>
        <v>0.13015873015873017</v>
      </c>
    </row>
    <row r="10" spans="1:11" ht="20" customHeight="1" thickBot="1">
      <c r="A10" s="52">
        <v>1996</v>
      </c>
      <c r="B10" s="26">
        <f>[47]f!B10</f>
        <v>913.21658500000001</v>
      </c>
      <c r="C10" s="55">
        <f>[47]f!C10</f>
        <v>0.93069045454545452</v>
      </c>
      <c r="D10" s="26">
        <f>[47]f!D10</f>
        <v>2674.048675</v>
      </c>
      <c r="E10" s="126" t="str">
        <f>[47]f!E10</f>
        <v>–</v>
      </c>
      <c r="F10" s="26">
        <f>[47]f!F10</f>
        <v>530</v>
      </c>
      <c r="G10" s="55">
        <f>[47]f!G10</f>
        <v>0.4887640449438202</v>
      </c>
      <c r="I10" s="27"/>
      <c r="J10" s="27"/>
      <c r="K10" s="27"/>
    </row>
    <row r="11" spans="1:11" ht="20" customHeight="1" thickBot="1">
      <c r="A11" s="52">
        <v>1997</v>
      </c>
      <c r="B11" s="26">
        <f>[47]f!B11</f>
        <v>951.20448216581099</v>
      </c>
      <c r="C11" s="55">
        <f>[47]f!C11</f>
        <v>4.1597905458332182E-2</v>
      </c>
      <c r="D11" s="26">
        <f>[47]f!D11</f>
        <v>2894.7924399622598</v>
      </c>
      <c r="E11" s="55">
        <f>[47]f!E11</f>
        <v>8.2550391481658339E-2</v>
      </c>
      <c r="F11" s="26">
        <f>[47]f!F11</f>
        <v>532</v>
      </c>
      <c r="G11" s="55">
        <f>[47]f!G11</f>
        <v>3.7735849056603774E-3</v>
      </c>
    </row>
    <row r="12" spans="1:11" ht="20" customHeight="1" thickBot="1">
      <c r="A12" s="52">
        <v>1998</v>
      </c>
      <c r="B12" s="26">
        <f>[47]f!B12</f>
        <v>1005.42211</v>
      </c>
      <c r="C12" s="55">
        <f>[47]f!C12</f>
        <v>5.6998919633704945E-2</v>
      </c>
      <c r="D12" s="26">
        <f>[47]f!D12</f>
        <v>3172.9022279999999</v>
      </c>
      <c r="E12" s="55">
        <f>[47]f!E12</f>
        <v>9.6072445194504488E-2</v>
      </c>
      <c r="F12" s="26">
        <f>[47]f!F12</f>
        <v>609.28660000000002</v>
      </c>
      <c r="G12" s="55">
        <f>[47]f!G12</f>
        <v>0.14527556390977447</v>
      </c>
    </row>
    <row r="13" spans="1:11" ht="20" customHeight="1" thickBot="1">
      <c r="A13" s="52">
        <v>1999</v>
      </c>
      <c r="B13" s="26">
        <f>[47]f!B13</f>
        <v>1043.283537</v>
      </c>
      <c r="C13" s="55">
        <f>[47]f!C13</f>
        <v>3.7657245273828376E-2</v>
      </c>
      <c r="D13" s="26">
        <f>[47]f!D13</f>
        <v>3340.3853559999998</v>
      </c>
      <c r="E13" s="55">
        <f>[47]f!E13</f>
        <v>5.2785467677512014E-2</v>
      </c>
      <c r="F13" s="26">
        <f>[47]f!F13</f>
        <v>659.60795700000006</v>
      </c>
      <c r="G13" s="55">
        <f>[47]f!G13</f>
        <v>8.2590618273896119E-2</v>
      </c>
    </row>
    <row r="14" spans="1:11" ht="23.25" customHeight="1" thickBot="1">
      <c r="A14" s="52">
        <v>2000</v>
      </c>
      <c r="B14" s="26">
        <f>[47]f!B14</f>
        <v>1090.4996369999999</v>
      </c>
      <c r="C14" s="55">
        <f>[47]f!C14</f>
        <v>4.5257207964549594E-2</v>
      </c>
      <c r="D14" s="26">
        <f>[47]f!D14</f>
        <v>3554.1311930000002</v>
      </c>
      <c r="E14" s="55">
        <f>[47]f!E14</f>
        <v>6.3988376854805129E-2</v>
      </c>
      <c r="F14" s="26">
        <f>[47]f!F14</f>
        <v>732.09943699999997</v>
      </c>
      <c r="G14" s="55">
        <f>[47]f!G14</f>
        <v>0.10990085736640061</v>
      </c>
    </row>
    <row r="15" spans="1:11" ht="20" customHeight="1" thickBot="1">
      <c r="A15" s="258">
        <v>2001</v>
      </c>
      <c r="B15" s="124">
        <f>[47]f!B15</f>
        <v>1148.4065562125586</v>
      </c>
      <c r="C15" s="259">
        <f>[47]f!C15</f>
        <v>5.3101273258432738E-2</v>
      </c>
      <c r="D15" s="124">
        <f>[47]f!D15</f>
        <v>3804.1073437743612</v>
      </c>
      <c r="E15" s="259">
        <f>[47]f!E15</f>
        <v>7.0333968331472624E-2</v>
      </c>
      <c r="F15" s="124">
        <f>[47]f!F15</f>
        <v>844.73803099999998</v>
      </c>
      <c r="G15" s="259">
        <f>[47]f!G15</f>
        <v>0.15385696028065654</v>
      </c>
    </row>
    <row r="16" spans="1:11">
      <c r="A16" s="28" t="str">
        <f>"Datenstand: Juli "&amp;'[45]an_data an_1'!$B$2+1</f>
        <v>Datenstand: Juli 2002</v>
      </c>
      <c r="B16" s="28"/>
      <c r="C16" s="28"/>
      <c r="D16" s="28"/>
      <c r="E16" s="28"/>
      <c r="F16" s="28"/>
      <c r="G16" s="28"/>
    </row>
    <row r="17" spans="1:1">
      <c r="A17" s="7" t="s">
        <v>895</v>
      </c>
    </row>
    <row r="18" spans="1:1">
      <c r="A18" s="262" t="s">
        <v>896</v>
      </c>
    </row>
    <row r="19" spans="1:1">
      <c r="A19" s="262" t="s">
        <v>897</v>
      </c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&amp;L&amp;"Arial,Bold"&amp;14Risikoausgleich in der OKP</oddHeader>
    <oddFooter>&amp;L&amp;"Arial,Regular"Statistik über die Krankenversicherung, Bundesamt für Sozialversicherung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B044A-A9AE-4C45-BD0C-928ABB9D49AC}">
  <dimension ref="A1:I38"/>
  <sheetViews>
    <sheetView topLeftCell="A19" zoomScale="75" workbookViewId="0">
      <selection activeCell="G1" sqref="G1:G65536"/>
    </sheetView>
  </sheetViews>
  <sheetFormatPr baseColWidth="10" defaultColWidth="11.3984375" defaultRowHeight="13"/>
  <cols>
    <col min="1" max="6" width="14.796875" style="7" customWidth="1"/>
    <col min="7" max="7" width="14.796875" style="116" customWidth="1"/>
    <col min="8" max="8" width="11.3984375" style="7"/>
    <col min="9" max="9" width="12.19921875" style="7" customWidth="1"/>
    <col min="10" max="16384" width="11.3984375" style="7"/>
  </cols>
  <sheetData>
    <row r="1" spans="1:9" s="1" customFormat="1" ht="14" customHeight="1">
      <c r="G1" s="179"/>
    </row>
    <row r="2" spans="1:9" s="1" customFormat="1" ht="28" customHeight="1">
      <c r="A2" s="2" t="str">
        <f>"T 2.03  Durchschnittlicher Versichertenbestand 1) nach Kantonen "&amp;'[45]an_data an_1'!$B$2</f>
        <v>T 2.03  Durchschnittlicher Versichertenbestand 1) nach Kantonen 2001</v>
      </c>
      <c r="G2" s="179"/>
    </row>
    <row r="3" spans="1:9" ht="27" customHeight="1">
      <c r="A3" s="41" t="s">
        <v>537</v>
      </c>
      <c r="B3" s="6" t="s">
        <v>538</v>
      </c>
      <c r="C3" s="42" t="s">
        <v>529</v>
      </c>
      <c r="D3" s="6" t="s">
        <v>530</v>
      </c>
      <c r="E3" s="42" t="s">
        <v>514</v>
      </c>
      <c r="F3" s="6" t="s">
        <v>514</v>
      </c>
      <c r="G3" s="260" t="s">
        <v>522</v>
      </c>
    </row>
    <row r="4" spans="1:9" ht="15" customHeight="1">
      <c r="A4" s="61"/>
      <c r="B4" s="12"/>
      <c r="C4" s="61"/>
      <c r="D4" s="62"/>
      <c r="E4" s="44" t="s">
        <v>898</v>
      </c>
      <c r="F4" s="12" t="s">
        <v>899</v>
      </c>
      <c r="G4" s="61" t="s">
        <v>523</v>
      </c>
    </row>
    <row r="5" spans="1:9" ht="15" customHeight="1">
      <c r="A5" s="61"/>
      <c r="B5" s="12"/>
      <c r="C5" s="61"/>
      <c r="D5" s="62"/>
      <c r="E5" s="44" t="s">
        <v>900</v>
      </c>
      <c r="F5" s="12" t="s">
        <v>531</v>
      </c>
      <c r="G5" s="61" t="s">
        <v>524</v>
      </c>
    </row>
    <row r="6" spans="1:9" ht="24" customHeight="1">
      <c r="A6" s="64"/>
      <c r="B6" s="65"/>
      <c r="C6" s="64"/>
      <c r="D6" s="65"/>
      <c r="E6" s="47"/>
      <c r="F6" s="16"/>
      <c r="G6" s="64"/>
      <c r="I6" s="208"/>
    </row>
    <row r="7" spans="1:9" ht="30" customHeight="1" thickBot="1">
      <c r="A7" s="67" t="s">
        <v>541</v>
      </c>
      <c r="B7" s="21">
        <f>[48]f!B7</f>
        <v>240826</v>
      </c>
      <c r="C7" s="68">
        <f>[48]f!C7</f>
        <v>482658.58999999997</v>
      </c>
      <c r="D7" s="21">
        <f>[48]f!D7</f>
        <v>516140.99999999994</v>
      </c>
      <c r="E7" s="68">
        <f>[48]f!E7</f>
        <v>998799.58</v>
      </c>
      <c r="F7" s="21">
        <f>[48]f!F7</f>
        <v>1239625.58</v>
      </c>
      <c r="G7" s="263">
        <f>[48]f!G7</f>
        <v>1.3402616145096177E-2</v>
      </c>
      <c r="I7" s="264"/>
    </row>
    <row r="8" spans="1:9" ht="20" customHeight="1" thickBot="1">
      <c r="A8" s="70" t="s">
        <v>542</v>
      </c>
      <c r="B8" s="21">
        <f>[48]f!B8</f>
        <v>194314.42</v>
      </c>
      <c r="C8" s="68">
        <f>[48]f!C8</f>
        <v>363347.83000000007</v>
      </c>
      <c r="D8" s="21">
        <f>[48]f!D8</f>
        <v>395187.41</v>
      </c>
      <c r="E8" s="68">
        <f>[48]f!E8</f>
        <v>758535.25</v>
      </c>
      <c r="F8" s="21">
        <f>[48]f!F8</f>
        <v>952849.67</v>
      </c>
      <c r="G8" s="263">
        <f>[48]f!G8</f>
        <v>-1.7086048379196413E-3</v>
      </c>
      <c r="I8" s="264"/>
    </row>
    <row r="9" spans="1:9" ht="20" customHeight="1" thickBot="1">
      <c r="A9" s="70" t="s">
        <v>543</v>
      </c>
      <c r="B9" s="21">
        <f>[48]f!B9</f>
        <v>81995.33</v>
      </c>
      <c r="C9" s="68">
        <f>[48]f!C9</f>
        <v>132428.74</v>
      </c>
      <c r="D9" s="21">
        <f>[48]f!D9</f>
        <v>139734.1</v>
      </c>
      <c r="E9" s="68">
        <f>[48]f!E9</f>
        <v>272162.83</v>
      </c>
      <c r="F9" s="21">
        <f>[48]f!F9</f>
        <v>354158.17</v>
      </c>
      <c r="G9" s="263">
        <f>[48]f!G9</f>
        <v>2.8550292262562644E-3</v>
      </c>
      <c r="I9" s="264"/>
    </row>
    <row r="10" spans="1:9" ht="20" customHeight="1" thickBot="1">
      <c r="A10" s="70" t="s">
        <v>544</v>
      </c>
      <c r="B10" s="21">
        <f>[48]f!B10</f>
        <v>8115.5</v>
      </c>
      <c r="C10" s="68">
        <f>[48]f!C10</f>
        <v>13687.91</v>
      </c>
      <c r="D10" s="21">
        <f>[48]f!D10</f>
        <v>13811.92</v>
      </c>
      <c r="E10" s="68">
        <f>[48]f!E10</f>
        <v>27499.83</v>
      </c>
      <c r="F10" s="21">
        <f>[48]f!F10</f>
        <v>35615.33</v>
      </c>
      <c r="G10" s="263">
        <f>[48]f!G10</f>
        <v>-7.0029135823121364E-3</v>
      </c>
      <c r="I10" s="264"/>
    </row>
    <row r="11" spans="1:9" ht="20" customHeight="1" thickBot="1">
      <c r="A11" s="70" t="s">
        <v>545</v>
      </c>
      <c r="B11" s="21">
        <f>[48]f!B11</f>
        <v>30892.33</v>
      </c>
      <c r="C11" s="68">
        <f>[48]f!C11</f>
        <v>50190.33</v>
      </c>
      <c r="D11" s="21">
        <f>[48]f!D11</f>
        <v>49922.5</v>
      </c>
      <c r="E11" s="68">
        <f>[48]f!E11</f>
        <v>100112.83</v>
      </c>
      <c r="F11" s="21">
        <f>[48]f!F11</f>
        <v>131005.17</v>
      </c>
      <c r="G11" s="263">
        <f>[48]f!G11</f>
        <v>1.035056881391969E-2</v>
      </c>
      <c r="I11" s="264"/>
    </row>
    <row r="12" spans="1:9" ht="20" customHeight="1" thickBot="1">
      <c r="A12" s="70" t="s">
        <v>546</v>
      </c>
      <c r="B12" s="21">
        <f>[48]f!B12</f>
        <v>8040.33</v>
      </c>
      <c r="C12" s="68">
        <f>[48]f!C12</f>
        <v>12672.74</v>
      </c>
      <c r="D12" s="21">
        <f>[48]f!D12</f>
        <v>12694.76</v>
      </c>
      <c r="E12" s="68">
        <f>[48]f!E12</f>
        <v>25367.5</v>
      </c>
      <c r="F12" s="21">
        <f>[48]f!F12</f>
        <v>33407.83</v>
      </c>
      <c r="G12" s="263">
        <f>[48]f!G12</f>
        <v>3.0925441252270484E-3</v>
      </c>
      <c r="I12" s="264"/>
    </row>
    <row r="13" spans="1:9" ht="20" customHeight="1" thickBot="1">
      <c r="A13" s="70" t="s">
        <v>547</v>
      </c>
      <c r="B13" s="21">
        <f>[48]f!B13</f>
        <v>8527.17</v>
      </c>
      <c r="C13" s="68">
        <f>[48]f!C13</f>
        <v>14859.66</v>
      </c>
      <c r="D13" s="21">
        <f>[48]f!D13</f>
        <v>14715.27</v>
      </c>
      <c r="E13" s="68">
        <f>[48]f!E13</f>
        <v>29574.92</v>
      </c>
      <c r="F13" s="21">
        <f>[48]f!F13</f>
        <v>38102.080000000002</v>
      </c>
      <c r="G13" s="263">
        <f>[48]f!G13</f>
        <v>9.9374897841079373E-3</v>
      </c>
      <c r="I13" s="264"/>
    </row>
    <row r="14" spans="1:9" ht="20" customHeight="1" thickBot="1">
      <c r="A14" s="70" t="s">
        <v>548</v>
      </c>
      <c r="B14" s="21">
        <f>[48]f!B14</f>
        <v>8874.92</v>
      </c>
      <c r="C14" s="68">
        <f>[48]f!C14</f>
        <v>14580.67</v>
      </c>
      <c r="D14" s="21">
        <f>[48]f!D14</f>
        <v>15254.74</v>
      </c>
      <c r="E14" s="68">
        <f>[48]f!E14</f>
        <v>29835.42</v>
      </c>
      <c r="F14" s="21">
        <f>[48]f!F14</f>
        <v>38710.33</v>
      </c>
      <c r="G14" s="263">
        <f>[48]f!G14</f>
        <v>-4.7820274404614142E-3</v>
      </c>
      <c r="I14" s="264"/>
    </row>
    <row r="15" spans="1:9" ht="20" customHeight="1" thickBot="1">
      <c r="A15" s="70" t="s">
        <v>549</v>
      </c>
      <c r="B15" s="21">
        <f>[48]f!B15</f>
        <v>21015.83</v>
      </c>
      <c r="C15" s="68">
        <f>[48]f!C15</f>
        <v>39146.25</v>
      </c>
      <c r="D15" s="21">
        <f>[48]f!D15</f>
        <v>39708.339999999997</v>
      </c>
      <c r="E15" s="68">
        <f>[48]f!E15</f>
        <v>78854.58</v>
      </c>
      <c r="F15" s="21">
        <f>[48]f!F15</f>
        <v>99870.42</v>
      </c>
      <c r="G15" s="263">
        <f>[48]f!G15</f>
        <v>1.0700371155304197E-2</v>
      </c>
      <c r="I15" s="264"/>
    </row>
    <row r="16" spans="1:9" ht="20" customHeight="1" thickBot="1">
      <c r="A16" s="70" t="s">
        <v>550</v>
      </c>
      <c r="B16" s="21">
        <f>[48]f!B16</f>
        <v>57803.17</v>
      </c>
      <c r="C16" s="68">
        <f>[48]f!C16</f>
        <v>89641.93</v>
      </c>
      <c r="D16" s="21">
        <f>[48]f!D16</f>
        <v>92904.09</v>
      </c>
      <c r="E16" s="68">
        <f>[48]f!E16</f>
        <v>182546</v>
      </c>
      <c r="F16" s="21">
        <f>[48]f!F16</f>
        <v>240349.17</v>
      </c>
      <c r="G16" s="263">
        <f>[48]f!G16</f>
        <v>5.9470573278798669E-3</v>
      </c>
      <c r="I16" s="264"/>
    </row>
    <row r="17" spans="1:9" ht="20" customHeight="1" thickBot="1">
      <c r="A17" s="70" t="s">
        <v>551</v>
      </c>
      <c r="B17" s="21">
        <f>[48]f!B17</f>
        <v>53314.92</v>
      </c>
      <c r="C17" s="68">
        <f>[48]f!C17</f>
        <v>94158.17</v>
      </c>
      <c r="D17" s="21">
        <f>[48]f!D17</f>
        <v>99339.91</v>
      </c>
      <c r="E17" s="68">
        <f>[48]f!E17</f>
        <v>193498.08</v>
      </c>
      <c r="F17" s="21">
        <f>[48]f!F17</f>
        <v>246813</v>
      </c>
      <c r="G17" s="263">
        <f>[48]f!G17</f>
        <v>-1.1287972121035539E-3</v>
      </c>
      <c r="I17" s="264"/>
    </row>
    <row r="18" spans="1:9" ht="20" customHeight="1" thickBot="1">
      <c r="A18" s="70" t="s">
        <v>552</v>
      </c>
      <c r="B18" s="21">
        <f>[48]f!B18</f>
        <v>30198.5</v>
      </c>
      <c r="C18" s="68">
        <f>[48]f!C18</f>
        <v>72513.320000000007</v>
      </c>
      <c r="D18" s="21">
        <f>[48]f!D18</f>
        <v>83082.679999999993</v>
      </c>
      <c r="E18" s="68">
        <f>[48]f!E18</f>
        <v>155596</v>
      </c>
      <c r="F18" s="21">
        <f>[48]f!F18</f>
        <v>185794.5</v>
      </c>
      <c r="G18" s="263">
        <f>[48]f!G18</f>
        <v>-5.303332127253254E-3</v>
      </c>
      <c r="I18" s="264"/>
    </row>
    <row r="19" spans="1:9" ht="20" customHeight="1" thickBot="1">
      <c r="A19" s="70" t="s">
        <v>553</v>
      </c>
      <c r="B19" s="21">
        <f>[48]f!B19</f>
        <v>52789.75</v>
      </c>
      <c r="C19" s="68">
        <f>[48]f!C19</f>
        <v>101644.25</v>
      </c>
      <c r="D19" s="21">
        <f>[48]f!D19</f>
        <v>107982.43</v>
      </c>
      <c r="E19" s="68">
        <f>[48]f!E19</f>
        <v>209626.67</v>
      </c>
      <c r="F19" s="21">
        <f>[48]f!F19</f>
        <v>262416.42</v>
      </c>
      <c r="G19" s="263">
        <f>[48]f!G19</f>
        <v>3.1601773387526983E-3</v>
      </c>
      <c r="I19" s="264"/>
    </row>
    <row r="20" spans="1:9" ht="20" customHeight="1" thickBot="1">
      <c r="A20" s="70" t="s">
        <v>554</v>
      </c>
      <c r="B20" s="21">
        <f>[48]f!B20</f>
        <v>15652.83</v>
      </c>
      <c r="C20" s="68">
        <f>[48]f!C20</f>
        <v>28323.75</v>
      </c>
      <c r="D20" s="21">
        <f>[48]f!D20</f>
        <v>30886.17</v>
      </c>
      <c r="E20" s="68">
        <f>[48]f!E20</f>
        <v>59209.919999999998</v>
      </c>
      <c r="F20" s="21">
        <f>[48]f!F20</f>
        <v>74862.75</v>
      </c>
      <c r="G20" s="263">
        <f>[48]f!G20</f>
        <v>-4.9279908551376718E-3</v>
      </c>
      <c r="I20" s="264"/>
    </row>
    <row r="21" spans="1:9" ht="20" customHeight="1" thickBot="1">
      <c r="A21" s="70" t="s">
        <v>555</v>
      </c>
      <c r="B21" s="21">
        <f>[48]f!B21</f>
        <v>12788.67</v>
      </c>
      <c r="C21" s="68">
        <f>[48]f!C21</f>
        <v>20134.189999999995</v>
      </c>
      <c r="D21" s="21">
        <f>[48]f!D21</f>
        <v>21138.759999999995</v>
      </c>
      <c r="E21" s="68">
        <f>[48]f!E21</f>
        <v>41272.92</v>
      </c>
      <c r="F21" s="21">
        <f>[48]f!F21</f>
        <v>54061.58</v>
      </c>
      <c r="G21" s="263">
        <f>[48]f!G21</f>
        <v>-7.1243996730915478E-3</v>
      </c>
      <c r="I21" s="264"/>
    </row>
    <row r="22" spans="1:9" ht="20" customHeight="1" thickBot="1">
      <c r="A22" s="70" t="s">
        <v>556</v>
      </c>
      <c r="B22" s="21">
        <f>[48]f!B22</f>
        <v>3995.92</v>
      </c>
      <c r="C22" s="68">
        <f>[48]f!C22</f>
        <v>5518.5599999999995</v>
      </c>
      <c r="D22" s="21">
        <f>[48]f!D22</f>
        <v>5432.73</v>
      </c>
      <c r="E22" s="68">
        <f>[48]f!E22</f>
        <v>10951.33</v>
      </c>
      <c r="F22" s="21">
        <f>[48]f!F22</f>
        <v>14947.25</v>
      </c>
      <c r="G22" s="263">
        <f>[48]f!G22</f>
        <v>-4.4599303135847944E-5</v>
      </c>
      <c r="I22" s="264"/>
    </row>
    <row r="23" spans="1:9" ht="20" customHeight="1" thickBot="1">
      <c r="A23" s="70" t="s">
        <v>557</v>
      </c>
      <c r="B23" s="21">
        <f>[48]f!B23</f>
        <v>107674.25</v>
      </c>
      <c r="C23" s="68">
        <f>[48]f!C23</f>
        <v>169912.40999999997</v>
      </c>
      <c r="D23" s="21">
        <f>[48]f!D23</f>
        <v>178545.49999999997</v>
      </c>
      <c r="E23" s="68">
        <f>[48]f!E23</f>
        <v>348457.92</v>
      </c>
      <c r="F23" s="21">
        <f>[48]f!F23</f>
        <v>456132.17</v>
      </c>
      <c r="G23" s="263">
        <f>[48]f!G23</f>
        <v>3.031502592154769E-3</v>
      </c>
      <c r="I23" s="264"/>
    </row>
    <row r="24" spans="1:9" ht="20" customHeight="1" thickBot="1">
      <c r="A24" s="70" t="s">
        <v>558</v>
      </c>
      <c r="B24" s="21">
        <f>[48]f!B24</f>
        <v>40190</v>
      </c>
      <c r="C24" s="68">
        <f>[48]f!C24</f>
        <v>76156.17</v>
      </c>
      <c r="D24" s="21">
        <f>[48]f!D24</f>
        <v>77340.259999999995</v>
      </c>
      <c r="E24" s="68">
        <f>[48]f!E24</f>
        <v>153496.42000000001</v>
      </c>
      <c r="F24" s="21">
        <f>[48]f!F24</f>
        <v>193686.42</v>
      </c>
      <c r="G24" s="263">
        <f>[48]f!G24</f>
        <v>-3.5361256342483858E-3</v>
      </c>
      <c r="I24" s="264"/>
    </row>
    <row r="25" spans="1:9" ht="20" customHeight="1" thickBot="1">
      <c r="A25" s="70" t="s">
        <v>559</v>
      </c>
      <c r="B25" s="21">
        <f>[48]f!B25</f>
        <v>125874</v>
      </c>
      <c r="C25" s="68">
        <f>[48]f!C25</f>
        <v>215641.51000000007</v>
      </c>
      <c r="D25" s="21">
        <f>[48]f!D25</f>
        <v>221212.08000000002</v>
      </c>
      <c r="E25" s="68">
        <f>[48]f!E25</f>
        <v>436853.58</v>
      </c>
      <c r="F25" s="21">
        <f>[48]f!F25</f>
        <v>562727.57999999996</v>
      </c>
      <c r="G25" s="263">
        <f>[48]f!G25</f>
        <v>8.9646426952934618E-3</v>
      </c>
      <c r="I25" s="264"/>
    </row>
    <row r="26" spans="1:9" ht="20" customHeight="1" thickBot="1">
      <c r="A26" s="70" t="s">
        <v>560</v>
      </c>
      <c r="B26" s="21">
        <f>[48]f!B26</f>
        <v>56454.33</v>
      </c>
      <c r="C26" s="68">
        <f>[48]f!C26</f>
        <v>85444.76999999999</v>
      </c>
      <c r="D26" s="21">
        <f>[48]f!D26</f>
        <v>88493.59</v>
      </c>
      <c r="E26" s="68">
        <f>[48]f!E26</f>
        <v>173938.33</v>
      </c>
      <c r="F26" s="21">
        <f>[48]f!F26</f>
        <v>230392.67</v>
      </c>
      <c r="G26" s="263">
        <f>[48]f!G26</f>
        <v>7.3118538005685651E-4</v>
      </c>
      <c r="I26" s="264"/>
    </row>
    <row r="27" spans="1:9" ht="20" customHeight="1" thickBot="1">
      <c r="A27" s="70" t="s">
        <v>561</v>
      </c>
      <c r="B27" s="21">
        <f>[48]f!B27</f>
        <v>57265.67</v>
      </c>
      <c r="C27" s="68">
        <f>[48]f!C27</f>
        <v>120014.41</v>
      </c>
      <c r="D27" s="21">
        <f>[48]f!D27</f>
        <v>135289.66</v>
      </c>
      <c r="E27" s="68">
        <f>[48]f!E27</f>
        <v>255304.08</v>
      </c>
      <c r="F27" s="21">
        <f>[48]f!F27</f>
        <v>312569.75</v>
      </c>
      <c r="G27" s="263">
        <f>[48]f!G27</f>
        <v>4.5690998685781808E-3</v>
      </c>
      <c r="I27" s="264"/>
    </row>
    <row r="28" spans="1:9" ht="20" customHeight="1" thickBot="1">
      <c r="A28" s="70" t="s">
        <v>562</v>
      </c>
      <c r="B28" s="21">
        <f>[48]f!B28</f>
        <v>137741.25</v>
      </c>
      <c r="C28" s="68">
        <f>[48]f!C28</f>
        <v>232644.92999999996</v>
      </c>
      <c r="D28" s="21">
        <f>[48]f!D28</f>
        <v>257058.24000000002</v>
      </c>
      <c r="E28" s="68">
        <f>[48]f!E28</f>
        <v>489703.17</v>
      </c>
      <c r="F28" s="21">
        <f>[48]f!F28</f>
        <v>627444.42000000004</v>
      </c>
      <c r="G28" s="263">
        <f>[48]f!G28</f>
        <v>8.0714500792403686E-3</v>
      </c>
      <c r="I28" s="264"/>
    </row>
    <row r="29" spans="1:9" ht="20" customHeight="1" thickBot="1">
      <c r="A29" s="70" t="s">
        <v>563</v>
      </c>
      <c r="B29" s="21">
        <f>[48]f!B29</f>
        <v>62685.5</v>
      </c>
      <c r="C29" s="68">
        <f>[48]f!C29</f>
        <v>107747.67</v>
      </c>
      <c r="D29" s="21">
        <f>[48]f!D29</f>
        <v>113401.75</v>
      </c>
      <c r="E29" s="68">
        <f>[48]f!E29</f>
        <v>221149.42</v>
      </c>
      <c r="F29" s="21">
        <f>[48]f!F29</f>
        <v>283834.92</v>
      </c>
      <c r="G29" s="263">
        <f>[48]f!G29</f>
        <v>2.2537459245046349E-3</v>
      </c>
      <c r="I29" s="264"/>
    </row>
    <row r="30" spans="1:9" ht="20" customHeight="1" thickBot="1">
      <c r="A30" s="70" t="s">
        <v>564</v>
      </c>
      <c r="B30" s="21">
        <f>[48]f!B30</f>
        <v>35888</v>
      </c>
      <c r="C30" s="68">
        <f>[48]f!C30</f>
        <v>62987.320000000007</v>
      </c>
      <c r="D30" s="21">
        <f>[48]f!D30</f>
        <v>69115.08</v>
      </c>
      <c r="E30" s="68">
        <f>[48]f!E30</f>
        <v>132102.42000000001</v>
      </c>
      <c r="F30" s="21">
        <f>[48]f!F30</f>
        <v>167990.42</v>
      </c>
      <c r="G30" s="263">
        <f>[48]f!G30</f>
        <v>-2.0178409385131508E-3</v>
      </c>
      <c r="I30" s="264"/>
    </row>
    <row r="31" spans="1:9" ht="20" customHeight="1" thickBot="1">
      <c r="A31" s="70" t="s">
        <v>565</v>
      </c>
      <c r="B31" s="21">
        <f>[48]f!B31</f>
        <v>82154.5</v>
      </c>
      <c r="C31" s="68">
        <f>[48]f!C31</f>
        <v>144050</v>
      </c>
      <c r="D31" s="21">
        <f>[48]f!D31</f>
        <v>162555.89999999997</v>
      </c>
      <c r="E31" s="68">
        <f>[48]f!E31</f>
        <v>306605.92</v>
      </c>
      <c r="F31" s="21">
        <f>[48]f!F31</f>
        <v>388760.42</v>
      </c>
      <c r="G31" s="263">
        <f>[48]f!G31</f>
        <v>8.0068037015004687E-3</v>
      </c>
      <c r="I31" s="264"/>
    </row>
    <row r="32" spans="1:9" ht="20" customHeight="1" thickBot="1">
      <c r="A32" s="73" t="s">
        <v>566</v>
      </c>
      <c r="B32" s="21">
        <f>[48]f!B32</f>
        <v>16170.92</v>
      </c>
      <c r="C32" s="68">
        <f>[48]f!C32</f>
        <v>26075</v>
      </c>
      <c r="D32" s="21">
        <f>[48]f!D32</f>
        <v>27684.58</v>
      </c>
      <c r="E32" s="68">
        <f>[48]f!E32</f>
        <v>53759.58</v>
      </c>
      <c r="F32" s="21">
        <f>[48]f!F32</f>
        <v>69930.5</v>
      </c>
      <c r="G32" s="263">
        <f>[48]f!G32</f>
        <v>-4.4228574411492522E-3</v>
      </c>
      <c r="I32" s="264"/>
    </row>
    <row r="33" spans="1:9" ht="30" customHeight="1" thickBot="1">
      <c r="A33" s="78" t="s">
        <v>808</v>
      </c>
      <c r="B33" s="265">
        <f>[48]f!B33</f>
        <v>1551244.01</v>
      </c>
      <c r="C33" s="266">
        <f>[48]f!C33</f>
        <v>2776181.080000001</v>
      </c>
      <c r="D33" s="265">
        <f>[48]f!D33</f>
        <v>2968633.45</v>
      </c>
      <c r="E33" s="266">
        <f>[48]f!E33</f>
        <v>5744814.5</v>
      </c>
      <c r="F33" s="265">
        <f>[48]f!F33</f>
        <v>7296058.5199999996</v>
      </c>
      <c r="G33" s="267">
        <f>[48]f!G33</f>
        <v>4.6558162291417387E-3</v>
      </c>
      <c r="I33" s="264"/>
    </row>
    <row r="34" spans="1:9" ht="20" customHeight="1">
      <c r="A34" s="28" t="str">
        <f>"Datenstand: Juli "&amp;'[45]an_data an_1'!$B$2+1</f>
        <v>Datenstand: Juli 2002</v>
      </c>
      <c r="B34" s="28"/>
      <c r="C34" s="28"/>
      <c r="D34" s="28"/>
      <c r="E34" s="28"/>
      <c r="F34" s="28"/>
      <c r="G34" s="268"/>
      <c r="I34" s="208"/>
    </row>
    <row r="35" spans="1:9" ht="12" customHeight="1">
      <c r="A35" s="7" t="s">
        <v>901</v>
      </c>
    </row>
    <row r="36" spans="1:9" ht="12" customHeight="1"/>
    <row r="37" spans="1:9" ht="12" customHeight="1"/>
    <row r="38" spans="1:9" ht="12" customHeight="1"/>
  </sheetData>
  <phoneticPr fontId="0" type="noConversion"/>
  <pageMargins left="0.78740157480314965" right="0.78740157480314965" top="1.46" bottom="0.49" header="0.91" footer="0.4921259845"/>
  <pageSetup paperSize="9" scale="80" orientation="portrait" horizontalDpi="4294967292" verticalDpi="4294967292"/>
  <headerFooter alignWithMargins="0">
    <oddHeader>&amp;L&amp;"Arial,Bold"&amp;14Risikoausgleich in der OKP</oddHeader>
    <oddFooter>&amp;L&amp;"Arial,Regular"Statistik über die Krankenversicherung, Bundesamt für Sozialversicherung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5AE4A-DFFD-E341-BAB8-A2AEBC55CAB4}">
  <dimension ref="A1:I38"/>
  <sheetViews>
    <sheetView topLeftCell="A19" zoomScale="75" workbookViewId="0">
      <selection activeCell="J16" sqref="J16"/>
    </sheetView>
  </sheetViews>
  <sheetFormatPr baseColWidth="10" defaultColWidth="11.3984375" defaultRowHeight="13"/>
  <cols>
    <col min="1" max="4" width="14.796875" style="7" customWidth="1"/>
    <col min="5" max="5" width="17" style="7" customWidth="1"/>
    <col min="6" max="6" width="16.3984375" style="7" customWidth="1"/>
    <col min="7" max="7" width="14.796875" style="116" customWidth="1"/>
    <col min="8" max="8" width="11.3984375" style="7"/>
    <col min="9" max="9" width="14.59765625" style="7" customWidth="1"/>
    <col min="10" max="16384" width="11.3984375" style="7"/>
  </cols>
  <sheetData>
    <row r="1" spans="1:9" s="1" customFormat="1" ht="14" customHeight="1">
      <c r="G1" s="179"/>
    </row>
    <row r="2" spans="1:9" s="1" customFormat="1" ht="28" customHeight="1">
      <c r="A2" s="2" t="str">
        <f>"T 2.04  Bruttokosten 1) in Fr. nach Kantonen "&amp;'[45]an_data an_1'!$B$2</f>
        <v>T 2.04  Bruttokosten 1) in Fr. nach Kantonen 2001</v>
      </c>
      <c r="G2" s="179"/>
    </row>
    <row r="3" spans="1:9" ht="27" customHeight="1">
      <c r="A3" s="41" t="s">
        <v>537</v>
      </c>
      <c r="B3" s="6" t="s">
        <v>538</v>
      </c>
      <c r="C3" s="42" t="s">
        <v>529</v>
      </c>
      <c r="D3" s="6" t="s">
        <v>530</v>
      </c>
      <c r="E3" s="42" t="s">
        <v>514</v>
      </c>
      <c r="F3" s="6" t="s">
        <v>514</v>
      </c>
      <c r="G3" s="260" t="s">
        <v>522</v>
      </c>
    </row>
    <row r="4" spans="1:9" ht="15" customHeight="1">
      <c r="A4" s="61"/>
      <c r="B4" s="12"/>
      <c r="C4" s="61"/>
      <c r="D4" s="62"/>
      <c r="E4" s="44" t="s">
        <v>898</v>
      </c>
      <c r="F4" s="12" t="s">
        <v>899</v>
      </c>
      <c r="G4" s="61" t="s">
        <v>523</v>
      </c>
    </row>
    <row r="5" spans="1:9" ht="15" customHeight="1">
      <c r="A5" s="61"/>
      <c r="B5" s="12"/>
      <c r="C5" s="61"/>
      <c r="D5" s="62"/>
      <c r="E5" s="44" t="s">
        <v>900</v>
      </c>
      <c r="F5" s="12" t="s">
        <v>531</v>
      </c>
      <c r="G5" s="61" t="s">
        <v>524</v>
      </c>
    </row>
    <row r="6" spans="1:9" ht="24" customHeight="1">
      <c r="A6" s="64"/>
      <c r="B6" s="65"/>
      <c r="C6" s="64"/>
      <c r="D6" s="65"/>
      <c r="E6" s="47"/>
      <c r="F6" s="16"/>
      <c r="G6" s="64"/>
    </row>
    <row r="7" spans="1:9" ht="30" customHeight="1" thickBot="1">
      <c r="A7" s="67" t="s">
        <v>541</v>
      </c>
      <c r="B7" s="21">
        <f>[49]f!B7</f>
        <v>176840817</v>
      </c>
      <c r="C7" s="68">
        <f>[49]f!C7</f>
        <v>1025429947</v>
      </c>
      <c r="D7" s="21">
        <f>[49]f!D7</f>
        <v>1589214656</v>
      </c>
      <c r="E7" s="68">
        <f>[49]f!E7</f>
        <v>2614644603</v>
      </c>
      <c r="F7" s="21">
        <f>[49]f!F7</f>
        <v>2791485420</v>
      </c>
      <c r="G7" s="263">
        <f>[49]f!G7</f>
        <v>6.2240245609401557E-2</v>
      </c>
      <c r="I7" s="264"/>
    </row>
    <row r="8" spans="1:9" ht="20" customHeight="1" thickBot="1">
      <c r="A8" s="70" t="s">
        <v>542</v>
      </c>
      <c r="B8" s="21">
        <f>[49]f!B8</f>
        <v>120764773</v>
      </c>
      <c r="C8" s="68">
        <f>[49]f!C8</f>
        <v>773029801</v>
      </c>
      <c r="D8" s="21">
        <f>[49]f!D8</f>
        <v>1181754422</v>
      </c>
      <c r="E8" s="68">
        <f>[49]f!E8</f>
        <v>1954784223</v>
      </c>
      <c r="F8" s="21">
        <f>[49]f!F8</f>
        <v>2075548996</v>
      </c>
      <c r="G8" s="263">
        <f>[49]f!G8</f>
        <v>3.4090295900551196E-2</v>
      </c>
      <c r="I8" s="264"/>
    </row>
    <row r="9" spans="1:9" ht="20" customHeight="1" thickBot="1">
      <c r="A9" s="70" t="s">
        <v>543</v>
      </c>
      <c r="B9" s="21">
        <f>[49]f!B9</f>
        <v>42357731</v>
      </c>
      <c r="C9" s="68">
        <f>[49]f!C9</f>
        <v>237199748</v>
      </c>
      <c r="D9" s="21">
        <f>[49]f!D9</f>
        <v>349882588</v>
      </c>
      <c r="E9" s="68">
        <f>[49]f!E9</f>
        <v>587082336</v>
      </c>
      <c r="F9" s="21">
        <f>[49]f!F9</f>
        <v>629440067</v>
      </c>
      <c r="G9" s="263">
        <f>[49]f!G9</f>
        <v>7.1300701284386508E-2</v>
      </c>
      <c r="I9" s="264"/>
    </row>
    <row r="10" spans="1:9" ht="20" customHeight="1" thickBot="1">
      <c r="A10" s="70" t="s">
        <v>544</v>
      </c>
      <c r="B10" s="21">
        <f>[49]f!B10</f>
        <v>4544536</v>
      </c>
      <c r="C10" s="68">
        <f>[49]f!C10</f>
        <v>25325213</v>
      </c>
      <c r="D10" s="21">
        <f>[49]f!D10</f>
        <v>34549368</v>
      </c>
      <c r="E10" s="68">
        <f>[49]f!E10</f>
        <v>59874581</v>
      </c>
      <c r="F10" s="21">
        <f>[49]f!F10</f>
        <v>64419117</v>
      </c>
      <c r="G10" s="263">
        <f>[49]f!G10</f>
        <v>8.8263998152257148E-2</v>
      </c>
      <c r="I10" s="264"/>
    </row>
    <row r="11" spans="1:9" ht="20" customHeight="1" thickBot="1">
      <c r="A11" s="70" t="s">
        <v>545</v>
      </c>
      <c r="B11" s="21">
        <f>[49]f!B11</f>
        <v>20001537</v>
      </c>
      <c r="C11" s="68">
        <f>[49]f!C11</f>
        <v>92854344</v>
      </c>
      <c r="D11" s="21">
        <f>[49]f!D11</f>
        <v>128255966</v>
      </c>
      <c r="E11" s="68">
        <f>[49]f!E11</f>
        <v>221110310</v>
      </c>
      <c r="F11" s="21">
        <f>[49]f!F11</f>
        <v>241111847</v>
      </c>
      <c r="G11" s="263">
        <f>[49]f!G11</f>
        <v>0.11823905064824416</v>
      </c>
      <c r="I11" s="264"/>
    </row>
    <row r="12" spans="1:9" ht="20" customHeight="1" thickBot="1">
      <c r="A12" s="70" t="s">
        <v>546</v>
      </c>
      <c r="B12" s="21">
        <f>[49]f!B12</f>
        <v>4211036</v>
      </c>
      <c r="C12" s="68">
        <f>[49]f!C12</f>
        <v>19908873</v>
      </c>
      <c r="D12" s="21">
        <f>[49]f!D12</f>
        <v>31341776</v>
      </c>
      <c r="E12" s="68">
        <f>[49]f!E12</f>
        <v>51250649</v>
      </c>
      <c r="F12" s="21">
        <f>[49]f!F12</f>
        <v>55461685</v>
      </c>
      <c r="G12" s="263">
        <f>[49]f!G12</f>
        <v>3.6533151260896048E-2</v>
      </c>
      <c r="I12" s="264"/>
    </row>
    <row r="13" spans="1:9" ht="20" customHeight="1" thickBot="1">
      <c r="A13" s="70" t="s">
        <v>547</v>
      </c>
      <c r="B13" s="21">
        <f>[49]f!B13</f>
        <v>4328255</v>
      </c>
      <c r="C13" s="68">
        <f>[49]f!C13</f>
        <v>23032814</v>
      </c>
      <c r="D13" s="21">
        <f>[49]f!D13</f>
        <v>34443512</v>
      </c>
      <c r="E13" s="68">
        <f>[49]f!E13</f>
        <v>57476326</v>
      </c>
      <c r="F13" s="21">
        <f>[49]f!F13</f>
        <v>61804581</v>
      </c>
      <c r="G13" s="263">
        <f>[49]f!G13</f>
        <v>5.2354358524415001E-2</v>
      </c>
      <c r="I13" s="264"/>
    </row>
    <row r="14" spans="1:9" ht="20" customHeight="1" thickBot="1">
      <c r="A14" s="70" t="s">
        <v>548</v>
      </c>
      <c r="B14" s="21">
        <f>[49]f!B14</f>
        <v>5891591</v>
      </c>
      <c r="C14" s="68">
        <f>[49]f!C14</f>
        <v>27632212</v>
      </c>
      <c r="D14" s="21">
        <f>[49]f!D14</f>
        <v>41104354</v>
      </c>
      <c r="E14" s="68">
        <f>[49]f!E14</f>
        <v>68736566</v>
      </c>
      <c r="F14" s="21">
        <f>[49]f!F14</f>
        <v>74628157</v>
      </c>
      <c r="G14" s="263">
        <f>[49]f!G14</f>
        <v>6.6798563372951855E-2</v>
      </c>
      <c r="I14" s="264"/>
    </row>
    <row r="15" spans="1:9" ht="20" customHeight="1" thickBot="1">
      <c r="A15" s="70" t="s">
        <v>549</v>
      </c>
      <c r="B15" s="21">
        <f>[49]f!B15</f>
        <v>11482650</v>
      </c>
      <c r="C15" s="68">
        <f>[49]f!C15</f>
        <v>66529290</v>
      </c>
      <c r="D15" s="21">
        <f>[49]f!D15</f>
        <v>106312390</v>
      </c>
      <c r="E15" s="68">
        <f>[49]f!E15</f>
        <v>172841680</v>
      </c>
      <c r="F15" s="21">
        <f>[49]f!F15</f>
        <v>184324330</v>
      </c>
      <c r="G15" s="263">
        <f>[49]f!G15</f>
        <v>0.11455339500214604</v>
      </c>
      <c r="I15" s="264"/>
    </row>
    <row r="16" spans="1:9" ht="20" customHeight="1" thickBot="1">
      <c r="A16" s="70" t="s">
        <v>550</v>
      </c>
      <c r="B16" s="21">
        <f>[49]f!B16</f>
        <v>38484732</v>
      </c>
      <c r="C16" s="68">
        <f>[49]f!C16</f>
        <v>193592735</v>
      </c>
      <c r="D16" s="21">
        <f>[49]f!D16</f>
        <v>280173226</v>
      </c>
      <c r="E16" s="68">
        <f>[49]f!E16</f>
        <v>473765961</v>
      </c>
      <c r="F16" s="21">
        <f>[49]f!F16</f>
        <v>512250693</v>
      </c>
      <c r="G16" s="263">
        <f>[49]f!G16</f>
        <v>7.5726168834121241E-2</v>
      </c>
      <c r="I16" s="264"/>
    </row>
    <row r="17" spans="1:9" ht="20" customHeight="1" thickBot="1">
      <c r="A17" s="70" t="s">
        <v>551</v>
      </c>
      <c r="B17" s="21">
        <f>[49]f!B17</f>
        <v>32769843</v>
      </c>
      <c r="C17" s="68">
        <f>[49]f!C17</f>
        <v>191383493</v>
      </c>
      <c r="D17" s="21">
        <f>[49]f!D17</f>
        <v>278720898</v>
      </c>
      <c r="E17" s="68">
        <f>[49]f!E17</f>
        <v>470104391</v>
      </c>
      <c r="F17" s="21">
        <f>[49]f!F17</f>
        <v>502874234</v>
      </c>
      <c r="G17" s="263">
        <f>[49]f!G17</f>
        <v>3.0725642574969927E-2</v>
      </c>
      <c r="I17" s="264"/>
    </row>
    <row r="18" spans="1:9" ht="20" customHeight="1" thickBot="1">
      <c r="A18" s="70" t="s">
        <v>552</v>
      </c>
      <c r="B18" s="21">
        <f>[49]f!B18</f>
        <v>28157961</v>
      </c>
      <c r="C18" s="68">
        <f>[49]f!C18</f>
        <v>216280579</v>
      </c>
      <c r="D18" s="21">
        <f>[49]f!D18</f>
        <v>346842178</v>
      </c>
      <c r="E18" s="68">
        <f>[49]f!E18</f>
        <v>563122757</v>
      </c>
      <c r="F18" s="21">
        <f>[49]f!F18</f>
        <v>591280718</v>
      </c>
      <c r="G18" s="263">
        <f>[49]f!G18</f>
        <v>4.8851549746527966E-2</v>
      </c>
      <c r="I18" s="264"/>
    </row>
    <row r="19" spans="1:9" ht="20" customHeight="1" thickBot="1">
      <c r="A19" s="70" t="s">
        <v>553</v>
      </c>
      <c r="B19" s="21">
        <f>[49]f!B19</f>
        <v>44337619</v>
      </c>
      <c r="C19" s="68">
        <f>[49]f!C19</f>
        <v>236984929</v>
      </c>
      <c r="D19" s="21">
        <f>[49]f!D19</f>
        <v>342877147</v>
      </c>
      <c r="E19" s="68">
        <f>[49]f!E19</f>
        <v>579862076</v>
      </c>
      <c r="F19" s="21">
        <f>[49]f!F19</f>
        <v>624199695</v>
      </c>
      <c r="G19" s="263">
        <f>[49]f!G19</f>
        <v>6.4627255216392551E-2</v>
      </c>
      <c r="I19" s="264"/>
    </row>
    <row r="20" spans="1:9" ht="20" customHeight="1" thickBot="1">
      <c r="A20" s="70" t="s">
        <v>554</v>
      </c>
      <c r="B20" s="21">
        <f>[49]f!B20</f>
        <v>8959555</v>
      </c>
      <c r="C20" s="68">
        <f>[49]f!C20</f>
        <v>60498654</v>
      </c>
      <c r="D20" s="21">
        <f>[49]f!D20</f>
        <v>95206847</v>
      </c>
      <c r="E20" s="68">
        <f>[49]f!E20</f>
        <v>155705501</v>
      </c>
      <c r="F20" s="21">
        <f>[49]f!F20</f>
        <v>164665056</v>
      </c>
      <c r="G20" s="263">
        <f>[49]f!G20</f>
        <v>5.3339686014620594E-2</v>
      </c>
      <c r="I20" s="264"/>
    </row>
    <row r="21" spans="1:9" ht="20" customHeight="1" thickBot="1">
      <c r="A21" s="70" t="s">
        <v>555</v>
      </c>
      <c r="B21" s="21">
        <f>[49]f!B21</f>
        <v>6747855</v>
      </c>
      <c r="C21" s="68">
        <f>[49]f!C21</f>
        <v>33027177</v>
      </c>
      <c r="D21" s="21">
        <f>[49]f!D21</f>
        <v>49438250</v>
      </c>
      <c r="E21" s="68">
        <f>[49]f!E21</f>
        <v>82465427</v>
      </c>
      <c r="F21" s="21">
        <f>[49]f!F21</f>
        <v>89213282</v>
      </c>
      <c r="G21" s="263">
        <f>[49]f!G21</f>
        <v>3.7212262953224509E-2</v>
      </c>
      <c r="I21" s="264"/>
    </row>
    <row r="22" spans="1:9" ht="20" customHeight="1" thickBot="1">
      <c r="A22" s="70" t="s">
        <v>556</v>
      </c>
      <c r="B22" s="21">
        <f>[49]f!B22</f>
        <v>1648726</v>
      </c>
      <c r="C22" s="68">
        <f>[49]f!C22</f>
        <v>9077375</v>
      </c>
      <c r="D22" s="21">
        <f>[49]f!D22</f>
        <v>11620003</v>
      </c>
      <c r="E22" s="68">
        <f>[49]f!E22</f>
        <v>20697378</v>
      </c>
      <c r="F22" s="21">
        <f>[49]f!F22</f>
        <v>22346104</v>
      </c>
      <c r="G22" s="263">
        <f>[49]f!G22</f>
        <v>7.6740716298596454E-2</v>
      </c>
      <c r="I22" s="264"/>
    </row>
    <row r="23" spans="1:9" ht="20" customHeight="1" thickBot="1">
      <c r="A23" s="70" t="s">
        <v>557</v>
      </c>
      <c r="B23" s="21">
        <f>[49]f!B23</f>
        <v>63859187</v>
      </c>
      <c r="C23" s="68">
        <f>[49]f!C23</f>
        <v>301092890</v>
      </c>
      <c r="D23" s="21">
        <f>[49]f!D23</f>
        <v>433198338</v>
      </c>
      <c r="E23" s="68">
        <f>[49]f!E23</f>
        <v>734291228</v>
      </c>
      <c r="F23" s="21">
        <f>[49]f!F23</f>
        <v>798150415</v>
      </c>
      <c r="G23" s="263">
        <f>[49]f!G23</f>
        <v>5.2024051043297305E-2</v>
      </c>
      <c r="I23" s="264"/>
    </row>
    <row r="24" spans="1:9" ht="20" customHeight="1" thickBot="1">
      <c r="A24" s="70" t="s">
        <v>558</v>
      </c>
      <c r="B24" s="21">
        <f>[49]f!B24</f>
        <v>23126955</v>
      </c>
      <c r="C24" s="68">
        <f>[49]f!C24</f>
        <v>137111618</v>
      </c>
      <c r="D24" s="21">
        <f>[49]f!D24</f>
        <v>193110872</v>
      </c>
      <c r="E24" s="68">
        <f>[49]f!E24</f>
        <v>330222490</v>
      </c>
      <c r="F24" s="21">
        <f>[49]f!F24</f>
        <v>353349445</v>
      </c>
      <c r="G24" s="263">
        <f>[49]f!G24</f>
        <v>3.9883486368264123E-2</v>
      </c>
      <c r="I24" s="264"/>
    </row>
    <row r="25" spans="1:9" ht="20" customHeight="1" thickBot="1">
      <c r="A25" s="70" t="s">
        <v>559</v>
      </c>
      <c r="B25" s="21">
        <f>[49]f!B25</f>
        <v>76416140</v>
      </c>
      <c r="C25" s="68">
        <f>[49]f!C25</f>
        <v>414341616</v>
      </c>
      <c r="D25" s="21">
        <f>[49]f!D25</f>
        <v>598393995</v>
      </c>
      <c r="E25" s="68">
        <f>[49]f!E25</f>
        <v>1012735611</v>
      </c>
      <c r="F25" s="21">
        <f>[49]f!F25</f>
        <v>1089151751</v>
      </c>
      <c r="G25" s="263">
        <f>[49]f!G25</f>
        <v>6.2907121183934017E-2</v>
      </c>
      <c r="I25" s="264"/>
    </row>
    <row r="26" spans="1:9" ht="20" customHeight="1" thickBot="1">
      <c r="A26" s="70" t="s">
        <v>560</v>
      </c>
      <c r="B26" s="21">
        <f>[49]f!B26</f>
        <v>33980097</v>
      </c>
      <c r="C26" s="68">
        <f>[49]f!C26</f>
        <v>168828208</v>
      </c>
      <c r="D26" s="21">
        <f>[49]f!D26</f>
        <v>241796993</v>
      </c>
      <c r="E26" s="68">
        <f>[49]f!E26</f>
        <v>410625201</v>
      </c>
      <c r="F26" s="21">
        <f>[49]f!F26</f>
        <v>444605298</v>
      </c>
      <c r="G26" s="263">
        <f>[49]f!G26</f>
        <v>4.3564812098289989E-2</v>
      </c>
      <c r="I26" s="264"/>
    </row>
    <row r="27" spans="1:9" ht="20" customHeight="1" thickBot="1">
      <c r="A27" s="70" t="s">
        <v>561</v>
      </c>
      <c r="B27" s="21">
        <f>[49]f!B27</f>
        <v>45927896</v>
      </c>
      <c r="C27" s="68">
        <f>[49]f!C27</f>
        <v>318291193</v>
      </c>
      <c r="D27" s="21">
        <f>[49]f!D27</f>
        <v>477781449</v>
      </c>
      <c r="E27" s="68">
        <f>[49]f!E27</f>
        <v>796072642</v>
      </c>
      <c r="F27" s="21">
        <f>[49]f!F27</f>
        <v>842000538</v>
      </c>
      <c r="G27" s="263">
        <f>[49]f!G27</f>
        <v>6.0506856333032745E-2</v>
      </c>
      <c r="I27" s="264"/>
    </row>
    <row r="28" spans="1:9" ht="20" customHeight="1" thickBot="1">
      <c r="A28" s="70" t="s">
        <v>562</v>
      </c>
      <c r="B28" s="21">
        <f>[49]f!B28</f>
        <v>129980704</v>
      </c>
      <c r="C28" s="68">
        <f>[49]f!C28</f>
        <v>620151640</v>
      </c>
      <c r="D28" s="21">
        <f>[49]f!D28</f>
        <v>975047977</v>
      </c>
      <c r="E28" s="68">
        <f>[49]f!E28</f>
        <v>1595199617</v>
      </c>
      <c r="F28" s="21">
        <f>[49]f!F28</f>
        <v>1725180321</v>
      </c>
      <c r="G28" s="263">
        <f>[49]f!G28</f>
        <v>6.7481860810832295E-2</v>
      </c>
      <c r="I28" s="264"/>
    </row>
    <row r="29" spans="1:9" ht="20" customHeight="1" thickBot="1">
      <c r="A29" s="70" t="s">
        <v>563</v>
      </c>
      <c r="B29" s="21">
        <f>[49]f!B29</f>
        <v>38071404</v>
      </c>
      <c r="C29" s="68">
        <f>[49]f!C29</f>
        <v>214753235</v>
      </c>
      <c r="D29" s="21">
        <f>[49]f!D29</f>
        <v>304229208</v>
      </c>
      <c r="E29" s="68">
        <f>[49]f!E29</f>
        <v>518982443</v>
      </c>
      <c r="F29" s="21">
        <f>[49]f!F29</f>
        <v>557053847</v>
      </c>
      <c r="G29" s="263">
        <f>[49]f!G29</f>
        <v>6.4513610187871245E-2</v>
      </c>
      <c r="I29" s="264"/>
    </row>
    <row r="30" spans="1:9" ht="20" customHeight="1" thickBot="1">
      <c r="A30" s="70" t="s">
        <v>564</v>
      </c>
      <c r="B30" s="21">
        <f>[49]f!B30</f>
        <v>28309246</v>
      </c>
      <c r="C30" s="68">
        <f>[49]f!C30</f>
        <v>164476361</v>
      </c>
      <c r="D30" s="21">
        <f>[49]f!D30</f>
        <v>258767518</v>
      </c>
      <c r="E30" s="68">
        <f>[49]f!E30</f>
        <v>423243879</v>
      </c>
      <c r="F30" s="21">
        <f>[49]f!F30</f>
        <v>451553125</v>
      </c>
      <c r="G30" s="263">
        <f>[49]f!G30</f>
        <v>3.8189249630352119E-2</v>
      </c>
      <c r="I30" s="264"/>
    </row>
    <row r="31" spans="1:9" ht="20" customHeight="1" thickBot="1">
      <c r="A31" s="70" t="s">
        <v>565</v>
      </c>
      <c r="B31" s="21">
        <f>[49]f!B31</f>
        <v>89208032</v>
      </c>
      <c r="C31" s="68">
        <f>[49]f!C31</f>
        <v>443589835</v>
      </c>
      <c r="D31" s="21">
        <f>[49]f!D31</f>
        <v>730516733</v>
      </c>
      <c r="E31" s="68">
        <f>[49]f!E31</f>
        <v>1174106568</v>
      </c>
      <c r="F31" s="21">
        <f>[49]f!F31</f>
        <v>1263314600</v>
      </c>
      <c r="G31" s="263">
        <f>[49]f!G31</f>
        <v>9.0004884016179593E-2</v>
      </c>
      <c r="I31" s="264"/>
    </row>
    <row r="32" spans="1:9" ht="20" customHeight="1" thickBot="1">
      <c r="A32" s="73" t="s">
        <v>566</v>
      </c>
      <c r="B32" s="21">
        <f>[49]f!B32</f>
        <v>12309461</v>
      </c>
      <c r="C32" s="68">
        <f>[49]f!C32</f>
        <v>64770274</v>
      </c>
      <c r="D32" s="21">
        <f>[49]f!D32</f>
        <v>98606589</v>
      </c>
      <c r="E32" s="68">
        <f>[49]f!E32</f>
        <v>163376863</v>
      </c>
      <c r="F32" s="21">
        <f>[49]f!F32</f>
        <v>175686324</v>
      </c>
      <c r="G32" s="263">
        <f>[49]f!G32</f>
        <v>3.2186988606858931E-2</v>
      </c>
      <c r="I32" s="264"/>
    </row>
    <row r="33" spans="1:9" ht="30" customHeight="1" thickBot="1">
      <c r="A33" s="78" t="s">
        <v>808</v>
      </c>
      <c r="B33" s="265">
        <f>[49]f!B33</f>
        <v>1092718339</v>
      </c>
      <c r="C33" s="266">
        <f>[49]f!C33</f>
        <v>6079194054</v>
      </c>
      <c r="D33" s="265">
        <f>[49]f!D33</f>
        <v>9213187253</v>
      </c>
      <c r="E33" s="266">
        <f>[49]f!E33</f>
        <v>15292381307</v>
      </c>
      <c r="F33" s="265">
        <f>[49]f!F33</f>
        <v>16385099646</v>
      </c>
      <c r="G33" s="267">
        <f>[49]f!G33</f>
        <v>5.9226061265676658E-2</v>
      </c>
      <c r="I33" s="264"/>
    </row>
    <row r="34" spans="1:9" ht="20" customHeight="1">
      <c r="A34" s="28" t="str">
        <f>"Datenstand: Juli "&amp;'[45]an_data an_1'!$B$2+1</f>
        <v>Datenstand: Juli 2002</v>
      </c>
      <c r="B34" s="28"/>
      <c r="C34" s="28"/>
      <c r="D34" s="28"/>
      <c r="E34" s="28"/>
      <c r="F34" s="28"/>
      <c r="G34" s="268"/>
    </row>
    <row r="35" spans="1:9" ht="12" customHeight="1">
      <c r="A35" s="7" t="s">
        <v>902</v>
      </c>
    </row>
    <row r="36" spans="1:9" ht="12" customHeight="1">
      <c r="A36" s="7" t="s">
        <v>903</v>
      </c>
    </row>
    <row r="37" spans="1:9" ht="12" customHeight="1"/>
    <row r="38" spans="1:9" ht="12" customHeight="1"/>
  </sheetData>
  <phoneticPr fontId="0" type="noConversion"/>
  <pageMargins left="0.78740157480314965" right="0.78740157480314965" top="1.46" bottom="0.49" header="0.92" footer="0.4921259845"/>
  <pageSetup paperSize="9" scale="80" orientation="portrait" horizontalDpi="4294967292" verticalDpi="4294967292"/>
  <headerFooter alignWithMargins="0">
    <oddHeader>&amp;L&amp;"Arial,Bold"&amp;14Risikoausgleich in der OKP</oddHeader>
    <oddFooter>&amp;L&amp;"Arial,Regular"Statistik über die Krankenversicherung, Bundesamt für Sozialversicherung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66149-59B7-E741-81E1-63EE0756AE5A}">
  <dimension ref="A1:I37"/>
  <sheetViews>
    <sheetView topLeftCell="A19" zoomScale="75" workbookViewId="0">
      <selection activeCell="C33" sqref="C33"/>
    </sheetView>
  </sheetViews>
  <sheetFormatPr baseColWidth="10" defaultColWidth="11.3984375" defaultRowHeight="13"/>
  <cols>
    <col min="1" max="1" width="14.796875" style="7" customWidth="1"/>
    <col min="2" max="6" width="14.796875" style="22" customWidth="1"/>
    <col min="7" max="7" width="14.796875" style="227" customWidth="1"/>
    <col min="8" max="8" width="11.3984375" style="7"/>
    <col min="9" max="9" width="0" style="7" hidden="1" customWidth="1"/>
    <col min="10" max="16384" width="11.3984375" style="7"/>
  </cols>
  <sheetData>
    <row r="1" spans="1:9" s="1" customFormat="1" ht="14" customHeight="1">
      <c r="B1" s="180"/>
      <c r="C1" s="180"/>
      <c r="D1" s="180"/>
      <c r="E1" s="180"/>
      <c r="F1" s="180"/>
      <c r="G1" s="269"/>
    </row>
    <row r="2" spans="1:9" s="1" customFormat="1" ht="28" customHeight="1">
      <c r="A2" s="2" t="str">
        <f>"T 2.05  Bruttokosten 1) in Fr. pro Versicherten pro Versicherungsmonat nach Kantonen "&amp;'[45]an_data an_1'!$B$2</f>
        <v>T 2.05  Bruttokosten 1) in Fr. pro Versicherten pro Versicherungsmonat nach Kantonen 2001</v>
      </c>
      <c r="B2" s="180"/>
      <c r="C2" s="180"/>
      <c r="D2" s="180"/>
      <c r="E2" s="180"/>
      <c r="F2" s="180"/>
      <c r="G2" s="269"/>
    </row>
    <row r="3" spans="1:9" ht="27" customHeight="1">
      <c r="A3" s="41" t="s">
        <v>537</v>
      </c>
      <c r="B3" s="115" t="s">
        <v>538</v>
      </c>
      <c r="C3" s="96" t="s">
        <v>529</v>
      </c>
      <c r="D3" s="115" t="s">
        <v>530</v>
      </c>
      <c r="E3" s="96" t="s">
        <v>514</v>
      </c>
      <c r="F3" s="115" t="s">
        <v>514</v>
      </c>
      <c r="G3" s="42" t="s">
        <v>522</v>
      </c>
    </row>
    <row r="4" spans="1:9" ht="15" customHeight="1">
      <c r="A4" s="61"/>
      <c r="B4" s="11"/>
      <c r="C4" s="270"/>
      <c r="D4" s="271"/>
      <c r="E4" s="45" t="s">
        <v>898</v>
      </c>
      <c r="F4" s="11" t="s">
        <v>899</v>
      </c>
      <c r="G4" s="44" t="s">
        <v>523</v>
      </c>
    </row>
    <row r="5" spans="1:9" ht="15" customHeight="1">
      <c r="A5" s="61"/>
      <c r="B5" s="11"/>
      <c r="C5" s="270"/>
      <c r="D5" s="271"/>
      <c r="E5" s="45" t="s">
        <v>900</v>
      </c>
      <c r="F5" s="11" t="s">
        <v>531</v>
      </c>
      <c r="G5" s="44" t="s">
        <v>524</v>
      </c>
    </row>
    <row r="6" spans="1:9" ht="24" customHeight="1">
      <c r="A6" s="64"/>
      <c r="B6" s="272"/>
      <c r="C6" s="273"/>
      <c r="D6" s="272"/>
      <c r="E6" s="48"/>
      <c r="F6" s="189"/>
      <c r="G6" s="47"/>
    </row>
    <row r="7" spans="1:9" ht="30" customHeight="1" thickBot="1">
      <c r="A7" s="67" t="s">
        <v>541</v>
      </c>
      <c r="B7" s="101">
        <f>[50]f!B7</f>
        <v>61.192457417388489</v>
      </c>
      <c r="C7" s="102">
        <f>[50]f!C7</f>
        <v>177.04542580156576</v>
      </c>
      <c r="D7" s="101">
        <f>[50]f!D7</f>
        <v>256.58600007878988</v>
      </c>
      <c r="E7" s="102">
        <f>[50]f!E7</f>
        <v>218.14892057723932</v>
      </c>
      <c r="F7" s="101">
        <f>[50]f!F7</f>
        <v>187.65648979266788</v>
      </c>
      <c r="G7" s="231">
        <f>[50]f!G7</f>
        <v>4.8191734150124739E-2</v>
      </c>
      <c r="I7" s="264">
        <v>172.8785586534616</v>
      </c>
    </row>
    <row r="8" spans="1:9" ht="20" customHeight="1" thickBot="1">
      <c r="A8" s="70" t="s">
        <v>542</v>
      </c>
      <c r="B8" s="101">
        <f>[50]f!B8</f>
        <v>51.790963755203201</v>
      </c>
      <c r="C8" s="102">
        <f>[50]f!C8</f>
        <v>177.29333923181355</v>
      </c>
      <c r="D8" s="101">
        <f>[50]f!D8</f>
        <v>249.19704594502812</v>
      </c>
      <c r="E8" s="102">
        <f>[50]f!E8</f>
        <v>214.75427180213444</v>
      </c>
      <c r="F8" s="101">
        <f>[50]f!F8</f>
        <v>181.52120085567466</v>
      </c>
      <c r="G8" s="55">
        <f>[50]f!G8</f>
        <v>3.5860171601157037E-2</v>
      </c>
      <c r="I8" s="264">
        <v>161.49387493756916</v>
      </c>
    </row>
    <row r="9" spans="1:9" ht="20" customHeight="1" thickBot="1">
      <c r="A9" s="70" t="s">
        <v>543</v>
      </c>
      <c r="B9" s="101">
        <f>[50]f!B9</f>
        <v>43.0489262823464</v>
      </c>
      <c r="C9" s="102">
        <f>[50]f!C9</f>
        <v>149.26250651230745</v>
      </c>
      <c r="D9" s="101">
        <f>[50]f!D9</f>
        <v>208.65974971988464</v>
      </c>
      <c r="E9" s="102">
        <f>[50]f!E9</f>
        <v>179.75830130808092</v>
      </c>
      <c r="F9" s="101">
        <f>[50]f!F9</f>
        <v>148.10709835288191</v>
      </c>
      <c r="G9" s="55">
        <f>[50]f!G9</f>
        <v>6.8250813989474593E-2</v>
      </c>
      <c r="I9" s="264">
        <v>129.41591119853354</v>
      </c>
    </row>
    <row r="10" spans="1:9" ht="20" customHeight="1" thickBot="1">
      <c r="A10" s="70" t="s">
        <v>544</v>
      </c>
      <c r="B10" s="101">
        <f>[50]f!B10</f>
        <v>46.66518801470437</v>
      </c>
      <c r="C10" s="102">
        <f>[50]f!C10</f>
        <v>154.18237091467336</v>
      </c>
      <c r="D10" s="101">
        <f>[50]f!D10</f>
        <v>208.45139560611415</v>
      </c>
      <c r="E10" s="102">
        <f>[50]f!E10</f>
        <v>181.43924586685321</v>
      </c>
      <c r="F10" s="101">
        <f>[50]f!F10</f>
        <v>150.72890662532117</v>
      </c>
      <c r="G10" s="55">
        <f>[50]f!G10</f>
        <v>9.5938762598238747E-2</v>
      </c>
      <c r="I10" s="264">
        <v>126.90557061409594</v>
      </c>
    </row>
    <row r="11" spans="1:9" ht="20" customHeight="1" thickBot="1">
      <c r="A11" s="70" t="s">
        <v>545</v>
      </c>
      <c r="B11" s="101">
        <f>[50]f!B11</f>
        <v>53.954970376141908</v>
      </c>
      <c r="C11" s="102">
        <f>[50]f!C11</f>
        <v>154.1703750503334</v>
      </c>
      <c r="D11" s="101">
        <f>[50]f!D11</f>
        <v>214.09178560101489</v>
      </c>
      <c r="E11" s="102">
        <f>[50]f!E11</f>
        <v>184.05092700572609</v>
      </c>
      <c r="F11" s="101">
        <f>[50]f!F11</f>
        <v>153.37298456745384</v>
      </c>
      <c r="G11" s="55">
        <f>[50]f!G11</f>
        <v>0.10678321482114676</v>
      </c>
      <c r="I11" s="264">
        <v>131.64111605385247</v>
      </c>
    </row>
    <row r="12" spans="1:9" ht="20" customHeight="1" thickBot="1">
      <c r="A12" s="70" t="s">
        <v>546</v>
      </c>
      <c r="B12" s="101">
        <f>[50]f!B12</f>
        <v>43.644933313267821</v>
      </c>
      <c r="C12" s="102">
        <f>[50]f!C12</f>
        <v>130.9166565399432</v>
      </c>
      <c r="D12" s="101">
        <f>[50]f!D12</f>
        <v>205.73958599191056</v>
      </c>
      <c r="E12" s="102">
        <f>[50]f!E12</f>
        <v>168.36059590683618</v>
      </c>
      <c r="F12" s="101">
        <f>[50]f!F12</f>
        <v>138.34502520317344</v>
      </c>
      <c r="G12" s="55">
        <f>[50]f!G12</f>
        <v>3.3337509416772548E-2</v>
      </c>
      <c r="I12" s="264">
        <v>125.19129183854066</v>
      </c>
    </row>
    <row r="13" spans="1:9" ht="20" customHeight="1" thickBot="1">
      <c r="A13" s="70" t="s">
        <v>547</v>
      </c>
      <c r="B13" s="101">
        <f>[50]f!B13</f>
        <v>42.29866610688736</v>
      </c>
      <c r="C13" s="102">
        <f>[50]f!C13</f>
        <v>129.16857900292919</v>
      </c>
      <c r="D13" s="101">
        <f>[50]f!D13</f>
        <v>195.05538577726853</v>
      </c>
      <c r="E13" s="102">
        <f>[50]f!E13</f>
        <v>161.95120167132603</v>
      </c>
      <c r="F13" s="101">
        <f>[50]f!F13</f>
        <v>135.1732438229094</v>
      </c>
      <c r="G13" s="55">
        <f>[50]f!G13</f>
        <v>4.19994991466002E-2</v>
      </c>
      <c r="I13" s="264">
        <v>117.8833340734285</v>
      </c>
    </row>
    <row r="14" spans="1:9" ht="20" customHeight="1" thickBot="1">
      <c r="A14" s="70" t="s">
        <v>548</v>
      </c>
      <c r="B14" s="101">
        <f>[50]f!B14</f>
        <v>55.320601950965944</v>
      </c>
      <c r="C14" s="102">
        <f>[50]f!C14</f>
        <v>157.92719630396499</v>
      </c>
      <c r="D14" s="101">
        <f>[50]f!D14</f>
        <v>224.54416354086229</v>
      </c>
      <c r="E14" s="102">
        <f>[50]f!E14</f>
        <v>191.9881525605025</v>
      </c>
      <c r="F14" s="101">
        <f>[50]f!F14</f>
        <v>160.65512960838444</v>
      </c>
      <c r="G14" s="55">
        <f>[50]f!G14</f>
        <v>7.1924535917814655E-2</v>
      </c>
      <c r="I14" s="264">
        <v>140.25371771237261</v>
      </c>
    </row>
    <row r="15" spans="1:9" ht="20" customHeight="1" thickBot="1">
      <c r="A15" s="70" t="s">
        <v>549</v>
      </c>
      <c r="B15" s="101">
        <f>[50]f!B15</f>
        <v>45.531749162417093</v>
      </c>
      <c r="C15" s="102">
        <f>[50]f!C15</f>
        <v>141.62550691317816</v>
      </c>
      <c r="D15" s="101">
        <f>[50]f!D15</f>
        <v>223.11095939375289</v>
      </c>
      <c r="E15" s="102">
        <f>[50]f!E15</f>
        <v>182.65867795292718</v>
      </c>
      <c r="F15" s="101">
        <f>[50]f!F15</f>
        <v>153.80290613910839</v>
      </c>
      <c r="G15" s="55">
        <f>[50]f!G15</f>
        <v>0.10275352301308656</v>
      </c>
      <c r="I15" s="264">
        <v>131.3336445580656</v>
      </c>
    </row>
    <row r="16" spans="1:9" ht="20" customHeight="1" thickBot="1">
      <c r="A16" s="70" t="s">
        <v>550</v>
      </c>
      <c r="B16" s="101">
        <f>[50]f!B16</f>
        <v>55.482441533915875</v>
      </c>
      <c r="C16" s="102">
        <f>[50]f!C16</f>
        <v>179.96854727097764</v>
      </c>
      <c r="D16" s="101">
        <f>[50]f!D16</f>
        <v>251.31045181469767</v>
      </c>
      <c r="E16" s="102">
        <f>[50]f!E16</f>
        <v>216.2769753925038</v>
      </c>
      <c r="F16" s="101">
        <f>[50]f!F16</f>
        <v>177.60642880522531</v>
      </c>
      <c r="G16" s="55">
        <f>[50]f!G16</f>
        <v>6.9366584451866706E-2</v>
      </c>
      <c r="I16" s="264">
        <v>163.19734143075968</v>
      </c>
    </row>
    <row r="17" spans="1:9" ht="20" customHeight="1" thickBot="1">
      <c r="A17" s="70" t="s">
        <v>551</v>
      </c>
      <c r="B17" s="101">
        <f>[50]f!B17</f>
        <v>51.220563587078438</v>
      </c>
      <c r="C17" s="102">
        <f>[50]f!C17</f>
        <v>169.38120629008259</v>
      </c>
      <c r="D17" s="101">
        <f>[50]f!D17</f>
        <v>233.81077655496165</v>
      </c>
      <c r="E17" s="102">
        <f>[50]f!E17</f>
        <v>202.45868029629375</v>
      </c>
      <c r="F17" s="101">
        <f>[50]f!F17</f>
        <v>169.78921761279457</v>
      </c>
      <c r="G17" s="55">
        <f>[50]f!G17</f>
        <v>3.1890437624156477E-2</v>
      </c>
      <c r="I17" s="264">
        <v>156.59253023292777</v>
      </c>
    </row>
    <row r="18" spans="1:9" ht="20" customHeight="1" thickBot="1">
      <c r="A18" s="70" t="s">
        <v>552</v>
      </c>
      <c r="B18" s="101">
        <f>[50]f!B18</f>
        <v>77.702427272877785</v>
      </c>
      <c r="C18" s="102">
        <f>[50]f!C18</f>
        <v>248.55270153584652</v>
      </c>
      <c r="D18" s="101">
        <f>[50]f!D18</f>
        <v>347.88857115987753</v>
      </c>
      <c r="E18" s="102">
        <f>[50]f!E18</f>
        <v>301.59449096806259</v>
      </c>
      <c r="F18" s="101">
        <f>[50]f!F18</f>
        <v>265.20372328926135</v>
      </c>
      <c r="G18" s="55">
        <f>[50]f!G18</f>
        <v>5.4443614443382665E-2</v>
      </c>
      <c r="I18" s="264">
        <v>239.48436004651805</v>
      </c>
    </row>
    <row r="19" spans="1:9" ht="20" customHeight="1" thickBot="1">
      <c r="A19" s="70" t="s">
        <v>553</v>
      </c>
      <c r="B19" s="101">
        <f>[50]f!B19</f>
        <v>69.990889961277205</v>
      </c>
      <c r="C19" s="102">
        <f>[50]f!C19</f>
        <v>194.29278176909497</v>
      </c>
      <c r="D19" s="101">
        <f>[50]f!D19</f>
        <v>264.60874776881138</v>
      </c>
      <c r="E19" s="102">
        <f>[50]f!E19</f>
        <v>230.51379705963302</v>
      </c>
      <c r="F19" s="101">
        <f>[50]f!F19</f>
        <v>198.22174713762195</v>
      </c>
      <c r="G19" s="55">
        <f>[50]f!G19</f>
        <v>6.1273442931819105E-2</v>
      </c>
      <c r="I19" s="264">
        <v>177.06647582891381</v>
      </c>
    </row>
    <row r="20" spans="1:9" ht="20" customHeight="1" thickBot="1">
      <c r="A20" s="70" t="s">
        <v>554</v>
      </c>
      <c r="B20" s="101">
        <f>[50]f!B20</f>
        <v>47.699335093611403</v>
      </c>
      <c r="C20" s="102">
        <f>[50]f!C20</f>
        <v>177.99742265766361</v>
      </c>
      <c r="D20" s="101">
        <f>[50]f!D20</f>
        <v>256.87561509460926</v>
      </c>
      <c r="E20" s="102">
        <f>[50]f!E20</f>
        <v>219.14331950907328</v>
      </c>
      <c r="F20" s="101">
        <f>[50]f!F20</f>
        <v>183.29660612253758</v>
      </c>
      <c r="G20" s="55">
        <f>[50]f!G20</f>
        <v>5.855624149234382E-2</v>
      </c>
      <c r="I20" s="264">
        <v>165.60622548393192</v>
      </c>
    </row>
    <row r="21" spans="1:9" ht="20" customHeight="1" thickBot="1">
      <c r="A21" s="70" t="s">
        <v>555</v>
      </c>
      <c r="B21" s="101">
        <f>[50]f!B21</f>
        <v>43.970268213973775</v>
      </c>
      <c r="C21" s="102">
        <f>[50]f!C21</f>
        <v>136.69607518355596</v>
      </c>
      <c r="D21" s="101">
        <f>[50]f!D21</f>
        <v>194.89573497530921</v>
      </c>
      <c r="E21" s="102">
        <f>[50]f!E21</f>
        <v>166.50430637489828</v>
      </c>
      <c r="F21" s="101">
        <f>[50]f!F21</f>
        <v>137.51799645268721</v>
      </c>
      <c r="G21" s="55">
        <f>[50]f!G21</f>
        <v>4.4654801277942427E-2</v>
      </c>
      <c r="I21" s="264">
        <v>125.02923450612184</v>
      </c>
    </row>
    <row r="22" spans="1:9" ht="20" customHeight="1" thickBot="1">
      <c r="A22" s="70" t="s">
        <v>556</v>
      </c>
      <c r="B22" s="101">
        <f>[50]f!B22</f>
        <v>34.383529533457455</v>
      </c>
      <c r="C22" s="102">
        <f>[50]f!C22</f>
        <v>137.07342434741432</v>
      </c>
      <c r="D22" s="101">
        <f>[50]f!D22</f>
        <v>178.24069727988203</v>
      </c>
      <c r="E22" s="102">
        <f>[50]f!E22</f>
        <v>157.4951626880023</v>
      </c>
      <c r="F22" s="101">
        <f>[50]f!F22</f>
        <v>124.58313959646982</v>
      </c>
      <c r="G22" s="55">
        <f>[50]f!G22</f>
        <v>7.6788740326039592E-2</v>
      </c>
      <c r="I22" s="264">
        <v>109.87124540182084</v>
      </c>
    </row>
    <row r="23" spans="1:9" ht="20" customHeight="1" thickBot="1">
      <c r="A23" s="70" t="s">
        <v>557</v>
      </c>
      <c r="B23" s="101">
        <f>[50]f!B23</f>
        <v>49.423134283885581</v>
      </c>
      <c r="C23" s="102">
        <f>[50]f!C23</f>
        <v>147.67063904671042</v>
      </c>
      <c r="D23" s="101">
        <f>[50]f!D23</f>
        <v>202.18858218213288</v>
      </c>
      <c r="E23" s="102">
        <f>[50]f!E23</f>
        <v>175.60495013764265</v>
      </c>
      <c r="F23" s="101">
        <f>[50]f!F23</f>
        <v>145.81855645773314</v>
      </c>
      <c r="G23" s="55">
        <f>[50]f!G23</f>
        <v>4.8844476294642794E-2</v>
      </c>
      <c r="I23" s="264">
        <v>134.24530167185685</v>
      </c>
    </row>
    <row r="24" spans="1:9" ht="20" customHeight="1" thickBot="1">
      <c r="A24" s="70" t="s">
        <v>558</v>
      </c>
      <c r="B24" s="101">
        <f>[50]f!B24</f>
        <v>47.95337770589699</v>
      </c>
      <c r="C24" s="102">
        <f>[50]f!C24</f>
        <v>150.03338753336291</v>
      </c>
      <c r="D24" s="101">
        <f>[50]f!D24</f>
        <v>208.07497500870397</v>
      </c>
      <c r="E24" s="102">
        <f>[50]f!E24</f>
        <v>179.27806285862127</v>
      </c>
      <c r="F24" s="101">
        <f>[50]f!F24</f>
        <v>152.028144685277</v>
      </c>
      <c r="G24" s="55">
        <f>[50]f!G24</f>
        <v>4.357369405905346E-2</v>
      </c>
      <c r="I24" s="264">
        <v>132.91701511018809</v>
      </c>
    </row>
    <row r="25" spans="1:9" ht="20" customHeight="1" thickBot="1">
      <c r="A25" s="70" t="s">
        <v>559</v>
      </c>
      <c r="B25" s="101">
        <f>[50]f!B25</f>
        <v>50.5903654977729</v>
      </c>
      <c r="C25" s="102">
        <f>[50]f!C25</f>
        <v>160.11976543848161</v>
      </c>
      <c r="D25" s="101">
        <f>[50]f!D25</f>
        <v>225.42243737322119</v>
      </c>
      <c r="E25" s="102">
        <f>[50]f!E25</f>
        <v>193.18746168910874</v>
      </c>
      <c r="F25" s="101">
        <f>[50]f!F25</f>
        <v>161.29055895335122</v>
      </c>
      <c r="G25" s="55">
        <f>[50]f!G25</f>
        <v>5.3463200003264086E-2</v>
      </c>
      <c r="I25" s="264">
        <v>145.05617363699608</v>
      </c>
    </row>
    <row r="26" spans="1:9" ht="20" customHeight="1" thickBot="1">
      <c r="A26" s="70" t="s">
        <v>560</v>
      </c>
      <c r="B26" s="101">
        <f>[50]f!B26</f>
        <v>50.158681362439332</v>
      </c>
      <c r="C26" s="102">
        <f>[50]f!C26</f>
        <v>164.65627250600986</v>
      </c>
      <c r="D26" s="101">
        <f>[50]f!D26</f>
        <v>227.69727634133349</v>
      </c>
      <c r="E26" s="102">
        <f>[50]f!E26</f>
        <v>196.72930486339612</v>
      </c>
      <c r="F26" s="101">
        <f>[50]f!F26</f>
        <v>160.814324084182</v>
      </c>
      <c r="G26" s="55">
        <f>[50]f!G26</f>
        <v>4.2802330280099818E-2</v>
      </c>
      <c r="I26" s="264">
        <v>145.7338374894791</v>
      </c>
    </row>
    <row r="27" spans="1:9" ht="20" customHeight="1" thickBot="1">
      <c r="A27" s="70" t="s">
        <v>561</v>
      </c>
      <c r="B27" s="101">
        <f>[50]f!B27</f>
        <v>66.834539204145642</v>
      </c>
      <c r="C27" s="102">
        <f>[50]f!C27</f>
        <v>221.00901119568334</v>
      </c>
      <c r="D27" s="101">
        <f>[50]f!D27</f>
        <v>294.29537150141408</v>
      </c>
      <c r="E27" s="102">
        <f>[50]f!E27</f>
        <v>259.84460112558065</v>
      </c>
      <c r="F27" s="101">
        <f>[50]f!F27</f>
        <v>224.48337211134472</v>
      </c>
      <c r="G27" s="55">
        <f>[50]f!G27</f>
        <v>5.5683333751528251E-2</v>
      </c>
      <c r="I27" s="264">
        <v>199.67764846714121</v>
      </c>
    </row>
    <row r="28" spans="1:9" ht="20" customHeight="1" thickBot="1">
      <c r="A28" s="70" t="s">
        <v>562</v>
      </c>
      <c r="B28" s="101">
        <f>[50]f!B28</f>
        <v>78.638209928640364</v>
      </c>
      <c r="C28" s="102">
        <f>[50]f!C28</f>
        <v>222.13810261557535</v>
      </c>
      <c r="D28" s="101">
        <f>[50]f!D28</f>
        <v>316.0917855943203</v>
      </c>
      <c r="E28" s="102">
        <f>[50]f!E28</f>
        <v>271.45689380909391</v>
      </c>
      <c r="F28" s="101">
        <f>[50]f!F28</f>
        <v>229.12790705828573</v>
      </c>
      <c r="G28" s="55">
        <f>[50]f!G28</f>
        <v>5.8934722064514264E-2</v>
      </c>
      <c r="I28" s="264">
        <v>203.24357993536964</v>
      </c>
    </row>
    <row r="29" spans="1:9" ht="20" customHeight="1" thickBot="1">
      <c r="A29" s="70" t="s">
        <v>563</v>
      </c>
      <c r="B29" s="101">
        <f>[50]f!B29</f>
        <v>50.611656603201702</v>
      </c>
      <c r="C29" s="102">
        <f>[50]f!C29</f>
        <v>166.09271380686624</v>
      </c>
      <c r="D29" s="101">
        <f>[50]f!D29</f>
        <v>223.56298734366973</v>
      </c>
      <c r="E29" s="102">
        <f>[50]f!E29</f>
        <v>195.56251568132834</v>
      </c>
      <c r="F29" s="101">
        <f>[50]f!F29</f>
        <v>163.54983353234573</v>
      </c>
      <c r="G29" s="55">
        <f>[50]f!G29</f>
        <v>6.2119861877828732E-2</v>
      </c>
      <c r="I29" s="264">
        <v>144.85185631308477</v>
      </c>
    </row>
    <row r="30" spans="1:9" ht="20" customHeight="1" thickBot="1">
      <c r="A30" s="70" t="s">
        <v>564</v>
      </c>
      <c r="B30" s="101">
        <f>[50]f!B30</f>
        <v>65.73517145935503</v>
      </c>
      <c r="C30" s="102">
        <f>[50]f!C30</f>
        <v>217.60512142232221</v>
      </c>
      <c r="D30" s="101">
        <f>[50]f!D30</f>
        <v>312.00079394154403</v>
      </c>
      <c r="E30" s="102">
        <f>[50]f!E30</f>
        <v>266.99225684132051</v>
      </c>
      <c r="F30" s="101">
        <f>[50]f!F30</f>
        <v>223.99745820823193</v>
      </c>
      <c r="G30" s="55">
        <f>[50]f!G30</f>
        <v>4.0288386123732332E-2</v>
      </c>
      <c r="I30" s="264">
        <v>184.5803903521614</v>
      </c>
    </row>
    <row r="31" spans="1:9" ht="20" customHeight="1" thickBot="1">
      <c r="A31" s="70" t="s">
        <v>565</v>
      </c>
      <c r="B31" s="101">
        <f>[50]f!B31</f>
        <v>90.488076327732088</v>
      </c>
      <c r="C31" s="102">
        <f>[50]f!C31</f>
        <v>256.61797697558717</v>
      </c>
      <c r="D31" s="101">
        <f>[50]f!D31</f>
        <v>374.49513931310202</v>
      </c>
      <c r="E31" s="102">
        <f>[50]f!E31</f>
        <v>319.11391012932825</v>
      </c>
      <c r="F31" s="101">
        <f>[50]f!F31</f>
        <v>270.79972973243179</v>
      </c>
      <c r="G31" s="55">
        <f>[50]f!G31</f>
        <v>8.1346752832990782E-2</v>
      </c>
      <c r="I31" s="264">
        <v>244.01642882305748</v>
      </c>
    </row>
    <row r="32" spans="1:9" ht="20" customHeight="1" thickBot="1">
      <c r="A32" s="73" t="s">
        <v>566</v>
      </c>
      <c r="B32" s="101">
        <f>[50]f!B32</f>
        <v>63.434140832226404</v>
      </c>
      <c r="C32" s="102">
        <f>[50]f!C32</f>
        <v>206.99991690635986</v>
      </c>
      <c r="D32" s="101">
        <f>[50]f!D32</f>
        <v>296.8156190196853</v>
      </c>
      <c r="E32" s="102">
        <f>[50]f!E32</f>
        <v>253.25232420590586</v>
      </c>
      <c r="F32" s="101">
        <f>[50]f!F32</f>
        <v>209.35824854677142</v>
      </c>
      <c r="G32" s="55">
        <f>[50]f!G32</f>
        <v>3.6772485509171886E-2</v>
      </c>
      <c r="I32" s="264">
        <v>200.58331332206401</v>
      </c>
    </row>
    <row r="33" spans="1:9" s="276" customFormat="1" ht="30" customHeight="1" thickBot="1">
      <c r="A33" s="78" t="s">
        <v>808</v>
      </c>
      <c r="B33" s="274">
        <f>[50]f!B33</f>
        <v>58.701184982066962</v>
      </c>
      <c r="C33" s="275">
        <f>[50]f!C33</f>
        <v>182.48071357794853</v>
      </c>
      <c r="D33" s="274">
        <f>[50]f!D33</f>
        <v>258.62593592235731</v>
      </c>
      <c r="E33" s="275">
        <f>[50]f!E33</f>
        <v>221.82876556182393</v>
      </c>
      <c r="F33" s="274">
        <f>[50]f!F33</f>
        <v>187.14556177929342</v>
      </c>
      <c r="G33" s="58">
        <f>[50]f!G33</f>
        <v>5.4317353420953611E-2</v>
      </c>
      <c r="I33" s="277">
        <v>167.9825427102873</v>
      </c>
    </row>
    <row r="34" spans="1:9" ht="20" customHeight="1">
      <c r="A34" s="28" t="str">
        <f>"Datenstand: Juli "&amp;'[45]an_data an_1'!$B$2+1</f>
        <v>Datenstand: Juli 2002</v>
      </c>
      <c r="B34" s="132"/>
      <c r="C34" s="132"/>
      <c r="D34" s="132"/>
      <c r="E34" s="132"/>
      <c r="F34" s="132"/>
      <c r="G34" s="278"/>
    </row>
    <row r="35" spans="1:9" ht="12" customHeight="1">
      <c r="A35" s="7" t="s">
        <v>904</v>
      </c>
    </row>
    <row r="36" spans="1:9" ht="12" customHeight="1"/>
    <row r="37" spans="1:9" ht="12" customHeight="1"/>
  </sheetData>
  <phoneticPr fontId="0" type="noConversion"/>
  <pageMargins left="0.78740157480314965" right="0.78740157480314965" top="1.48" bottom="0.49" header="0.92" footer="0.4921259845"/>
  <pageSetup paperSize="9" scale="80" orientation="portrait" horizontalDpi="4294967292" verticalDpi="4294967292"/>
  <headerFooter alignWithMargins="0">
    <oddHeader>&amp;L&amp;"Arial,Bold"&amp;14Risikoausgleich in der OKP</oddHeader>
    <oddFooter>&amp;L&amp;"Arial,Regular"Statistik über die Krankenversicherung, Bundesamt für Sozialversicherung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1B8D0-C0D7-804B-ADA9-E558B71E9C02}">
  <dimension ref="A1:K35"/>
  <sheetViews>
    <sheetView topLeftCell="A19" zoomScale="75" workbookViewId="0">
      <selection activeCell="I29" sqref="I29"/>
    </sheetView>
  </sheetViews>
  <sheetFormatPr baseColWidth="10" defaultColWidth="11.3984375" defaultRowHeight="13"/>
  <cols>
    <col min="1" max="1" width="13.796875" style="7" customWidth="1"/>
    <col min="2" max="2" width="14.796875" style="285" customWidth="1"/>
    <col min="3" max="3" width="14.796875" style="227" customWidth="1"/>
    <col min="4" max="4" width="14.796875" style="285" customWidth="1"/>
    <col min="5" max="5" width="14.796875" style="227" customWidth="1"/>
    <col min="6" max="6" width="14.796875" style="285" customWidth="1"/>
    <col min="7" max="7" width="14.796875" style="227" customWidth="1"/>
    <col min="8" max="8" width="7.3984375" style="7" customWidth="1"/>
    <col min="9" max="9" width="8" style="7" customWidth="1"/>
    <col min="10" max="10" width="7.796875" style="7" customWidth="1"/>
    <col min="11" max="11" width="9" style="7" customWidth="1"/>
    <col min="12" max="16384" width="11.3984375" style="7"/>
  </cols>
  <sheetData>
    <row r="1" spans="1:11" s="1" customFormat="1" ht="21.75" customHeight="1">
      <c r="A1" s="279" t="s">
        <v>905</v>
      </c>
      <c r="B1" s="280" t="s">
        <v>906</v>
      </c>
      <c r="C1" s="269"/>
      <c r="D1" s="281"/>
      <c r="E1" s="269"/>
      <c r="F1" s="281"/>
      <c r="G1" s="269"/>
    </row>
    <row r="2" spans="1:11" s="1" customFormat="1" ht="29.25" customHeight="1">
      <c r="A2" s="279"/>
      <c r="B2" s="280" t="str">
        <f>"und Geschlecht "&amp;'[45]an_data an_1'!$B$2</f>
        <v>und Geschlecht 2001</v>
      </c>
      <c r="C2" s="269"/>
      <c r="D2" s="281"/>
      <c r="E2" s="269"/>
      <c r="F2" s="281"/>
      <c r="G2" s="269"/>
    </row>
    <row r="3" spans="1:11" ht="27" customHeight="1">
      <c r="A3" s="41" t="s">
        <v>571</v>
      </c>
      <c r="B3" s="115" t="s">
        <v>907</v>
      </c>
      <c r="C3" s="42" t="s">
        <v>522</v>
      </c>
      <c r="D3" s="115" t="s">
        <v>908</v>
      </c>
      <c r="E3" s="42" t="s">
        <v>522</v>
      </c>
      <c r="F3" s="115" t="s">
        <v>514</v>
      </c>
      <c r="G3" s="42" t="s">
        <v>522</v>
      </c>
    </row>
    <row r="4" spans="1:11" ht="15" customHeight="1">
      <c r="A4" s="61"/>
      <c r="B4" s="11"/>
      <c r="C4" s="44" t="s">
        <v>523</v>
      </c>
      <c r="D4" s="11"/>
      <c r="E4" s="44" t="s">
        <v>523</v>
      </c>
      <c r="F4" s="11"/>
      <c r="G4" s="44" t="s">
        <v>523</v>
      </c>
    </row>
    <row r="5" spans="1:11" ht="15" customHeight="1">
      <c r="A5" s="61"/>
      <c r="B5" s="11"/>
      <c r="C5" s="44" t="s">
        <v>524</v>
      </c>
      <c r="D5" s="11"/>
      <c r="E5" s="44" t="s">
        <v>524</v>
      </c>
      <c r="F5" s="11"/>
      <c r="G5" s="44" t="s">
        <v>524</v>
      </c>
    </row>
    <row r="6" spans="1:11" ht="19.5" customHeight="1">
      <c r="A6" s="64"/>
      <c r="B6" s="189"/>
      <c r="C6" s="47"/>
      <c r="D6" s="189"/>
      <c r="E6" s="47"/>
      <c r="F6" s="189"/>
      <c r="G6" s="47"/>
    </row>
    <row r="7" spans="1:11" ht="30" customHeight="1" thickBot="1">
      <c r="A7" s="67" t="s">
        <v>909</v>
      </c>
      <c r="B7" s="230">
        <f>[51]f!B7</f>
        <v>60.21484020608316</v>
      </c>
      <c r="C7" s="231">
        <f>[51]f!C7</f>
        <v>5.2599027166955026E-2</v>
      </c>
      <c r="D7" s="230">
        <f>[51]f!D7</f>
        <v>57.110447172108906</v>
      </c>
      <c r="E7" s="231">
        <f>[51]f!E7</f>
        <v>4.429084566919516E-2</v>
      </c>
      <c r="F7" s="230">
        <f>[51]f!F7</f>
        <v>58.662643689096029</v>
      </c>
      <c r="G7" s="231">
        <f>[51]f!G7</f>
        <v>4.8538403142335713E-2</v>
      </c>
      <c r="I7" s="282"/>
      <c r="J7" s="282"/>
      <c r="K7" s="282"/>
    </row>
    <row r="8" spans="1:11" ht="20" customHeight="1" thickBot="1">
      <c r="A8" s="70" t="s">
        <v>910</v>
      </c>
      <c r="B8" s="26">
        <f>[51]f!B8</f>
        <v>66.154672073210946</v>
      </c>
      <c r="C8" s="55">
        <f>[51]f!C8</f>
        <v>6.3096123838406404E-2</v>
      </c>
      <c r="D8" s="26">
        <f>[51]f!D8</f>
        <v>111.60170550691237</v>
      </c>
      <c r="E8" s="55">
        <f>[51]f!E8</f>
        <v>3.261721037212726E-2</v>
      </c>
      <c r="F8" s="26">
        <f>[51]f!F8</f>
        <v>88.878188790061657</v>
      </c>
      <c r="G8" s="55">
        <f>[51]f!G8</f>
        <v>4.3754010697409966E-2</v>
      </c>
      <c r="I8" s="282"/>
      <c r="J8" s="282"/>
      <c r="K8" s="282"/>
    </row>
    <row r="9" spans="1:11" ht="20" customHeight="1" thickBot="1">
      <c r="A9" s="70" t="s">
        <v>601</v>
      </c>
      <c r="B9" s="26">
        <f>[51]f!B9</f>
        <v>70.933066473176552</v>
      </c>
      <c r="C9" s="55">
        <f>[51]f!C9</f>
        <v>4.6364420260618516E-2</v>
      </c>
      <c r="D9" s="26">
        <f>[51]f!D9</f>
        <v>150.99268553917588</v>
      </c>
      <c r="E9" s="55">
        <f>[51]f!E9</f>
        <v>1.5119492708418565E-2</v>
      </c>
      <c r="F9" s="26">
        <f>[51]f!F9</f>
        <v>110.96287600617622</v>
      </c>
      <c r="G9" s="55">
        <f>[51]f!G9</f>
        <v>2.490131215117948E-2</v>
      </c>
      <c r="I9" s="282"/>
      <c r="J9" s="282"/>
      <c r="K9" s="282"/>
    </row>
    <row r="10" spans="1:11" ht="20" customHeight="1" thickBot="1">
      <c r="A10" s="70" t="s">
        <v>602</v>
      </c>
      <c r="B10" s="26">
        <f>[51]f!B10</f>
        <v>81.955953465931131</v>
      </c>
      <c r="C10" s="55">
        <f>[51]f!C10</f>
        <v>2.7029195764740745E-2</v>
      </c>
      <c r="D10" s="26">
        <f>[51]f!D10</f>
        <v>164.688485546289</v>
      </c>
      <c r="E10" s="55">
        <f>[51]f!E10</f>
        <v>3.430566169035823E-2</v>
      </c>
      <c r="F10" s="26">
        <f>[51]f!F10</f>
        <v>123.32221950611006</v>
      </c>
      <c r="G10" s="55">
        <f>[51]f!G10</f>
        <v>3.1876398504817237E-2</v>
      </c>
      <c r="I10" s="282"/>
      <c r="J10" s="282"/>
      <c r="K10" s="282"/>
    </row>
    <row r="11" spans="1:11" ht="20" customHeight="1" thickBot="1">
      <c r="A11" s="70" t="s">
        <v>603</v>
      </c>
      <c r="B11" s="26">
        <f>[51]f!B11</f>
        <v>95.930449893308904</v>
      </c>
      <c r="C11" s="55">
        <f>[51]f!C11</f>
        <v>3.0629170126813026E-2</v>
      </c>
      <c r="D11" s="26">
        <f>[51]f!D11</f>
        <v>155.59085039478478</v>
      </c>
      <c r="E11" s="55">
        <f>[51]f!E11</f>
        <v>5.4456586389986607E-2</v>
      </c>
      <c r="F11" s="26">
        <f>[51]f!F11</f>
        <v>125.76065014404685</v>
      </c>
      <c r="G11" s="55">
        <f>[51]f!G11</f>
        <v>4.5239954635138656E-2</v>
      </c>
      <c r="I11" s="282"/>
      <c r="J11" s="282"/>
      <c r="K11" s="282"/>
    </row>
    <row r="12" spans="1:11" ht="20" customHeight="1" thickBot="1">
      <c r="A12" s="70" t="s">
        <v>604</v>
      </c>
      <c r="B12" s="26">
        <f>[51]f!B12</f>
        <v>112.70486341939744</v>
      </c>
      <c r="C12" s="55">
        <f>[51]f!C12</f>
        <v>3.7601370901277582E-2</v>
      </c>
      <c r="D12" s="26">
        <f>[51]f!D12</f>
        <v>158.41827330016537</v>
      </c>
      <c r="E12" s="55">
        <f>[51]f!E12</f>
        <v>4.6665308108741296E-2</v>
      </c>
      <c r="F12" s="26">
        <f>[51]f!F12</f>
        <v>135.5615683597814</v>
      </c>
      <c r="G12" s="55">
        <f>[51]f!G12</f>
        <v>4.2878301530872326E-2</v>
      </c>
      <c r="I12" s="282"/>
      <c r="J12" s="282"/>
      <c r="K12" s="282"/>
    </row>
    <row r="13" spans="1:11" ht="20" customHeight="1" thickBot="1">
      <c r="A13" s="70" t="s">
        <v>605</v>
      </c>
      <c r="B13" s="26">
        <f>[51]f!B13</f>
        <v>138.20494788320582</v>
      </c>
      <c r="C13" s="55">
        <f>[51]f!C13</f>
        <v>5.9912449770409278E-2</v>
      </c>
      <c r="D13" s="26">
        <f>[51]f!D13</f>
        <v>184.52706497905854</v>
      </c>
      <c r="E13" s="55">
        <f>[51]f!E13</f>
        <v>4.7581357381807805E-2</v>
      </c>
      <c r="F13" s="26">
        <f>[51]f!F13</f>
        <v>161.36600643113218</v>
      </c>
      <c r="G13" s="55">
        <f>[51]f!G13</f>
        <v>5.2826653053862249E-2</v>
      </c>
      <c r="I13" s="282"/>
      <c r="J13" s="282"/>
      <c r="K13" s="282"/>
    </row>
    <row r="14" spans="1:11" ht="20" customHeight="1" thickBot="1">
      <c r="A14" s="70" t="s">
        <v>606</v>
      </c>
      <c r="B14" s="26">
        <f>[51]f!B14</f>
        <v>174.37187288402674</v>
      </c>
      <c r="C14" s="55">
        <f>[51]f!C14</f>
        <v>5.1439073777811185E-2</v>
      </c>
      <c r="D14" s="26">
        <f>[51]f!D14</f>
        <v>223.15586431054462</v>
      </c>
      <c r="E14" s="55">
        <f>[51]f!E14</f>
        <v>4.7887570019166451E-2</v>
      </c>
      <c r="F14" s="26">
        <f>[51]f!F14</f>
        <v>198.76386859728569</v>
      </c>
      <c r="G14" s="55">
        <f>[51]f!G14</f>
        <v>4.9442446118086736E-2</v>
      </c>
      <c r="I14" s="282"/>
      <c r="J14" s="282"/>
      <c r="K14" s="282"/>
    </row>
    <row r="15" spans="1:11" ht="20" customHeight="1" thickBot="1">
      <c r="A15" s="70" t="s">
        <v>607</v>
      </c>
      <c r="B15" s="26">
        <f>[51]f!B15</f>
        <v>222.38153597208529</v>
      </c>
      <c r="C15" s="55">
        <f>[51]f!C15</f>
        <v>4.6091287806420959E-2</v>
      </c>
      <c r="D15" s="26">
        <f>[51]f!D15</f>
        <v>256.94061305091196</v>
      </c>
      <c r="E15" s="55">
        <f>[51]f!E15</f>
        <v>5.560364068177704E-2</v>
      </c>
      <c r="F15" s="26">
        <f>[51]f!F15</f>
        <v>239.66107451149861</v>
      </c>
      <c r="G15" s="55">
        <f>[51]f!G15</f>
        <v>5.116896234465515E-2</v>
      </c>
      <c r="I15" s="282"/>
      <c r="J15" s="282"/>
      <c r="K15" s="282"/>
    </row>
    <row r="16" spans="1:11" ht="20" customHeight="1" thickBot="1">
      <c r="A16" s="70" t="s">
        <v>608</v>
      </c>
      <c r="B16" s="26">
        <f>[51]f!B16</f>
        <v>281.07419148495063</v>
      </c>
      <c r="C16" s="55">
        <f>[51]f!C16</f>
        <v>4.9418560512666208E-2</v>
      </c>
      <c r="D16" s="26">
        <f>[51]f!D16</f>
        <v>293.120682342127</v>
      </c>
      <c r="E16" s="55">
        <f>[51]f!E16</f>
        <v>6.2332176355280239E-2</v>
      </c>
      <c r="F16" s="26">
        <f>[51]f!F16</f>
        <v>287.09743691353879</v>
      </c>
      <c r="G16" s="55">
        <f>[51]f!G16</f>
        <v>5.5971359081158502E-2</v>
      </c>
      <c r="I16" s="282"/>
      <c r="J16" s="282"/>
      <c r="K16" s="282"/>
    </row>
    <row r="17" spans="1:11" ht="20" customHeight="1" thickBot="1">
      <c r="A17" s="70" t="s">
        <v>610</v>
      </c>
      <c r="B17" s="26">
        <f>[51]f!B17</f>
        <v>352.91851465420677</v>
      </c>
      <c r="C17" s="55">
        <f>[51]f!C17</f>
        <v>3.6096301058028281E-2</v>
      </c>
      <c r="D17" s="26">
        <f>[51]f!D17</f>
        <v>342.01132798706959</v>
      </c>
      <c r="E17" s="55">
        <f>[51]f!E17</f>
        <v>5.2886017852414376E-2</v>
      </c>
      <c r="F17" s="26">
        <f>[51]f!F17</f>
        <v>347.46492132063815</v>
      </c>
      <c r="G17" s="55">
        <f>[51]f!G17</f>
        <v>4.4291952356676774E-2</v>
      </c>
      <c r="I17" s="282"/>
      <c r="J17" s="282"/>
      <c r="K17" s="282"/>
    </row>
    <row r="18" spans="1:11" ht="20" customHeight="1" thickBot="1">
      <c r="A18" s="70" t="s">
        <v>611</v>
      </c>
      <c r="B18" s="26">
        <f>[51]f!B18</f>
        <v>431.50834480227104</v>
      </c>
      <c r="C18" s="55">
        <f>[51]f!C18</f>
        <v>5.0673930311378498E-2</v>
      </c>
      <c r="D18" s="26">
        <f>[51]f!D18</f>
        <v>412.40297804408425</v>
      </c>
      <c r="E18" s="55">
        <f>[51]f!E18</f>
        <v>5.2343631764589241E-2</v>
      </c>
      <c r="F18" s="26">
        <f>[51]f!F18</f>
        <v>421.95566142317762</v>
      </c>
      <c r="G18" s="55">
        <f>[51]f!G18</f>
        <v>5.14892183123523E-2</v>
      </c>
      <c r="I18" s="282"/>
      <c r="J18" s="282"/>
      <c r="K18" s="282"/>
    </row>
    <row r="19" spans="1:11" ht="20" customHeight="1" thickBot="1">
      <c r="A19" s="70" t="s">
        <v>612</v>
      </c>
      <c r="B19" s="26">
        <f>[51]f!B19</f>
        <v>520.51586720570913</v>
      </c>
      <c r="C19" s="55">
        <f>[51]f!C19</f>
        <v>5.3123577234784211E-2</v>
      </c>
      <c r="D19" s="26">
        <f>[51]f!D19</f>
        <v>516.96191998641689</v>
      </c>
      <c r="E19" s="55">
        <f>[51]f!E19</f>
        <v>4.9529345750030054E-2</v>
      </c>
      <c r="F19" s="26">
        <f>[51]f!F19</f>
        <v>518.73889359606301</v>
      </c>
      <c r="G19" s="55">
        <f>[51]f!G19</f>
        <v>5.1329545694064518E-2</v>
      </c>
      <c r="I19" s="282"/>
      <c r="J19" s="282"/>
      <c r="K19" s="282"/>
    </row>
    <row r="20" spans="1:11" ht="20" customHeight="1" thickBot="1">
      <c r="A20" s="70" t="s">
        <v>613</v>
      </c>
      <c r="B20" s="26">
        <f>[51]f!B20</f>
        <v>601.75405545166245</v>
      </c>
      <c r="C20" s="55">
        <f>[51]f!C20</f>
        <v>5.0922207452769971E-2</v>
      </c>
      <c r="D20" s="26">
        <f>[51]f!D20</f>
        <v>661.1861949144286</v>
      </c>
      <c r="E20" s="55">
        <f>[51]f!E20</f>
        <v>4.1945236274375214E-2</v>
      </c>
      <c r="F20" s="26">
        <f>[51]f!F20</f>
        <v>631.47012518304552</v>
      </c>
      <c r="G20" s="55">
        <f>[51]f!G20</f>
        <v>4.6203294206623967E-2</v>
      </c>
      <c r="I20" s="282"/>
      <c r="J20" s="282"/>
      <c r="K20" s="282"/>
    </row>
    <row r="21" spans="1:11" ht="20" customHeight="1" thickBot="1">
      <c r="A21" s="70" t="s">
        <v>614</v>
      </c>
      <c r="B21" s="26">
        <f>[51]f!B21</f>
        <v>730.91705980660493</v>
      </c>
      <c r="C21" s="55">
        <f>[51]f!C21</f>
        <v>4.5935093774559496E-2</v>
      </c>
      <c r="D21" s="26">
        <f>[51]f!D21</f>
        <v>891.58696773686825</v>
      </c>
      <c r="E21" s="55">
        <f>[51]f!E21</f>
        <v>6.0636664696290421E-2</v>
      </c>
      <c r="F21" s="26">
        <f>[51]f!F21</f>
        <v>811.25201377173653</v>
      </c>
      <c r="G21" s="55">
        <f>[51]f!G21</f>
        <v>5.396296479143204E-2</v>
      </c>
      <c r="I21" s="282"/>
      <c r="J21" s="282"/>
      <c r="K21" s="282"/>
    </row>
    <row r="22" spans="1:11" ht="20" customHeight="1" thickBot="1">
      <c r="A22" s="70" t="s">
        <v>911</v>
      </c>
      <c r="B22" s="26">
        <f>[51]f!B22</f>
        <v>943.25449089011829</v>
      </c>
      <c r="C22" s="55">
        <f>[51]f!C22</f>
        <v>4.391679471382634E-2</v>
      </c>
      <c r="D22" s="26">
        <f>[51]f!D22</f>
        <v>1229.079075480626</v>
      </c>
      <c r="E22" s="55">
        <f>[51]f!E22</f>
        <v>4.4617285759040622E-2</v>
      </c>
      <c r="F22" s="26">
        <f>[51]f!F22</f>
        <v>1086.1667831853722</v>
      </c>
      <c r="G22" s="55">
        <f>[51]f!G22</f>
        <v>4.4313008314889053E-2</v>
      </c>
      <c r="I22" s="282"/>
      <c r="J22" s="282"/>
      <c r="K22" s="282"/>
    </row>
    <row r="23" spans="1:11" s="81" customFormat="1" ht="21" customHeight="1" thickBot="1">
      <c r="A23" s="78" t="s">
        <v>514</v>
      </c>
      <c r="B23" s="184">
        <f>[51]f!B23</f>
        <v>155.26561104962468</v>
      </c>
      <c r="C23" s="58">
        <f>[51]f!C23</f>
        <v>5.6586953154309901E-2</v>
      </c>
      <c r="D23" s="184">
        <f>[51]f!D23</f>
        <v>217.70808269550989</v>
      </c>
      <c r="E23" s="58">
        <f>[51]f!E23</f>
        <v>5.2644092890793727E-2</v>
      </c>
      <c r="F23" s="184">
        <f>[51]f!F23</f>
        <v>186.4868468725673</v>
      </c>
      <c r="G23" s="58">
        <f>[51]f!G23</f>
        <v>5.4281889484622425E-2</v>
      </c>
      <c r="I23" s="283"/>
      <c r="J23" s="283"/>
      <c r="K23" s="283"/>
    </row>
    <row r="24" spans="1:11" ht="20" customHeight="1">
      <c r="A24" s="28" t="str">
        <f>"Datenstand: Juli "&amp;'[45]an_data an_1'!$B$2+1</f>
        <v>Datenstand: Juli 2002</v>
      </c>
      <c r="B24" s="284"/>
      <c r="C24" s="278"/>
      <c r="D24" s="284"/>
      <c r="E24" s="278"/>
      <c r="F24" s="284"/>
      <c r="G24" s="278"/>
    </row>
    <row r="25" spans="1:11" ht="21" customHeight="1">
      <c r="A25" s="178" t="s">
        <v>904</v>
      </c>
    </row>
    <row r="26" spans="1:11" ht="18" customHeight="1">
      <c r="A26"/>
    </row>
    <row r="27" spans="1:11" ht="18" customHeight="1">
      <c r="A27"/>
    </row>
    <row r="28" spans="1:11" ht="30" customHeight="1"/>
    <row r="29" spans="1:11" ht="30" customHeight="1">
      <c r="I29" s="286"/>
    </row>
    <row r="30" spans="1:11" ht="30" customHeight="1"/>
    <row r="31" spans="1:11" ht="30" customHeight="1"/>
    <row r="32" spans="1:11" ht="30" customHeight="1"/>
    <row r="33" ht="30" customHeight="1"/>
    <row r="34" ht="30" customHeight="1"/>
    <row r="35" ht="30" customHeight="1"/>
  </sheetData>
  <phoneticPr fontId="0" type="noConversion"/>
  <pageMargins left="0.78740157480314965" right="0.37" top="1.43" bottom="0.49" header="0.91" footer="0.4921259845"/>
  <pageSetup paperSize="9" scale="80" orientation="portrait" horizontalDpi="4294967292" verticalDpi="4294967292"/>
  <headerFooter alignWithMargins="0">
    <oddHeader>&amp;L&amp;"Arial,Bold"&amp;14Risikoausgleich in der OKP</oddHeader>
    <oddFooter>&amp;L&amp;"Arial,Regular"Statistik über die Krankenversicherung, Bundesamt für Sozialversicherung</oddFooter>
  </headerFooter>
  <rowBreaks count="1" manualBreakCount="1">
    <brk id="26" max="16383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79BA9-AB43-D949-9848-7C381E491CFD}">
  <dimension ref="A1:I39"/>
  <sheetViews>
    <sheetView topLeftCell="A19" zoomScale="75" workbookViewId="0">
      <selection activeCell="J12" sqref="J12"/>
    </sheetView>
  </sheetViews>
  <sheetFormatPr baseColWidth="10" defaultColWidth="11.3984375" defaultRowHeight="13"/>
  <cols>
    <col min="1" max="4" width="14.796875" style="7" customWidth="1"/>
    <col min="5" max="5" width="15.59765625" style="7" customWidth="1"/>
    <col min="6" max="6" width="16.19921875" style="7" customWidth="1"/>
    <col min="7" max="7" width="14.796875" style="227" customWidth="1"/>
    <col min="8" max="8" width="11.3984375" style="7"/>
    <col min="9" max="9" width="15.19921875" style="7" hidden="1" customWidth="1"/>
    <col min="10" max="16384" width="11.3984375" style="7"/>
  </cols>
  <sheetData>
    <row r="1" spans="1:9" s="1" customFormat="1" ht="14" customHeight="1">
      <c r="G1" s="269"/>
    </row>
    <row r="2" spans="1:9" s="1" customFormat="1" ht="28" customHeight="1">
      <c r="A2" s="2" t="str">
        <f>"T 2.07  Effektive Kosten 1) in Fr. nach Kantonen "&amp;'[45]an_data an_1'!$B$2</f>
        <v>T 2.07  Effektive Kosten 1) in Fr. nach Kantonen 2001</v>
      </c>
      <c r="G2" s="269"/>
    </row>
    <row r="3" spans="1:9" ht="27" customHeight="1">
      <c r="A3" s="41" t="s">
        <v>537</v>
      </c>
      <c r="B3" s="6" t="s">
        <v>538</v>
      </c>
      <c r="C3" s="42" t="s">
        <v>529</v>
      </c>
      <c r="D3" s="6" t="s">
        <v>530</v>
      </c>
      <c r="E3" s="42" t="s">
        <v>514</v>
      </c>
      <c r="F3" s="6" t="s">
        <v>514</v>
      </c>
      <c r="G3" s="42" t="s">
        <v>522</v>
      </c>
    </row>
    <row r="4" spans="1:9" ht="15" customHeight="1">
      <c r="A4" s="61"/>
      <c r="B4" s="12"/>
      <c r="C4" s="61"/>
      <c r="D4" s="62"/>
      <c r="E4" s="44" t="s">
        <v>898</v>
      </c>
      <c r="F4" s="12" t="s">
        <v>899</v>
      </c>
      <c r="G4" s="44" t="s">
        <v>523</v>
      </c>
    </row>
    <row r="5" spans="1:9" ht="15" customHeight="1">
      <c r="A5" s="61"/>
      <c r="B5" s="12"/>
      <c r="C5" s="61"/>
      <c r="D5" s="62"/>
      <c r="E5" s="44" t="s">
        <v>900</v>
      </c>
      <c r="F5" s="12" t="s">
        <v>531</v>
      </c>
      <c r="G5" s="44" t="s">
        <v>524</v>
      </c>
    </row>
    <row r="6" spans="1:9" ht="24" customHeight="1">
      <c r="A6" s="64"/>
      <c r="B6" s="65"/>
      <c r="C6" s="64"/>
      <c r="D6" s="65"/>
      <c r="E6" s="47"/>
      <c r="F6" s="16"/>
      <c r="G6" s="47"/>
    </row>
    <row r="7" spans="1:9" ht="30" customHeight="1" thickBot="1">
      <c r="A7" s="67" t="s">
        <v>541</v>
      </c>
      <c r="B7" s="101">
        <f>[52]f!B7</f>
        <v>159389027</v>
      </c>
      <c r="C7" s="102">
        <f>[52]f!C7</f>
        <v>865001164</v>
      </c>
      <c r="D7" s="101">
        <f>[52]f!D7</f>
        <v>1364796051</v>
      </c>
      <c r="E7" s="102">
        <f>[52]f!E7</f>
        <v>2229797215</v>
      </c>
      <c r="F7" s="101">
        <f>[52]f!F7</f>
        <v>2389186242</v>
      </c>
      <c r="G7" s="231">
        <f>[52]f!G7</f>
        <v>6.4878471067568708E-2</v>
      </c>
      <c r="I7" s="22">
        <v>2156035045</v>
      </c>
    </row>
    <row r="8" spans="1:9" ht="20" customHeight="1" thickBot="1">
      <c r="A8" s="70" t="s">
        <v>542</v>
      </c>
      <c r="B8" s="53">
        <f>[52]f!B8</f>
        <v>107932347</v>
      </c>
      <c r="C8" s="71">
        <f>[52]f!C8</f>
        <v>648476268</v>
      </c>
      <c r="D8" s="53">
        <f>[52]f!D8</f>
        <v>1006318433</v>
      </c>
      <c r="E8" s="71">
        <f>[52]f!E8</f>
        <v>1654794701</v>
      </c>
      <c r="F8" s="53">
        <f>[52]f!F8</f>
        <v>1762727048</v>
      </c>
      <c r="G8" s="55">
        <f>[52]f!G8</f>
        <v>3.7125361039497359E-2</v>
      </c>
      <c r="I8" s="22">
        <v>1563935884</v>
      </c>
    </row>
    <row r="9" spans="1:9" ht="20" customHeight="1" thickBot="1">
      <c r="A9" s="70" t="s">
        <v>543</v>
      </c>
      <c r="B9" s="53">
        <f>[52]f!B9</f>
        <v>38415207</v>
      </c>
      <c r="C9" s="71">
        <f>[52]f!C9</f>
        <v>200478958</v>
      </c>
      <c r="D9" s="53">
        <f>[52]f!D9</f>
        <v>300222428</v>
      </c>
      <c r="E9" s="71">
        <f>[52]f!E9</f>
        <v>500701386</v>
      </c>
      <c r="F9" s="53">
        <f>[52]f!F9</f>
        <v>539116593</v>
      </c>
      <c r="G9" s="55">
        <f>[52]f!G9</f>
        <v>7.4278541091747641E-2</v>
      </c>
      <c r="I9" s="22">
        <v>464604355</v>
      </c>
    </row>
    <row r="10" spans="1:9" ht="20" customHeight="1" thickBot="1">
      <c r="A10" s="70" t="s">
        <v>544</v>
      </c>
      <c r="B10" s="53">
        <f>[52]f!B10</f>
        <v>4090205</v>
      </c>
      <c r="C10" s="71">
        <f>[52]f!C10</f>
        <v>21174237</v>
      </c>
      <c r="D10" s="53">
        <f>[52]f!D10</f>
        <v>29399146</v>
      </c>
      <c r="E10" s="71">
        <f>[52]f!E10</f>
        <v>50573383</v>
      </c>
      <c r="F10" s="53">
        <f>[52]f!F10</f>
        <v>54663588</v>
      </c>
      <c r="G10" s="55">
        <f>[52]f!G10</f>
        <v>9.5875736089065397E-2</v>
      </c>
      <c r="I10" s="22">
        <v>45901795</v>
      </c>
    </row>
    <row r="11" spans="1:9" ht="20" customHeight="1" thickBot="1">
      <c r="A11" s="70" t="s">
        <v>545</v>
      </c>
      <c r="B11" s="53">
        <f>[52]f!B11</f>
        <v>18118170</v>
      </c>
      <c r="C11" s="71">
        <f>[52]f!C11</f>
        <v>77260307</v>
      </c>
      <c r="D11" s="53">
        <f>[52]f!D11</f>
        <v>108944185</v>
      </c>
      <c r="E11" s="71">
        <f>[52]f!E11</f>
        <v>186204492</v>
      </c>
      <c r="F11" s="53">
        <f>[52]f!F11</f>
        <v>204322662</v>
      </c>
      <c r="G11" s="55">
        <f>[52]f!G11</f>
        <v>0.12412281106177891</v>
      </c>
      <c r="I11" s="22">
        <v>171549320</v>
      </c>
    </row>
    <row r="12" spans="1:9" ht="20" customHeight="1" thickBot="1">
      <c r="A12" s="70" t="s">
        <v>546</v>
      </c>
      <c r="B12" s="53">
        <f>[52]f!B12</f>
        <v>3802875</v>
      </c>
      <c r="C12" s="71">
        <f>[52]f!C12</f>
        <v>16455060</v>
      </c>
      <c r="D12" s="53">
        <f>[52]f!D12</f>
        <v>26642509</v>
      </c>
      <c r="E12" s="71">
        <f>[52]f!E12</f>
        <v>43097569</v>
      </c>
      <c r="F12" s="53">
        <f>[52]f!F12</f>
        <v>46900444</v>
      </c>
      <c r="G12" s="55">
        <f>[52]f!G12</f>
        <v>3.7313379358057286E-2</v>
      </c>
      <c r="I12" s="22">
        <v>41764939</v>
      </c>
    </row>
    <row r="13" spans="1:9" ht="20" customHeight="1" thickBot="1">
      <c r="A13" s="70" t="s">
        <v>547</v>
      </c>
      <c r="B13" s="53">
        <f>[52]f!B13</f>
        <v>3904549</v>
      </c>
      <c r="C13" s="71">
        <f>[52]f!C13</f>
        <v>19095561</v>
      </c>
      <c r="D13" s="53">
        <f>[52]f!D13</f>
        <v>29224551</v>
      </c>
      <c r="E13" s="71">
        <f>[52]f!E13</f>
        <v>48320112</v>
      </c>
      <c r="F13" s="53">
        <f>[52]f!F13</f>
        <v>52224661</v>
      </c>
      <c r="G13" s="55">
        <f>[52]f!G13</f>
        <v>5.602099866648301E-2</v>
      </c>
      <c r="I13" s="22">
        <v>44323506</v>
      </c>
    </row>
    <row r="14" spans="1:9" ht="20" customHeight="1" thickBot="1">
      <c r="A14" s="70" t="s">
        <v>548</v>
      </c>
      <c r="B14" s="53">
        <f>[52]f!B14</f>
        <v>5342241</v>
      </c>
      <c r="C14" s="71">
        <f>[52]f!C14</f>
        <v>23081944</v>
      </c>
      <c r="D14" s="53">
        <f>[52]f!D14</f>
        <v>35043679</v>
      </c>
      <c r="E14" s="71">
        <f>[52]f!E14</f>
        <v>58125623</v>
      </c>
      <c r="F14" s="53">
        <f>[52]f!F14</f>
        <v>63467864</v>
      </c>
      <c r="G14" s="55">
        <f>[52]f!G14</f>
        <v>7.1886158379845369E-2</v>
      </c>
      <c r="I14" s="22">
        <v>55927154</v>
      </c>
    </row>
    <row r="15" spans="1:9" ht="20" customHeight="1" thickBot="1">
      <c r="A15" s="70" t="s">
        <v>549</v>
      </c>
      <c r="B15" s="53">
        <f>[52]f!B15</f>
        <v>10361569</v>
      </c>
      <c r="C15" s="71">
        <f>[52]f!C15</f>
        <v>54963354</v>
      </c>
      <c r="D15" s="53">
        <f>[52]f!D15</f>
        <v>90707714</v>
      </c>
      <c r="E15" s="71">
        <f>[52]f!E15</f>
        <v>145671068</v>
      </c>
      <c r="F15" s="53">
        <f>[52]f!F15</f>
        <v>156032637</v>
      </c>
      <c r="G15" s="55">
        <f>[52]f!G15</f>
        <v>0.12558573130272144</v>
      </c>
      <c r="I15" s="22">
        <v>128772453</v>
      </c>
    </row>
    <row r="16" spans="1:9" ht="20" customHeight="1" thickBot="1">
      <c r="A16" s="70" t="s">
        <v>550</v>
      </c>
      <c r="B16" s="53">
        <f>[52]f!B16</f>
        <v>34252295</v>
      </c>
      <c r="C16" s="71">
        <f>[52]f!C16</f>
        <v>161590469</v>
      </c>
      <c r="D16" s="53">
        <f>[52]f!D16</f>
        <v>237313401</v>
      </c>
      <c r="E16" s="71">
        <f>[52]f!E16</f>
        <v>398903870</v>
      </c>
      <c r="F16" s="53">
        <f>[52]f!F16</f>
        <v>433156165</v>
      </c>
      <c r="G16" s="55">
        <f>[52]f!G16</f>
        <v>7.903634017366705E-2</v>
      </c>
      <c r="I16" s="22">
        <v>391250033</v>
      </c>
    </row>
    <row r="17" spans="1:9" ht="20" customHeight="1" thickBot="1">
      <c r="A17" s="70" t="s">
        <v>551</v>
      </c>
      <c r="B17" s="53">
        <f>[52]f!B17</f>
        <v>29537918</v>
      </c>
      <c r="C17" s="71">
        <f>[52]f!C17</f>
        <v>159924214</v>
      </c>
      <c r="D17" s="53">
        <f>[52]f!D17</f>
        <v>236282802</v>
      </c>
      <c r="E17" s="71">
        <f>[52]f!E17</f>
        <v>396207016</v>
      </c>
      <c r="F17" s="53">
        <f>[52]f!F17</f>
        <v>425744934</v>
      </c>
      <c r="G17" s="55">
        <f>[52]f!G17</f>
        <v>3.0404511952903543E-2</v>
      </c>
      <c r="I17" s="22">
        <v>393696828</v>
      </c>
    </row>
    <row r="18" spans="1:9" ht="20" customHeight="1" thickBot="1">
      <c r="A18" s="70" t="s">
        <v>552</v>
      </c>
      <c r="B18" s="53">
        <f>[52]f!B18</f>
        <v>25498839</v>
      </c>
      <c r="C18" s="71">
        <f>[52]f!C18</f>
        <v>186671503</v>
      </c>
      <c r="D18" s="53">
        <f>[52]f!D18</f>
        <v>303277552</v>
      </c>
      <c r="E18" s="71">
        <f>[52]f!E18</f>
        <v>489949055</v>
      </c>
      <c r="F18" s="53">
        <f>[52]f!F18</f>
        <v>515447894</v>
      </c>
      <c r="G18" s="55">
        <f>[52]f!G18</f>
        <v>4.7800602663543391E-2</v>
      </c>
      <c r="I18" s="22">
        <v>473520714</v>
      </c>
    </row>
    <row r="19" spans="1:9" ht="20" customHeight="1" thickBot="1">
      <c r="A19" s="70" t="s">
        <v>553</v>
      </c>
      <c r="B19" s="53">
        <f>[52]f!B19</f>
        <v>40095556</v>
      </c>
      <c r="C19" s="71">
        <f>[52]f!C19</f>
        <v>199196542</v>
      </c>
      <c r="D19" s="53">
        <f>[52]f!D19</f>
        <v>292132304</v>
      </c>
      <c r="E19" s="71">
        <f>[52]f!E19</f>
        <v>491328846</v>
      </c>
      <c r="F19" s="53">
        <f>[52]f!F19</f>
        <v>531424402</v>
      </c>
      <c r="G19" s="55">
        <f>[52]f!G19</f>
        <v>6.6139075504703299E-2</v>
      </c>
      <c r="I19" s="22">
        <v>469771093</v>
      </c>
    </row>
    <row r="20" spans="1:9" ht="20" customHeight="1" thickBot="1">
      <c r="A20" s="70" t="s">
        <v>554</v>
      </c>
      <c r="B20" s="53">
        <f>[52]f!B20</f>
        <v>8091792</v>
      </c>
      <c r="C20" s="71">
        <f>[52]f!C20</f>
        <v>50907790</v>
      </c>
      <c r="D20" s="53">
        <f>[52]f!D20</f>
        <v>81694122</v>
      </c>
      <c r="E20" s="71">
        <f>[52]f!E20</f>
        <v>132601912</v>
      </c>
      <c r="F20" s="53">
        <f>[52]f!F20</f>
        <v>140693704</v>
      </c>
      <c r="G20" s="55">
        <f>[52]f!G20</f>
        <v>5.431752755957224E-2</v>
      </c>
      <c r="I20" s="22">
        <v>127694959</v>
      </c>
    </row>
    <row r="21" spans="1:9" ht="20" customHeight="1" thickBot="1">
      <c r="A21" s="70" t="s">
        <v>555</v>
      </c>
      <c r="B21" s="53">
        <f>[52]f!B21</f>
        <v>6109998</v>
      </c>
      <c r="C21" s="71">
        <f>[52]f!C21</f>
        <v>27391701</v>
      </c>
      <c r="D21" s="53">
        <f>[52]f!D21</f>
        <v>41895302</v>
      </c>
      <c r="E21" s="71">
        <f>[52]f!E21</f>
        <v>69287003</v>
      </c>
      <c r="F21" s="53">
        <f>[52]f!F21</f>
        <v>75397001</v>
      </c>
      <c r="G21" s="55">
        <f>[52]f!G21</f>
        <v>3.6512238438311501E-2</v>
      </c>
      <c r="I21" s="22">
        <v>69489100</v>
      </c>
    </row>
    <row r="22" spans="1:9" ht="20" customHeight="1" thickBot="1">
      <c r="A22" s="70" t="s">
        <v>556</v>
      </c>
      <c r="B22" s="53">
        <f>[52]f!B22</f>
        <v>1494824</v>
      </c>
      <c r="C22" s="71">
        <f>[52]f!C22</f>
        <v>7599825</v>
      </c>
      <c r="D22" s="53">
        <f>[52]f!D22</f>
        <v>9815598</v>
      </c>
      <c r="E22" s="71">
        <f>[52]f!E22</f>
        <v>17415423</v>
      </c>
      <c r="F22" s="53">
        <f>[52]f!F22</f>
        <v>18910247</v>
      </c>
      <c r="G22" s="55">
        <f>[52]f!G22</f>
        <v>7.4579991604633827E-2</v>
      </c>
      <c r="I22" s="22">
        <v>16712649</v>
      </c>
    </row>
    <row r="23" spans="1:9" ht="20" customHeight="1" thickBot="1">
      <c r="A23" s="70" t="s">
        <v>557</v>
      </c>
      <c r="B23" s="53">
        <f>[52]f!B23</f>
        <v>57807426</v>
      </c>
      <c r="C23" s="71">
        <f>[52]f!C23</f>
        <v>249364793</v>
      </c>
      <c r="D23" s="53">
        <f>[52]f!D23</f>
        <v>365382685</v>
      </c>
      <c r="E23" s="71">
        <f>[52]f!E23</f>
        <v>614747478</v>
      </c>
      <c r="F23" s="53">
        <f>[52]f!F23</f>
        <v>672554904</v>
      </c>
      <c r="G23" s="55">
        <f>[52]f!G23</f>
        <v>5.2221349955431776E-2</v>
      </c>
      <c r="I23" s="22">
        <v>615853738</v>
      </c>
    </row>
    <row r="24" spans="1:9" ht="20" customHeight="1" thickBot="1">
      <c r="A24" s="70" t="s">
        <v>558</v>
      </c>
      <c r="B24" s="53">
        <f>[52]f!B24</f>
        <v>20933085</v>
      </c>
      <c r="C24" s="71">
        <f>[52]f!C24</f>
        <v>115361337</v>
      </c>
      <c r="D24" s="53">
        <f>[52]f!D24</f>
        <v>164847140</v>
      </c>
      <c r="E24" s="71">
        <f>[52]f!E24</f>
        <v>280208477</v>
      </c>
      <c r="F24" s="53">
        <f>[52]f!F24</f>
        <v>301141562</v>
      </c>
      <c r="G24" s="55">
        <f>[52]f!G24</f>
        <v>3.9203857058578727E-2</v>
      </c>
      <c r="I24" s="22">
        <v>264690646</v>
      </c>
    </row>
    <row r="25" spans="1:9" ht="20" customHeight="1" thickBot="1">
      <c r="A25" s="70" t="s">
        <v>559</v>
      </c>
      <c r="B25" s="53">
        <f>[52]f!B25</f>
        <v>69139752</v>
      </c>
      <c r="C25" s="71">
        <f>[52]f!C25</f>
        <v>347790906</v>
      </c>
      <c r="D25" s="53">
        <f>[52]f!D25</f>
        <v>510358174</v>
      </c>
      <c r="E25" s="71">
        <f>[52]f!E25</f>
        <v>858149080</v>
      </c>
      <c r="F25" s="53">
        <f>[52]f!F25</f>
        <v>927288832</v>
      </c>
      <c r="G25" s="55">
        <f>[52]f!G25</f>
        <v>6.367470574268648E-2</v>
      </c>
      <c r="I25" s="22">
        <v>819222625</v>
      </c>
    </row>
    <row r="26" spans="1:9" ht="20" customHeight="1" thickBot="1">
      <c r="A26" s="70" t="s">
        <v>560</v>
      </c>
      <c r="B26" s="53">
        <f>[52]f!B26</f>
        <v>30849357</v>
      </c>
      <c r="C26" s="71">
        <f>[52]f!C26</f>
        <v>143192774</v>
      </c>
      <c r="D26" s="53">
        <f>[52]f!D26</f>
        <v>207315351</v>
      </c>
      <c r="E26" s="71">
        <f>[52]f!E26</f>
        <v>350508125</v>
      </c>
      <c r="F26" s="53">
        <f>[52]f!F26</f>
        <v>381357482</v>
      </c>
      <c r="G26" s="55">
        <f>[52]f!G26</f>
        <v>4.2701118348627005E-2</v>
      </c>
      <c r="I26" s="22">
        <v>344655658</v>
      </c>
    </row>
    <row r="27" spans="1:9" ht="20" customHeight="1" thickBot="1">
      <c r="A27" s="70" t="s">
        <v>561</v>
      </c>
      <c r="B27" s="53">
        <f>[52]f!B27</f>
        <v>40217374</v>
      </c>
      <c r="C27" s="71">
        <f>[52]f!C27</f>
        <v>268006809</v>
      </c>
      <c r="D27" s="53">
        <f>[52]f!D27</f>
        <v>408645721</v>
      </c>
      <c r="E27" s="71">
        <f>[52]f!E27</f>
        <v>676652530</v>
      </c>
      <c r="F27" s="53">
        <f>[52]f!F27</f>
        <v>716869904</v>
      </c>
      <c r="G27" s="55">
        <f>[52]f!G27</f>
        <v>6.3810967317504769E-2</v>
      </c>
      <c r="I27" s="22">
        <v>627641817</v>
      </c>
    </row>
    <row r="28" spans="1:9" ht="20" customHeight="1" thickBot="1">
      <c r="A28" s="70" t="s">
        <v>562</v>
      </c>
      <c r="B28" s="53">
        <f>[52]f!B28</f>
        <v>111399515</v>
      </c>
      <c r="C28" s="71">
        <f>[52]f!C28</f>
        <v>521191659</v>
      </c>
      <c r="D28" s="53">
        <f>[52]f!D28</f>
        <v>832501022</v>
      </c>
      <c r="E28" s="71">
        <f>[52]f!E28</f>
        <v>1353692681</v>
      </c>
      <c r="F28" s="53">
        <f>[52]f!F28</f>
        <v>1465092196</v>
      </c>
      <c r="G28" s="55">
        <f>[52]f!G28</f>
        <v>6.8705348046765716E-2</v>
      </c>
      <c r="I28" s="22">
        <v>1280335377</v>
      </c>
    </row>
    <row r="29" spans="1:9" ht="20" customHeight="1" thickBot="1">
      <c r="A29" s="70" t="s">
        <v>563</v>
      </c>
      <c r="B29" s="53">
        <f>[52]f!B29</f>
        <v>33762743</v>
      </c>
      <c r="C29" s="71">
        <f>[52]f!C29</f>
        <v>179951734</v>
      </c>
      <c r="D29" s="53">
        <f>[52]f!D29</f>
        <v>256886560</v>
      </c>
      <c r="E29" s="71">
        <f>[52]f!E29</f>
        <v>436838294</v>
      </c>
      <c r="F29" s="53">
        <f>[52]f!F29</f>
        <v>470601037</v>
      </c>
      <c r="G29" s="55">
        <f>[52]f!G29</f>
        <v>6.8771785886011669E-2</v>
      </c>
      <c r="I29" s="22">
        <v>410743307</v>
      </c>
    </row>
    <row r="30" spans="1:9" ht="20" customHeight="1" thickBot="1">
      <c r="A30" s="70" t="s">
        <v>564</v>
      </c>
      <c r="B30" s="53">
        <f>[52]f!B30</f>
        <v>25077812</v>
      </c>
      <c r="C30" s="71">
        <f>[52]f!C30</f>
        <v>140516822</v>
      </c>
      <c r="D30" s="53">
        <f>[52]f!D30</f>
        <v>224375611</v>
      </c>
      <c r="E30" s="71">
        <f>[52]f!E30</f>
        <v>364892433</v>
      </c>
      <c r="F30" s="53">
        <f>[52]f!F30</f>
        <v>389970245</v>
      </c>
      <c r="G30" s="55">
        <f>[52]f!G30</f>
        <v>3.9719815508597343E-2</v>
      </c>
      <c r="I30" s="22">
        <v>318756043</v>
      </c>
    </row>
    <row r="31" spans="1:9" ht="20" customHeight="1" thickBot="1">
      <c r="A31" s="70" t="s">
        <v>565</v>
      </c>
      <c r="B31" s="53">
        <f>[52]f!B31</f>
        <v>79144668</v>
      </c>
      <c r="C31" s="71">
        <f>[52]f!C31</f>
        <v>378569648</v>
      </c>
      <c r="D31" s="53">
        <f>[52]f!D31</f>
        <v>634119833</v>
      </c>
      <c r="E31" s="71">
        <f>[52]f!E31</f>
        <v>1012689481</v>
      </c>
      <c r="F31" s="53">
        <f>[52]f!F31</f>
        <v>1091834149</v>
      </c>
      <c r="G31" s="55">
        <f>[52]f!G31</f>
        <v>9.236754879697491E-2</v>
      </c>
      <c r="I31" s="22">
        <v>966736347</v>
      </c>
    </row>
    <row r="32" spans="1:9" ht="20" customHeight="1" thickBot="1">
      <c r="A32" s="73" t="s">
        <v>566</v>
      </c>
      <c r="B32" s="53">
        <f>[52]f!B32</f>
        <v>10986754</v>
      </c>
      <c r="C32" s="71">
        <f>[52]f!C32</f>
        <v>55178618</v>
      </c>
      <c r="D32" s="53">
        <f>[52]f!D32</f>
        <v>85644884</v>
      </c>
      <c r="E32" s="71">
        <f>[52]f!E32</f>
        <v>140823502</v>
      </c>
      <c r="F32" s="53">
        <f>[52]f!F32</f>
        <v>151810256</v>
      </c>
      <c r="G32" s="55">
        <f>[52]f!G32</f>
        <v>3.1985935811303608E-2</v>
      </c>
      <c r="I32" s="22">
        <v>146808815</v>
      </c>
    </row>
    <row r="33" spans="1:9" ht="30" customHeight="1" thickBot="1">
      <c r="A33" s="78" t="s">
        <v>808</v>
      </c>
      <c r="B33" s="287">
        <f>[52]f!B33</f>
        <v>975755898</v>
      </c>
      <c r="C33" s="288">
        <f>[52]f!C33</f>
        <v>5118393997</v>
      </c>
      <c r="D33" s="287">
        <f>[52]f!D33</f>
        <v>7883786758</v>
      </c>
      <c r="E33" s="288">
        <f>[52]f!E33</f>
        <v>13002180755</v>
      </c>
      <c r="F33" s="287">
        <f>[52]f!F33</f>
        <v>13977936653</v>
      </c>
      <c r="G33" s="58">
        <f>[52]f!G33</f>
        <v>6.1243571344628947E-2</v>
      </c>
      <c r="I33" s="22">
        <v>12410394200</v>
      </c>
    </row>
    <row r="34" spans="1:9" ht="20" customHeight="1">
      <c r="A34" s="28" t="str">
        <f>"Datenstand: Juli "&amp;'[45]an_data an_1'!$B$2+1</f>
        <v>Datenstand: Juli 2002</v>
      </c>
      <c r="B34" s="28"/>
      <c r="C34" s="28"/>
      <c r="D34" s="28"/>
      <c r="E34" s="28"/>
      <c r="F34" s="28"/>
      <c r="G34" s="278"/>
    </row>
    <row r="35" spans="1:9" ht="11.25" customHeight="1">
      <c r="A35" s="7" t="s">
        <v>912</v>
      </c>
    </row>
    <row r="36" spans="1:9" ht="12" customHeight="1">
      <c r="A36" s="7" t="s">
        <v>913</v>
      </c>
    </row>
    <row r="37" spans="1:9" ht="12" customHeight="1"/>
    <row r="38" spans="1:9" ht="12" customHeight="1"/>
    <row r="39" spans="1:9" ht="12" customHeight="1"/>
  </sheetData>
  <phoneticPr fontId="0" type="noConversion"/>
  <pageMargins left="0.78740157480314965" right="0.56000000000000005" top="0.93" bottom="0.49" header="0.56999999999999995" footer="0.4921259845"/>
  <pageSetup paperSize="9" scale="80" orientation="portrait" horizontalDpi="4294967292" verticalDpi="4294967292"/>
  <headerFooter alignWithMargins="0">
    <oddHeader>&amp;L&amp;"Arial,Bold"&amp;14Risikoausgleich in der OKP</oddHeader>
    <oddFooter>&amp;L&amp;"Arial,Regular"Statistik über die Krankenversicherung, Bundesamt für Sozialversicherung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97A47-B5E3-0243-8DE8-6DC441116C59}">
  <dimension ref="A1:I37"/>
  <sheetViews>
    <sheetView topLeftCell="A19" zoomScale="75" workbookViewId="0">
      <selection activeCell="H14" sqref="H14"/>
    </sheetView>
  </sheetViews>
  <sheetFormatPr baseColWidth="10" defaultColWidth="11.3984375" defaultRowHeight="13"/>
  <cols>
    <col min="1" max="1" width="14.796875" style="7" customWidth="1"/>
    <col min="2" max="6" width="14.796875" style="285" customWidth="1"/>
    <col min="7" max="7" width="14.796875" style="227" customWidth="1"/>
    <col min="8" max="8" width="11.3984375" style="7"/>
    <col min="9" max="9" width="0" style="7" hidden="1" customWidth="1"/>
    <col min="10" max="16384" width="11.3984375" style="7"/>
  </cols>
  <sheetData>
    <row r="1" spans="1:9" s="1" customFormat="1" ht="14" customHeight="1">
      <c r="B1" s="281"/>
      <c r="C1" s="281"/>
      <c r="D1" s="281"/>
      <c r="E1" s="281"/>
      <c r="F1" s="281"/>
      <c r="G1" s="269"/>
    </row>
    <row r="2" spans="1:9" s="1" customFormat="1" ht="28" customHeight="1">
      <c r="A2" s="2" t="str">
        <f>"T 2.08  Effektive Kosten 1) in Fr. pro Versicherten pro Versicherungsmonat nach Kantonen "&amp;'[45]an_data an_1'!$B$2</f>
        <v>T 2.08  Effektive Kosten 1) in Fr. pro Versicherten pro Versicherungsmonat nach Kantonen 2001</v>
      </c>
      <c r="B2" s="281"/>
      <c r="C2" s="281"/>
      <c r="D2" s="281"/>
      <c r="E2" s="281"/>
      <c r="F2" s="281"/>
      <c r="G2" s="269"/>
    </row>
    <row r="3" spans="1:9" ht="27" customHeight="1">
      <c r="A3" s="41" t="s">
        <v>537</v>
      </c>
      <c r="B3" s="115" t="s">
        <v>538</v>
      </c>
      <c r="C3" s="96" t="s">
        <v>529</v>
      </c>
      <c r="D3" s="115" t="s">
        <v>530</v>
      </c>
      <c r="E3" s="96" t="s">
        <v>514</v>
      </c>
      <c r="F3" s="115" t="s">
        <v>514</v>
      </c>
      <c r="G3" s="42" t="s">
        <v>522</v>
      </c>
    </row>
    <row r="4" spans="1:9" ht="15" customHeight="1">
      <c r="A4" s="61"/>
      <c r="B4" s="11"/>
      <c r="C4" s="45"/>
      <c r="D4" s="11"/>
      <c r="E4" s="45" t="s">
        <v>898</v>
      </c>
      <c r="F4" s="11" t="s">
        <v>899</v>
      </c>
      <c r="G4" s="44" t="s">
        <v>523</v>
      </c>
    </row>
    <row r="5" spans="1:9" ht="15" customHeight="1">
      <c r="A5" s="61"/>
      <c r="B5" s="11"/>
      <c r="C5" s="45"/>
      <c r="D5" s="11"/>
      <c r="E5" s="45" t="s">
        <v>900</v>
      </c>
      <c r="F5" s="11" t="s">
        <v>531</v>
      </c>
      <c r="G5" s="44" t="s">
        <v>524</v>
      </c>
    </row>
    <row r="6" spans="1:9" ht="24" customHeight="1">
      <c r="A6" s="64"/>
      <c r="B6" s="189"/>
      <c r="C6" s="48"/>
      <c r="D6" s="189"/>
      <c r="E6" s="48"/>
      <c r="F6" s="189"/>
      <c r="G6" s="47"/>
    </row>
    <row r="7" spans="1:9" ht="30" customHeight="1" thickBot="1">
      <c r="A7" s="67" t="s">
        <v>541</v>
      </c>
      <c r="B7" s="230">
        <f>[53]f!B7</f>
        <v>55.153591874077826</v>
      </c>
      <c r="C7" s="229">
        <f>[53]f!C7</f>
        <v>149.34662269935637</v>
      </c>
      <c r="D7" s="230">
        <f>[53]f!D7</f>
        <v>220.35258630877999</v>
      </c>
      <c r="E7" s="229">
        <f>[53]f!E7</f>
        <v>186.03976043255179</v>
      </c>
      <c r="F7" s="230">
        <f>[53]f!F7</f>
        <v>160.61208861146605</v>
      </c>
      <c r="G7" s="231">
        <f>[53]f!G7</f>
        <v>5.0795068122364596E-2</v>
      </c>
      <c r="I7" s="264">
        <v>147.6535284720232</v>
      </c>
    </row>
    <row r="8" spans="1:9" ht="20" customHeight="1" thickBot="1">
      <c r="A8" s="70" t="s">
        <v>542</v>
      </c>
      <c r="B8" s="230">
        <f>[53]f!B8</f>
        <v>46.287672577259059</v>
      </c>
      <c r="C8" s="229">
        <f>[53]f!C8</f>
        <v>148.72715491379154</v>
      </c>
      <c r="D8" s="230">
        <f>[53]f!D8</f>
        <v>212.20278605704232</v>
      </c>
      <c r="E8" s="229">
        <f>[53]f!E8</f>
        <v>181.7971655459211</v>
      </c>
      <c r="F8" s="230">
        <f>[53]f!F8</f>
        <v>154.16274496549562</v>
      </c>
      <c r="G8" s="231">
        <f>[53]f!G8</f>
        <v>3.8900431342606082E-2</v>
      </c>
      <c r="I8" s="264">
        <v>136.00843900520724</v>
      </c>
    </row>
    <row r="9" spans="1:9" ht="20" customHeight="1" thickBot="1">
      <c r="A9" s="70" t="s">
        <v>543</v>
      </c>
      <c r="B9" s="230">
        <f>[53]f!B9</f>
        <v>39.042068005580319</v>
      </c>
      <c r="C9" s="229">
        <f>[53]f!C9</f>
        <v>126.15524268624269</v>
      </c>
      <c r="D9" s="230">
        <f>[53]f!D9</f>
        <v>179.0438816771759</v>
      </c>
      <c r="E9" s="229">
        <f>[53]f!E9</f>
        <v>153.30938284261666</v>
      </c>
      <c r="F9" s="230">
        <f>[53]f!F9</f>
        <v>126.85400636105614</v>
      </c>
      <c r="G9" s="231">
        <f>[53]f!G9</f>
        <v>7.1220176180995437E-2</v>
      </c>
      <c r="I9" s="264">
        <v>109.8632844875566</v>
      </c>
    </row>
    <row r="10" spans="1:9" ht="20" customHeight="1" thickBot="1">
      <c r="A10" s="70" t="s">
        <v>544</v>
      </c>
      <c r="B10" s="230">
        <f>[53]f!B10</f>
        <v>41.999928121085169</v>
      </c>
      <c r="C10" s="229">
        <f>[53]f!C10</f>
        <v>128.91082349314104</v>
      </c>
      <c r="D10" s="230">
        <f>[53]f!D10</f>
        <v>177.37786153795659</v>
      </c>
      <c r="E10" s="229">
        <f>[53]f!E10</f>
        <v>153.25362314360973</v>
      </c>
      <c r="F10" s="230">
        <f>[53]f!F10</f>
        <v>127.90275985088442</v>
      </c>
      <c r="G10" s="231">
        <f>[53]f!G10</f>
        <v>0.10360418079625996</v>
      </c>
      <c r="I10" s="264">
        <v>106.3151780359856</v>
      </c>
    </row>
    <row r="11" spans="1:9" ht="20" customHeight="1" thickBot="1">
      <c r="A11" s="70" t="s">
        <v>545</v>
      </c>
      <c r="B11" s="230">
        <f>[53]f!B11</f>
        <v>48.874510274880528</v>
      </c>
      <c r="C11" s="229">
        <f>[53]f!C11</f>
        <v>128.2788719792571</v>
      </c>
      <c r="D11" s="230">
        <f>[53]f!D11</f>
        <v>181.85551771913131</v>
      </c>
      <c r="E11" s="229">
        <f>[53]f!E11</f>
        <v>154.99552854514252</v>
      </c>
      <c r="F11" s="230">
        <f>[53]f!F11</f>
        <v>129.97111869707126</v>
      </c>
      <c r="G11" s="231">
        <f>[53]f!G11</f>
        <v>0.11260669886237577</v>
      </c>
      <c r="I11" s="264">
        <v>110.98351281141051</v>
      </c>
    </row>
    <row r="12" spans="1:9" ht="20" customHeight="1" thickBot="1">
      <c r="A12" s="70" t="s">
        <v>546</v>
      </c>
      <c r="B12" s="230">
        <f>[53]f!B12</f>
        <v>39.414582486042242</v>
      </c>
      <c r="C12" s="229">
        <f>[53]f!C12</f>
        <v>108.20509219000785</v>
      </c>
      <c r="D12" s="230">
        <f>[53]f!D12</f>
        <v>174.89177293098359</v>
      </c>
      <c r="E12" s="229">
        <f>[53]f!E12</f>
        <v>141.57737590749318</v>
      </c>
      <c r="F12" s="230">
        <f>[53]f!F12</f>
        <v>116.98964983159136</v>
      </c>
      <c r="G12" s="231">
        <f>[53]f!G12</f>
        <v>3.4115332063078367E-2</v>
      </c>
      <c r="I12" s="264">
        <v>105.19977836100999</v>
      </c>
    </row>
    <row r="13" spans="1:9" ht="20" customHeight="1" thickBot="1">
      <c r="A13" s="70" t="s">
        <v>547</v>
      </c>
      <c r="B13" s="230">
        <f>[53]f!B13</f>
        <v>38.157921483133713</v>
      </c>
      <c r="C13" s="229">
        <f>[53]f!C13</f>
        <v>107.08836877828968</v>
      </c>
      <c r="D13" s="230">
        <f>[53]f!D13</f>
        <v>165.50014033041867</v>
      </c>
      <c r="E13" s="229">
        <f>[53]f!E13</f>
        <v>136.15171232923032</v>
      </c>
      <c r="F13" s="230">
        <f>[53]f!F13</f>
        <v>114.22093185813827</v>
      </c>
      <c r="G13" s="231">
        <f>[53]f!G13</f>
        <v>4.5630060621104578E-2</v>
      </c>
      <c r="I13" s="264">
        <v>98.806061539893719</v>
      </c>
    </row>
    <row r="14" spans="1:9" ht="20" customHeight="1" thickBot="1">
      <c r="A14" s="70" t="s">
        <v>548</v>
      </c>
      <c r="B14" s="230">
        <f>[53]f!B14</f>
        <v>50.162339491510913</v>
      </c>
      <c r="C14" s="229">
        <f>[53]f!C14</f>
        <v>131.92091538546126</v>
      </c>
      <c r="D14" s="230">
        <f>[53]f!D14</f>
        <v>191.4360115828479</v>
      </c>
      <c r="E14" s="229">
        <f>[53]f!E14</f>
        <v>162.35071993847134</v>
      </c>
      <c r="F14" s="230">
        <f>[53]f!F14</f>
        <v>136.62990386975949</v>
      </c>
      <c r="G14" s="231">
        <f>[53]f!G14</f>
        <v>7.7036576844697446E-2</v>
      </c>
      <c r="I14" s="264">
        <v>118.50730828724598</v>
      </c>
    </row>
    <row r="15" spans="1:9" ht="20" customHeight="1" thickBot="1">
      <c r="A15" s="70" t="s">
        <v>549</v>
      </c>
      <c r="B15" s="230">
        <f>[53]f!B15</f>
        <v>41.086366007592055</v>
      </c>
      <c r="C15" s="229">
        <f>[53]f!C15</f>
        <v>117.00429798511989</v>
      </c>
      <c r="D15" s="230">
        <f>[53]f!D15</f>
        <v>190.36243183841648</v>
      </c>
      <c r="E15" s="229">
        <f>[53]f!E15</f>
        <v>153.94483955994269</v>
      </c>
      <c r="F15" s="230">
        <f>[53]f!F15</f>
        <v>130.19590535415793</v>
      </c>
      <c r="G15" s="231">
        <f>[53]f!G15</f>
        <v>0.11366905902695486</v>
      </c>
      <c r="I15" s="264">
        <v>109.7243161119399</v>
      </c>
    </row>
    <row r="16" spans="1:9" ht="20" customHeight="1" thickBot="1">
      <c r="A16" s="70" t="s">
        <v>550</v>
      </c>
      <c r="B16" s="230">
        <f>[53]f!B16</f>
        <v>49.380646713089732</v>
      </c>
      <c r="C16" s="229">
        <f>[53]f!C16</f>
        <v>150.21845710669848</v>
      </c>
      <c r="D16" s="230">
        <f>[53]f!D16</f>
        <v>212.86594325395149</v>
      </c>
      <c r="E16" s="229">
        <f>[53]f!E16</f>
        <v>182.10198616604399</v>
      </c>
      <c r="F16" s="230">
        <f>[53]f!F16</f>
        <v>150.18294876297401</v>
      </c>
      <c r="G16" s="231">
        <f>[53]f!G16</f>
        <v>7.2657186393025291E-2</v>
      </c>
      <c r="I16" s="264">
        <v>137.47395057718248</v>
      </c>
    </row>
    <row r="17" spans="1:9" ht="20" customHeight="1" thickBot="1">
      <c r="A17" s="70" t="s">
        <v>551</v>
      </c>
      <c r="B17" s="230">
        <f>[53]f!B17</f>
        <v>46.168936700395811</v>
      </c>
      <c r="C17" s="229">
        <f>[53]f!C17</f>
        <v>141.53862413992684</v>
      </c>
      <c r="D17" s="230">
        <f>[53]f!D17</f>
        <v>198.21070403627303</v>
      </c>
      <c r="E17" s="229">
        <f>[53]f!E17</f>
        <v>170.63348294377565</v>
      </c>
      <c r="F17" s="230">
        <f>[53]f!F17</f>
        <v>143.74747075721294</v>
      </c>
      <c r="G17" s="231">
        <f>[53]f!G17</f>
        <v>3.1568944101097299E-2</v>
      </c>
      <c r="I17" s="264">
        <v>132.71022733455214</v>
      </c>
    </row>
    <row r="18" spans="1:9" ht="20" customHeight="1" thickBot="1">
      <c r="A18" s="70" t="s">
        <v>552</v>
      </c>
      <c r="B18" s="230">
        <f>[53]f!B18</f>
        <v>70.364529695183535</v>
      </c>
      <c r="C18" s="229">
        <f>[53]f!C18</f>
        <v>214.52553245849631</v>
      </c>
      <c r="D18" s="230">
        <f>[53]f!D18</f>
        <v>304.19251441255068</v>
      </c>
      <c r="E18" s="229">
        <f>[53]f!E18</f>
        <v>262.40448287016801</v>
      </c>
      <c r="F18" s="230">
        <f>[53]f!F18</f>
        <v>231.1908649969007</v>
      </c>
      <c r="G18" s="231">
        <f>[53]f!G18</f>
        <v>5.3387064123140586E-2</v>
      </c>
      <c r="I18" s="264">
        <v>208.35408965566106</v>
      </c>
    </row>
    <row r="19" spans="1:9" ht="20" customHeight="1" thickBot="1">
      <c r="A19" s="70" t="s">
        <v>553</v>
      </c>
      <c r="B19" s="230">
        <f>[53]f!B19</f>
        <v>63.294414793275841</v>
      </c>
      <c r="C19" s="229">
        <f>[53]f!C19</f>
        <v>163.31186302553596</v>
      </c>
      <c r="D19" s="230">
        <f>[53]f!D19</f>
        <v>225.44740534795028</v>
      </c>
      <c r="E19" s="229">
        <f>[53]f!E19</f>
        <v>195.31899495422024</v>
      </c>
      <c r="F19" s="230">
        <f>[53]f!F19</f>
        <v>168.75989251485609</v>
      </c>
      <c r="G19" s="231">
        <f>[53]f!G19</f>
        <v>6.2780500650479396E-2</v>
      </c>
      <c r="I19" s="264">
        <v>149.99608447175385</v>
      </c>
    </row>
    <row r="20" spans="1:9" ht="20" customHeight="1" thickBot="1">
      <c r="A20" s="70" t="s">
        <v>554</v>
      </c>
      <c r="B20" s="230">
        <f>[53]f!B20</f>
        <v>43.0794942511993</v>
      </c>
      <c r="C20" s="229">
        <f>[53]f!C20</f>
        <v>149.77945481559939</v>
      </c>
      <c r="D20" s="230">
        <f>[53]f!D20</f>
        <v>220.417212622996</v>
      </c>
      <c r="E20" s="229">
        <f>[53]f!E20</f>
        <v>186.62682424386546</v>
      </c>
      <c r="F20" s="230">
        <f>[53]f!F20</f>
        <v>156.61293945698407</v>
      </c>
      <c r="G20" s="231">
        <f>[53]f!G20</f>
        <v>5.9538925696064782E-2</v>
      </c>
      <c r="I20" s="264">
        <v>141.06151978810024</v>
      </c>
    </row>
    <row r="21" spans="1:9" ht="20" customHeight="1" thickBot="1">
      <c r="A21" s="70" t="s">
        <v>555</v>
      </c>
      <c r="B21" s="230">
        <f>[53]f!B21</f>
        <v>39.813874312184147</v>
      </c>
      <c r="C21" s="229">
        <f>[53]f!C21</f>
        <v>113.37142194446365</v>
      </c>
      <c r="D21" s="230">
        <f>[53]f!D21</f>
        <v>165.15988481191269</v>
      </c>
      <c r="E21" s="229">
        <f>[53]f!E21</f>
        <v>139.89601212288025</v>
      </c>
      <c r="F21" s="230">
        <f>[53]f!F21</f>
        <v>116.22086177774803</v>
      </c>
      <c r="G21" s="231">
        <f>[53]f!G21</f>
        <v>4.3949753722455853E-2</v>
      </c>
      <c r="I21" s="264">
        <v>105.54236904359847</v>
      </c>
    </row>
    <row r="22" spans="1:9" ht="20" customHeight="1" thickBot="1">
      <c r="A22" s="70" t="s">
        <v>556</v>
      </c>
      <c r="B22" s="230">
        <f>[53]f!B22</f>
        <v>31.173964110058929</v>
      </c>
      <c r="C22" s="229">
        <f>[53]f!C22</f>
        <v>114.76159541619553</v>
      </c>
      <c r="D22" s="230">
        <f>[53]f!D22</f>
        <v>150.56270052073268</v>
      </c>
      <c r="E22" s="229">
        <f>[53]f!E22</f>
        <v>132.52136955054775</v>
      </c>
      <c r="F22" s="230">
        <f>[53]f!F22</f>
        <v>105.42768179207992</v>
      </c>
      <c r="G22" s="231">
        <f>[53]f!G22</f>
        <v>7.4627919260963127E-2</v>
      </c>
      <c r="I22" s="264">
        <v>93.290141615544769</v>
      </c>
    </row>
    <row r="23" spans="1:9" ht="20" customHeight="1" thickBot="1">
      <c r="A23" s="70" t="s">
        <v>557</v>
      </c>
      <c r="B23" s="230">
        <f>[53]f!B23</f>
        <v>44.739438630870431</v>
      </c>
      <c r="C23" s="229">
        <f>[53]f!C23</f>
        <v>122.30065724255616</v>
      </c>
      <c r="D23" s="230">
        <f>[53]f!D23</f>
        <v>170.53668159283396</v>
      </c>
      <c r="E23" s="229">
        <f>[53]f!E23</f>
        <v>147.01619208425512</v>
      </c>
      <c r="F23" s="230">
        <f>[53]f!F23</f>
        <v>122.87281118540709</v>
      </c>
      <c r="G23" s="231">
        <f>[53]f!G23</f>
        <v>4.9041178902312438E-2</v>
      </c>
      <c r="I23" s="264">
        <v>113.07027159885389</v>
      </c>
    </row>
    <row r="24" spans="1:9" ht="20" customHeight="1" thickBot="1">
      <c r="A24" s="70" t="s">
        <v>558</v>
      </c>
      <c r="B24" s="230">
        <f>[53]f!B24</f>
        <v>43.404422741975615</v>
      </c>
      <c r="C24" s="229">
        <f>[53]f!C24</f>
        <v>126.23330125451425</v>
      </c>
      <c r="D24" s="230">
        <f>[53]f!D24</f>
        <v>177.62109497261409</v>
      </c>
      <c r="E24" s="229">
        <f>[53]f!E24</f>
        <v>152.12541384787127</v>
      </c>
      <c r="F24" s="230">
        <f>[53]f!F24</f>
        <v>129.56577010751019</v>
      </c>
      <c r="G24" s="231">
        <f>[53]f!G24</f>
        <v>4.2891652966376662E-2</v>
      </c>
      <c r="I24" s="264">
        <v>112.93207174435962</v>
      </c>
    </row>
    <row r="25" spans="1:9" ht="20" customHeight="1" thickBot="1">
      <c r="A25" s="70" t="s">
        <v>559</v>
      </c>
      <c r="B25" s="230">
        <f>[53]f!B25</f>
        <v>45.773122328677886</v>
      </c>
      <c r="C25" s="229">
        <f>[53]f!C25</f>
        <v>134.40165346644062</v>
      </c>
      <c r="D25" s="230">
        <f>[53]f!D25</f>
        <v>192.25825205085243</v>
      </c>
      <c r="E25" s="229">
        <f>[53]f!E25</f>
        <v>163.69883779671287</v>
      </c>
      <c r="F25" s="230">
        <f>[53]f!F25</f>
        <v>137.32056518952444</v>
      </c>
      <c r="G25" s="231">
        <f>[53]f!G25</f>
        <v>5.4223964579416341E-2</v>
      </c>
      <c r="I25" s="264">
        <v>123.10137008461707</v>
      </c>
    </row>
    <row r="26" spans="1:9" ht="20" customHeight="1" thickBot="1">
      <c r="A26" s="70" t="s">
        <v>560</v>
      </c>
      <c r="B26" s="230">
        <f>[53]f!B26</f>
        <v>45.53733522300238</v>
      </c>
      <c r="C26" s="229">
        <f>[53]f!C26</f>
        <v>139.65431900239966</v>
      </c>
      <c r="D26" s="230">
        <f>[53]f!D26</f>
        <v>195.2263350373739</v>
      </c>
      <c r="E26" s="229">
        <f>[53]f!E26</f>
        <v>167.92739367261183</v>
      </c>
      <c r="F26" s="230">
        <f>[53]f!F26</f>
        <v>137.93750541919005</v>
      </c>
      <c r="G26" s="231">
        <f>[53]f!G26</f>
        <v>4.1939267589258533E-2</v>
      </c>
      <c r="I26" s="264">
        <v>124.89094208425395</v>
      </c>
    </row>
    <row r="27" spans="1:9" ht="20" customHeight="1" thickBot="1">
      <c r="A27" s="70" t="s">
        <v>561</v>
      </c>
      <c r="B27" s="230">
        <f>[53]f!B27</f>
        <v>58.524554647371339</v>
      </c>
      <c r="C27" s="229">
        <f>[53]f!C27</f>
        <v>186.09349285639951</v>
      </c>
      <c r="D27" s="230">
        <f>[53]f!D27</f>
        <v>251.71036783840933</v>
      </c>
      <c r="E27" s="229">
        <f>[53]f!E27</f>
        <v>220.8649028771234</v>
      </c>
      <c r="F27" s="230">
        <f>[53]f!F27</f>
        <v>191.12264915804124</v>
      </c>
      <c r="G27" s="231">
        <f>[53]f!G27</f>
        <v>5.8972416588044481E-2</v>
      </c>
      <c r="I27" s="264">
        <v>168.72622344599318</v>
      </c>
    </row>
    <row r="28" spans="1:9" ht="20" customHeight="1" thickBot="1">
      <c r="A28" s="70" t="s">
        <v>562</v>
      </c>
      <c r="B28" s="230">
        <f>[53]f!B28</f>
        <v>67.396607165004426</v>
      </c>
      <c r="C28" s="229">
        <f>[53]f!C28</f>
        <v>186.69067170301113</v>
      </c>
      <c r="D28" s="230">
        <f>[53]f!D28</f>
        <v>269.88080664781126</v>
      </c>
      <c r="E28" s="229">
        <f>[53]f!E28</f>
        <v>230.35938978435991</v>
      </c>
      <c r="F28" s="230">
        <f>[53]f!F28</f>
        <v>194.58459178477247</v>
      </c>
      <c r="G28" s="231">
        <f>[53]f!G28</f>
        <v>6.0148413054212799E-2</v>
      </c>
      <c r="I28" s="264">
        <v>172.20627180427857</v>
      </c>
    </row>
    <row r="29" spans="1:9" ht="20" customHeight="1" thickBot="1">
      <c r="A29" s="70" t="s">
        <v>563</v>
      </c>
      <c r="B29" s="230">
        <f>[53]f!B29</f>
        <v>44.883775620624654</v>
      </c>
      <c r="C29" s="229">
        <f>[53]f!C29</f>
        <v>139.17681777558005</v>
      </c>
      <c r="D29" s="230">
        <f>[53]f!D29</f>
        <v>188.77321852029033</v>
      </c>
      <c r="E29" s="229">
        <f>[53]f!E29</f>
        <v>164.60902844179589</v>
      </c>
      <c r="F29" s="230">
        <f>[53]f!F29</f>
        <v>138.16747101918727</v>
      </c>
      <c r="G29" s="231">
        <f>[53]f!G29</f>
        <v>6.6368462310060078E-2</v>
      </c>
      <c r="I29" s="264">
        <v>121.13256050394979</v>
      </c>
    </row>
    <row r="30" spans="1:9" ht="20" customHeight="1" thickBot="1">
      <c r="A30" s="70" t="s">
        <v>564</v>
      </c>
      <c r="B30" s="230">
        <f>[53]f!B30</f>
        <v>58.231655892406003</v>
      </c>
      <c r="C30" s="229">
        <f>[53]f!C30</f>
        <v>185.90622948661201</v>
      </c>
      <c r="D30" s="230">
        <f>[53]f!D30</f>
        <v>270.53383405377429</v>
      </c>
      <c r="E30" s="229">
        <f>[53]f!E30</f>
        <v>230.1827835553656</v>
      </c>
      <c r="F30" s="230">
        <f>[53]f!F30</f>
        <v>193.44865270690238</v>
      </c>
      <c r="G30" s="231">
        <f>[53]f!G30</f>
        <v>4.1822046685044086E-2</v>
      </c>
      <c r="I30" s="264">
        <v>157.34667902077535</v>
      </c>
    </row>
    <row r="31" spans="1:9" ht="20" customHeight="1" thickBot="1">
      <c r="A31" s="70" t="s">
        <v>565</v>
      </c>
      <c r="B31" s="230">
        <f>[53]f!B31</f>
        <v>80.280313312113151</v>
      </c>
      <c r="C31" s="229">
        <f>[53]f!C31</f>
        <v>219.00361448571098</v>
      </c>
      <c r="D31" s="230">
        <f>[53]f!D31</f>
        <v>325.07783117479386</v>
      </c>
      <c r="E31" s="229">
        <f>[53]f!E31</f>
        <v>275.24188079386511</v>
      </c>
      <c r="F31" s="230">
        <f>[53]f!F31</f>
        <v>234.04177586631204</v>
      </c>
      <c r="G31" s="231">
        <f>[53]f!G31</f>
        <v>8.3690650485387028E-2</v>
      </c>
      <c r="I31" s="264">
        <v>209.96444334691634</v>
      </c>
    </row>
    <row r="32" spans="1:9" ht="20" customHeight="1" thickBot="1">
      <c r="A32" s="73" t="s">
        <v>566</v>
      </c>
      <c r="B32" s="230">
        <f>[53]f!B32</f>
        <v>56.617856827770673</v>
      </c>
      <c r="C32" s="229">
        <f>[53]f!C32</f>
        <v>176.34585490572067</v>
      </c>
      <c r="D32" s="230">
        <f>[53]f!D32</f>
        <v>257.79960059595146</v>
      </c>
      <c r="E32" s="229">
        <f>[53]f!E32</f>
        <v>218.29210409257908</v>
      </c>
      <c r="F32" s="230">
        <f>[53]f!F32</f>
        <v>180.90610916076199</v>
      </c>
      <c r="G32" s="231">
        <f>[53]f!G32</f>
        <v>3.6570539535363544E-2</v>
      </c>
      <c r="I32" s="264">
        <v>173.66487176423698</v>
      </c>
    </row>
    <row r="33" spans="1:9" ht="30" customHeight="1" thickBot="1">
      <c r="A33" s="78" t="s">
        <v>808</v>
      </c>
      <c r="B33" s="289">
        <f>[53]f!B33</f>
        <v>52.417924566232493</v>
      </c>
      <c r="C33" s="290">
        <f>[53]f!C33</f>
        <v>153.64013397978104</v>
      </c>
      <c r="D33" s="289">
        <f>[53]f!D33</f>
        <v>221.30796573532288</v>
      </c>
      <c r="E33" s="290">
        <f>[53]f!E33</f>
        <v>188.60749340412414</v>
      </c>
      <c r="F33" s="289">
        <f>[53]f!F33</f>
        <v>159.65168744516413</v>
      </c>
      <c r="G33" s="291">
        <f>[53]f!G33</f>
        <v>5.6325513873878422E-2</v>
      </c>
      <c r="I33" s="264">
        <v>142.67390401114693</v>
      </c>
    </row>
    <row r="34" spans="1:9" ht="20" customHeight="1">
      <c r="A34" s="28" t="str">
        <f>"Datenstand: Juli "&amp;'[45]an_data an_1'!$B$2+1</f>
        <v>Datenstand: Juli 2002</v>
      </c>
      <c r="B34" s="284"/>
      <c r="C34" s="284"/>
      <c r="D34" s="284"/>
      <c r="E34" s="284"/>
      <c r="F34" s="284"/>
      <c r="G34" s="278"/>
    </row>
    <row r="35" spans="1:9" ht="12" customHeight="1">
      <c r="A35" s="7" t="s">
        <v>925</v>
      </c>
    </row>
    <row r="36" spans="1:9" ht="12" customHeight="1"/>
    <row r="37" spans="1:9" ht="12" customHeight="1"/>
  </sheetData>
  <phoneticPr fontId="0" type="noConversion"/>
  <pageMargins left="0.78740157480314965" right="0.78740157480314965" top="1.45" bottom="0.49" header="0.92" footer="0.4921259845"/>
  <pageSetup paperSize="9" scale="80" orientation="portrait" horizontalDpi="4294967292" verticalDpi="4294967292"/>
  <headerFooter alignWithMargins="0">
    <oddHeader>&amp;L&amp;"Arial,Bold"&amp;14Risikoausgleich in  der OKP</oddHeader>
    <oddFooter>&amp;L&amp;"Arial,Regular"Statistik über die Krankenversicherung, Bundesamt für Sozialversicherung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8FBE-096F-FC4D-BCEB-D7A7A92DAB2A}">
  <dimension ref="A1:K36"/>
  <sheetViews>
    <sheetView topLeftCell="A19" zoomScale="75" workbookViewId="0">
      <selection activeCell="I30" sqref="I30"/>
    </sheetView>
  </sheetViews>
  <sheetFormatPr baseColWidth="10" defaultColWidth="11.3984375" defaultRowHeight="13"/>
  <cols>
    <col min="1" max="1" width="14.796875" style="7" customWidth="1"/>
    <col min="2" max="2" width="14.796875" style="285" customWidth="1"/>
    <col min="3" max="3" width="14.796875" style="227" customWidth="1"/>
    <col min="4" max="4" width="14.796875" style="285" customWidth="1"/>
    <col min="5" max="5" width="14.796875" style="227" customWidth="1"/>
    <col min="6" max="6" width="14.796875" style="285" customWidth="1"/>
    <col min="7" max="7" width="14.796875" style="227" customWidth="1"/>
    <col min="8" max="8" width="7.19921875" style="7" customWidth="1"/>
    <col min="9" max="9" width="7.59765625" style="7" customWidth="1"/>
    <col min="10" max="10" width="6.3984375" style="7" customWidth="1"/>
    <col min="11" max="11" width="8.796875" style="7" customWidth="1"/>
    <col min="12" max="16384" width="11.3984375" style="7"/>
  </cols>
  <sheetData>
    <row r="1" spans="1:11" s="1" customFormat="1" ht="25.5" customHeight="1">
      <c r="A1" s="279" t="s">
        <v>926</v>
      </c>
      <c r="B1" s="280" t="s">
        <v>927</v>
      </c>
      <c r="C1" s="292"/>
      <c r="D1" s="293"/>
      <c r="E1" s="292"/>
      <c r="F1" s="293"/>
      <c r="G1" s="292"/>
      <c r="H1" s="294"/>
    </row>
    <row r="2" spans="1:11" s="1" customFormat="1" ht="28" customHeight="1">
      <c r="A2" s="294"/>
      <c r="B2" s="280" t="str">
        <f>"und Geschlecht "&amp;'[45]an_data an_1'!$B$2</f>
        <v>und Geschlecht 2001</v>
      </c>
      <c r="C2" s="292"/>
      <c r="D2" s="293"/>
      <c r="E2" s="292"/>
      <c r="F2" s="293"/>
      <c r="G2" s="292"/>
      <c r="H2" s="294"/>
    </row>
    <row r="3" spans="1:11" ht="27" customHeight="1">
      <c r="A3" s="41" t="s">
        <v>571</v>
      </c>
      <c r="B3" s="115" t="s">
        <v>907</v>
      </c>
      <c r="C3" s="42" t="s">
        <v>522</v>
      </c>
      <c r="D3" s="115" t="s">
        <v>908</v>
      </c>
      <c r="E3" s="42" t="s">
        <v>522</v>
      </c>
      <c r="F3" s="115" t="s">
        <v>514</v>
      </c>
      <c r="G3" s="42" t="s">
        <v>522</v>
      </c>
    </row>
    <row r="4" spans="1:11" ht="15" customHeight="1">
      <c r="A4" s="61"/>
      <c r="B4" s="11"/>
      <c r="C4" s="44" t="s">
        <v>523</v>
      </c>
      <c r="D4" s="11"/>
      <c r="E4" s="44" t="s">
        <v>523</v>
      </c>
      <c r="F4" s="11"/>
      <c r="G4" s="44" t="s">
        <v>523</v>
      </c>
    </row>
    <row r="5" spans="1:11" ht="15" customHeight="1">
      <c r="A5" s="61"/>
      <c r="B5" s="11"/>
      <c r="C5" s="44" t="s">
        <v>524</v>
      </c>
      <c r="D5" s="11"/>
      <c r="E5" s="44" t="s">
        <v>524</v>
      </c>
      <c r="F5" s="11"/>
      <c r="G5" s="44" t="s">
        <v>524</v>
      </c>
    </row>
    <row r="6" spans="1:11" ht="23" customHeight="1">
      <c r="A6" s="64"/>
      <c r="B6" s="189"/>
      <c r="C6" s="47"/>
      <c r="D6" s="189"/>
      <c r="E6" s="47"/>
      <c r="F6" s="189"/>
      <c r="G6" s="47"/>
    </row>
    <row r="7" spans="1:11" ht="30" customHeight="1" thickBot="1">
      <c r="A7" s="67" t="s">
        <v>909</v>
      </c>
      <c r="B7" s="230">
        <f>[54]f!B7</f>
        <v>53.78426178948888</v>
      </c>
      <c r="C7" s="231">
        <f>[54]f!C7</f>
        <v>5.4225191332461474E-2</v>
      </c>
      <c r="D7" s="230">
        <f>[54]f!D7</f>
        <v>50.982006888870472</v>
      </c>
      <c r="E7" s="231">
        <f>[54]f!E7</f>
        <v>4.5498634140732963E-2</v>
      </c>
      <c r="F7" s="230">
        <f>[54]f!F7</f>
        <v>52.383134339179676</v>
      </c>
      <c r="G7" s="231">
        <f>[54]f!G7</f>
        <v>4.9960497282666792E-2</v>
      </c>
      <c r="I7" s="295"/>
      <c r="J7" s="295"/>
      <c r="K7" s="295"/>
    </row>
    <row r="8" spans="1:11" ht="20" customHeight="1" thickBot="1">
      <c r="A8" s="70" t="s">
        <v>910</v>
      </c>
      <c r="B8" s="26">
        <f>[54]f!B8</f>
        <v>48.93299988178029</v>
      </c>
      <c r="C8" s="55">
        <f>[54]f!C8</f>
        <v>6.8026952128326643E-2</v>
      </c>
      <c r="D8" s="26">
        <f>[54]f!D8</f>
        <v>86.78126068592276</v>
      </c>
      <c r="E8" s="55">
        <f>[54]f!E8</f>
        <v>3.4228124545710781E-2</v>
      </c>
      <c r="F8" s="26">
        <f>[54]f!F8</f>
        <v>67.857130283851518</v>
      </c>
      <c r="G8" s="55">
        <f>[54]f!G8</f>
        <v>4.6165147456996937E-2</v>
      </c>
      <c r="I8" s="295"/>
      <c r="J8" s="295"/>
      <c r="K8" s="295"/>
    </row>
    <row r="9" spans="1:11" ht="20" customHeight="1" thickBot="1">
      <c r="A9" s="70" t="s">
        <v>601</v>
      </c>
      <c r="B9" s="26">
        <f>[54]f!B9</f>
        <v>52.885463704124568</v>
      </c>
      <c r="C9" s="55">
        <f>[54]f!C9</f>
        <v>4.9197633886065829E-2</v>
      </c>
      <c r="D9" s="26">
        <f>[54]f!D9</f>
        <v>122.29409181782488</v>
      </c>
      <c r="E9" s="55">
        <f>[54]f!E9</f>
        <v>1.0027794849411424E-2</v>
      </c>
      <c r="F9" s="26">
        <f>[54]f!F9</f>
        <v>87.589777760974727</v>
      </c>
      <c r="G9" s="55">
        <f>[54]f!G9</f>
        <v>2.1541186066390005E-2</v>
      </c>
      <c r="I9" s="295"/>
      <c r="J9" s="295"/>
      <c r="K9" s="295"/>
    </row>
    <row r="10" spans="1:11" ht="20" customHeight="1" thickBot="1">
      <c r="A10" s="70" t="s">
        <v>602</v>
      </c>
      <c r="B10" s="26">
        <f>[54]f!B10</f>
        <v>62.274628127310429</v>
      </c>
      <c r="C10" s="55">
        <f>[54]f!C10</f>
        <v>2.2187679866476878E-2</v>
      </c>
      <c r="D10" s="26">
        <f>[54]f!D10</f>
        <v>135.01961695832441</v>
      </c>
      <c r="E10" s="55">
        <f>[54]f!E10</f>
        <v>3.4312316146921117E-2</v>
      </c>
      <c r="F10" s="26">
        <f>[54]f!F10</f>
        <v>98.647122542817414</v>
      </c>
      <c r="G10" s="55">
        <f>[54]f!G10</f>
        <v>3.0454304447993307E-2</v>
      </c>
      <c r="I10" s="295"/>
      <c r="J10" s="295"/>
      <c r="K10" s="295"/>
    </row>
    <row r="11" spans="1:11" ht="20" customHeight="1" thickBot="1">
      <c r="A11" s="70" t="s">
        <v>603</v>
      </c>
      <c r="B11" s="26">
        <f>[54]f!B11</f>
        <v>74.427750654953883</v>
      </c>
      <c r="C11" s="55">
        <f>[54]f!C11</f>
        <v>2.6328467516495833E-2</v>
      </c>
      <c r="D11" s="26">
        <f>[54]f!D11</f>
        <v>125.09163100724994</v>
      </c>
      <c r="E11" s="55">
        <f>[54]f!E11</f>
        <v>5.7051741272764508E-2</v>
      </c>
      <c r="F11" s="26">
        <f>[54]f!F11</f>
        <v>99.759690831101921</v>
      </c>
      <c r="G11" s="55">
        <f>[54]f!G11</f>
        <v>4.5378153871620482E-2</v>
      </c>
      <c r="I11" s="295"/>
      <c r="J11" s="295"/>
      <c r="K11" s="295"/>
    </row>
    <row r="12" spans="1:11" ht="20" customHeight="1" thickBot="1">
      <c r="A12" s="70" t="s">
        <v>604</v>
      </c>
      <c r="B12" s="26">
        <f>[54]f!B12</f>
        <v>89.160818730652196</v>
      </c>
      <c r="C12" s="55">
        <f>[54]f!C12</f>
        <v>3.6093212204979658E-2</v>
      </c>
      <c r="D12" s="26">
        <f>[54]f!D12</f>
        <v>126.72770042733448</v>
      </c>
      <c r="E12" s="55">
        <f>[54]f!E12</f>
        <v>4.8905988953206463E-2</v>
      </c>
      <c r="F12" s="26">
        <f>[54]f!F12</f>
        <v>107.94425957899334</v>
      </c>
      <c r="G12" s="55">
        <f>[54]f!G12</f>
        <v>4.3576162338517896E-2</v>
      </c>
      <c r="I12" s="295"/>
      <c r="J12" s="295"/>
      <c r="K12" s="295"/>
    </row>
    <row r="13" spans="1:11" ht="20" customHeight="1" thickBot="1">
      <c r="A13" s="70" t="s">
        <v>605</v>
      </c>
      <c r="B13" s="26">
        <f>[54]f!B13</f>
        <v>111.44936615734936</v>
      </c>
      <c r="C13" s="55">
        <f>[54]f!C13</f>
        <v>6.1777959960783529E-2</v>
      </c>
      <c r="D13" s="26">
        <f>[54]f!D13</f>
        <v>149.7016661023051</v>
      </c>
      <c r="E13" s="55">
        <f>[54]f!E13</f>
        <v>5.0334697893733647E-2</v>
      </c>
      <c r="F13" s="26">
        <f>[54]f!F13</f>
        <v>130.57551612982724</v>
      </c>
      <c r="G13" s="55">
        <f>[54]f!G13</f>
        <v>5.5187938383122588E-2</v>
      </c>
      <c r="I13" s="295"/>
      <c r="J13" s="295"/>
      <c r="K13" s="295"/>
    </row>
    <row r="14" spans="1:11" ht="20" customHeight="1" thickBot="1">
      <c r="A14" s="70" t="s">
        <v>606</v>
      </c>
      <c r="B14" s="26">
        <f>[54]f!B14</f>
        <v>143.71872917691076</v>
      </c>
      <c r="C14" s="55">
        <f>[54]f!C14</f>
        <v>5.2798240045010408E-2</v>
      </c>
      <c r="D14" s="26">
        <f>[54]f!D14</f>
        <v>184.12541515813348</v>
      </c>
      <c r="E14" s="55">
        <f>[54]f!E14</f>
        <v>5.1288267751346255E-2</v>
      </c>
      <c r="F14" s="26">
        <f>[54]f!F14</f>
        <v>163.92207216752212</v>
      </c>
      <c r="G14" s="55">
        <f>[54]f!G14</f>
        <v>5.1949668567739235E-2</v>
      </c>
      <c r="I14" s="295"/>
      <c r="J14" s="295"/>
      <c r="K14" s="295"/>
    </row>
    <row r="15" spans="1:11" ht="20" customHeight="1" thickBot="1">
      <c r="A15" s="70" t="s">
        <v>607</v>
      </c>
      <c r="B15" s="26">
        <f>[54]f!B15</f>
        <v>186.85255296753735</v>
      </c>
      <c r="C15" s="55">
        <f>[54]f!C15</f>
        <v>4.6663482517557156E-2</v>
      </c>
      <c r="D15" s="26">
        <f>[54]f!D15</f>
        <v>215.47097488705887</v>
      </c>
      <c r="E15" s="55">
        <f>[54]f!E15</f>
        <v>5.9435342054474607E-2</v>
      </c>
      <c r="F15" s="26">
        <f>[54]f!F15</f>
        <v>201.16176392729813</v>
      </c>
      <c r="G15" s="55">
        <f>[54]f!G15</f>
        <v>5.3465115312007955E-2</v>
      </c>
      <c r="I15" s="295"/>
      <c r="J15" s="295"/>
      <c r="K15" s="295"/>
    </row>
    <row r="16" spans="1:11" ht="20" customHeight="1" thickBot="1">
      <c r="A16" s="70" t="s">
        <v>608</v>
      </c>
      <c r="B16" s="26">
        <f>[54]f!B16</f>
        <v>240.93069267724991</v>
      </c>
      <c r="C16" s="55">
        <f>[54]f!C16</f>
        <v>5.0978079791619078E-2</v>
      </c>
      <c r="D16" s="26">
        <f>[54]f!D16</f>
        <v>249.99123840964046</v>
      </c>
      <c r="E16" s="55">
        <f>[54]f!E16</f>
        <v>6.684503278007467E-2</v>
      </c>
      <c r="F16" s="26">
        <f>[54]f!F16</f>
        <v>245.46096554344518</v>
      </c>
      <c r="G16" s="55">
        <f>[54]f!G16</f>
        <v>5.8998551582661297E-2</v>
      </c>
      <c r="I16" s="295"/>
      <c r="J16" s="295"/>
      <c r="K16" s="295"/>
    </row>
    <row r="17" spans="1:11" ht="20" customHeight="1" thickBot="1">
      <c r="A17" s="70" t="s">
        <v>610</v>
      </c>
      <c r="B17" s="26">
        <f>[54]f!B17</f>
        <v>308.29494113774382</v>
      </c>
      <c r="C17" s="55">
        <f>[54]f!C17</f>
        <v>3.6630480442930359E-2</v>
      </c>
      <c r="D17" s="26">
        <f>[54]f!D17</f>
        <v>296.53163239958957</v>
      </c>
      <c r="E17" s="55">
        <f>[54]f!E17</f>
        <v>5.5466187684975465E-2</v>
      </c>
      <c r="F17" s="26">
        <f>[54]f!F17</f>
        <v>302.41328676866669</v>
      </c>
      <c r="G17" s="55">
        <f>[54]f!G17</f>
        <v>4.5780421108904443E-2</v>
      </c>
      <c r="I17" s="295"/>
      <c r="J17" s="295"/>
      <c r="K17" s="295"/>
    </row>
    <row r="18" spans="1:11" ht="20" customHeight="1" thickBot="1">
      <c r="A18" s="70" t="s">
        <v>611</v>
      </c>
      <c r="B18" s="26">
        <f>[54]f!B18</f>
        <v>382.57721736313209</v>
      </c>
      <c r="C18" s="55">
        <f>[54]f!C18</f>
        <v>5.294316795560982E-2</v>
      </c>
      <c r="D18" s="26">
        <f>[54]f!D18</f>
        <v>363.51710991515887</v>
      </c>
      <c r="E18" s="55">
        <f>[54]f!E18</f>
        <v>5.4963679354678441E-2</v>
      </c>
      <c r="F18" s="26">
        <f>[54]f!F18</f>
        <v>373.04716363914548</v>
      </c>
      <c r="G18" s="55">
        <f>[54]f!G18</f>
        <v>5.3926647432075238E-2</v>
      </c>
      <c r="I18" s="295"/>
      <c r="J18" s="295"/>
      <c r="K18" s="295"/>
    </row>
    <row r="19" spans="1:11" ht="20" customHeight="1" thickBot="1">
      <c r="A19" s="70" t="s">
        <v>612</v>
      </c>
      <c r="B19" s="26">
        <f>[54]f!B19</f>
        <v>467.60260167546124</v>
      </c>
      <c r="C19" s="55">
        <f>[54]f!C19</f>
        <v>5.5534936615212235E-2</v>
      </c>
      <c r="D19" s="26">
        <f>[54]f!D19</f>
        <v>463.77193483956677</v>
      </c>
      <c r="E19" s="55">
        <f>[54]f!E19</f>
        <v>5.2227230419986462E-2</v>
      </c>
      <c r="F19" s="26">
        <f>[54]f!F19</f>
        <v>465.68726825751401</v>
      </c>
      <c r="G19" s="55">
        <f>[54]f!G19</f>
        <v>5.3885290318700832E-2</v>
      </c>
      <c r="I19" s="295"/>
      <c r="J19" s="295"/>
      <c r="K19" s="295"/>
    </row>
    <row r="20" spans="1:11" ht="20" customHeight="1" thickBot="1">
      <c r="A20" s="70" t="s">
        <v>613</v>
      </c>
      <c r="B20" s="26">
        <f>[54]f!B20</f>
        <v>545.38343228211045</v>
      </c>
      <c r="C20" s="55">
        <f>[54]f!C20</f>
        <v>5.3343522995242233E-2</v>
      </c>
      <c r="D20" s="26">
        <f>[54]f!D20</f>
        <v>602.71773527172479</v>
      </c>
      <c r="E20" s="55">
        <f>[54]f!E20</f>
        <v>4.2992390611873377E-2</v>
      </c>
      <c r="F20" s="26">
        <f>[54]f!F20</f>
        <v>574.05058377691762</v>
      </c>
      <c r="G20" s="55">
        <f>[54]f!G20</f>
        <v>4.7884011942558299E-2</v>
      </c>
      <c r="I20" s="295"/>
      <c r="J20" s="295"/>
      <c r="K20" s="295"/>
    </row>
    <row r="21" spans="1:11" ht="20" customHeight="1" thickBot="1">
      <c r="A21" s="70" t="s">
        <v>614</v>
      </c>
      <c r="B21" s="26">
        <f>[54]f!B21</f>
        <v>669.91440937949562</v>
      </c>
      <c r="C21" s="55">
        <f>[54]f!C21</f>
        <v>4.7859533280948274E-2</v>
      </c>
      <c r="D21" s="26">
        <f>[54]f!D21</f>
        <v>826.97575504249278</v>
      </c>
      <c r="E21" s="55">
        <f>[54]f!E21</f>
        <v>6.2009595500697137E-2</v>
      </c>
      <c r="F21" s="26">
        <f>[54]f!F21</f>
        <v>748.4450822109942</v>
      </c>
      <c r="G21" s="55">
        <f>[54]f!G21</f>
        <v>5.5629952604475404E-2</v>
      </c>
      <c r="I21" s="295"/>
      <c r="J21" s="295"/>
      <c r="K21" s="295"/>
    </row>
    <row r="22" spans="1:11" ht="20" customHeight="1" thickBot="1">
      <c r="A22" s="70" t="s">
        <v>911</v>
      </c>
      <c r="B22" s="26">
        <f>[54]f!B22</f>
        <v>874.26560168987169</v>
      </c>
      <c r="C22" s="55">
        <f>[54]f!C22</f>
        <v>4.3371592784236163E-2</v>
      </c>
      <c r="D22" s="26">
        <f>[54]f!D22</f>
        <v>1156.4566208175891</v>
      </c>
      <c r="E22" s="55">
        <f>[54]f!E22</f>
        <v>4.32429532755568E-2</v>
      </c>
      <c r="F22" s="26">
        <f>[54]f!F22</f>
        <v>1015.3611112537303</v>
      </c>
      <c r="G22" s="55">
        <f>[54]f!G22</f>
        <v>4.3298331209249391E-2</v>
      </c>
      <c r="I22" s="295"/>
      <c r="J22" s="295"/>
      <c r="K22" s="295"/>
    </row>
    <row r="23" spans="1:11" ht="30" customHeight="1" thickBot="1">
      <c r="A23" s="78" t="s">
        <v>514</v>
      </c>
      <c r="B23" s="184">
        <f>[54]f!B23</f>
        <v>131.4132629423608</v>
      </c>
      <c r="C23" s="58">
        <f>[54]f!C23</f>
        <v>5.8266246406351301E-2</v>
      </c>
      <c r="D23" s="184">
        <f>[54]f!D23</f>
        <v>186.7231671770403</v>
      </c>
      <c r="E23" s="58">
        <f>[54]f!E23</f>
        <v>5.4888773895206848E-2</v>
      </c>
      <c r="F23" s="184">
        <f>[54]f!F23</f>
        <v>159.06821505970055</v>
      </c>
      <c r="G23" s="58">
        <f>[54]f!G23</f>
        <v>5.6281296532043557E-2</v>
      </c>
      <c r="I23" s="295"/>
      <c r="J23" s="295"/>
      <c r="K23" s="295"/>
    </row>
    <row r="24" spans="1:11" ht="20" customHeight="1">
      <c r="A24" s="28" t="str">
        <f>"Datenstand: Juli "&amp;'[45]an_data an_1'!$B$2+1</f>
        <v>Datenstand: Juli 2002</v>
      </c>
      <c r="B24" s="284"/>
      <c r="C24" s="278"/>
      <c r="D24" s="284"/>
      <c r="E24" s="278"/>
      <c r="F24" s="284"/>
      <c r="G24" s="278"/>
    </row>
    <row r="25" spans="1:11" ht="12" customHeight="1">
      <c r="A25" s="178" t="s">
        <v>925</v>
      </c>
    </row>
    <row r="26" spans="1:11" ht="30" customHeight="1">
      <c r="A26" s="178"/>
    </row>
    <row r="27" spans="1:11" ht="18" customHeight="1">
      <c r="A27" s="163"/>
    </row>
    <row r="28" spans="1:11" ht="18" customHeight="1">
      <c r="A28" s="286"/>
    </row>
    <row r="29" spans="1:11" ht="30" customHeight="1"/>
    <row r="30" spans="1:11" ht="30" customHeight="1">
      <c r="I30" s="159"/>
    </row>
    <row r="31" spans="1:11" ht="30" customHeight="1"/>
    <row r="32" spans="1:11" ht="30" customHeight="1"/>
    <row r="33" ht="30" customHeight="1"/>
    <row r="34" ht="30" customHeight="1"/>
    <row r="35" ht="30" customHeight="1"/>
    <row r="36" ht="30" customHeight="1"/>
  </sheetData>
  <phoneticPr fontId="0" type="noConversion"/>
  <pageMargins left="0.78740157480314965" right="0.44" top="1.1023622047244095" bottom="0.86614173228346458" header="0.74803149606299213" footer="0.51181102362204722"/>
  <pageSetup paperSize="9" scale="80" orientation="portrait" horizontalDpi="4294967292" verticalDpi="4294967292"/>
  <headerFooter alignWithMargins="0">
    <oddHeader>&amp;L&amp;"Arial,Bold"&amp;14Risikoausgleich in der OKP</oddHeader>
    <oddFooter>&amp;L&amp;"Arial,Regular"Statistik über die Krankenversicherung, Bundesamt für Sozialversicherung</oddFooter>
  </headerFooter>
  <rowBreaks count="1" manualBreakCount="1">
    <brk id="26" max="16383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4A10-6E9C-784A-BC0E-2DDAA361406E}">
  <dimension ref="A1:I39"/>
  <sheetViews>
    <sheetView topLeftCell="A19" zoomScale="75" workbookViewId="0">
      <selection activeCell="A3" sqref="A3"/>
    </sheetView>
  </sheetViews>
  <sheetFormatPr baseColWidth="10" defaultColWidth="11.3984375" defaultRowHeight="13"/>
  <cols>
    <col min="1" max="1" width="14.796875" style="7" customWidth="1"/>
    <col min="2" max="4" width="14.796875" style="285" customWidth="1"/>
    <col min="5" max="5" width="15.59765625" style="285" customWidth="1"/>
    <col min="6" max="6" width="16.19921875" style="285" customWidth="1"/>
    <col min="7" max="7" width="14.796875" style="227" customWidth="1"/>
    <col min="8" max="8" width="11.3984375" style="7"/>
    <col min="9" max="9" width="15.19921875" style="7" hidden="1" customWidth="1"/>
    <col min="10" max="16384" width="11.3984375" style="7"/>
  </cols>
  <sheetData>
    <row r="1" spans="1:9" s="1" customFormat="1" ht="14" customHeight="1">
      <c r="B1" s="281"/>
      <c r="C1" s="281"/>
      <c r="D1" s="281"/>
      <c r="E1" s="281"/>
      <c r="F1" s="281"/>
      <c r="G1" s="269"/>
    </row>
    <row r="2" spans="1:9" s="1" customFormat="1" ht="28" customHeight="1">
      <c r="A2" s="2" t="str">
        <f>"T 2.10  Kostenbeteiligung 1) pro Versicherten pro Jahr in Fr. nach Kantonen "&amp;'[45]an_data an_1'!$B$2</f>
        <v>T 2.10  Kostenbeteiligung 1) pro Versicherten pro Jahr in Fr. nach Kantonen 2001</v>
      </c>
      <c r="B2" s="281"/>
      <c r="C2" s="281"/>
      <c r="D2" s="281"/>
      <c r="E2" s="281"/>
      <c r="F2" s="281"/>
      <c r="G2" s="269"/>
    </row>
    <row r="3" spans="1:9" ht="27" customHeight="1">
      <c r="A3" s="41" t="s">
        <v>537</v>
      </c>
      <c r="B3" s="115" t="s">
        <v>538</v>
      </c>
      <c r="C3" s="96" t="s">
        <v>529</v>
      </c>
      <c r="D3" s="115" t="s">
        <v>530</v>
      </c>
      <c r="E3" s="96" t="s">
        <v>514</v>
      </c>
      <c r="F3" s="115" t="s">
        <v>514</v>
      </c>
      <c r="G3" s="42" t="s">
        <v>522</v>
      </c>
    </row>
    <row r="4" spans="1:9" ht="15" customHeight="1">
      <c r="A4" s="61"/>
      <c r="B4" s="11"/>
      <c r="C4" s="45"/>
      <c r="D4" s="11"/>
      <c r="E4" s="45" t="s">
        <v>898</v>
      </c>
      <c r="F4" s="11" t="s">
        <v>899</v>
      </c>
      <c r="G4" s="44" t="s">
        <v>523</v>
      </c>
    </row>
    <row r="5" spans="1:9" ht="15" customHeight="1">
      <c r="A5" s="61"/>
      <c r="B5" s="11"/>
      <c r="C5" s="45"/>
      <c r="D5" s="11"/>
      <c r="E5" s="45" t="s">
        <v>900</v>
      </c>
      <c r="F5" s="11" t="s">
        <v>531</v>
      </c>
      <c r="G5" s="44" t="s">
        <v>524</v>
      </c>
    </row>
    <row r="6" spans="1:9" ht="24" customHeight="1">
      <c r="A6" s="64"/>
      <c r="B6" s="189"/>
      <c r="C6" s="48"/>
      <c r="D6" s="189"/>
      <c r="E6" s="48"/>
      <c r="F6" s="189"/>
      <c r="G6" s="47"/>
    </row>
    <row r="7" spans="1:9" ht="30" customHeight="1" thickBot="1">
      <c r="A7" s="67" t="s">
        <v>541</v>
      </c>
      <c r="B7" s="230">
        <f>[55]f!B7</f>
        <v>72.466386519727962</v>
      </c>
      <c r="C7" s="229">
        <f>[55]f!C7</f>
        <v>332.38563722651259</v>
      </c>
      <c r="D7" s="230">
        <f>[55]f!D7</f>
        <v>434.80096524011867</v>
      </c>
      <c r="E7" s="229">
        <f>[55]f!E7</f>
        <v>385.30992173625043</v>
      </c>
      <c r="F7" s="230">
        <f>[55]f!F7</f>
        <v>324.53281417442201</v>
      </c>
      <c r="G7" s="231">
        <f>[55]f!G7</f>
        <v>3.2992907569677515E-2</v>
      </c>
      <c r="I7" s="22">
        <v>2156035045</v>
      </c>
    </row>
    <row r="8" spans="1:9" ht="20" customHeight="1" thickBot="1">
      <c r="A8" s="70" t="s">
        <v>542</v>
      </c>
      <c r="B8" s="26">
        <f>[55]f!B8</f>
        <v>66.039494135329704</v>
      </c>
      <c r="C8" s="54">
        <f>[55]f!C8</f>
        <v>342.79421181626412</v>
      </c>
      <c r="D8" s="26">
        <f>[55]f!D8</f>
        <v>443.93111865582966</v>
      </c>
      <c r="E8" s="54">
        <f>[55]f!E8</f>
        <v>395.48527507456004</v>
      </c>
      <c r="F8" s="26">
        <f>[55]f!F8</f>
        <v>328.30147068214853</v>
      </c>
      <c r="G8" s="55">
        <f>[55]f!G8</f>
        <v>1.9055788466713006E-2</v>
      </c>
      <c r="I8" s="22">
        <v>1563935884</v>
      </c>
    </row>
    <row r="9" spans="1:9" ht="20" customHeight="1" thickBot="1">
      <c r="A9" s="70" t="s">
        <v>543</v>
      </c>
      <c r="B9" s="26">
        <f>[55]f!B9</f>
        <v>48.082299321192977</v>
      </c>
      <c r="C9" s="54">
        <f>[55]f!C9</f>
        <v>277.2871659127772</v>
      </c>
      <c r="D9" s="26">
        <f>[55]f!D9</f>
        <v>355.39041651250488</v>
      </c>
      <c r="E9" s="54">
        <f>[55]f!E9</f>
        <v>317.38702158557112</v>
      </c>
      <c r="F9" s="26">
        <f>[55]f!F9</f>
        <v>255.03710390190923</v>
      </c>
      <c r="G9" s="55">
        <f>[55]f!G9</f>
        <v>5.0864275565864703E-2</v>
      </c>
      <c r="I9" s="22">
        <v>464604355</v>
      </c>
    </row>
    <row r="10" spans="1:9" ht="20" customHeight="1" thickBot="1">
      <c r="A10" s="70" t="s">
        <v>544</v>
      </c>
      <c r="B10" s="26">
        <f>[55]f!B10</f>
        <v>55.983118723430408</v>
      </c>
      <c r="C10" s="54">
        <f>[55]f!C10</f>
        <v>303.25856905838782</v>
      </c>
      <c r="D10" s="26">
        <f>[55]f!D10</f>
        <v>372.88240881789068</v>
      </c>
      <c r="E10" s="54">
        <f>[55]f!E10</f>
        <v>338.2274726789218</v>
      </c>
      <c r="F10" s="26">
        <f>[55]f!F10</f>
        <v>273.91376129324101</v>
      </c>
      <c r="G10" s="55">
        <f>[55]f!G10</f>
        <v>5.4883000310100523E-2</v>
      </c>
      <c r="I10" s="22">
        <v>45901795</v>
      </c>
    </row>
    <row r="11" spans="1:9" ht="20" customHeight="1" thickBot="1">
      <c r="A11" s="70" t="s">
        <v>545</v>
      </c>
      <c r="B11" s="26">
        <f>[55]f!B11</f>
        <v>60.965521215136562</v>
      </c>
      <c r="C11" s="54">
        <f>[55]f!C11</f>
        <v>310.69803685291561</v>
      </c>
      <c r="D11" s="26">
        <f>[55]f!D11</f>
        <v>386.83521458260293</v>
      </c>
      <c r="E11" s="54">
        <f>[55]f!E11</f>
        <v>348.6647815270029</v>
      </c>
      <c r="F11" s="26">
        <f>[55]f!F11</f>
        <v>280.82239044459095</v>
      </c>
      <c r="G11" s="55">
        <f>[55]f!G11</f>
        <v>7.5518429772527595E-2</v>
      </c>
      <c r="I11" s="22">
        <v>171549320</v>
      </c>
    </row>
    <row r="12" spans="1:9" ht="20" customHeight="1" thickBot="1">
      <c r="A12" s="70" t="s">
        <v>546</v>
      </c>
      <c r="B12" s="26">
        <f>[55]f!B12</f>
        <v>50.76420992670694</v>
      </c>
      <c r="C12" s="54">
        <f>[55]f!C12</f>
        <v>272.5387721992243</v>
      </c>
      <c r="D12" s="26">
        <f>[55]f!D12</f>
        <v>370.1737567311236</v>
      </c>
      <c r="E12" s="54">
        <f>[55]f!E12</f>
        <v>321.39863999211605</v>
      </c>
      <c r="F12" s="26">
        <f>[55]f!F12</f>
        <v>256.26450445898485</v>
      </c>
      <c r="G12" s="55">
        <f>[55]f!G12</f>
        <v>2.9097096092115408E-2</v>
      </c>
      <c r="I12" s="22">
        <v>41764939</v>
      </c>
    </row>
    <row r="13" spans="1:9" ht="20" customHeight="1" thickBot="1">
      <c r="A13" s="70" t="s">
        <v>547</v>
      </c>
      <c r="B13" s="26">
        <f>[55]f!B13</f>
        <v>49.688935485043771</v>
      </c>
      <c r="C13" s="54">
        <f>[55]f!C13</f>
        <v>264.96252269567418</v>
      </c>
      <c r="D13" s="26">
        <f>[55]f!D13</f>
        <v>354.66294536219823</v>
      </c>
      <c r="E13" s="54">
        <f>[55]f!E13</f>
        <v>309.59387210514853</v>
      </c>
      <c r="F13" s="26">
        <f>[55]f!F13</f>
        <v>251.42774357725352</v>
      </c>
      <c r="G13" s="55">
        <f>[55]f!G13</f>
        <v>2.2642706093308526E-2</v>
      </c>
      <c r="I13" s="22">
        <v>44323506</v>
      </c>
    </row>
    <row r="14" spans="1:9" ht="20" customHeight="1" thickBot="1">
      <c r="A14" s="70" t="s">
        <v>548</v>
      </c>
      <c r="B14" s="26">
        <f>[55]f!B14</f>
        <v>61.899149513460372</v>
      </c>
      <c r="C14" s="54">
        <f>[55]f!C14</f>
        <v>312.07537102204481</v>
      </c>
      <c r="D14" s="26">
        <f>[55]f!D14</f>
        <v>397.29782349617267</v>
      </c>
      <c r="E14" s="54">
        <f>[55]f!E14</f>
        <v>355.64919146437387</v>
      </c>
      <c r="F14" s="26">
        <f>[55]f!F14</f>
        <v>288.30270886349945</v>
      </c>
      <c r="G14" s="55">
        <f>[55]f!G14</f>
        <v>4.3751145059163138E-2</v>
      </c>
      <c r="I14" s="22">
        <v>55927154</v>
      </c>
    </row>
    <row r="15" spans="1:9" ht="20" customHeight="1" thickBot="1">
      <c r="A15" s="70" t="s">
        <v>549</v>
      </c>
      <c r="B15" s="26">
        <f>[55]f!B15</f>
        <v>53.344597857900453</v>
      </c>
      <c r="C15" s="54">
        <f>[55]f!C15</f>
        <v>295.45450713669919</v>
      </c>
      <c r="D15" s="26">
        <f>[55]f!D15</f>
        <v>392.98233066403691</v>
      </c>
      <c r="E15" s="54">
        <f>[55]f!E15</f>
        <v>344.56606071581382</v>
      </c>
      <c r="F15" s="26">
        <f>[55]f!F15</f>
        <v>283.28400941940549</v>
      </c>
      <c r="G15" s="55">
        <f>[55]f!G15</f>
        <v>4.6199941245431121E-2</v>
      </c>
      <c r="I15" s="22">
        <v>128772453</v>
      </c>
    </row>
    <row r="16" spans="1:9" ht="20" customHeight="1" thickBot="1">
      <c r="A16" s="70" t="s">
        <v>550</v>
      </c>
      <c r="B16" s="26">
        <f>[55]f!B16</f>
        <v>73.221537849913716</v>
      </c>
      <c r="C16" s="54">
        <f>[55]f!C16</f>
        <v>357.00108197134989</v>
      </c>
      <c r="D16" s="26">
        <f>[55]f!D16</f>
        <v>461.33410272895424</v>
      </c>
      <c r="E16" s="54">
        <f>[55]f!E16</f>
        <v>410.09987071751777</v>
      </c>
      <c r="F16" s="26">
        <f>[55]f!F16</f>
        <v>329.08176050701559</v>
      </c>
      <c r="G16" s="55">
        <f>[55]f!G16</f>
        <v>5.1697929761655353E-2</v>
      </c>
      <c r="I16" s="22">
        <v>391250033</v>
      </c>
    </row>
    <row r="17" spans="1:9" ht="20" customHeight="1" thickBot="1">
      <c r="A17" s="70" t="s">
        <v>551</v>
      </c>
      <c r="B17" s="26">
        <f>[55]f!B17</f>
        <v>60.619522640191519</v>
      </c>
      <c r="C17" s="54">
        <f>[55]f!C17</f>
        <v>334.11098580186899</v>
      </c>
      <c r="D17" s="26">
        <f>[55]f!D17</f>
        <v>427.20087022426344</v>
      </c>
      <c r="E17" s="54">
        <f>[55]f!E17</f>
        <v>381.90236823021723</v>
      </c>
      <c r="F17" s="26">
        <f>[55]f!F17</f>
        <v>312.50096226697963</v>
      </c>
      <c r="G17" s="55">
        <f>[55]f!G17</f>
        <v>3.3668657318222057E-2</v>
      </c>
      <c r="I17" s="22">
        <v>393696828</v>
      </c>
    </row>
    <row r="18" spans="1:9" ht="20" customHeight="1" thickBot="1">
      <c r="A18" s="70" t="s">
        <v>552</v>
      </c>
      <c r="B18" s="26">
        <f>[55]f!B18</f>
        <v>88.054770932330996</v>
      </c>
      <c r="C18" s="54">
        <f>[55]f!C18</f>
        <v>408.3260289282025</v>
      </c>
      <c r="D18" s="26">
        <f>[55]f!D18</f>
        <v>524.3526809679222</v>
      </c>
      <c r="E18" s="54">
        <f>[55]f!E18</f>
        <v>470.28009717473492</v>
      </c>
      <c r="F18" s="26">
        <f>[55]f!F18</f>
        <v>408.15429950832777</v>
      </c>
      <c r="G18" s="55">
        <f>[55]f!G18</f>
        <v>6.1681706119238157E-2</v>
      </c>
      <c r="I18" s="22">
        <v>473520714</v>
      </c>
    </row>
    <row r="19" spans="1:9" ht="20" customHeight="1" thickBot="1">
      <c r="A19" s="70" t="s">
        <v>553</v>
      </c>
      <c r="B19" s="26">
        <f>[55]f!B19</f>
        <v>80.357702016016361</v>
      </c>
      <c r="C19" s="54">
        <f>[55]f!C19</f>
        <v>371.77102492270819</v>
      </c>
      <c r="D19" s="26">
        <f>[55]f!D19</f>
        <v>469.93610905033324</v>
      </c>
      <c r="E19" s="54">
        <f>[55]f!E19</f>
        <v>422.33762526495332</v>
      </c>
      <c r="F19" s="26">
        <f>[55]f!F19</f>
        <v>353.54225547319027</v>
      </c>
      <c r="G19" s="55">
        <f>[55]f!G19</f>
        <v>5.2722590558726863E-2</v>
      </c>
      <c r="I19" s="22">
        <v>469771093</v>
      </c>
    </row>
    <row r="20" spans="1:9" ht="20" customHeight="1" thickBot="1">
      <c r="A20" s="70" t="s">
        <v>554</v>
      </c>
      <c r="B20" s="26">
        <f>[55]f!B20</f>
        <v>55.438090108945232</v>
      </c>
      <c r="C20" s="54">
        <f>[55]f!C20</f>
        <v>338.61561410477054</v>
      </c>
      <c r="D20" s="26">
        <f>[55]f!D20</f>
        <v>437.50082965935906</v>
      </c>
      <c r="E20" s="54">
        <f>[55]f!E20</f>
        <v>390.19794318249387</v>
      </c>
      <c r="F20" s="26">
        <f>[55]f!F20</f>
        <v>320.2039999866422</v>
      </c>
      <c r="G20" s="55">
        <f>[55]f!G20</f>
        <v>5.282517491511711E-2</v>
      </c>
      <c r="I20" s="22">
        <v>127694959</v>
      </c>
    </row>
    <row r="21" spans="1:9" ht="20" customHeight="1" thickBot="1">
      <c r="A21" s="70" t="s">
        <v>555</v>
      </c>
      <c r="B21" s="26">
        <f>[55]f!B21</f>
        <v>49.876726821475529</v>
      </c>
      <c r="C21" s="54">
        <f>[55]f!C21</f>
        <v>279.89583886910776</v>
      </c>
      <c r="D21" s="26">
        <f>[55]f!D21</f>
        <v>356.83020196075825</v>
      </c>
      <c r="E21" s="54">
        <f>[55]f!E21</f>
        <v>319.29953102421632</v>
      </c>
      <c r="F21" s="26">
        <f>[55]f!F21</f>
        <v>255.56561609927024</v>
      </c>
      <c r="G21" s="55">
        <f>[55]f!G21</f>
        <v>4.8519165944734127E-2</v>
      </c>
      <c r="I21" s="22">
        <v>69489100</v>
      </c>
    </row>
    <row r="22" spans="1:9" ht="20" customHeight="1" thickBot="1">
      <c r="A22" s="70" t="s">
        <v>556</v>
      </c>
      <c r="B22" s="26">
        <f>[55]f!B22</f>
        <v>38.514785080782318</v>
      </c>
      <c r="C22" s="54">
        <f>[55]f!C22</f>
        <v>267.74194717462541</v>
      </c>
      <c r="D22" s="26">
        <f>[55]f!D22</f>
        <v>332.13596110979222</v>
      </c>
      <c r="E22" s="54">
        <f>[55]f!E22</f>
        <v>299.6855176494546</v>
      </c>
      <c r="F22" s="26">
        <f>[55]f!F22</f>
        <v>229.86549365267877</v>
      </c>
      <c r="G22" s="55">
        <f>[55]f!G22</f>
        <v>8.8838721366950466E-2</v>
      </c>
      <c r="I22" s="22">
        <v>16712649</v>
      </c>
    </row>
    <row r="23" spans="1:9" ht="20" customHeight="1" thickBot="1">
      <c r="A23" s="70" t="s">
        <v>557</v>
      </c>
      <c r="B23" s="26">
        <f>[55]f!B23</f>
        <v>56.204347836181796</v>
      </c>
      <c r="C23" s="54">
        <f>[55]f!C23</f>
        <v>304.43978164985117</v>
      </c>
      <c r="D23" s="26">
        <f>[55]f!D23</f>
        <v>379.82280707158702</v>
      </c>
      <c r="E23" s="54">
        <f>[55]f!E23</f>
        <v>343.06509664065027</v>
      </c>
      <c r="F23" s="26">
        <f>[55]f!F23</f>
        <v>275.3489432679126</v>
      </c>
      <c r="G23" s="55">
        <f>[55]f!G23</f>
        <v>4.7792401896276163E-2</v>
      </c>
      <c r="I23" s="22">
        <v>615853738</v>
      </c>
    </row>
    <row r="24" spans="1:9" ht="20" customHeight="1" thickBot="1">
      <c r="A24" s="70" t="s">
        <v>558</v>
      </c>
      <c r="B24" s="26">
        <f>[55]f!B24</f>
        <v>54.587459567056499</v>
      </c>
      <c r="C24" s="54">
        <f>[55]f!C24</f>
        <v>285.60103534618401</v>
      </c>
      <c r="D24" s="26">
        <f>[55]f!D24</f>
        <v>365.44656043307862</v>
      </c>
      <c r="E24" s="54">
        <f>[55]f!E24</f>
        <v>325.83178812899996</v>
      </c>
      <c r="F24" s="26">
        <f>[55]f!F24</f>
        <v>269.54849493320171</v>
      </c>
      <c r="G24" s="55">
        <f>[55]f!G24</f>
        <v>4.752527129197303E-2</v>
      </c>
      <c r="I24" s="22">
        <v>264690646</v>
      </c>
    </row>
    <row r="25" spans="1:9" ht="20" customHeight="1" thickBot="1">
      <c r="A25" s="70" t="s">
        <v>559</v>
      </c>
      <c r="B25" s="26">
        <f>[55]f!B25</f>
        <v>57.806918029140178</v>
      </c>
      <c r="C25" s="54">
        <f>[55]f!C25</f>
        <v>308.61734366449184</v>
      </c>
      <c r="D25" s="26">
        <f>[55]f!D25</f>
        <v>397.97022386842502</v>
      </c>
      <c r="E25" s="54">
        <f>[55]f!E25</f>
        <v>353.86348670875054</v>
      </c>
      <c r="F25" s="26">
        <f>[55]f!F25</f>
        <v>287.63992516592134</v>
      </c>
      <c r="G25" s="55">
        <f>[55]f!G25</f>
        <v>4.9125967580717952E-2</v>
      </c>
      <c r="I25" s="22">
        <v>819222625</v>
      </c>
    </row>
    <row r="26" spans="1:9" ht="20" customHeight="1" thickBot="1">
      <c r="A26" s="70" t="s">
        <v>560</v>
      </c>
      <c r="B26" s="26">
        <f>[55]f!B26</f>
        <v>55.456153673243421</v>
      </c>
      <c r="C26" s="54">
        <f>[55]f!C26</f>
        <v>300.02344204332235</v>
      </c>
      <c r="D26" s="26">
        <f>[55]f!D26</f>
        <v>389.6512956475151</v>
      </c>
      <c r="E26" s="54">
        <f>[55]f!E26</f>
        <v>345.62293428941155</v>
      </c>
      <c r="F26" s="26">
        <f>[55]f!F26</f>
        <v>274.5218239799035</v>
      </c>
      <c r="G26" s="55">
        <f>[55]f!G26</f>
        <v>4.8036685115965538E-2</v>
      </c>
      <c r="I26" s="22">
        <v>344655658</v>
      </c>
    </row>
    <row r="27" spans="1:9" ht="20" customHeight="1" thickBot="1">
      <c r="A27" s="70" t="s">
        <v>561</v>
      </c>
      <c r="B27" s="26">
        <f>[55]f!B27</f>
        <v>99.719814681291638</v>
      </c>
      <c r="C27" s="54">
        <f>[55]f!C27</f>
        <v>418.98622007140602</v>
      </c>
      <c r="D27" s="26">
        <f>[55]f!D27</f>
        <v>511.02004395605707</v>
      </c>
      <c r="E27" s="54">
        <f>[55]f!E27</f>
        <v>467.75637898148705</v>
      </c>
      <c r="F27" s="26">
        <f>[55]f!F27</f>
        <v>400.32867543964176</v>
      </c>
      <c r="G27" s="55">
        <f>[55]f!G27</f>
        <v>3.722719855432477E-2</v>
      </c>
      <c r="I27" s="22">
        <v>627641817</v>
      </c>
    </row>
    <row r="28" spans="1:9" ht="20" customHeight="1" thickBot="1">
      <c r="A28" s="70" t="s">
        <v>562</v>
      </c>
      <c r="B28" s="26">
        <f>[55]f!B28</f>
        <v>134.89923316363127</v>
      </c>
      <c r="C28" s="54">
        <f>[55]f!C28</f>
        <v>425.36917095077058</v>
      </c>
      <c r="D28" s="26">
        <f>[55]f!D28</f>
        <v>554.53174735810853</v>
      </c>
      <c r="E28" s="54">
        <f>[55]f!E28</f>
        <v>493.17004829680809</v>
      </c>
      <c r="F28" s="26">
        <f>[55]f!F28</f>
        <v>414.5197832821591</v>
      </c>
      <c r="G28" s="55">
        <f>[55]f!G28</f>
        <v>5.2149511193811206E-2</v>
      </c>
      <c r="I28" s="22">
        <v>1280335377</v>
      </c>
    </row>
    <row r="29" spans="1:9" ht="20" customHeight="1" thickBot="1">
      <c r="A29" s="70" t="s">
        <v>563</v>
      </c>
      <c r="B29" s="26">
        <f>[55]f!B29</f>
        <v>68.734571790924576</v>
      </c>
      <c r="C29" s="54">
        <f>[55]f!C29</f>
        <v>322.99075237543434</v>
      </c>
      <c r="D29" s="26">
        <f>[55]f!D29</f>
        <v>417.47722588055285</v>
      </c>
      <c r="E29" s="54">
        <f>[55]f!E29</f>
        <v>371.4418468743894</v>
      </c>
      <c r="F29" s="26">
        <f>[55]f!F29</f>
        <v>304.58835015790146</v>
      </c>
      <c r="G29" s="55">
        <f>[55]f!G29</f>
        <v>3.9573952763148242E-2</v>
      </c>
      <c r="I29" s="22">
        <v>410743307</v>
      </c>
    </row>
    <row r="30" spans="1:9" ht="20" customHeight="1" thickBot="1">
      <c r="A30" s="70" t="s">
        <v>564</v>
      </c>
      <c r="B30" s="26">
        <f>[55]f!B30</f>
        <v>90.042186803388319</v>
      </c>
      <c r="C30" s="54">
        <f>[55]f!C30</f>
        <v>380.38670322852249</v>
      </c>
      <c r="D30" s="26">
        <f>[55]f!D30</f>
        <v>497.60351865323696</v>
      </c>
      <c r="E30" s="54">
        <f>[55]f!E30</f>
        <v>441.7136794314589</v>
      </c>
      <c r="F30" s="26">
        <f>[55]f!F30</f>
        <v>366.58566601595464</v>
      </c>
      <c r="G30" s="55">
        <f>[55]f!G30</f>
        <v>3.0680425596800957E-2</v>
      </c>
      <c r="I30" s="22">
        <v>318756043</v>
      </c>
    </row>
    <row r="31" spans="1:9" ht="20" customHeight="1" thickBot="1">
      <c r="A31" s="70" t="s">
        <v>565</v>
      </c>
      <c r="B31" s="26">
        <f>[55]f!B31</f>
        <v>122.49315618742725</v>
      </c>
      <c r="C31" s="54">
        <f>[55]f!C31</f>
        <v>451.37234987851423</v>
      </c>
      <c r="D31" s="26">
        <f>[55]f!D31</f>
        <v>593.0076976596979</v>
      </c>
      <c r="E31" s="54">
        <f>[55]f!E31</f>
        <v>526.46435202555767</v>
      </c>
      <c r="F31" s="26">
        <f>[55]f!F31</f>
        <v>441.09544639343699</v>
      </c>
      <c r="G31" s="55">
        <f>[55]f!G31</f>
        <v>6.6657478002570603E-2</v>
      </c>
      <c r="I31" s="22">
        <v>966736347</v>
      </c>
    </row>
    <row r="32" spans="1:9" ht="20" customHeight="1" thickBot="1">
      <c r="A32" s="73" t="s">
        <v>566</v>
      </c>
      <c r="B32" s="26">
        <f>[55]f!B32</f>
        <v>81.795408053468776</v>
      </c>
      <c r="C32" s="54">
        <f>[55]f!C32</f>
        <v>367.84874400767023</v>
      </c>
      <c r="D32" s="26">
        <f>[55]f!D32</f>
        <v>468.19222108480608</v>
      </c>
      <c r="E32" s="54">
        <f>[55]f!E32</f>
        <v>419.52264135992141</v>
      </c>
      <c r="F32" s="26">
        <f>[55]f!F32</f>
        <v>341.42567263211322</v>
      </c>
      <c r="G32" s="55">
        <f>[55]f!G32</f>
        <v>3.8058353574578138E-2</v>
      </c>
      <c r="I32" s="22">
        <v>146808815</v>
      </c>
    </row>
    <row r="33" spans="1:9" ht="30" customHeight="1" thickBot="1">
      <c r="A33" s="78" t="s">
        <v>808</v>
      </c>
      <c r="B33" s="184">
        <f>[55]f!B33</f>
        <v>75.399124990013632</v>
      </c>
      <c r="C33" s="151">
        <f>[55]f!C33</f>
        <v>346.08695517800993</v>
      </c>
      <c r="D33" s="184">
        <f>[55]f!D33</f>
        <v>447.8156422444132</v>
      </c>
      <c r="E33" s="151">
        <f>[55]f!E33</f>
        <v>398.65526589239744</v>
      </c>
      <c r="F33" s="184">
        <f>[55]f!F33</f>
        <v>329.92649200955145</v>
      </c>
      <c r="G33" s="58">
        <f>[55]f!G33</f>
        <v>4.2805597728842494E-2</v>
      </c>
      <c r="I33" s="22">
        <v>12410394200</v>
      </c>
    </row>
    <row r="34" spans="1:9" ht="20" customHeight="1">
      <c r="A34" s="28" t="str">
        <f>"Datenstand: Juli "&amp;'[45]an_data an_1'!$B$2+1</f>
        <v>Datenstand: Juli 2002</v>
      </c>
      <c r="B34" s="284"/>
      <c r="C34" s="284"/>
      <c r="D34" s="284"/>
      <c r="E34" s="284"/>
      <c r="F34" s="284"/>
      <c r="G34" s="278"/>
    </row>
    <row r="35" spans="1:9" ht="11.25" customHeight="1">
      <c r="A35" s="7" t="s">
        <v>928</v>
      </c>
    </row>
    <row r="36" spans="1:9" ht="12" customHeight="1"/>
    <row r="37" spans="1:9" ht="12" customHeight="1"/>
    <row r="38" spans="1:9" ht="12" customHeight="1"/>
    <row r="39" spans="1:9" ht="12" customHeight="1"/>
  </sheetData>
  <phoneticPr fontId="0" type="noConversion"/>
  <pageMargins left="0.78740157480314965" right="0.56000000000000005" top="0.93" bottom="0.49" header="0.56999999999999995" footer="0.4921259845"/>
  <pageSetup paperSize="9" scale="80" orientation="portrait" horizontalDpi="4294967292" verticalDpi="4294967292"/>
  <headerFooter alignWithMargins="0">
    <oddHeader>&amp;L&amp;"Arial,Bold"&amp;14Risikoausgleich in der OKP</oddHeader>
    <oddFooter>&amp;L&amp;"Arial,Regular"Statistik über die Krankenversicherung, Bundesamt für Sozialversicherung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4CBA-5786-1D46-888E-7DFDFB155CC2}">
  <dimension ref="A1:K36"/>
  <sheetViews>
    <sheetView topLeftCell="A19" zoomScale="75" workbookViewId="0">
      <selection activeCell="I30" sqref="I30"/>
    </sheetView>
  </sheetViews>
  <sheetFormatPr baseColWidth="10" defaultColWidth="11.3984375" defaultRowHeight="13"/>
  <cols>
    <col min="1" max="1" width="14.796875" style="7" customWidth="1"/>
    <col min="2" max="2" width="14.796875" style="285" customWidth="1"/>
    <col min="3" max="3" width="14.796875" style="227" customWidth="1"/>
    <col min="4" max="4" width="14.796875" style="285" customWidth="1"/>
    <col min="5" max="5" width="14.796875" style="227" customWidth="1"/>
    <col min="6" max="6" width="14.796875" style="285" customWidth="1"/>
    <col min="7" max="7" width="14.796875" style="227" customWidth="1"/>
    <col min="8" max="8" width="11.3984375" style="7"/>
    <col min="9" max="9" width="7.59765625" style="7" customWidth="1"/>
    <col min="10" max="10" width="6.3984375" style="7" customWidth="1"/>
    <col min="11" max="11" width="8.796875" style="7" customWidth="1"/>
    <col min="12" max="16384" width="11.3984375" style="7"/>
  </cols>
  <sheetData>
    <row r="1" spans="1:11" s="1" customFormat="1" ht="25.5" customHeight="1">
      <c r="A1" s="279" t="s">
        <v>929</v>
      </c>
      <c r="B1" s="280" t="s">
        <v>930</v>
      </c>
      <c r="C1" s="292"/>
      <c r="D1" s="293"/>
      <c r="E1" s="292"/>
      <c r="F1" s="293"/>
      <c r="G1" s="292"/>
      <c r="H1" s="294"/>
    </row>
    <row r="2" spans="1:11" s="1" customFormat="1" ht="28" customHeight="1">
      <c r="A2" s="294"/>
      <c r="B2" s="280" t="str">
        <f>"und Geschlecht "&amp;'[45]an_data an_1'!$B$2</f>
        <v>und Geschlecht 2001</v>
      </c>
      <c r="C2" s="292"/>
      <c r="D2" s="293"/>
      <c r="E2" s="292"/>
      <c r="F2" s="293"/>
      <c r="G2" s="292"/>
      <c r="H2" s="294"/>
    </row>
    <row r="3" spans="1:11" ht="27" customHeight="1">
      <c r="A3" s="41" t="s">
        <v>571</v>
      </c>
      <c r="B3" s="115" t="s">
        <v>907</v>
      </c>
      <c r="C3" s="42" t="s">
        <v>522</v>
      </c>
      <c r="D3" s="115" t="s">
        <v>908</v>
      </c>
      <c r="E3" s="42" t="s">
        <v>522</v>
      </c>
      <c r="F3" s="115" t="s">
        <v>514</v>
      </c>
      <c r="G3" s="42" t="s">
        <v>522</v>
      </c>
    </row>
    <row r="4" spans="1:11" ht="15" customHeight="1">
      <c r="A4" s="61"/>
      <c r="B4" s="11"/>
      <c r="C4" s="44" t="s">
        <v>523</v>
      </c>
      <c r="D4" s="11"/>
      <c r="E4" s="44" t="s">
        <v>523</v>
      </c>
      <c r="F4" s="11"/>
      <c r="G4" s="44" t="s">
        <v>523</v>
      </c>
    </row>
    <row r="5" spans="1:11" ht="15" customHeight="1">
      <c r="A5" s="61"/>
      <c r="B5" s="11"/>
      <c r="C5" s="44" t="s">
        <v>524</v>
      </c>
      <c r="D5" s="11"/>
      <c r="E5" s="44" t="s">
        <v>524</v>
      </c>
      <c r="F5" s="11"/>
      <c r="G5" s="44" t="s">
        <v>524</v>
      </c>
    </row>
    <row r="6" spans="1:11" ht="23" customHeight="1">
      <c r="A6" s="64"/>
      <c r="B6" s="189"/>
      <c r="C6" s="47"/>
      <c r="D6" s="189"/>
      <c r="E6" s="47"/>
      <c r="F6" s="189"/>
      <c r="G6" s="47"/>
    </row>
    <row r="7" spans="1:11" ht="30" customHeight="1" thickBot="1">
      <c r="A7" s="67" t="s">
        <v>909</v>
      </c>
      <c r="B7" s="230">
        <f>[56]f!B7</f>
        <v>77.166940999131356</v>
      </c>
      <c r="C7" s="231">
        <f>[56]f!C7</f>
        <v>3.9192015974399176E-2</v>
      </c>
      <c r="D7" s="230">
        <f>[56]f!D7</f>
        <v>73.541283398861196</v>
      </c>
      <c r="E7" s="231">
        <f>[56]f!E7</f>
        <v>3.4350485930816597E-2</v>
      </c>
      <c r="F7" s="230">
        <f>[56]f!F7</f>
        <v>75.354112198996233</v>
      </c>
      <c r="G7" s="231">
        <f>[56]f!G7</f>
        <v>3.6823839110096533E-2</v>
      </c>
      <c r="I7" s="295"/>
      <c r="J7" s="295"/>
      <c r="K7" s="295"/>
    </row>
    <row r="8" spans="1:11" ht="20" customHeight="1" thickBot="1">
      <c r="A8" s="70" t="s">
        <v>910</v>
      </c>
      <c r="B8" s="26">
        <f>[56]f!B8</f>
        <v>206.66006629716787</v>
      </c>
      <c r="C8" s="55">
        <f>[56]f!C8</f>
        <v>4.9331107306982168E-2</v>
      </c>
      <c r="D8" s="26">
        <f>[56]f!D8</f>
        <v>297.84533785187529</v>
      </c>
      <c r="E8" s="55">
        <f>[56]f!E8</f>
        <v>2.7024103860390891E-2</v>
      </c>
      <c r="F8" s="26">
        <f>[56]f!F8</f>
        <v>252.25270207452166</v>
      </c>
      <c r="G8" s="55">
        <f>[56]f!G8</f>
        <v>3.604601348691322E-2</v>
      </c>
      <c r="I8" s="295"/>
      <c r="J8" s="295"/>
      <c r="K8" s="295"/>
    </row>
    <row r="9" spans="1:11" ht="20" customHeight="1" thickBot="1">
      <c r="A9" s="70" t="s">
        <v>601</v>
      </c>
      <c r="B9" s="26">
        <f>[56]f!B9</f>
        <v>216.57123322862381</v>
      </c>
      <c r="C9" s="55">
        <f>[56]f!C9</f>
        <v>3.8149587093104231E-2</v>
      </c>
      <c r="D9" s="26">
        <f>[56]f!D9</f>
        <v>344.38312465621203</v>
      </c>
      <c r="E9" s="55">
        <f>[56]f!E9</f>
        <v>3.7404998528704006E-2</v>
      </c>
      <c r="F9" s="26">
        <f>[56]f!F9</f>
        <v>280.47717894241788</v>
      </c>
      <c r="G9" s="55">
        <f>[56]f!G9</f>
        <v>3.769233997970977E-2</v>
      </c>
      <c r="I9" s="295"/>
      <c r="J9" s="295"/>
      <c r="K9" s="295"/>
    </row>
    <row r="10" spans="1:11" ht="20" customHeight="1" thickBot="1">
      <c r="A10" s="70" t="s">
        <v>602</v>
      </c>
      <c r="B10" s="26">
        <f>[56]f!B10</f>
        <v>236.17590406344843</v>
      </c>
      <c r="C10" s="55">
        <f>[56]f!C10</f>
        <v>4.2655210896313737E-2</v>
      </c>
      <c r="D10" s="26">
        <f>[56]f!D10</f>
        <v>356.02642305557515</v>
      </c>
      <c r="E10" s="55">
        <f>[56]f!E10</f>
        <v>3.4275379103504471E-2</v>
      </c>
      <c r="F10" s="26">
        <f>[56]f!F10</f>
        <v>296.10116355951175</v>
      </c>
      <c r="G10" s="55">
        <f>[56]f!G10</f>
        <v>3.7601135985955839E-2</v>
      </c>
      <c r="I10" s="295"/>
      <c r="J10" s="295"/>
      <c r="K10" s="295"/>
    </row>
    <row r="11" spans="1:11" ht="20" customHeight="1" thickBot="1">
      <c r="A11" s="70" t="s">
        <v>603</v>
      </c>
      <c r="B11" s="26">
        <f>[56]f!B11</f>
        <v>258.03239086026025</v>
      </c>
      <c r="C11" s="55">
        <f>[56]f!C11</f>
        <v>4.5797669593952664E-2</v>
      </c>
      <c r="D11" s="26">
        <f>[56]f!D11</f>
        <v>365.99063265041804</v>
      </c>
      <c r="E11" s="55">
        <f>[56]f!E11</f>
        <v>4.394461845787672E-2</v>
      </c>
      <c r="F11" s="26">
        <f>[56]f!F11</f>
        <v>312.01151175533914</v>
      </c>
      <c r="G11" s="55">
        <f>[56]f!G11</f>
        <v>4.4710054877243319E-2</v>
      </c>
      <c r="I11" s="295"/>
      <c r="J11" s="295"/>
      <c r="K11" s="295"/>
    </row>
    <row r="12" spans="1:11" ht="20" customHeight="1" thickBot="1">
      <c r="A12" s="70" t="s">
        <v>604</v>
      </c>
      <c r="B12" s="26">
        <f>[56]f!B12</f>
        <v>282.52853626494294</v>
      </c>
      <c r="C12" s="55">
        <f>[56]f!C12</f>
        <v>4.3352754777844719E-2</v>
      </c>
      <c r="D12" s="26">
        <f>[56]f!D12</f>
        <v>380.28687447397061</v>
      </c>
      <c r="E12" s="55">
        <f>[56]f!E12</f>
        <v>3.7799904200862725E-2</v>
      </c>
      <c r="F12" s="26">
        <f>[56]f!F12</f>
        <v>331.40770536945678</v>
      </c>
      <c r="G12" s="55">
        <f>[56]f!G12</f>
        <v>4.0159591855423574E-2</v>
      </c>
      <c r="I12" s="295"/>
      <c r="J12" s="295"/>
      <c r="K12" s="295"/>
    </row>
    <row r="13" spans="1:11" ht="20" customHeight="1" thickBot="1">
      <c r="A13" s="70" t="s">
        <v>605</v>
      </c>
      <c r="B13" s="26">
        <f>[56]f!B13</f>
        <v>321.06698071027751</v>
      </c>
      <c r="C13" s="55">
        <f>[56]f!C13</f>
        <v>5.2211748592008715E-2</v>
      </c>
      <c r="D13" s="26">
        <f>[56]f!D13</f>
        <v>417.90478652104127</v>
      </c>
      <c r="E13" s="55">
        <f>[56]f!E13</f>
        <v>3.590831490864773E-2</v>
      </c>
      <c r="F13" s="26">
        <f>[56]f!F13</f>
        <v>369.4858836156593</v>
      </c>
      <c r="G13" s="55">
        <f>[56]f!G13</f>
        <v>4.2929308954164296E-2</v>
      </c>
      <c r="I13" s="295"/>
      <c r="J13" s="295"/>
      <c r="K13" s="295"/>
    </row>
    <row r="14" spans="1:11" ht="20" customHeight="1" thickBot="1">
      <c r="A14" s="70" t="s">
        <v>606</v>
      </c>
      <c r="B14" s="26">
        <f>[56]f!B14</f>
        <v>367.83772448539185</v>
      </c>
      <c r="C14" s="55">
        <f>[56]f!C14</f>
        <v>4.5113075556728159E-2</v>
      </c>
      <c r="D14" s="26">
        <f>[56]f!D14</f>
        <v>468.36538982893364</v>
      </c>
      <c r="E14" s="55">
        <f>[56]f!E14</f>
        <v>3.2137090188630431E-2</v>
      </c>
      <c r="F14" s="26">
        <f>[56]f!F14</f>
        <v>418.10155715716292</v>
      </c>
      <c r="G14" s="55">
        <f>[56]f!G14</f>
        <v>3.780518870676379E-2</v>
      </c>
      <c r="I14" s="295"/>
      <c r="J14" s="295"/>
      <c r="K14" s="295"/>
    </row>
    <row r="15" spans="1:11" ht="20" customHeight="1" thickBot="1">
      <c r="A15" s="70" t="s">
        <v>607</v>
      </c>
      <c r="B15" s="26">
        <f>[56]f!B15</f>
        <v>426.34779605457527</v>
      </c>
      <c r="C15" s="55">
        <f>[56]f!C15</f>
        <v>4.3092292657322451E-2</v>
      </c>
      <c r="D15" s="26">
        <f>[56]f!D15</f>
        <v>497.63565796623709</v>
      </c>
      <c r="E15" s="55">
        <f>[56]f!E15</f>
        <v>3.6132516274057967E-2</v>
      </c>
      <c r="F15" s="26">
        <f>[56]f!F15</f>
        <v>461.99172701040584</v>
      </c>
      <c r="G15" s="55">
        <f>[56]f!G15</f>
        <v>3.9332345649223249E-2</v>
      </c>
      <c r="I15" s="295"/>
      <c r="J15" s="295"/>
      <c r="K15" s="295"/>
    </row>
    <row r="16" spans="1:11" ht="20" customHeight="1" thickBot="1">
      <c r="A16" s="70" t="s">
        <v>608</v>
      </c>
      <c r="B16" s="26">
        <f>[56]f!B16</f>
        <v>481.72198569240868</v>
      </c>
      <c r="C16" s="55">
        <f>[56]f!C16</f>
        <v>4.0155124408317228E-2</v>
      </c>
      <c r="D16" s="26">
        <f>[56]f!D16</f>
        <v>517.55332718983846</v>
      </c>
      <c r="E16" s="55">
        <f>[56]f!E16</f>
        <v>3.6908317740730522E-2</v>
      </c>
      <c r="F16" s="26">
        <f>[56]f!F16</f>
        <v>499.63765644112323</v>
      </c>
      <c r="G16" s="55">
        <f>[56]f!G16</f>
        <v>3.8470975917374868E-2</v>
      </c>
      <c r="I16" s="295"/>
      <c r="J16" s="295"/>
      <c r="K16" s="295"/>
    </row>
    <row r="17" spans="1:11" ht="20" customHeight="1" thickBot="1">
      <c r="A17" s="70" t="s">
        <v>610</v>
      </c>
      <c r="B17" s="26">
        <f>[56]f!B17</f>
        <v>535.48288219755545</v>
      </c>
      <c r="C17" s="55">
        <f>[56]f!C17</f>
        <v>3.2420754503694055E-2</v>
      </c>
      <c r="D17" s="26">
        <f>[56]f!D17</f>
        <v>545.75634704976028</v>
      </c>
      <c r="E17" s="55">
        <f>[56]f!E17</f>
        <v>3.6367494176802191E-2</v>
      </c>
      <c r="F17" s="26">
        <f>[56]f!F17</f>
        <v>540.61961462365753</v>
      </c>
      <c r="G17" s="55">
        <f>[56]f!G17</f>
        <v>3.4409110008935068E-2</v>
      </c>
      <c r="I17" s="295"/>
      <c r="J17" s="295"/>
      <c r="K17" s="295"/>
    </row>
    <row r="18" spans="1:11" ht="20" customHeight="1" thickBot="1">
      <c r="A18" s="70" t="s">
        <v>611</v>
      </c>
      <c r="B18" s="26">
        <f>[56]f!B18</f>
        <v>587.17352926966737</v>
      </c>
      <c r="C18" s="55">
        <f>[56]f!C18</f>
        <v>3.3263085526034887E-2</v>
      </c>
      <c r="D18" s="26">
        <f>[56]f!D18</f>
        <v>586.63041754710457</v>
      </c>
      <c r="E18" s="55">
        <f>[56]f!E18</f>
        <v>3.3261648656194291E-2</v>
      </c>
      <c r="F18" s="26">
        <f>[56]f!F18</f>
        <v>586.90197340838563</v>
      </c>
      <c r="G18" s="55">
        <f>[56]f!G18</f>
        <v>3.3262367423029786E-2</v>
      </c>
      <c r="I18" s="295"/>
      <c r="J18" s="295"/>
      <c r="K18" s="295"/>
    </row>
    <row r="19" spans="1:11" ht="20" customHeight="1" thickBot="1">
      <c r="A19" s="70" t="s">
        <v>612</v>
      </c>
      <c r="B19" s="26">
        <f>[56]f!B19</f>
        <v>634.95918636297461</v>
      </c>
      <c r="C19" s="55">
        <f>[56]f!C19</f>
        <v>3.2283436777136992E-2</v>
      </c>
      <c r="D19" s="26">
        <f>[56]f!D19</f>
        <v>638.27982176220144</v>
      </c>
      <c r="E19" s="55">
        <f>[56]f!E19</f>
        <v>2.6579435129839239E-2</v>
      </c>
      <c r="F19" s="26">
        <f>[56]f!F19</f>
        <v>636.61950406258802</v>
      </c>
      <c r="G19" s="55">
        <f>[56]f!G19</f>
        <v>2.9416096622988573E-2</v>
      </c>
      <c r="I19" s="295"/>
      <c r="J19" s="295"/>
      <c r="K19" s="295"/>
    </row>
    <row r="20" spans="1:11" ht="20" customHeight="1" thickBot="1">
      <c r="A20" s="70" t="s">
        <v>613</v>
      </c>
      <c r="B20" s="26">
        <f>[56]f!B20</f>
        <v>676.44747803462405</v>
      </c>
      <c r="C20" s="55">
        <f>[56]f!C20</f>
        <v>2.8058415584701051E-2</v>
      </c>
      <c r="D20" s="26">
        <f>[56]f!D20</f>
        <v>701.62151571244567</v>
      </c>
      <c r="E20" s="55">
        <f>[56]f!E20</f>
        <v>3.1272024873065803E-2</v>
      </c>
      <c r="F20" s="26">
        <f>[56]f!F20</f>
        <v>689.03449687353486</v>
      </c>
      <c r="G20" s="55">
        <f>[56]f!G20</f>
        <v>2.9692066049811131E-2</v>
      </c>
      <c r="I20" s="295"/>
      <c r="J20" s="295"/>
      <c r="K20" s="295"/>
    </row>
    <row r="21" spans="1:11" ht="20" customHeight="1" thickBot="1">
      <c r="A21" s="70" t="s">
        <v>614</v>
      </c>
      <c r="B21" s="26">
        <f>[56]f!B21</f>
        <v>732.03180512531162</v>
      </c>
      <c r="C21" s="55">
        <f>[56]f!C21</f>
        <v>2.525727758723326E-2</v>
      </c>
      <c r="D21" s="26">
        <f>[56]f!D21</f>
        <v>775.33455233250561</v>
      </c>
      <c r="E21" s="55">
        <f>[56]f!E21</f>
        <v>4.3372542664694674E-2</v>
      </c>
      <c r="F21" s="26">
        <f>[56]f!F21</f>
        <v>753.68317872890793</v>
      </c>
      <c r="G21" s="55">
        <f>[56]f!G21</f>
        <v>3.4495839174243037E-2</v>
      </c>
      <c r="I21" s="295"/>
      <c r="J21" s="295"/>
      <c r="K21" s="295"/>
    </row>
    <row r="22" spans="1:11" ht="20" customHeight="1" thickBot="1">
      <c r="A22" s="70" t="s">
        <v>911</v>
      </c>
      <c r="B22" s="26">
        <f>[56]f!B22</f>
        <v>827.86667040295924</v>
      </c>
      <c r="C22" s="55">
        <f>[56]f!C22</f>
        <v>5.0875587717039872E-2</v>
      </c>
      <c r="D22" s="26">
        <f>[56]f!D22</f>
        <v>871.4694559564432</v>
      </c>
      <c r="E22" s="55">
        <f>[56]f!E22</f>
        <v>6.7000865650090335E-2</v>
      </c>
      <c r="F22" s="26">
        <f>[56]f!F22</f>
        <v>849.66806317970259</v>
      </c>
      <c r="G22" s="55">
        <f>[56]f!G22</f>
        <v>5.9083744042915859E-2</v>
      </c>
      <c r="I22" s="295"/>
      <c r="J22" s="295"/>
      <c r="K22" s="295"/>
    </row>
    <row r="23" spans="1:11" ht="30" customHeight="1" thickBot="1">
      <c r="A23" s="78" t="s">
        <v>514</v>
      </c>
      <c r="B23" s="184">
        <f>[56]f!B23</f>
        <v>286.22817728716655</v>
      </c>
      <c r="C23" s="58">
        <f>[56]f!C23</f>
        <v>4.7429714172600335E-2</v>
      </c>
      <c r="D23" s="184">
        <f>[56]f!D23</f>
        <v>371.8189862216351</v>
      </c>
      <c r="E23" s="58">
        <f>[56]f!E23</f>
        <v>3.9316743799273877E-2</v>
      </c>
      <c r="F23" s="184">
        <f>[56]f!F23</f>
        <v>329.02358175440099</v>
      </c>
      <c r="G23" s="58">
        <f>[56]f!G23</f>
        <v>4.2830114112974542E-2</v>
      </c>
      <c r="I23" s="295"/>
      <c r="J23" s="295"/>
      <c r="K23" s="295"/>
    </row>
    <row r="24" spans="1:11" ht="20" customHeight="1">
      <c r="A24" s="28" t="str">
        <f>"Datenstand: Juli "&amp;'[45]an_data an_1'!$B$2+1</f>
        <v>Datenstand: Juli 2002</v>
      </c>
      <c r="B24" s="284"/>
      <c r="C24" s="278"/>
      <c r="D24" s="284"/>
      <c r="E24" s="278"/>
      <c r="F24" s="284"/>
      <c r="G24" s="278"/>
    </row>
    <row r="25" spans="1:11" ht="12" customHeight="1">
      <c r="A25" s="178" t="s">
        <v>928</v>
      </c>
    </row>
    <row r="26" spans="1:11" ht="30" customHeight="1">
      <c r="A26" s="178"/>
    </row>
    <row r="27" spans="1:11" ht="18" customHeight="1">
      <c r="A27" s="163"/>
    </row>
    <row r="28" spans="1:11" ht="18" customHeight="1">
      <c r="A28" s="286"/>
    </row>
    <row r="29" spans="1:11" ht="30" customHeight="1"/>
    <row r="30" spans="1:11" ht="30" customHeight="1">
      <c r="I30" s="159"/>
    </row>
    <row r="31" spans="1:11" ht="30" customHeight="1"/>
    <row r="32" spans="1:11" ht="30" customHeight="1"/>
    <row r="33" ht="30" customHeight="1"/>
    <row r="34" ht="30" customHeight="1"/>
    <row r="35" ht="30" customHeight="1"/>
    <row r="36" ht="30" customHeight="1"/>
  </sheetData>
  <phoneticPr fontId="0" type="noConversion"/>
  <pageMargins left="0.78740157480314965" right="0.78740157480314965" top="1.1023622047244095" bottom="0.86614173228346458" header="0.74803149606299213" footer="0.51181102362204722"/>
  <pageSetup paperSize="9" scale="80" orientation="portrait" horizontalDpi="4294967292" verticalDpi="4294967292"/>
  <headerFooter alignWithMargins="0">
    <oddHeader>&amp;L&amp;"Arial,Bold"&amp;14Risikoausgleich in der OKP</oddHeader>
    <oddFooter>&amp;L&amp;"Arial,Regular"Statistik über die Krankenversicherung, Bundesamt für Sozialversicherung</oddFooter>
  </headerFooter>
  <rowBreaks count="1" manualBreakCount="1">
    <brk id="27" max="16383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72A2-4F4A-484E-8399-BF0FA59F6EEE}">
  <dimension ref="A1:J40"/>
  <sheetViews>
    <sheetView topLeftCell="A19" zoomScale="75" workbookViewId="0">
      <selection activeCell="A39" sqref="A39"/>
    </sheetView>
  </sheetViews>
  <sheetFormatPr baseColWidth="10" defaultColWidth="11.3984375" defaultRowHeight="13"/>
  <cols>
    <col min="1" max="1" width="11.19921875" style="7" customWidth="1"/>
    <col min="2" max="2" width="11.19921875" style="7" hidden="1" customWidth="1"/>
    <col min="3" max="8" width="11.19921875" style="7" customWidth="1"/>
    <col min="9" max="9" width="12.796875" style="7" customWidth="1"/>
    <col min="10" max="10" width="13.19921875" style="7" customWidth="1"/>
    <col min="11" max="16384" width="11.3984375" style="7"/>
  </cols>
  <sheetData>
    <row r="1" spans="1:10" s="1" customFormat="1" ht="14" customHeight="1"/>
    <row r="2" spans="1:10" s="1" customFormat="1" ht="28" customHeight="1">
      <c r="A2" s="2" t="s">
        <v>940</v>
      </c>
    </row>
    <row r="3" spans="1:10" ht="24" customHeight="1">
      <c r="A3" s="41" t="s">
        <v>537</v>
      </c>
      <c r="B3" s="6">
        <v>1996</v>
      </c>
      <c r="C3" s="6">
        <v>1996</v>
      </c>
      <c r="D3" s="42">
        <v>1997</v>
      </c>
      <c r="E3" s="6">
        <v>1998</v>
      </c>
      <c r="F3" s="42">
        <v>1999</v>
      </c>
      <c r="G3" s="6">
        <v>2000</v>
      </c>
      <c r="H3" s="42">
        <v>2001</v>
      </c>
      <c r="I3" s="6">
        <v>2002</v>
      </c>
      <c r="J3" s="42">
        <v>2003</v>
      </c>
    </row>
    <row r="4" spans="1:10" ht="15" customHeight="1">
      <c r="A4" s="43"/>
      <c r="B4" s="12"/>
      <c r="C4" s="12" t="s">
        <v>931</v>
      </c>
      <c r="D4" s="44"/>
      <c r="E4" s="12"/>
      <c r="F4" s="44"/>
      <c r="G4" s="11"/>
      <c r="H4" s="45"/>
      <c r="I4" s="12"/>
      <c r="J4" s="44"/>
    </row>
    <row r="5" spans="1:10" ht="16" customHeight="1">
      <c r="A5" s="46"/>
      <c r="B5" s="16"/>
      <c r="C5" s="16"/>
      <c r="D5" s="47"/>
      <c r="E5" s="16"/>
      <c r="F5" s="47"/>
      <c r="G5" s="189"/>
      <c r="H5" s="48"/>
      <c r="I5" s="16"/>
      <c r="J5" s="47"/>
    </row>
    <row r="6" spans="1:10" ht="30" customHeight="1" thickBot="1">
      <c r="A6" s="296" t="s">
        <v>541</v>
      </c>
      <c r="B6" s="20">
        <v>153.29054508483716</v>
      </c>
      <c r="C6" s="20">
        <f>[57]f!C6</f>
        <v>161.38999999999999</v>
      </c>
      <c r="D6" s="50">
        <f>[57]f!D6</f>
        <v>181.74761941037556</v>
      </c>
      <c r="E6" s="20">
        <f>[57]f!E6</f>
        <v>196.00202818343942</v>
      </c>
      <c r="F6" s="50">
        <f>[57]f!F6</f>
        <v>204.56496440459452</v>
      </c>
      <c r="G6" s="20">
        <f>[57]f!G6</f>
        <v>214.60878128536802</v>
      </c>
      <c r="H6" s="50">
        <f>[57]f!H6</f>
        <v>225.83</v>
      </c>
      <c r="I6" s="20">
        <f>[57]f!I6</f>
        <v>249.25184999999999</v>
      </c>
      <c r="J6" s="229">
        <f>[57]f!J6</f>
        <v>275.28021999999999</v>
      </c>
    </row>
    <row r="7" spans="1:10" ht="20" customHeight="1" thickBot="1">
      <c r="A7" s="297" t="s">
        <v>542</v>
      </c>
      <c r="B7" s="26">
        <v>158.55113159342818</v>
      </c>
      <c r="C7" s="26">
        <f>[57]f!C7</f>
        <v>164.94</v>
      </c>
      <c r="D7" s="54">
        <f>[57]f!D7</f>
        <v>178.90407101057329</v>
      </c>
      <c r="E7" s="26">
        <f>[57]f!E7</f>
        <v>188.61433433173246</v>
      </c>
      <c r="F7" s="54">
        <f>[57]f!F7</f>
        <v>201.25978915744582</v>
      </c>
      <c r="G7" s="26">
        <f>[57]f!G7</f>
        <v>206.27433629075489</v>
      </c>
      <c r="H7" s="54">
        <f>[57]f!H7</f>
        <v>214.24</v>
      </c>
      <c r="I7" s="26">
        <f>[57]f!I7</f>
        <v>236.81533999999999</v>
      </c>
      <c r="J7" s="54">
        <f>[57]f!J7</f>
        <v>260.21762999999999</v>
      </c>
    </row>
    <row r="8" spans="1:10" ht="20" customHeight="1" thickBot="1">
      <c r="A8" s="297" t="s">
        <v>543</v>
      </c>
      <c r="B8" s="26">
        <v>134.67895033237539</v>
      </c>
      <c r="C8" s="26">
        <f>[57]f!C8</f>
        <v>139.1</v>
      </c>
      <c r="D8" s="54">
        <f>[57]f!D8</f>
        <v>143.57709006234506</v>
      </c>
      <c r="E8" s="26">
        <f>[57]f!E8</f>
        <v>153.2386309546296</v>
      </c>
      <c r="F8" s="54">
        <f>[57]f!F8</f>
        <v>153.08542492035309</v>
      </c>
      <c r="G8" s="26">
        <f>[57]f!G8</f>
        <v>162.59231768593037</v>
      </c>
      <c r="H8" s="54">
        <f>[57]f!H8</f>
        <v>174.18</v>
      </c>
      <c r="I8" s="26">
        <f>[57]f!I8</f>
        <v>193.38892000000001</v>
      </c>
      <c r="J8" s="54">
        <f>[57]f!J8</f>
        <v>213.69806</v>
      </c>
    </row>
    <row r="9" spans="1:10" ht="20" customHeight="1" thickBot="1">
      <c r="A9" s="297" t="s">
        <v>544</v>
      </c>
      <c r="B9" s="26">
        <v>134.95768672951414</v>
      </c>
      <c r="C9" s="26">
        <f>[57]f!C9</f>
        <v>141.16</v>
      </c>
      <c r="D9" s="54">
        <f>[57]f!D9</f>
        <v>145.5123971024037</v>
      </c>
      <c r="E9" s="26">
        <f>[57]f!E9</f>
        <v>152.96870852349821</v>
      </c>
      <c r="F9" s="54">
        <f>[57]f!F9</f>
        <v>151.85893279388182</v>
      </c>
      <c r="G9" s="26">
        <f>[57]f!G9</f>
        <v>155.97839469348565</v>
      </c>
      <c r="H9" s="54">
        <f>[57]f!H9</f>
        <v>162.32</v>
      </c>
      <c r="I9" s="26">
        <f>[57]f!I9</f>
        <v>179.01891000000001</v>
      </c>
      <c r="J9" s="54">
        <f>[57]f!J9</f>
        <v>198.10935000000001</v>
      </c>
    </row>
    <row r="10" spans="1:10" ht="20" customHeight="1" thickBot="1">
      <c r="A10" s="297" t="s">
        <v>545</v>
      </c>
      <c r="B10" s="26">
        <v>134.45660111580844</v>
      </c>
      <c r="C10" s="26">
        <f>[57]f!C10</f>
        <v>140.25</v>
      </c>
      <c r="D10" s="54">
        <f>[57]f!D10</f>
        <v>154.58932622469482</v>
      </c>
      <c r="E10" s="26">
        <f>[57]f!E10</f>
        <v>160.06682962371025</v>
      </c>
      <c r="F10" s="54">
        <f>[57]f!F10</f>
        <v>157.52798339248363</v>
      </c>
      <c r="G10" s="26">
        <f>[57]f!G10</f>
        <v>161.03489102830923</v>
      </c>
      <c r="H10" s="54">
        <f>[57]f!H10</f>
        <v>171.06</v>
      </c>
      <c r="I10" s="26">
        <f>[57]f!I10</f>
        <v>192.22412</v>
      </c>
      <c r="J10" s="54">
        <f>[57]f!J10</f>
        <v>213.82740999999999</v>
      </c>
    </row>
    <row r="11" spans="1:10" ht="20" customHeight="1" thickBot="1">
      <c r="A11" s="297" t="s">
        <v>546</v>
      </c>
      <c r="B11" s="26">
        <v>137.58390190437046</v>
      </c>
      <c r="C11" s="26">
        <f>[57]f!C11</f>
        <v>141.9</v>
      </c>
      <c r="D11" s="54">
        <f>[57]f!D11</f>
        <v>150.48059358036346</v>
      </c>
      <c r="E11" s="26">
        <f>[57]f!E11</f>
        <v>151.75133379152348</v>
      </c>
      <c r="F11" s="54">
        <f>[57]f!F11</f>
        <v>150.6541390130584</v>
      </c>
      <c r="G11" s="26">
        <f>[57]f!G11</f>
        <v>155.42777867792469</v>
      </c>
      <c r="H11" s="54">
        <f>[57]f!H11</f>
        <v>163.99</v>
      </c>
      <c r="I11" s="26">
        <f>[57]f!I11</f>
        <v>177.7379</v>
      </c>
      <c r="J11" s="54">
        <f>[57]f!J11</f>
        <v>189.19853000000001</v>
      </c>
    </row>
    <row r="12" spans="1:10" ht="20" customHeight="1" thickBot="1">
      <c r="A12" s="297" t="s">
        <v>547</v>
      </c>
      <c r="B12" s="26">
        <v>130.84504672897197</v>
      </c>
      <c r="C12" s="26">
        <f>[57]f!C12</f>
        <v>135.5</v>
      </c>
      <c r="D12" s="54">
        <f>[57]f!D12</f>
        <v>142.42034638479478</v>
      </c>
      <c r="E12" s="26">
        <f>[57]f!E12</f>
        <v>144.8240287051961</v>
      </c>
      <c r="F12" s="54">
        <f>[57]f!F12</f>
        <v>143.0851864701819</v>
      </c>
      <c r="G12" s="26">
        <f>[57]f!G12</f>
        <v>147.03459410221294</v>
      </c>
      <c r="H12" s="54">
        <f>[57]f!H12</f>
        <v>154.96</v>
      </c>
      <c r="I12" s="26">
        <f>[57]f!I12</f>
        <v>168.07506000000001</v>
      </c>
      <c r="J12" s="54">
        <f>[57]f!J12</f>
        <v>183.25393</v>
      </c>
    </row>
    <row r="13" spans="1:10" ht="20" customHeight="1" thickBot="1">
      <c r="A13" s="297" t="s">
        <v>548</v>
      </c>
      <c r="B13" s="26">
        <v>128.29419254148183</v>
      </c>
      <c r="C13" s="26">
        <f>[57]f!C13</f>
        <v>129.91</v>
      </c>
      <c r="D13" s="54">
        <f>[57]f!D13</f>
        <v>142.97885760257441</v>
      </c>
      <c r="E13" s="26">
        <f>[57]f!E13</f>
        <v>151.98406510079528</v>
      </c>
      <c r="F13" s="54">
        <f>[57]f!F13</f>
        <v>154.08716723613713</v>
      </c>
      <c r="G13" s="26">
        <f>[57]f!G13</f>
        <v>157.45437633505952</v>
      </c>
      <c r="H13" s="54">
        <f>[57]f!H13</f>
        <v>169.57</v>
      </c>
      <c r="I13" s="26">
        <f>[57]f!I13</f>
        <v>190.28371000000001</v>
      </c>
      <c r="J13" s="54">
        <f>[57]f!J13</f>
        <v>213.61912000000001</v>
      </c>
    </row>
    <row r="14" spans="1:10" ht="20" customHeight="1" thickBot="1">
      <c r="A14" s="297" t="s">
        <v>549</v>
      </c>
      <c r="B14" s="26">
        <v>136.59697114249281</v>
      </c>
      <c r="C14" s="26">
        <f>[57]f!C14</f>
        <v>142.31</v>
      </c>
      <c r="D14" s="54">
        <f>[57]f!D14</f>
        <v>153.72972946648645</v>
      </c>
      <c r="E14" s="26">
        <f>[57]f!E14</f>
        <v>153.40230466967873</v>
      </c>
      <c r="F14" s="54">
        <f>[57]f!F14</f>
        <v>151.61979283853594</v>
      </c>
      <c r="G14" s="26">
        <f>[57]f!G14</f>
        <v>156.98032288444494</v>
      </c>
      <c r="H14" s="54">
        <f>[57]f!H14</f>
        <v>166.33</v>
      </c>
      <c r="I14" s="26">
        <f>[57]f!I14</f>
        <v>186.00414000000001</v>
      </c>
      <c r="J14" s="54">
        <f>[57]f!J14</f>
        <v>209.53888000000001</v>
      </c>
    </row>
    <row r="15" spans="1:10" ht="20" customHeight="1" thickBot="1">
      <c r="A15" s="297" t="s">
        <v>550</v>
      </c>
      <c r="B15" s="26">
        <v>175.04105550901633</v>
      </c>
      <c r="C15" s="26">
        <f>[57]f!C15</f>
        <v>178.52</v>
      </c>
      <c r="D15" s="54">
        <f>[57]f!D15</f>
        <v>190.51005291406392</v>
      </c>
      <c r="E15" s="26">
        <f>[57]f!E15</f>
        <v>191.13510846174776</v>
      </c>
      <c r="F15" s="54">
        <f>[57]f!F15</f>
        <v>194.51130641123947</v>
      </c>
      <c r="G15" s="26">
        <f>[57]f!G15</f>
        <v>204.74739109792625</v>
      </c>
      <c r="H15" s="54">
        <f>[57]f!H15</f>
        <v>219</v>
      </c>
      <c r="I15" s="26">
        <f>[57]f!I15</f>
        <v>237.39559</v>
      </c>
      <c r="J15" s="54">
        <f>[57]f!J15</f>
        <v>253.22302999999999</v>
      </c>
    </row>
    <row r="16" spans="1:10" ht="20" customHeight="1" thickBot="1">
      <c r="A16" s="297" t="s">
        <v>551</v>
      </c>
      <c r="B16" s="26">
        <v>136.69143164527779</v>
      </c>
      <c r="C16" s="26">
        <f>[57]f!C16</f>
        <v>153.49</v>
      </c>
      <c r="D16" s="54">
        <f>[57]f!D16</f>
        <v>174.39784107055755</v>
      </c>
      <c r="E16" s="26">
        <f>[57]f!E16</f>
        <v>189.81747980375937</v>
      </c>
      <c r="F16" s="54">
        <f>[57]f!F16</f>
        <v>194.79505634054161</v>
      </c>
      <c r="G16" s="26">
        <f>[57]f!G16</f>
        <v>203.28838173925092</v>
      </c>
      <c r="H16" s="54">
        <f>[57]f!H16</f>
        <v>208.4</v>
      </c>
      <c r="I16" s="26">
        <f>[57]f!I16</f>
        <v>220.08157</v>
      </c>
      <c r="J16" s="54">
        <f>[57]f!J16</f>
        <v>240.44400999999999</v>
      </c>
    </row>
    <row r="17" spans="1:10" ht="20" customHeight="1" thickBot="1">
      <c r="A17" s="297" t="s">
        <v>552</v>
      </c>
      <c r="B17" s="26">
        <v>191.43963598784845</v>
      </c>
      <c r="C17" s="26">
        <f>[57]f!C17</f>
        <v>197.47</v>
      </c>
      <c r="D17" s="54">
        <f>[57]f!D17</f>
        <v>227.39206822581488</v>
      </c>
      <c r="E17" s="26">
        <f>[57]f!E17</f>
        <v>249.08995494732562</v>
      </c>
      <c r="F17" s="54">
        <f>[57]f!F17</f>
        <v>269.95984005961856</v>
      </c>
      <c r="G17" s="26">
        <f>[57]f!G17</f>
        <v>283.15886833389669</v>
      </c>
      <c r="H17" s="54">
        <f>[57]f!H17</f>
        <v>300.27999999999997</v>
      </c>
      <c r="I17" s="26">
        <f>[57]f!I17</f>
        <v>326.16320000000002</v>
      </c>
      <c r="J17" s="54">
        <f>[57]f!J17</f>
        <v>355.56977000000001</v>
      </c>
    </row>
    <row r="18" spans="1:10" ht="20" customHeight="1" thickBot="1">
      <c r="A18" s="297" t="s">
        <v>553</v>
      </c>
      <c r="B18" s="26">
        <v>160.8793210751939</v>
      </c>
      <c r="C18" s="26">
        <f>[57]f!C18</f>
        <v>169.85</v>
      </c>
      <c r="D18" s="54">
        <f>[57]f!D18</f>
        <v>193.34249054078401</v>
      </c>
      <c r="E18" s="26">
        <f>[57]f!E18</f>
        <v>205.76685458807557</v>
      </c>
      <c r="F18" s="54">
        <f>[57]f!F18</f>
        <v>207.25163370069049</v>
      </c>
      <c r="G18" s="26">
        <f>[57]f!G18</f>
        <v>214.55458510182976</v>
      </c>
      <c r="H18" s="54">
        <f>[57]f!H18</f>
        <v>225.18</v>
      </c>
      <c r="I18" s="26">
        <f>[57]f!I18</f>
        <v>247.74626000000001</v>
      </c>
      <c r="J18" s="54">
        <f>[57]f!J18</f>
        <v>272.16631999999998</v>
      </c>
    </row>
    <row r="19" spans="1:10" ht="20" customHeight="1" thickBot="1">
      <c r="A19" s="297" t="s">
        <v>554</v>
      </c>
      <c r="B19" s="26">
        <v>139.68868748220555</v>
      </c>
      <c r="C19" s="26">
        <f>[57]f!C19</f>
        <v>143.76</v>
      </c>
      <c r="D19" s="54">
        <f>[57]f!D19</f>
        <v>167.06871021092456</v>
      </c>
      <c r="E19" s="26">
        <f>[57]f!E19</f>
        <v>175.44410487580495</v>
      </c>
      <c r="F19" s="54">
        <f>[57]f!F19</f>
        <v>185.0638682097516</v>
      </c>
      <c r="G19" s="26">
        <f>[57]f!G19</f>
        <v>192.3170919504424</v>
      </c>
      <c r="H19" s="54">
        <f>[57]f!H19</f>
        <v>202.52</v>
      </c>
      <c r="I19" s="26">
        <f>[57]f!I19</f>
        <v>234.57712000000001</v>
      </c>
      <c r="J19" s="54">
        <f>[57]f!J19</f>
        <v>256.67111999999997</v>
      </c>
    </row>
    <row r="20" spans="1:10" ht="20" customHeight="1" thickBot="1">
      <c r="A20" s="297" t="s">
        <v>555</v>
      </c>
      <c r="B20" s="26">
        <v>117.66163332768265</v>
      </c>
      <c r="C20" s="26">
        <f>[57]f!C20</f>
        <v>120.66</v>
      </c>
      <c r="D20" s="54">
        <f>[57]f!D20</f>
        <v>134.57239758753036</v>
      </c>
      <c r="E20" s="26">
        <f>[57]f!E20</f>
        <v>146.4983795331388</v>
      </c>
      <c r="F20" s="54">
        <f>[57]f!F20</f>
        <v>146.59109792193715</v>
      </c>
      <c r="G20" s="26">
        <f>[57]f!G20</f>
        <v>149.68480463866564</v>
      </c>
      <c r="H20" s="54">
        <f>[57]f!H20</f>
        <v>160.36000000000001</v>
      </c>
      <c r="I20" s="26">
        <f>[57]f!I20</f>
        <v>176.92891</v>
      </c>
      <c r="J20" s="54">
        <f>[57]f!J20</f>
        <v>195.91064</v>
      </c>
    </row>
    <row r="21" spans="1:10" ht="20" customHeight="1" thickBot="1">
      <c r="A21" s="297" t="s">
        <v>556</v>
      </c>
      <c r="B21" s="26">
        <v>114.22864746826805</v>
      </c>
      <c r="C21" s="26">
        <f>[57]f!C21</f>
        <v>117.49</v>
      </c>
      <c r="D21" s="54">
        <f>[57]f!D21</f>
        <v>125.32828990016854</v>
      </c>
      <c r="E21" s="26">
        <f>[57]f!E21</f>
        <v>133.14947357866239</v>
      </c>
      <c r="F21" s="54">
        <f>[57]f!F21</f>
        <v>131.34777988963828</v>
      </c>
      <c r="G21" s="26">
        <f>[57]f!G21</f>
        <v>132.89659199669521</v>
      </c>
      <c r="H21" s="54">
        <f>[57]f!H21</f>
        <v>145.16999999999999</v>
      </c>
      <c r="I21" s="26">
        <f>[57]f!I21</f>
        <v>158.90671</v>
      </c>
      <c r="J21" s="54">
        <f>[57]f!J21</f>
        <v>173.64661000000001</v>
      </c>
    </row>
    <row r="22" spans="1:10" ht="20" customHeight="1" thickBot="1">
      <c r="A22" s="297" t="s">
        <v>557</v>
      </c>
      <c r="B22" s="26">
        <v>125.5704997780322</v>
      </c>
      <c r="C22" s="26">
        <f>[57]f!C22</f>
        <v>129.91</v>
      </c>
      <c r="D22" s="54">
        <f>[57]f!D22</f>
        <v>144.38414639400574</v>
      </c>
      <c r="E22" s="26">
        <f>[57]f!E22</f>
        <v>157.70305244819662</v>
      </c>
      <c r="F22" s="54">
        <f>[57]f!F22</f>
        <v>160.05901339082263</v>
      </c>
      <c r="G22" s="26">
        <f>[57]f!G22</f>
        <v>164.68000692764107</v>
      </c>
      <c r="H22" s="54">
        <f>[57]f!H22</f>
        <v>175.58</v>
      </c>
      <c r="I22" s="26">
        <f>[57]f!I22</f>
        <v>193.89466999999999</v>
      </c>
      <c r="J22" s="54">
        <f>[57]f!J22</f>
        <v>210.78359</v>
      </c>
    </row>
    <row r="23" spans="1:10" ht="20" customHeight="1" thickBot="1">
      <c r="A23" s="297" t="s">
        <v>558</v>
      </c>
      <c r="B23" s="26">
        <v>119.85956620265458</v>
      </c>
      <c r="C23" s="26">
        <f>[57]f!C23</f>
        <v>122.63</v>
      </c>
      <c r="D23" s="54">
        <f>[57]f!D23</f>
        <v>144.11893562856102</v>
      </c>
      <c r="E23" s="26">
        <f>[57]f!E23</f>
        <v>144.77702993957635</v>
      </c>
      <c r="F23" s="54">
        <f>[57]f!F23</f>
        <v>147.11126893343456</v>
      </c>
      <c r="G23" s="26">
        <f>[57]f!G23</f>
        <v>155.12945645924145</v>
      </c>
      <c r="H23" s="54">
        <f>[57]f!H23</f>
        <v>168</v>
      </c>
      <c r="I23" s="26">
        <f>[57]f!I23</f>
        <v>190.35756000000001</v>
      </c>
      <c r="J23" s="54">
        <f>[57]f!J23</f>
        <v>215.96934999999999</v>
      </c>
    </row>
    <row r="24" spans="1:10" ht="20" customHeight="1" thickBot="1">
      <c r="A24" s="297" t="s">
        <v>559</v>
      </c>
      <c r="B24" s="26">
        <v>106.68640035872531</v>
      </c>
      <c r="C24" s="26">
        <f>[57]f!C24</f>
        <v>132.41999999999999</v>
      </c>
      <c r="D24" s="54">
        <f>[57]f!D24</f>
        <v>149.28856926870534</v>
      </c>
      <c r="E24" s="26">
        <f>[57]f!E24</f>
        <v>160.04363007055017</v>
      </c>
      <c r="F24" s="54">
        <f>[57]f!F24</f>
        <v>165.54637553497736</v>
      </c>
      <c r="G24" s="26">
        <f>[57]f!G24</f>
        <v>174.78444225248529</v>
      </c>
      <c r="H24" s="54">
        <f>[57]f!H24</f>
        <v>190.11</v>
      </c>
      <c r="I24" s="26">
        <f>[57]f!I24</f>
        <v>212.10615999999999</v>
      </c>
      <c r="J24" s="54">
        <f>[57]f!J24</f>
        <v>232.59259</v>
      </c>
    </row>
    <row r="25" spans="1:10" ht="20" customHeight="1" thickBot="1">
      <c r="A25" s="297" t="s">
        <v>560</v>
      </c>
      <c r="B25" s="26">
        <v>125.89932433941615</v>
      </c>
      <c r="C25" s="26">
        <f>[57]f!C25</f>
        <v>130.75</v>
      </c>
      <c r="D25" s="54">
        <f>[57]f!D25</f>
        <v>152.67183076361556</v>
      </c>
      <c r="E25" s="26">
        <f>[57]f!E25</f>
        <v>166.13212539894155</v>
      </c>
      <c r="F25" s="54">
        <f>[57]f!F25</f>
        <v>173.91081430580377</v>
      </c>
      <c r="G25" s="26">
        <f>[57]f!G25</f>
        <v>180.22488745415569</v>
      </c>
      <c r="H25" s="54">
        <f>[57]f!H25</f>
        <v>198.02</v>
      </c>
      <c r="I25" s="26">
        <f>[57]f!I25</f>
        <v>225.25766999999999</v>
      </c>
      <c r="J25" s="54">
        <f>[57]f!J25</f>
        <v>250.03977</v>
      </c>
    </row>
    <row r="26" spans="1:10" ht="20" customHeight="1" thickBot="1">
      <c r="A26" s="297" t="s">
        <v>561</v>
      </c>
      <c r="B26" s="26">
        <v>195.20141418113619</v>
      </c>
      <c r="C26" s="26">
        <f>[57]f!C26</f>
        <v>202.05</v>
      </c>
      <c r="D26" s="54">
        <f>[57]f!D26</f>
        <v>221.64821956701763</v>
      </c>
      <c r="E26" s="26">
        <f>[57]f!E26</f>
        <v>239.64824283614516</v>
      </c>
      <c r="F26" s="54">
        <f>[57]f!F26</f>
        <v>242.63157967888316</v>
      </c>
      <c r="G26" s="26">
        <f>[57]f!G26</f>
        <v>247.60432959342589</v>
      </c>
      <c r="H26" s="54">
        <f>[57]f!H26</f>
        <v>257.93</v>
      </c>
      <c r="I26" s="26">
        <f>[57]f!I26</f>
        <v>280.14476999999999</v>
      </c>
      <c r="J26" s="54">
        <f>[57]f!J26</f>
        <v>306.45803000000001</v>
      </c>
    </row>
    <row r="27" spans="1:10" ht="20" customHeight="1" thickBot="1">
      <c r="A27" s="297" t="s">
        <v>562</v>
      </c>
      <c r="B27" s="26">
        <v>250.86297780951151</v>
      </c>
      <c r="C27" s="26">
        <f>[57]f!C27</f>
        <v>254.22</v>
      </c>
      <c r="D27" s="54">
        <f>[57]f!D27</f>
        <v>265.0439754536082</v>
      </c>
      <c r="E27" s="26">
        <f>[57]f!E27</f>
        <v>263.08633335060824</v>
      </c>
      <c r="F27" s="54">
        <f>[57]f!F27</f>
        <v>270.67558737547967</v>
      </c>
      <c r="G27" s="26">
        <f>[57]f!G27</f>
        <v>274.83631654030387</v>
      </c>
      <c r="H27" s="54">
        <f>[57]f!H27</f>
        <v>288.01</v>
      </c>
      <c r="I27" s="26">
        <f>[57]f!I27</f>
        <v>309.12257</v>
      </c>
      <c r="J27" s="54">
        <f>[57]f!J27</f>
        <v>338.71998000000002</v>
      </c>
    </row>
    <row r="28" spans="1:10" ht="20" customHeight="1" thickBot="1">
      <c r="A28" s="297" t="s">
        <v>563</v>
      </c>
      <c r="B28" s="26">
        <v>166.26105782296611</v>
      </c>
      <c r="C28" s="26">
        <f>[57]f!C28</f>
        <v>171.56</v>
      </c>
      <c r="D28" s="54">
        <f>[57]f!D28</f>
        <v>172.41864224466755</v>
      </c>
      <c r="E28" s="26">
        <f>[57]f!E28</f>
        <v>167.16669943841148</v>
      </c>
      <c r="F28" s="54">
        <f>[57]f!F28</f>
        <v>168.76751136732656</v>
      </c>
      <c r="G28" s="26">
        <f>[57]f!G28</f>
        <v>170.7753395375473</v>
      </c>
      <c r="H28" s="54">
        <f>[57]f!H28</f>
        <v>178.74</v>
      </c>
      <c r="I28" s="26">
        <f>[57]f!I28</f>
        <v>193.50014999999999</v>
      </c>
      <c r="J28" s="54">
        <f>[57]f!J28</f>
        <v>211.19194999999999</v>
      </c>
    </row>
    <row r="29" spans="1:10" ht="20" customHeight="1" thickBot="1">
      <c r="A29" s="297" t="s">
        <v>564</v>
      </c>
      <c r="B29" s="26">
        <v>182.19524165383032</v>
      </c>
      <c r="C29" s="26">
        <f>[57]f!C29</f>
        <v>186.79</v>
      </c>
      <c r="D29" s="54">
        <f>[57]f!D29</f>
        <v>209.60890775240387</v>
      </c>
      <c r="E29" s="26">
        <f>[57]f!E29</f>
        <v>231.06217497794015</v>
      </c>
      <c r="F29" s="54">
        <f>[57]f!F29</f>
        <v>247.3175692987063</v>
      </c>
      <c r="G29" s="26">
        <f>[57]f!G29</f>
        <v>254.10089923369213</v>
      </c>
      <c r="H29" s="54">
        <f>[57]f!H29</f>
        <v>263.48</v>
      </c>
      <c r="I29" s="26">
        <f>[57]f!I29</f>
        <v>293.69824</v>
      </c>
      <c r="J29" s="54">
        <f>[57]f!J29</f>
        <v>319.02927</v>
      </c>
    </row>
    <row r="30" spans="1:10" ht="20" customHeight="1" thickBot="1">
      <c r="A30" s="297" t="s">
        <v>565</v>
      </c>
      <c r="B30" s="26">
        <v>249.78789170339516</v>
      </c>
      <c r="C30" s="26">
        <f>[57]f!C30</f>
        <v>262.29000000000002</v>
      </c>
      <c r="D30" s="54">
        <f>[57]f!D30</f>
        <v>280.97595294559625</v>
      </c>
      <c r="E30" s="26">
        <f>[57]f!E30</f>
        <v>292.53003148629085</v>
      </c>
      <c r="F30" s="54">
        <f>[57]f!F30</f>
        <v>298.44549609980186</v>
      </c>
      <c r="G30" s="26">
        <f>[57]f!G30</f>
        <v>320.43181073162663</v>
      </c>
      <c r="H30" s="54">
        <f>[57]f!H30</f>
        <v>336.47</v>
      </c>
      <c r="I30" s="26">
        <f>[57]f!I30</f>
        <v>363.55230999999998</v>
      </c>
      <c r="J30" s="54">
        <f>[57]f!J30</f>
        <v>389.5677</v>
      </c>
    </row>
    <row r="31" spans="1:10" ht="20" customHeight="1" thickBot="1">
      <c r="A31" s="297" t="s">
        <v>566</v>
      </c>
      <c r="B31" s="26">
        <v>185.5585448541552</v>
      </c>
      <c r="C31" s="26">
        <f>[57]f!C31</f>
        <v>187.76</v>
      </c>
      <c r="D31" s="54">
        <f>[57]f!D31</f>
        <v>202.37524782381857</v>
      </c>
      <c r="E31" s="26">
        <f>[57]f!E31</f>
        <v>221.92375082863774</v>
      </c>
      <c r="F31" s="54">
        <f>[57]f!F31</f>
        <v>226.4991872043224</v>
      </c>
      <c r="G31" s="26">
        <f>[57]f!G31</f>
        <v>237.61423548859224</v>
      </c>
      <c r="H31" s="54">
        <f>[57]f!H31</f>
        <v>261.69</v>
      </c>
      <c r="I31" s="26">
        <f>[57]f!I31</f>
        <v>285.07929000000001</v>
      </c>
      <c r="J31" s="54">
        <f>[57]f!J31</f>
        <v>300.93169999999998</v>
      </c>
    </row>
    <row r="32" spans="1:10" ht="30" customHeight="1" thickBot="1">
      <c r="A32" s="78" t="s">
        <v>808</v>
      </c>
      <c r="B32" s="39">
        <v>166.16924861756607</v>
      </c>
      <c r="C32" s="39">
        <f>[57]f!C32</f>
        <v>173.08</v>
      </c>
      <c r="D32" s="57">
        <f>[57]f!D32</f>
        <v>188.06152293360134</v>
      </c>
      <c r="E32" s="39">
        <f>[57]f!E32</f>
        <v>197.28646689698576</v>
      </c>
      <c r="F32" s="57">
        <f>[57]f!F32</f>
        <v>203.88952141156713</v>
      </c>
      <c r="G32" s="39">
        <f>[57]f!G32</f>
        <v>211.67614847185897</v>
      </c>
      <c r="H32" s="57">
        <f>[57]f!H32</f>
        <v>223.27</v>
      </c>
      <c r="I32" s="39">
        <f>[57]f!I32</f>
        <v>245.01247000000001</v>
      </c>
      <c r="J32" s="57">
        <f>[57]f!J32</f>
        <v>268.54743999999999</v>
      </c>
    </row>
    <row r="33" spans="1:10" ht="20" customHeight="1">
      <c r="A33" s="28" t="s">
        <v>932</v>
      </c>
      <c r="B33" s="29"/>
      <c r="C33" s="29"/>
      <c r="D33" s="29"/>
      <c r="E33" s="29"/>
      <c r="F33" s="29"/>
      <c r="G33" s="29"/>
      <c r="H33" s="29"/>
      <c r="I33" s="29"/>
      <c r="J33" s="30"/>
    </row>
    <row r="34" spans="1:10" ht="12.75" customHeight="1">
      <c r="A34" s="7" t="s">
        <v>933</v>
      </c>
      <c r="B34" s="31"/>
      <c r="C34" s="31"/>
      <c r="D34" s="31"/>
      <c r="E34" s="31"/>
      <c r="F34" s="31"/>
      <c r="G34" s="31"/>
      <c r="H34" s="31"/>
      <c r="I34" s="31"/>
      <c r="J34" s="32"/>
    </row>
    <row r="35" spans="1:10">
      <c r="A35" s="7" t="s">
        <v>934</v>
      </c>
    </row>
    <row r="36" spans="1:10">
      <c r="A36" s="7" t="s">
        <v>935</v>
      </c>
    </row>
    <row r="37" spans="1:10">
      <c r="A37" s="7" t="s">
        <v>936</v>
      </c>
    </row>
    <row r="38" spans="1:10">
      <c r="A38" s="7" t="s">
        <v>937</v>
      </c>
    </row>
    <row r="39" spans="1:10">
      <c r="A39" s="7" t="s">
        <v>938</v>
      </c>
    </row>
    <row r="40" spans="1:10">
      <c r="A40" s="7" t="s">
        <v>939</v>
      </c>
    </row>
  </sheetData>
  <phoneticPr fontId="0" type="noConversion"/>
  <pageMargins left="0.45" right="0.49" top="1.28" bottom="0.49" header="0.93" footer="0.4921259845"/>
  <pageSetup paperSize="9" scale="80" orientation="portrait" horizontalDpi="4294967292" verticalDpi="4294967292"/>
  <headerFooter alignWithMargins="0">
    <oddHeader>&amp;L&amp;"Arial,Bold"&amp;14Prämientarife in der OKP</oddHeader>
    <oddFooter>&amp;L&amp;"Arial,Regular"Statistik über die Krankenversicherung, Bundesamt für Sozialversicherung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7B9A-A299-5A47-8632-C809886114D4}">
  <dimension ref="A1:M39"/>
  <sheetViews>
    <sheetView topLeftCell="A20" zoomScale="75" workbookViewId="0">
      <selection sqref="A1:J39"/>
    </sheetView>
  </sheetViews>
  <sheetFormatPr baseColWidth="10" defaultColWidth="11.3984375" defaultRowHeight="13"/>
  <cols>
    <col min="1" max="1" width="10.59765625" style="7" customWidth="1"/>
    <col min="2" max="7" width="11.19921875" style="7" customWidth="1"/>
    <col min="8" max="9" width="13.796875" style="7" customWidth="1"/>
    <col min="10" max="16384" width="11.3984375" style="7"/>
  </cols>
  <sheetData>
    <row r="1" spans="1:10" s="1" customFormat="1" ht="14" customHeight="1"/>
    <row r="2" spans="1:10" s="1" customFormat="1" ht="28" customHeight="1">
      <c r="A2" s="2" t="s">
        <v>959</v>
      </c>
    </row>
    <row r="3" spans="1:10" ht="24" customHeight="1">
      <c r="A3" s="41" t="s">
        <v>537</v>
      </c>
      <c r="B3" s="298" t="s">
        <v>941</v>
      </c>
      <c r="C3" s="260" t="s">
        <v>941</v>
      </c>
      <c r="D3" s="298" t="s">
        <v>941</v>
      </c>
      <c r="E3" s="260" t="s">
        <v>941</v>
      </c>
      <c r="F3" s="298" t="s">
        <v>941</v>
      </c>
      <c r="G3" s="260" t="s">
        <v>941</v>
      </c>
      <c r="H3" s="298" t="s">
        <v>941</v>
      </c>
      <c r="I3" s="260" t="s">
        <v>942</v>
      </c>
    </row>
    <row r="4" spans="1:10" ht="15" customHeight="1">
      <c r="A4" s="43"/>
      <c r="B4" s="62" t="s">
        <v>943</v>
      </c>
      <c r="C4" s="270" t="s">
        <v>943</v>
      </c>
      <c r="D4" s="271" t="s">
        <v>943</v>
      </c>
      <c r="E4" s="270" t="s">
        <v>943</v>
      </c>
      <c r="F4" s="271" t="s">
        <v>943</v>
      </c>
      <c r="G4" s="270" t="s">
        <v>943</v>
      </c>
      <c r="H4" s="62" t="s">
        <v>943</v>
      </c>
      <c r="I4" s="61" t="s">
        <v>944</v>
      </c>
    </row>
    <row r="5" spans="1:10" ht="15" customHeight="1">
      <c r="A5" s="43"/>
      <c r="B5" s="62" t="s">
        <v>945</v>
      </c>
      <c r="C5" s="61" t="s">
        <v>946</v>
      </c>
      <c r="D5" s="62" t="s">
        <v>947</v>
      </c>
      <c r="E5" s="61" t="s">
        <v>948</v>
      </c>
      <c r="F5" s="271" t="s">
        <v>949</v>
      </c>
      <c r="G5" s="61" t="s">
        <v>950</v>
      </c>
      <c r="H5" s="62" t="s">
        <v>951</v>
      </c>
      <c r="I5" s="61" t="s">
        <v>952</v>
      </c>
    </row>
    <row r="6" spans="1:10" ht="15" customHeight="1">
      <c r="A6" s="43"/>
      <c r="B6" s="62" t="s">
        <v>953</v>
      </c>
      <c r="C6" s="61"/>
      <c r="D6" s="62"/>
      <c r="E6" s="61"/>
      <c r="F6" s="271"/>
      <c r="G6" s="61"/>
      <c r="H6" s="62"/>
      <c r="I6" s="61" t="s">
        <v>954</v>
      </c>
    </row>
    <row r="7" spans="1:10" ht="16" customHeight="1">
      <c r="A7" s="46"/>
      <c r="B7" s="65"/>
      <c r="C7" s="64"/>
      <c r="D7" s="65"/>
      <c r="E7" s="64"/>
      <c r="F7" s="272"/>
      <c r="G7" s="64"/>
      <c r="H7" s="65"/>
      <c r="I7" s="64" t="s">
        <v>931</v>
      </c>
    </row>
    <row r="8" spans="1:10" ht="30" customHeight="1" thickBot="1">
      <c r="A8" s="296" t="s">
        <v>541</v>
      </c>
      <c r="B8" s="299">
        <f>[58]f!B8</f>
        <v>0.12613928626541648</v>
      </c>
      <c r="C8" s="300">
        <f>[58]f!C8</f>
        <v>7.8429686283143063E-2</v>
      </c>
      <c r="D8" s="299">
        <f>[58]f!D8</f>
        <v>4.3687998030005115E-2</v>
      </c>
      <c r="E8" s="300">
        <f>[58]f!E8</f>
        <v>4.9098421667693515E-2</v>
      </c>
      <c r="F8" s="299">
        <f>[58]f!F8</f>
        <v>5.2286857263827313E-2</v>
      </c>
      <c r="G8" s="300">
        <f>[58]f!G8</f>
        <v>0.10371451977150947</v>
      </c>
      <c r="H8" s="299">
        <f>[58]f!H8</f>
        <v>0.10442598520331936</v>
      </c>
      <c r="I8" s="300">
        <f>[58]f!I8</f>
        <v>7.9265614771848014E-2</v>
      </c>
      <c r="J8" s="22"/>
    </row>
    <row r="9" spans="1:10" ht="20" customHeight="1" thickBot="1">
      <c r="A9" s="297" t="s">
        <v>542</v>
      </c>
      <c r="B9" s="301">
        <f>[58]f!B9</f>
        <v>8.4661519404469976E-2</v>
      </c>
      <c r="C9" s="302">
        <f>[58]f!C9</f>
        <v>5.4276368705915568E-2</v>
      </c>
      <c r="D9" s="301">
        <f>[58]f!D9</f>
        <v>6.7043975583916726E-2</v>
      </c>
      <c r="E9" s="302">
        <f>[58]f!E9</f>
        <v>2.4915792440715512E-2</v>
      </c>
      <c r="F9" s="301">
        <f>[58]f!F9</f>
        <v>3.8616843241308985E-2</v>
      </c>
      <c r="G9" s="302">
        <f>[58]f!G9</f>
        <v>0.10537406646751291</v>
      </c>
      <c r="H9" s="301">
        <f>[58]f!H9</f>
        <v>9.8820836521823274E-2</v>
      </c>
      <c r="I9" s="300">
        <f>[58]f!I9</f>
        <v>6.7301811878385465E-2</v>
      </c>
      <c r="J9" s="22"/>
    </row>
    <row r="10" spans="1:10" ht="20" customHeight="1" thickBot="1">
      <c r="A10" s="297" t="s">
        <v>543</v>
      </c>
      <c r="B10" s="301">
        <f>[58]f!B10</f>
        <v>3.2186125538066657E-2</v>
      </c>
      <c r="C10" s="302">
        <f>[58]f!C10</f>
        <v>6.729166114238172E-2</v>
      </c>
      <c r="D10" s="301">
        <f>[58]f!D10</f>
        <v>-9.9978728158878205E-4</v>
      </c>
      <c r="E10" s="302">
        <f>[58]f!E10</f>
        <v>6.2101880505760043E-2</v>
      </c>
      <c r="F10" s="301">
        <f>[58]f!F10</f>
        <v>7.1268326074623412E-2</v>
      </c>
      <c r="G10" s="302">
        <f>[58]f!G10</f>
        <v>0.11028200711907221</v>
      </c>
      <c r="H10" s="301">
        <f>[58]f!H10</f>
        <v>0.10501708164045787</v>
      </c>
      <c r="I10" s="300">
        <f>[58]f!I10</f>
        <v>6.3258991965497779E-2</v>
      </c>
      <c r="J10" s="22"/>
    </row>
    <row r="11" spans="1:10" ht="20" customHeight="1" thickBot="1">
      <c r="A11" s="297" t="s">
        <v>544</v>
      </c>
      <c r="B11" s="301">
        <f>[58]f!B11</f>
        <v>3.083307666763746E-2</v>
      </c>
      <c r="C11" s="302">
        <f>[58]f!C11</f>
        <v>5.1241760630519773E-2</v>
      </c>
      <c r="D11" s="301">
        <f>[58]f!D11</f>
        <v>-7.2549199135449882E-3</v>
      </c>
      <c r="E11" s="302">
        <f>[58]f!E11</f>
        <v>2.7126898785698517E-2</v>
      </c>
      <c r="F11" s="301">
        <f>[58]f!F11</f>
        <v>4.06569468738045E-2</v>
      </c>
      <c r="G11" s="302">
        <f>[58]f!G11</f>
        <v>0.10287647856086757</v>
      </c>
      <c r="H11" s="301">
        <f>[58]f!H11</f>
        <v>0.10663923716215229</v>
      </c>
      <c r="I11" s="300">
        <f>[58]f!I11</f>
        <v>4.9609173201386136E-2</v>
      </c>
      <c r="J11" s="22"/>
    </row>
    <row r="12" spans="1:10" ht="20" customHeight="1" thickBot="1">
      <c r="A12" s="297" t="s">
        <v>545</v>
      </c>
      <c r="B12" s="301">
        <f>[58]f!B12</f>
        <v>0.10224118520281511</v>
      </c>
      <c r="C12" s="302">
        <f>[58]f!C12</f>
        <v>3.543261059986702E-2</v>
      </c>
      <c r="D12" s="301">
        <f>[58]f!D12</f>
        <v>-1.5861163972542003E-2</v>
      </c>
      <c r="E12" s="302">
        <f>[58]f!E12</f>
        <v>2.2262124863796862E-2</v>
      </c>
      <c r="F12" s="301">
        <f>[58]f!F12</f>
        <v>6.2254266188365381E-2</v>
      </c>
      <c r="G12" s="302">
        <f>[58]f!G12</f>
        <v>0.12372337191628668</v>
      </c>
      <c r="H12" s="301">
        <f>[58]f!H12</f>
        <v>0.11238594823584047</v>
      </c>
      <c r="I12" s="300">
        <f>[58]f!I12</f>
        <v>6.2100923645368011E-2</v>
      </c>
      <c r="J12" s="22"/>
    </row>
    <row r="13" spans="1:10" ht="20" customHeight="1" thickBot="1">
      <c r="A13" s="297" t="s">
        <v>546</v>
      </c>
      <c r="B13" s="301">
        <f>[58]f!B13</f>
        <v>6.0469299368311802E-2</v>
      </c>
      <c r="C13" s="302">
        <f>[58]f!C13</f>
        <v>8.4445454455319702E-3</v>
      </c>
      <c r="D13" s="301">
        <f>[58]f!D13</f>
        <v>-7.2302150567744583E-3</v>
      </c>
      <c r="E13" s="302">
        <f>[58]f!E13</f>
        <v>3.1686083742130222E-2</v>
      </c>
      <c r="F13" s="301">
        <f>[58]f!F13</f>
        <v>5.5088101978333137E-2</v>
      </c>
      <c r="G13" s="302">
        <f>[58]f!G13</f>
        <v>8.3833770351850578E-2</v>
      </c>
      <c r="H13" s="301">
        <f>[58]f!H13</f>
        <v>6.4480507533846154E-2</v>
      </c>
      <c r="I13" s="300">
        <f>[58]f!I13</f>
        <v>4.1952470930916919E-2</v>
      </c>
      <c r="J13" s="22"/>
    </row>
    <row r="14" spans="1:10" ht="20" customHeight="1" thickBot="1">
      <c r="A14" s="297" t="s">
        <v>547</v>
      </c>
      <c r="B14" s="301">
        <f>[58]f!B14</f>
        <v>5.1072667046455855E-2</v>
      </c>
      <c r="C14" s="302">
        <f>[58]f!C14</f>
        <v>1.6877380103450967E-2</v>
      </c>
      <c r="D14" s="301">
        <f>[58]f!D14</f>
        <v>-1.2006586548933718E-2</v>
      </c>
      <c r="E14" s="302">
        <f>[58]f!E14</f>
        <v>2.760179253674222E-2</v>
      </c>
      <c r="F14" s="301">
        <f>[58]f!F14</f>
        <v>5.3901640944971296E-2</v>
      </c>
      <c r="G14" s="302">
        <f>[58]f!G14</f>
        <v>8.4635131646876527E-2</v>
      </c>
      <c r="H14" s="301">
        <f>[58]f!H14</f>
        <v>9.0310067418687856E-2</v>
      </c>
      <c r="I14" s="300">
        <f>[58]f!I14</f>
        <v>4.4072295044523369E-2</v>
      </c>
      <c r="J14" s="22"/>
    </row>
    <row r="15" spans="1:10" ht="20" customHeight="1" thickBot="1">
      <c r="A15" s="297" t="s">
        <v>548</v>
      </c>
      <c r="B15" s="301">
        <f>[58]f!B15</f>
        <v>0.10059931954872159</v>
      </c>
      <c r="C15" s="302">
        <f>[58]f!C15</f>
        <v>6.2982790946979339E-2</v>
      </c>
      <c r="D15" s="301">
        <f>[58]f!D15</f>
        <v>1.3837648926860124E-2</v>
      </c>
      <c r="E15" s="302">
        <f>[58]f!E15</f>
        <v>2.185262510382957E-2</v>
      </c>
      <c r="F15" s="301">
        <f>[58]f!F15</f>
        <v>7.6946884214629252E-2</v>
      </c>
      <c r="G15" s="302">
        <f>[58]f!G15</f>
        <v>0.12215433154449507</v>
      </c>
      <c r="H15" s="301">
        <f>[58]f!H15</f>
        <v>0.12263482775272783</v>
      </c>
      <c r="I15" s="300">
        <f>[58]f!I15</f>
        <v>7.3635322409698611E-2</v>
      </c>
      <c r="J15" s="22"/>
    </row>
    <row r="16" spans="1:10" ht="20" customHeight="1" thickBot="1">
      <c r="A16" s="297" t="s">
        <v>549</v>
      </c>
      <c r="B16" s="301">
        <f>[58]f!B16</f>
        <v>8.0245446324829217E-2</v>
      </c>
      <c r="C16" s="302">
        <f>[58]f!C16</f>
        <v>-2.1298729786621839E-3</v>
      </c>
      <c r="D16" s="301">
        <f>[58]f!D16</f>
        <v>-1.1619850399125831E-2</v>
      </c>
      <c r="E16" s="302">
        <f>[58]f!E16</f>
        <v>3.5355080926786187E-2</v>
      </c>
      <c r="F16" s="301">
        <f>[58]f!F16</f>
        <v>5.9559548252665184E-2</v>
      </c>
      <c r="G16" s="302">
        <f>[58]f!G16</f>
        <v>0.11828377322190819</v>
      </c>
      <c r="H16" s="301">
        <f>[58]f!H16</f>
        <v>0.12652804394568862</v>
      </c>
      <c r="I16" s="300">
        <f>[58]f!I16</f>
        <v>5.6827659926711904E-2</v>
      </c>
      <c r="J16" s="22"/>
    </row>
    <row r="17" spans="1:10" ht="20" customHeight="1" thickBot="1">
      <c r="A17" s="297" t="s">
        <v>550</v>
      </c>
      <c r="B17" s="301">
        <f>[58]f!B17</f>
        <v>6.716363944691861E-2</v>
      </c>
      <c r="C17" s="302">
        <f>[58]f!C17</f>
        <v>3.280958343787832E-3</v>
      </c>
      <c r="D17" s="301">
        <f>[58]f!D17</f>
        <v>1.766393404468336E-2</v>
      </c>
      <c r="E17" s="302">
        <f>[58]f!E17</f>
        <v>5.2624625660810942E-2</v>
      </c>
      <c r="F17" s="301">
        <f>[58]f!F17</f>
        <v>6.9610698459434905E-2</v>
      </c>
      <c r="G17" s="302">
        <f>[58]f!G17</f>
        <v>8.3998127853881277E-2</v>
      </c>
      <c r="H17" s="301">
        <f>[58]f!H17</f>
        <v>6.6671162678295648E-2</v>
      </c>
      <c r="I17" s="300">
        <f>[58]f!I17</f>
        <v>5.1206520599025085E-2</v>
      </c>
      <c r="J17" s="22"/>
    </row>
    <row r="18" spans="1:10" ht="20" customHeight="1" thickBot="1">
      <c r="A18" s="297" t="s">
        <v>551</v>
      </c>
      <c r="B18" s="301">
        <f>[58]f!B18</f>
        <v>0.13621630771097482</v>
      </c>
      <c r="C18" s="302">
        <f>[58]f!C18</f>
        <v>8.8416454232156383E-2</v>
      </c>
      <c r="D18" s="301">
        <f>[58]f!D18</f>
        <v>2.6222961878580753E-2</v>
      </c>
      <c r="E18" s="302">
        <f>[58]f!E18</f>
        <v>4.3601339573327014E-2</v>
      </c>
      <c r="F18" s="301">
        <f>[58]f!F18</f>
        <v>2.514466501733259E-2</v>
      </c>
      <c r="G18" s="302">
        <f>[58]f!G18</f>
        <v>5.605359884836858E-2</v>
      </c>
      <c r="H18" s="301">
        <f>[58]f!H18</f>
        <v>9.2522240731016225E-2</v>
      </c>
      <c r="I18" s="300">
        <f>[58]f!I18</f>
        <v>6.622214057632192E-2</v>
      </c>
      <c r="J18" s="22"/>
    </row>
    <row r="19" spans="1:10" ht="20" customHeight="1" thickBot="1">
      <c r="A19" s="297" t="s">
        <v>552</v>
      </c>
      <c r="B19" s="301">
        <f>[58]f!B19</f>
        <v>0.15152715969927022</v>
      </c>
      <c r="C19" s="302">
        <f>[58]f!C19</f>
        <v>9.5420596201110097E-2</v>
      </c>
      <c r="D19" s="301">
        <f>[58]f!D19</f>
        <v>8.3784531241760662E-2</v>
      </c>
      <c r="E19" s="302">
        <f>[58]f!E19</f>
        <v>4.8892562209857715E-2</v>
      </c>
      <c r="F19" s="301">
        <f>[58]f!F19</f>
        <v>6.0464755233850864E-2</v>
      </c>
      <c r="G19" s="302">
        <f>[58]f!G19</f>
        <v>8.6196882909284733E-2</v>
      </c>
      <c r="H19" s="301">
        <f>[58]f!H19</f>
        <v>9.015906760787229E-2</v>
      </c>
      <c r="I19" s="300">
        <f>[58]f!I19</f>
        <v>8.7649840920828614E-2</v>
      </c>
      <c r="J19" s="22"/>
    </row>
    <row r="20" spans="1:10" ht="20" customHeight="1" thickBot="1">
      <c r="A20" s="297" t="s">
        <v>553</v>
      </c>
      <c r="B20" s="301">
        <f>[58]f!B20</f>
        <v>0.138313161853306</v>
      </c>
      <c r="C20" s="302">
        <f>[58]f!C20</f>
        <v>6.4260908259432759E-2</v>
      </c>
      <c r="D20" s="301">
        <f>[58]f!D20</f>
        <v>7.2158322854636303E-3</v>
      </c>
      <c r="E20" s="302">
        <f>[58]f!E20</f>
        <v>3.5237123446206775E-2</v>
      </c>
      <c r="F20" s="301">
        <f>[58]f!F20</f>
        <v>4.9523131342671167E-2</v>
      </c>
      <c r="G20" s="302">
        <f>[58]f!G20</f>
        <v>0.10021431743494102</v>
      </c>
      <c r="H20" s="301">
        <f>[58]f!H20</f>
        <v>9.8568834096627533E-2</v>
      </c>
      <c r="I20" s="300">
        <f>[58]f!I20</f>
        <v>6.9677079339899084E-2</v>
      </c>
      <c r="J20" s="22"/>
    </row>
    <row r="21" spans="1:10" ht="20" customHeight="1" thickBot="1">
      <c r="A21" s="297" t="s">
        <v>554</v>
      </c>
      <c r="B21" s="301">
        <f>[58]f!B21</f>
        <v>0.16213627024850141</v>
      </c>
      <c r="C21" s="302">
        <f>[58]f!C21</f>
        <v>5.013143786353802E-2</v>
      </c>
      <c r="D21" s="301">
        <f>[58]f!D21</f>
        <v>5.4830929433373532E-2</v>
      </c>
      <c r="E21" s="302">
        <f>[58]f!E21</f>
        <v>3.9193084046368121E-2</v>
      </c>
      <c r="F21" s="301">
        <f>[58]f!F21</f>
        <v>5.3052528748650074E-2</v>
      </c>
      <c r="G21" s="302">
        <f>[58]f!G21</f>
        <v>0.15829113174007503</v>
      </c>
      <c r="H21" s="301">
        <f>[58]f!H21</f>
        <v>9.4186508897372345E-2</v>
      </c>
      <c r="I21" s="300">
        <f>[58]f!I21</f>
        <v>8.6332333269595551E-2</v>
      </c>
      <c r="J21" s="22"/>
    </row>
    <row r="22" spans="1:10" ht="20" customHeight="1" thickBot="1">
      <c r="A22" s="297" t="s">
        <v>555</v>
      </c>
      <c r="B22" s="301">
        <f>[58]f!B22</f>
        <v>0.11530248290676592</v>
      </c>
      <c r="C22" s="302">
        <f>[58]f!C22</f>
        <v>8.8621308376789498E-2</v>
      </c>
      <c r="D22" s="301">
        <f>[58]f!D22</f>
        <v>6.3289702653235302E-4</v>
      </c>
      <c r="E22" s="302">
        <f>[58]f!E22</f>
        <v>2.1104328711528897E-2</v>
      </c>
      <c r="F22" s="301">
        <f>[58]f!F22</f>
        <v>7.1317829402282706E-2</v>
      </c>
      <c r="G22" s="302">
        <f>[58]f!G22</f>
        <v>0.10332321027687685</v>
      </c>
      <c r="H22" s="301">
        <f>[58]f!H22</f>
        <v>0.10728450200704898</v>
      </c>
      <c r="I22" s="300">
        <f>[58]f!I22</f>
        <v>7.1693685367839377E-2</v>
      </c>
      <c r="J22" s="22"/>
    </row>
    <row r="23" spans="1:10" ht="20" customHeight="1" thickBot="1">
      <c r="A23" s="297" t="s">
        <v>556</v>
      </c>
      <c r="B23" s="301">
        <f>[58]f!B23</f>
        <v>6.6714528046374566E-2</v>
      </c>
      <c r="C23" s="302">
        <f>[58]f!C23</f>
        <v>6.2405572474689475E-2</v>
      </c>
      <c r="D23" s="301">
        <f>[58]f!D23</f>
        <v>-1.3531361714019141E-2</v>
      </c>
      <c r="E23" s="302">
        <f>[58]f!E23</f>
        <v>1.17916885109004E-2</v>
      </c>
      <c r="F23" s="301">
        <f>[58]f!F23</f>
        <v>9.2353068042632547E-2</v>
      </c>
      <c r="G23" s="302">
        <f>[58]f!G23</f>
        <v>9.4624991389405722E-2</v>
      </c>
      <c r="H23" s="301">
        <f>[58]f!H23</f>
        <v>9.2758197561323863E-2</v>
      </c>
      <c r="I23" s="300">
        <f>[58]f!I23</f>
        <v>5.7396613252693296E-2</v>
      </c>
      <c r="J23" s="22"/>
    </row>
    <row r="24" spans="1:10" ht="20" customHeight="1" thickBot="1">
      <c r="A24" s="297" t="s">
        <v>557</v>
      </c>
      <c r="B24" s="301">
        <f>[58]f!B24</f>
        <v>0.11141672230009814</v>
      </c>
      <c r="C24" s="302">
        <f>[58]f!C24</f>
        <v>9.2246319189679626E-2</v>
      </c>
      <c r="D24" s="301">
        <f>[58]f!D24</f>
        <v>1.4939222203069979E-2</v>
      </c>
      <c r="E24" s="302">
        <f>[58]f!E24</f>
        <v>2.8870561169430431E-2</v>
      </c>
      <c r="F24" s="301">
        <f>[58]f!F24</f>
        <v>6.6188927701152478E-2</v>
      </c>
      <c r="G24" s="302">
        <f>[58]f!G24</f>
        <v>0.10430954550632188</v>
      </c>
      <c r="H24" s="301">
        <f>[58]f!H24</f>
        <v>8.7103580516163737E-2</v>
      </c>
      <c r="I24" s="300">
        <f>[58]f!I24</f>
        <v>7.1587761404569905E-2</v>
      </c>
      <c r="J24" s="22"/>
    </row>
    <row r="25" spans="1:10" ht="20" customHeight="1" thickBot="1">
      <c r="A25" s="297" t="s">
        <v>558</v>
      </c>
      <c r="B25" s="301">
        <f>[58]f!B25</f>
        <v>0.1752339201546198</v>
      </c>
      <c r="C25" s="302">
        <f>[58]f!C25</f>
        <v>4.5663278607013247E-3</v>
      </c>
      <c r="D25" s="301">
        <f>[58]f!D25</f>
        <v>1.6122992679380221E-2</v>
      </c>
      <c r="E25" s="302">
        <f>[58]f!E25</f>
        <v>5.4504237397578148E-2</v>
      </c>
      <c r="F25" s="301">
        <f>[58]f!F25</f>
        <v>8.2966470936743919E-2</v>
      </c>
      <c r="G25" s="302">
        <f>[58]f!G25</f>
        <v>0.13308071428571422</v>
      </c>
      <c r="H25" s="301">
        <f>[58]f!H25</f>
        <v>0.13454569390362003</v>
      </c>
      <c r="I25" s="300">
        <f>[58]f!I25</f>
        <v>8.4210546650920648E-2</v>
      </c>
      <c r="J25" s="22"/>
    </row>
    <row r="26" spans="1:10" ht="20" customHeight="1" thickBot="1">
      <c r="A26" s="297" t="s">
        <v>559</v>
      </c>
      <c r="B26" s="301">
        <f>[58]f!B26</f>
        <v>0.12738686957185741</v>
      </c>
      <c r="C26" s="302">
        <f>[58]f!C26</f>
        <v>7.2042091732333002E-2</v>
      </c>
      <c r="D26" s="301">
        <f>[58]f!D26</f>
        <v>3.4382783382265636E-2</v>
      </c>
      <c r="E26" s="302">
        <f>[58]f!E26</f>
        <v>5.5803497283793302E-2</v>
      </c>
      <c r="F26" s="301">
        <f>[58]f!F26</f>
        <v>8.7682619516994187E-2</v>
      </c>
      <c r="G26" s="302">
        <f>[58]f!G26</f>
        <v>0.11570227762874108</v>
      </c>
      <c r="H26" s="301">
        <f>[58]f!H26</f>
        <v>9.6585738009683508E-2</v>
      </c>
      <c r="I26" s="300">
        <f>[58]f!I26</f>
        <v>8.37993812689104E-2</v>
      </c>
      <c r="J26" s="22"/>
    </row>
    <row r="27" spans="1:10" ht="20" customHeight="1" thickBot="1">
      <c r="A27" s="297" t="s">
        <v>560</v>
      </c>
      <c r="B27" s="301">
        <f>[58]f!B27</f>
        <v>0.1676621855725855</v>
      </c>
      <c r="C27" s="302">
        <f>[58]f!C27</f>
        <v>8.8164886528195208E-2</v>
      </c>
      <c r="D27" s="301">
        <f>[58]f!D27</f>
        <v>4.6822304164127582E-2</v>
      </c>
      <c r="E27" s="302">
        <f>[58]f!E27</f>
        <v>3.6306385968898347E-2</v>
      </c>
      <c r="F27" s="301">
        <f>[58]f!F27</f>
        <v>9.8738375133517131E-2</v>
      </c>
      <c r="G27" s="302">
        <f>[58]f!G27</f>
        <v>0.13755009594990386</v>
      </c>
      <c r="H27" s="301">
        <f>[58]f!H27</f>
        <v>0.11001667556980421</v>
      </c>
      <c r="I27" s="300">
        <f>[58]f!I27</f>
        <v>9.7043663539712277E-2</v>
      </c>
      <c r="J27" s="22"/>
    </row>
    <row r="28" spans="1:10" ht="20" customHeight="1" thickBot="1">
      <c r="A28" s="297" t="s">
        <v>561</v>
      </c>
      <c r="B28" s="301">
        <f>[58]f!B28</f>
        <v>9.6996879816964254E-2</v>
      </c>
      <c r="C28" s="302">
        <f>[58]f!C28</f>
        <v>8.1209870777622095E-2</v>
      </c>
      <c r="D28" s="301">
        <f>[58]f!D28</f>
        <v>1.2448815845387928E-2</v>
      </c>
      <c r="E28" s="302">
        <f>[58]f!E28</f>
        <v>2.0495064661920859E-2</v>
      </c>
      <c r="F28" s="301">
        <f>[58]f!F28</f>
        <v>4.1702301504699779E-2</v>
      </c>
      <c r="G28" s="302">
        <f>[58]f!G28</f>
        <v>8.6127127515217339E-2</v>
      </c>
      <c r="H28" s="301">
        <f>[58]f!H28</f>
        <v>9.3927364769294197E-2</v>
      </c>
      <c r="I28" s="300">
        <f>[58]f!I28</f>
        <v>6.1315710215765318E-2</v>
      </c>
      <c r="J28" s="22"/>
    </row>
    <row r="29" spans="1:10" ht="20" customHeight="1" thickBot="1">
      <c r="A29" s="297" t="s">
        <v>562</v>
      </c>
      <c r="B29" s="301">
        <f>[58]f!B29</f>
        <v>4.2577198700370467E-2</v>
      </c>
      <c r="C29" s="302">
        <f>[58]f!C29</f>
        <v>-7.3861030029056529E-3</v>
      </c>
      <c r="D29" s="301">
        <f>[58]f!D29</f>
        <v>2.884700975613752E-2</v>
      </c>
      <c r="E29" s="302">
        <f>[58]f!E29</f>
        <v>1.5371645463735373E-2</v>
      </c>
      <c r="F29" s="301">
        <f>[58]f!F29</f>
        <v>4.7932833715460754E-2</v>
      </c>
      <c r="G29" s="302">
        <f>[58]f!G29</f>
        <v>7.3304989410089894E-2</v>
      </c>
      <c r="H29" s="301">
        <f>[58]f!H29</f>
        <v>9.5746518929368474E-2</v>
      </c>
      <c r="I29" s="300">
        <f>[58]f!I29</f>
        <v>4.1848193319912186E-2</v>
      </c>
      <c r="J29" s="22"/>
    </row>
    <row r="30" spans="1:10" ht="20" customHeight="1" thickBot="1">
      <c r="A30" s="297" t="s">
        <v>563</v>
      </c>
      <c r="B30" s="301">
        <f>[58]f!B30</f>
        <v>5.0049093300743586E-3</v>
      </c>
      <c r="C30" s="302">
        <f>[58]f!C30</f>
        <v>-3.046041157662871E-2</v>
      </c>
      <c r="D30" s="301">
        <f>[58]f!D30</f>
        <v>9.5761412667292323E-3</v>
      </c>
      <c r="E30" s="302">
        <f>[58]f!E30</f>
        <v>1.189700644367897E-2</v>
      </c>
      <c r="F30" s="301">
        <f>[58]f!F30</f>
        <v>4.663823526289379E-2</v>
      </c>
      <c r="G30" s="302">
        <f>[58]f!G30</f>
        <v>8.2578885532057722E-2</v>
      </c>
      <c r="H30" s="301">
        <f>[58]f!H30</f>
        <v>9.1430420079777752E-2</v>
      </c>
      <c r="I30" s="300">
        <f>[58]f!I30</f>
        <v>3.0135786527257347E-2</v>
      </c>
      <c r="J30" s="22"/>
    </row>
    <row r="31" spans="1:10" ht="20" customHeight="1" thickBot="1">
      <c r="A31" s="297" t="s">
        <v>564</v>
      </c>
      <c r="B31" s="301">
        <f>[58]f!B31</f>
        <v>0.12216343354785519</v>
      </c>
      <c r="C31" s="302">
        <f>[58]f!C31</f>
        <v>0.10234902445499827</v>
      </c>
      <c r="D31" s="301">
        <f>[58]f!D31</f>
        <v>7.0350737078962E-2</v>
      </c>
      <c r="E31" s="302">
        <f>[58]f!E31</f>
        <v>2.742761039670838E-2</v>
      </c>
      <c r="F31" s="301">
        <f>[58]f!F31</f>
        <v>3.6910931030126326E-2</v>
      </c>
      <c r="G31" s="302">
        <f>[58]f!G31</f>
        <v>0.11468893274631853</v>
      </c>
      <c r="H31" s="301">
        <f>[58]f!H31</f>
        <v>8.6248490968144687E-2</v>
      </c>
      <c r="I31" s="300">
        <f>[58]f!I31</f>
        <v>7.9471018293994611E-2</v>
      </c>
      <c r="J31" s="22"/>
    </row>
    <row r="32" spans="1:10" ht="20" customHeight="1" thickBot="1">
      <c r="A32" s="297" t="s">
        <v>565</v>
      </c>
      <c r="B32" s="301">
        <f>[58]f!B32</f>
        <v>7.124157591061886E-2</v>
      </c>
      <c r="C32" s="302">
        <f>[58]f!C32</f>
        <v>4.1121236246618453E-2</v>
      </c>
      <c r="D32" s="301">
        <f>[58]f!D32</f>
        <v>2.0221734443659045E-2</v>
      </c>
      <c r="E32" s="302">
        <f>[58]f!E32</f>
        <v>7.3669446914596426E-2</v>
      </c>
      <c r="F32" s="301">
        <f>[58]f!F32</f>
        <v>5.0051801135955198E-2</v>
      </c>
      <c r="G32" s="302">
        <f>[58]f!G32</f>
        <v>8.0489523583082923E-2</v>
      </c>
      <c r="H32" s="301">
        <f>[58]f!H32</f>
        <v>7.1558863152320518E-2</v>
      </c>
      <c r="I32" s="300">
        <f>[58]f!I32</f>
        <v>5.8139750907928223E-2</v>
      </c>
    </row>
    <row r="33" spans="1:13" ht="20" customHeight="1" thickBot="1">
      <c r="A33" s="297" t="s">
        <v>566</v>
      </c>
      <c r="B33" s="301">
        <f>[58]f!B33</f>
        <v>7.7840050190767895E-2</v>
      </c>
      <c r="C33" s="302">
        <f>[58]f!C33</f>
        <v>9.6595325836672741E-2</v>
      </c>
      <c r="D33" s="301">
        <f>[58]f!D33</f>
        <v>2.0617155030052015E-2</v>
      </c>
      <c r="E33" s="302">
        <f>[58]f!E33</f>
        <v>4.9073236957106969E-2</v>
      </c>
      <c r="F33" s="301">
        <f>[58]f!F33</f>
        <v>0.10132290458903759</v>
      </c>
      <c r="G33" s="302">
        <f>[58]f!G33</f>
        <v>8.9377851656540219E-2</v>
      </c>
      <c r="H33" s="301">
        <f>[58]f!H33</f>
        <v>5.5607020769554927E-2</v>
      </c>
      <c r="I33" s="300">
        <f>[58]f!I33</f>
        <v>6.9710869712359402E-2</v>
      </c>
      <c r="K33" s="27"/>
      <c r="L33" s="27"/>
      <c r="M33" s="27"/>
    </row>
    <row r="34" spans="1:13" ht="30" customHeight="1" thickBot="1">
      <c r="A34" s="87" t="s">
        <v>808</v>
      </c>
      <c r="B34" s="303">
        <f>[58]f!B34</f>
        <v>8.6558371467537087E-2</v>
      </c>
      <c r="C34" s="304">
        <f>[58]f!C34</f>
        <v>4.9052798358128147E-2</v>
      </c>
      <c r="D34" s="303">
        <f>[58]f!D34</f>
        <v>3.3469373842196726E-2</v>
      </c>
      <c r="E34" s="304">
        <f>[58]f!E34</f>
        <v>3.8190422962315562E-2</v>
      </c>
      <c r="F34" s="303">
        <f>[58]f!F34</f>
        <v>5.4771648160833575E-2</v>
      </c>
      <c r="G34" s="304">
        <f>[58]f!G34</f>
        <v>9.7381959063017831E-2</v>
      </c>
      <c r="H34" s="303">
        <f>[58]f!H34</f>
        <v>9.6056212975608846E-2</v>
      </c>
      <c r="I34" s="305">
        <f>[58]f!I34</f>
        <v>6.4764215956307769E-2</v>
      </c>
    </row>
    <row r="35" spans="1:13" ht="20" customHeight="1">
      <c r="A35" s="28" t="s">
        <v>932</v>
      </c>
      <c r="B35" s="29"/>
      <c r="C35" s="29"/>
      <c r="D35" s="29"/>
      <c r="E35" s="29"/>
      <c r="F35" s="29"/>
      <c r="G35" s="29"/>
      <c r="H35" s="29"/>
      <c r="I35" s="30"/>
    </row>
    <row r="36" spans="1:13" ht="12.75" customHeight="1">
      <c r="A36" s="7" t="s">
        <v>955</v>
      </c>
      <c r="B36" s="31"/>
      <c r="C36" s="31"/>
      <c r="D36" s="31"/>
      <c r="E36" s="31"/>
      <c r="F36" s="31"/>
      <c r="G36" s="31"/>
      <c r="H36" s="31"/>
      <c r="I36" s="32"/>
    </row>
    <row r="37" spans="1:13" ht="12.75" customHeight="1">
      <c r="A37" s="7" t="s">
        <v>956</v>
      </c>
      <c r="C37" s="31"/>
      <c r="D37" s="31"/>
      <c r="E37" s="31"/>
      <c r="F37" s="31"/>
      <c r="G37" s="31"/>
      <c r="H37" s="31"/>
      <c r="I37" s="32"/>
    </row>
    <row r="38" spans="1:13" ht="12.75" customHeight="1">
      <c r="A38" s="7" t="s">
        <v>957</v>
      </c>
      <c r="B38" s="31"/>
      <c r="C38" s="31"/>
      <c r="D38" s="31"/>
      <c r="E38" s="31"/>
      <c r="F38" s="31"/>
      <c r="G38" s="31"/>
      <c r="H38" s="31"/>
      <c r="I38" s="32"/>
    </row>
    <row r="39" spans="1:13">
      <c r="A39" s="7" t="s">
        <v>958</v>
      </c>
    </row>
  </sheetData>
  <phoneticPr fontId="0" type="noConversion"/>
  <pageMargins left="0.56999999999999995" right="0.44" top="1.28" bottom="0.49" header="0.93" footer="0.4921259845"/>
  <pageSetup paperSize="9" scale="80" orientation="portrait" horizontalDpi="4294967292" verticalDpi="4294967292"/>
  <headerFooter alignWithMargins="0">
    <oddHeader>&amp;L&amp;"Arial,Bold"&amp;14Prämientarife in der OKP</oddHeader>
    <oddFooter>&amp;L&amp;"Arial,Regular"Statistik über die Krankenversicherung, Bundesamt für Sozialversicherung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0F7C-A930-F340-A2F1-45459EF8CCA2}">
  <dimension ref="A1:J39"/>
  <sheetViews>
    <sheetView zoomScale="75" workbookViewId="0">
      <selection activeCell="C7" sqref="C7"/>
    </sheetView>
  </sheetViews>
  <sheetFormatPr baseColWidth="10" defaultColWidth="11.3984375" defaultRowHeight="13"/>
  <cols>
    <col min="1" max="1" width="12.3984375" style="7" customWidth="1"/>
    <col min="2" max="2" width="11.19921875" style="7" hidden="1" customWidth="1"/>
    <col min="3" max="8" width="11.19921875" style="7" customWidth="1"/>
    <col min="9" max="9" width="12.19921875" style="7" customWidth="1"/>
    <col min="10" max="10" width="13.19921875" style="7" customWidth="1"/>
    <col min="11" max="16384" width="11.3984375" style="7"/>
  </cols>
  <sheetData>
    <row r="1" spans="1:10" s="1" customFormat="1" ht="14" customHeight="1"/>
    <row r="2" spans="1:10" s="1" customFormat="1" ht="22.5" customHeight="1">
      <c r="A2" s="2" t="s">
        <v>1058</v>
      </c>
    </row>
    <row r="3" spans="1:10" s="1" customFormat="1" ht="28" customHeight="1">
      <c r="A3" s="2" t="s">
        <v>960</v>
      </c>
    </row>
    <row r="4" spans="1:10" ht="24" customHeight="1">
      <c r="A4" s="41" t="s">
        <v>537</v>
      </c>
      <c r="B4" s="6">
        <v>1996</v>
      </c>
      <c r="C4" s="6">
        <v>1996</v>
      </c>
      <c r="D4" s="42">
        <v>1997</v>
      </c>
      <c r="E4" s="6">
        <v>1998</v>
      </c>
      <c r="F4" s="42">
        <v>1999</v>
      </c>
      <c r="G4" s="6">
        <v>2000</v>
      </c>
      <c r="H4" s="42">
        <v>2001</v>
      </c>
      <c r="I4" s="6">
        <v>2002</v>
      </c>
      <c r="J4" s="42">
        <v>2003</v>
      </c>
    </row>
    <row r="5" spans="1:10" ht="15" customHeight="1">
      <c r="A5" s="43"/>
      <c r="B5" s="12"/>
      <c r="C5" s="12" t="s">
        <v>953</v>
      </c>
      <c r="D5" s="44"/>
      <c r="E5" s="12"/>
      <c r="F5" s="44"/>
      <c r="G5" s="11"/>
      <c r="H5" s="45"/>
      <c r="I5" s="12"/>
      <c r="J5" s="44"/>
    </row>
    <row r="6" spans="1:10" ht="16" customHeight="1">
      <c r="A6" s="46"/>
      <c r="B6" s="16"/>
      <c r="C6" s="16"/>
      <c r="D6" s="47"/>
      <c r="E6" s="16"/>
      <c r="F6" s="47"/>
      <c r="G6" s="189"/>
      <c r="H6" s="48"/>
      <c r="I6" s="16"/>
      <c r="J6" s="47"/>
    </row>
    <row r="7" spans="1:10" ht="30" customHeight="1" thickBot="1">
      <c r="A7" s="296" t="s">
        <v>541</v>
      </c>
      <c r="B7" s="20">
        <v>103.49267703996466</v>
      </c>
      <c r="C7" s="306">
        <f>[59]f!C7</f>
        <v>108.96094823223416</v>
      </c>
      <c r="D7" s="307">
        <f>[59]f!D7</f>
        <v>122.70520447305117</v>
      </c>
      <c r="E7" s="306">
        <f>[59]f!E7</f>
        <v>125.59959640332212</v>
      </c>
      <c r="F7" s="307">
        <f>[59]f!F7</f>
        <v>132.64596877205022</v>
      </c>
      <c r="G7" s="306">
        <f>[59]f!G7</f>
        <v>138.98328369990259</v>
      </c>
      <c r="H7" s="307">
        <f>[59]f!H7</f>
        <v>151.38</v>
      </c>
      <c r="I7" s="306">
        <f>[59]f!I7</f>
        <v>174.09601000000001</v>
      </c>
      <c r="J7" s="308">
        <f>[59]f!J7</f>
        <v>200.61509000000001</v>
      </c>
    </row>
    <row r="8" spans="1:10" ht="20" customHeight="1" thickBot="1">
      <c r="A8" s="297" t="s">
        <v>542</v>
      </c>
      <c r="B8" s="26">
        <v>103.61707928535405</v>
      </c>
      <c r="C8" s="309">
        <f>[59]f!C8</f>
        <v>107.79236253672181</v>
      </c>
      <c r="D8" s="310">
        <f>[59]f!D8</f>
        <v>116.91822772927814</v>
      </c>
      <c r="E8" s="309">
        <f>[59]f!E8</f>
        <v>121.7744622665916</v>
      </c>
      <c r="F8" s="310">
        <f>[59]f!F8</f>
        <v>130.77066160794996</v>
      </c>
      <c r="G8" s="309">
        <f>[59]f!G8</f>
        <v>132.36579076296618</v>
      </c>
      <c r="H8" s="310">
        <f>[59]f!H8</f>
        <v>139.02000000000001</v>
      </c>
      <c r="I8" s="309">
        <f>[59]f!I8</f>
        <v>164.31093000000001</v>
      </c>
      <c r="J8" s="310">
        <f>[59]f!J8</f>
        <v>188.46906000000001</v>
      </c>
    </row>
    <row r="9" spans="1:10" ht="20" customHeight="1" thickBot="1">
      <c r="A9" s="297" t="s">
        <v>543</v>
      </c>
      <c r="B9" s="26">
        <v>94.747957343608093</v>
      </c>
      <c r="C9" s="309">
        <f>[59]f!C9</f>
        <v>97.858208977499629</v>
      </c>
      <c r="D9" s="310">
        <f>[59]f!D9</f>
        <v>101.0078855765798</v>
      </c>
      <c r="E9" s="309">
        <f>[59]f!E9</f>
        <v>99.27296670420948</v>
      </c>
      <c r="F9" s="310">
        <f>[59]f!F9</f>
        <v>99.313871902013233</v>
      </c>
      <c r="G9" s="309">
        <f>[59]f!G9</f>
        <v>103.31013455077574</v>
      </c>
      <c r="H9" s="310">
        <f>[59]f!H9</f>
        <v>116.86</v>
      </c>
      <c r="I9" s="309">
        <f>[59]f!I9</f>
        <v>132.45740000000001</v>
      </c>
      <c r="J9" s="310">
        <f>[59]f!J9</f>
        <v>155.02828</v>
      </c>
    </row>
    <row r="10" spans="1:10" ht="20" customHeight="1" thickBot="1">
      <c r="A10" s="297" t="s">
        <v>544</v>
      </c>
      <c r="B10" s="26">
        <v>96.058782765650847</v>
      </c>
      <c r="C10" s="309">
        <f>[59]f!C10</f>
        <v>100.47340098808827</v>
      </c>
      <c r="D10" s="310">
        <f>[59]f!D10</f>
        <v>103.57130506381228</v>
      </c>
      <c r="E10" s="309">
        <f>[59]f!E10</f>
        <v>99.811903817252784</v>
      </c>
      <c r="F10" s="310">
        <f>[59]f!F10</f>
        <v>100.49972598737601</v>
      </c>
      <c r="G10" s="309">
        <f>[59]f!G10</f>
        <v>101.53445060823319</v>
      </c>
      <c r="H10" s="310">
        <f>[59]f!H10</f>
        <v>110.92</v>
      </c>
      <c r="I10" s="309">
        <f>[59]f!I10</f>
        <v>124.09028000000001</v>
      </c>
      <c r="J10" s="310">
        <f>[59]f!J10</f>
        <v>146.08038999999999</v>
      </c>
    </row>
    <row r="11" spans="1:10" ht="20" customHeight="1" thickBot="1">
      <c r="A11" s="297" t="s">
        <v>545</v>
      </c>
      <c r="B11" s="26">
        <v>95.28644266957194</v>
      </c>
      <c r="C11" s="309">
        <f>[59]f!C11</f>
        <v>99.392097327352644</v>
      </c>
      <c r="D11" s="310">
        <f>[59]f!D11</f>
        <v>109.55406315789473</v>
      </c>
      <c r="E11" s="309">
        <f>[59]f!E11</f>
        <v>101.36691701799487</v>
      </c>
      <c r="F11" s="310">
        <f>[59]f!F11</f>
        <v>101.42125446539846</v>
      </c>
      <c r="G11" s="309">
        <f>[59]f!G11</f>
        <v>102.67209990843598</v>
      </c>
      <c r="H11" s="310">
        <f>[59]f!H11</f>
        <v>116.22</v>
      </c>
      <c r="I11" s="309">
        <f>[59]f!I11</f>
        <v>133.61651000000001</v>
      </c>
      <c r="J11" s="310">
        <f>[59]f!J11</f>
        <v>157.78397000000001</v>
      </c>
    </row>
    <row r="12" spans="1:10" ht="20" customHeight="1" thickBot="1">
      <c r="A12" s="297" t="s">
        <v>546</v>
      </c>
      <c r="B12" s="26">
        <v>97.756294719266066</v>
      </c>
      <c r="C12" s="309">
        <f>[59]f!C12</f>
        <v>100.82297440804891</v>
      </c>
      <c r="D12" s="310">
        <f>[59]f!D12</f>
        <v>106.91966903073286</v>
      </c>
      <c r="E12" s="309">
        <f>[59]f!E12</f>
        <v>98.293455290611035</v>
      </c>
      <c r="F12" s="310">
        <f>[59]f!F12</f>
        <v>99.132544247391962</v>
      </c>
      <c r="G12" s="309">
        <f>[59]f!G12</f>
        <v>101.33712050372301</v>
      </c>
      <c r="H12" s="310">
        <f>[59]f!H12</f>
        <v>112.89</v>
      </c>
      <c r="I12" s="309">
        <f>[59]f!I12</f>
        <v>124.3211</v>
      </c>
      <c r="J12" s="310">
        <f>[59]f!J12</f>
        <v>139.16525999999999</v>
      </c>
    </row>
    <row r="13" spans="1:10" ht="20" customHeight="1" thickBot="1">
      <c r="A13" s="297" t="s">
        <v>547</v>
      </c>
      <c r="B13" s="26">
        <v>91.935864040502338</v>
      </c>
      <c r="C13" s="309">
        <f>[59]f!C13</f>
        <v>95.206581287648731</v>
      </c>
      <c r="D13" s="310">
        <f>[59]f!D13</f>
        <v>100.06903531438415</v>
      </c>
      <c r="E13" s="309">
        <f>[59]f!E13</f>
        <v>94.474041396688264</v>
      </c>
      <c r="F13" s="310">
        <f>[59]f!F13</f>
        <v>93.082203248380139</v>
      </c>
      <c r="G13" s="309">
        <f>[59]f!G13</f>
        <v>94.932787628663803</v>
      </c>
      <c r="H13" s="310">
        <f>[59]f!H13</f>
        <v>105.4</v>
      </c>
      <c r="I13" s="309">
        <f>[59]f!I13</f>
        <v>117.36539999999999</v>
      </c>
      <c r="J13" s="310">
        <f>[59]f!J13</f>
        <v>134.10787999999999</v>
      </c>
    </row>
    <row r="14" spans="1:10" ht="20" customHeight="1" thickBot="1">
      <c r="A14" s="297" t="s">
        <v>548</v>
      </c>
      <c r="B14" s="26">
        <v>89.157404789313702</v>
      </c>
      <c r="C14" s="309">
        <f>[59]f!C14</f>
        <v>90.280302067724151</v>
      </c>
      <c r="D14" s="310">
        <f>[59]f!D14</f>
        <v>99.362439024390241</v>
      </c>
      <c r="E14" s="309">
        <f>[59]f!E14</f>
        <v>97.935286132455175</v>
      </c>
      <c r="F14" s="310">
        <f>[59]f!F14</f>
        <v>101.95834029062087</v>
      </c>
      <c r="G14" s="309">
        <f>[59]f!G14</f>
        <v>103.97293710447366</v>
      </c>
      <c r="H14" s="310">
        <f>[59]f!H14</f>
        <v>114.51</v>
      </c>
      <c r="I14" s="309">
        <f>[59]f!I14</f>
        <v>132.51589000000001</v>
      </c>
      <c r="J14" s="310">
        <f>[59]f!J14</f>
        <v>158.82345000000001</v>
      </c>
    </row>
    <row r="15" spans="1:10" ht="20" customHeight="1" thickBot="1">
      <c r="A15" s="297" t="s">
        <v>549</v>
      </c>
      <c r="B15" s="26">
        <v>96.4234489986966</v>
      </c>
      <c r="C15" s="309">
        <f>[59]f!C15</f>
        <v>100.45626130824101</v>
      </c>
      <c r="D15" s="310">
        <f>[59]f!D15</f>
        <v>108.51741883304449</v>
      </c>
      <c r="E15" s="309">
        <f>[59]f!E15</f>
        <v>100.13687301155676</v>
      </c>
      <c r="F15" s="310">
        <f>[59]f!F15</f>
        <v>100.3815115692726</v>
      </c>
      <c r="G15" s="309">
        <f>[59]f!G15</f>
        <v>103.3598685502174</v>
      </c>
      <c r="H15" s="310">
        <f>[59]f!H15</f>
        <v>114.25</v>
      </c>
      <c r="I15" s="309">
        <f>[59]f!I15</f>
        <v>130.75167999999999</v>
      </c>
      <c r="J15" s="310">
        <f>[59]f!J15</f>
        <v>154.30319</v>
      </c>
    </row>
    <row r="16" spans="1:10" ht="20" customHeight="1" thickBot="1">
      <c r="A16" s="297" t="s">
        <v>550</v>
      </c>
      <c r="B16" s="26">
        <v>121.93927253792606</v>
      </c>
      <c r="C16" s="309">
        <f>[59]f!C16</f>
        <v>124.36281802670725</v>
      </c>
      <c r="D16" s="310">
        <f>[59]f!D16</f>
        <v>132.71547749725576</v>
      </c>
      <c r="E16" s="309">
        <f>[59]f!E16</f>
        <v>124.35170593655391</v>
      </c>
      <c r="F16" s="310">
        <f>[59]f!F16</f>
        <v>126.03065744109516</v>
      </c>
      <c r="G16" s="309">
        <f>[59]f!G16</f>
        <v>134.54823356565456</v>
      </c>
      <c r="H16" s="310">
        <f>[59]f!H16</f>
        <v>154.97999999999999</v>
      </c>
      <c r="I16" s="309">
        <f>[59]f!I16</f>
        <v>176.73509999999999</v>
      </c>
      <c r="J16" s="310">
        <f>[59]f!J16</f>
        <v>196.11358999999999</v>
      </c>
    </row>
    <row r="17" spans="1:10" ht="20" customHeight="1" thickBot="1">
      <c r="A17" s="297" t="s">
        <v>551</v>
      </c>
      <c r="B17" s="26">
        <v>94.55147795462733</v>
      </c>
      <c r="C17" s="309">
        <f>[59]f!C17</f>
        <v>106.17129527852973</v>
      </c>
      <c r="D17" s="310">
        <f>[59]f!D17</f>
        <v>120.6335571062627</v>
      </c>
      <c r="E17" s="309">
        <f>[59]f!E17</f>
        <v>122.27340823970037</v>
      </c>
      <c r="F17" s="310">
        <f>[59]f!F17</f>
        <v>125.57664769332453</v>
      </c>
      <c r="G17" s="309">
        <f>[59]f!G17</f>
        <v>130.66324862664206</v>
      </c>
      <c r="H17" s="310">
        <f>[59]f!H17</f>
        <v>137.36000000000001</v>
      </c>
      <c r="I17" s="309">
        <f>[59]f!I17</f>
        <v>151.08682999999999</v>
      </c>
      <c r="J17" s="310">
        <f>[59]f!J17</f>
        <v>175.06958</v>
      </c>
    </row>
    <row r="18" spans="1:10" ht="20" customHeight="1" thickBot="1">
      <c r="A18" s="297" t="s">
        <v>552</v>
      </c>
      <c r="B18" s="26">
        <v>126.81676675301063</v>
      </c>
      <c r="C18" s="309">
        <f>[59]f!C18</f>
        <v>130.81150515928985</v>
      </c>
      <c r="D18" s="310">
        <f>[59]f!D18</f>
        <v>150.63300099206347</v>
      </c>
      <c r="E18" s="309">
        <f>[59]f!E18</f>
        <v>160.38187974892634</v>
      </c>
      <c r="F18" s="310">
        <f>[59]f!F18</f>
        <v>174.90947829534193</v>
      </c>
      <c r="G18" s="309">
        <f>[59]f!G18</f>
        <v>183.16173991706793</v>
      </c>
      <c r="H18" s="310">
        <f>[59]f!H18</f>
        <v>197.67</v>
      </c>
      <c r="I18" s="309">
        <f>[59]f!I18</f>
        <v>227.49455</v>
      </c>
      <c r="J18" s="310">
        <f>[59]f!J18</f>
        <v>265.27109999999999</v>
      </c>
    </row>
    <row r="19" spans="1:10" ht="20" customHeight="1" thickBot="1">
      <c r="A19" s="297" t="s">
        <v>553</v>
      </c>
      <c r="B19" s="26">
        <v>108.66145246128281</v>
      </c>
      <c r="C19" s="309">
        <f>[59]f!C19</f>
        <v>114.72044745839402</v>
      </c>
      <c r="D19" s="310">
        <f>[59]f!D19</f>
        <v>130.58779527559057</v>
      </c>
      <c r="E19" s="309">
        <f>[59]f!E19</f>
        <v>131.77250554712134</v>
      </c>
      <c r="F19" s="310">
        <f>[59]f!F19</f>
        <v>134.34878019385729</v>
      </c>
      <c r="G19" s="309">
        <f>[59]f!G19</f>
        <v>138.34368170410627</v>
      </c>
      <c r="H19" s="310">
        <f>[59]f!H19</f>
        <v>150.65</v>
      </c>
      <c r="I19" s="309">
        <f>[59]f!I19</f>
        <v>173.19712999999999</v>
      </c>
      <c r="J19" s="310">
        <f>[59]f!J19</f>
        <v>201.31742</v>
      </c>
    </row>
    <row r="20" spans="1:10" ht="20" customHeight="1" thickBot="1">
      <c r="A20" s="297" t="s">
        <v>554</v>
      </c>
      <c r="B20" s="26">
        <v>94.893119817524862</v>
      </c>
      <c r="C20" s="309">
        <f>[59]f!C20</f>
        <v>97.658838026559309</v>
      </c>
      <c r="D20" s="310">
        <f>[59]f!D20</f>
        <v>113.49287778098815</v>
      </c>
      <c r="E20" s="309">
        <f>[59]f!E20</f>
        <v>117.13302911275416</v>
      </c>
      <c r="F20" s="310">
        <f>[59]f!F20</f>
        <v>125.57561326247689</v>
      </c>
      <c r="G20" s="309">
        <f>[59]f!G20</f>
        <v>128.53692086322715</v>
      </c>
      <c r="H20" s="310">
        <f>[59]f!H20</f>
        <v>136.82</v>
      </c>
      <c r="I20" s="309">
        <f>[59]f!I20</f>
        <v>162.55437000000001</v>
      </c>
      <c r="J20" s="310">
        <f>[59]f!J20</f>
        <v>184.15544</v>
      </c>
    </row>
    <row r="21" spans="1:10" ht="20" customHeight="1" thickBot="1">
      <c r="A21" s="297" t="s">
        <v>555</v>
      </c>
      <c r="B21" s="26">
        <v>84.640654218642027</v>
      </c>
      <c r="C21" s="309">
        <f>[59]f!C21</f>
        <v>86.797548607703703</v>
      </c>
      <c r="D21" s="310">
        <f>[59]f!D21</f>
        <v>96.805521472392641</v>
      </c>
      <c r="E21" s="309">
        <f>[59]f!E21</f>
        <v>93.604905782975962</v>
      </c>
      <c r="F21" s="310">
        <f>[59]f!F21</f>
        <v>92.427128057553958</v>
      </c>
      <c r="G21" s="309">
        <f>[59]f!G21</f>
        <v>94.494371345497996</v>
      </c>
      <c r="H21" s="310">
        <f>[59]f!H21</f>
        <v>105.99</v>
      </c>
      <c r="I21" s="309">
        <f>[59]f!I21</f>
        <v>124.73943</v>
      </c>
      <c r="J21" s="310">
        <f>[59]f!J21</f>
        <v>144.57185999999999</v>
      </c>
    </row>
    <row r="22" spans="1:10" ht="20" customHeight="1" thickBot="1">
      <c r="A22" s="297" t="s">
        <v>556</v>
      </c>
      <c r="B22" s="26">
        <v>84.70053836451649</v>
      </c>
      <c r="C22" s="309">
        <f>[59]f!C22</f>
        <v>87.118831160208671</v>
      </c>
      <c r="D22" s="310">
        <f>[59]f!D22</f>
        <v>92.930922865013784</v>
      </c>
      <c r="E22" s="309">
        <f>[59]f!E22</f>
        <v>84.133407325194227</v>
      </c>
      <c r="F22" s="310">
        <f>[59]f!F22</f>
        <v>83.653681081081089</v>
      </c>
      <c r="G22" s="309">
        <f>[59]f!G22</f>
        <v>84.500495983783793</v>
      </c>
      <c r="H22" s="310">
        <f>[59]f!H22</f>
        <v>98.49</v>
      </c>
      <c r="I22" s="309">
        <f>[59]f!I22</f>
        <v>112.27669</v>
      </c>
      <c r="J22" s="310">
        <f>[59]f!J22</f>
        <v>128.34836000000001</v>
      </c>
    </row>
    <row r="23" spans="1:10" ht="20" customHeight="1" thickBot="1">
      <c r="A23" s="297" t="s">
        <v>557</v>
      </c>
      <c r="B23" s="26">
        <v>88.224208027055212</v>
      </c>
      <c r="C23" s="309">
        <f>[59]f!C23</f>
        <v>91.273084721765287</v>
      </c>
      <c r="D23" s="310">
        <f>[59]f!D23</f>
        <v>101.44243265568353</v>
      </c>
      <c r="E23" s="309">
        <f>[59]f!E23</f>
        <v>98.804830175187703</v>
      </c>
      <c r="F23" s="310">
        <f>[59]f!F23</f>
        <v>101.19949759417557</v>
      </c>
      <c r="G23" s="309">
        <f>[59]f!G23</f>
        <v>104.43936075457667</v>
      </c>
      <c r="H23" s="310">
        <f>[59]f!H23</f>
        <v>117.91</v>
      </c>
      <c r="I23" s="309">
        <f>[59]f!I23</f>
        <v>136.97377</v>
      </c>
      <c r="J23" s="310">
        <f>[59]f!J23</f>
        <v>155.69031000000001</v>
      </c>
    </row>
    <row r="24" spans="1:10" ht="20" customHeight="1" thickBot="1">
      <c r="A24" s="297" t="s">
        <v>558</v>
      </c>
      <c r="B24" s="26">
        <v>83.604262707432284</v>
      </c>
      <c r="C24" s="309">
        <f>[59]f!C24</f>
        <v>85.536691485083622</v>
      </c>
      <c r="D24" s="310">
        <f>[59]f!D24</f>
        <v>100.52562125107112</v>
      </c>
      <c r="E24" s="309">
        <f>[59]f!E24</f>
        <v>94.053581689331551</v>
      </c>
      <c r="F24" s="310">
        <f>[59]f!F24</f>
        <v>92.058254503415654</v>
      </c>
      <c r="G24" s="309">
        <f>[59]f!G24</f>
        <v>97.184198797041233</v>
      </c>
      <c r="H24" s="310">
        <f>[59]f!H24</f>
        <v>110.24</v>
      </c>
      <c r="I24" s="309">
        <f>[59]f!I24</f>
        <v>133.39986999999999</v>
      </c>
      <c r="J24" s="310">
        <f>[59]f!J24</f>
        <v>159.97224</v>
      </c>
    </row>
    <row r="25" spans="1:10" ht="20" customHeight="1" thickBot="1">
      <c r="A25" s="297" t="s">
        <v>559</v>
      </c>
      <c r="B25" s="26">
        <v>74.567468820555504</v>
      </c>
      <c r="C25" s="309">
        <f>[59]f!C25</f>
        <v>92.55372932273086</v>
      </c>
      <c r="D25" s="310">
        <f>[59]f!D25</f>
        <v>104.34385916835457</v>
      </c>
      <c r="E25" s="309">
        <f>[59]f!E25</f>
        <v>104.32416135479689</v>
      </c>
      <c r="F25" s="310">
        <f>[59]f!F25</f>
        <v>108.48734022796025</v>
      </c>
      <c r="G25" s="309">
        <f>[59]f!G25</f>
        <v>114.05383210655711</v>
      </c>
      <c r="H25" s="310">
        <f>[59]f!H25</f>
        <v>128.36000000000001</v>
      </c>
      <c r="I25" s="309">
        <f>[59]f!I25</f>
        <v>148.18475000000001</v>
      </c>
      <c r="J25" s="310">
        <f>[59]f!J25</f>
        <v>171.21063000000001</v>
      </c>
    </row>
    <row r="26" spans="1:10" ht="20" customHeight="1" thickBot="1">
      <c r="A26" s="297" t="s">
        <v>560</v>
      </c>
      <c r="B26" s="26">
        <v>88.150775152880584</v>
      </c>
      <c r="C26" s="309">
        <f>[59]f!C26</f>
        <v>91.547066767146291</v>
      </c>
      <c r="D26" s="310">
        <f>[59]f!D26</f>
        <v>106.89604806408545</v>
      </c>
      <c r="E26" s="309">
        <f>[59]f!E26</f>
        <v>106.37882387882388</v>
      </c>
      <c r="F26" s="310">
        <f>[59]f!F26</f>
        <v>112.74856168670729</v>
      </c>
      <c r="G26" s="309">
        <f>[59]f!G26</f>
        <v>116.21513892428332</v>
      </c>
      <c r="H26" s="310">
        <f>[59]f!H26</f>
        <v>133.44</v>
      </c>
      <c r="I26" s="309">
        <f>[59]f!I26</f>
        <v>158.80098000000001</v>
      </c>
      <c r="J26" s="310">
        <f>[59]f!J26</f>
        <v>185.42766</v>
      </c>
    </row>
    <row r="27" spans="1:10" ht="20" customHeight="1" thickBot="1">
      <c r="A27" s="297" t="s">
        <v>561</v>
      </c>
      <c r="B27" s="26">
        <v>121.0827398004341</v>
      </c>
      <c r="C27" s="309">
        <f>[59]f!C27</f>
        <v>125.33089311522994</v>
      </c>
      <c r="D27" s="310">
        <f>[59]f!D27</f>
        <v>137.4875986920807</v>
      </c>
      <c r="E27" s="309">
        <f>[59]f!E27</f>
        <v>154.14173754867801</v>
      </c>
      <c r="F27" s="310">
        <f>[59]f!F27</f>
        <v>156.30024656591013</v>
      </c>
      <c r="G27" s="309">
        <f>[59]f!G27</f>
        <v>157.88541656871067</v>
      </c>
      <c r="H27" s="310">
        <f>[59]f!H27</f>
        <v>172.05</v>
      </c>
      <c r="I27" s="309">
        <f>[59]f!I27</f>
        <v>199.00112999999999</v>
      </c>
      <c r="J27" s="310">
        <f>[59]f!J27</f>
        <v>238.92483999999999</v>
      </c>
    </row>
    <row r="28" spans="1:10" ht="20" customHeight="1" thickBot="1">
      <c r="A28" s="297" t="s">
        <v>562</v>
      </c>
      <c r="B28" s="26">
        <v>160.87320031654653</v>
      </c>
      <c r="C28" s="309">
        <f>[59]f!C28</f>
        <v>163.02598869541859</v>
      </c>
      <c r="D28" s="310">
        <f>[59]f!D28</f>
        <v>169.96717860942778</v>
      </c>
      <c r="E28" s="309">
        <f>[59]f!E28</f>
        <v>170.85231661111587</v>
      </c>
      <c r="F28" s="310">
        <f>[59]f!F28</f>
        <v>173.83822945389281</v>
      </c>
      <c r="G28" s="309">
        <f>[59]f!G28</f>
        <v>178.54078958477936</v>
      </c>
      <c r="H28" s="310">
        <f>[59]f!H28</f>
        <v>203.85</v>
      </c>
      <c r="I28" s="309">
        <f>[59]f!I28</f>
        <v>225.16328999999999</v>
      </c>
      <c r="J28" s="310">
        <f>[59]f!J28</f>
        <v>263.77596</v>
      </c>
    </row>
    <row r="29" spans="1:10" ht="20" customHeight="1" thickBot="1">
      <c r="A29" s="297" t="s">
        <v>563</v>
      </c>
      <c r="B29" s="26">
        <v>118.66494682773886</v>
      </c>
      <c r="C29" s="309">
        <f>[59]f!C29</f>
        <v>122.44694304449895</v>
      </c>
      <c r="D29" s="310">
        <f>[59]f!D29</f>
        <v>123.05977889218144</v>
      </c>
      <c r="E29" s="309">
        <f>[59]f!E29</f>
        <v>110.04930271084336</v>
      </c>
      <c r="F29" s="310">
        <f>[59]f!F29</f>
        <v>111.6919165</v>
      </c>
      <c r="G29" s="309">
        <f>[59]f!G29</f>
        <v>113.299991636161</v>
      </c>
      <c r="H29" s="310">
        <f>[59]f!H29</f>
        <v>126.61</v>
      </c>
      <c r="I29" s="309">
        <f>[59]f!I29</f>
        <v>143.85676000000001</v>
      </c>
      <c r="J29" s="310">
        <f>[59]f!J29</f>
        <v>164.25402</v>
      </c>
    </row>
    <row r="30" spans="1:10" ht="20" customHeight="1" thickBot="1">
      <c r="A30" s="297" t="s">
        <v>564</v>
      </c>
      <c r="B30" s="26">
        <v>130.31729945526038</v>
      </c>
      <c r="C30" s="309">
        <f>[59]f!C30</f>
        <v>133.60375465511694</v>
      </c>
      <c r="D30" s="310">
        <f>[59]f!D30</f>
        <v>149.92524805867126</v>
      </c>
      <c r="E30" s="309">
        <f>[59]f!E30</f>
        <v>147.83122423031514</v>
      </c>
      <c r="F30" s="310">
        <f>[59]f!F30</f>
        <v>158.8659692707802</v>
      </c>
      <c r="G30" s="309">
        <f>[59]f!G30</f>
        <v>165.95791946422477</v>
      </c>
      <c r="H30" s="310">
        <f>[59]f!H30</f>
        <v>186.01</v>
      </c>
      <c r="I30" s="309">
        <f>[59]f!I30</f>
        <v>216.13197</v>
      </c>
      <c r="J30" s="310">
        <f>[59]f!J30</f>
        <v>257.2851</v>
      </c>
    </row>
    <row r="31" spans="1:10" ht="20" customHeight="1" thickBot="1">
      <c r="A31" s="297" t="s">
        <v>565</v>
      </c>
      <c r="B31" s="26">
        <v>174.81919294809606</v>
      </c>
      <c r="C31" s="309">
        <f>[59]f!C31</f>
        <v>183.56905054790883</v>
      </c>
      <c r="D31" s="310">
        <f>[59]f!D31</f>
        <v>196.64679899735791</v>
      </c>
      <c r="E31" s="309">
        <f>[59]f!E31</f>
        <v>191.59177670950652</v>
      </c>
      <c r="F31" s="310">
        <f>[59]f!F31</f>
        <v>200.04429547550032</v>
      </c>
      <c r="G31" s="309">
        <f>[59]f!G31</f>
        <v>211.48209303003449</v>
      </c>
      <c r="H31" s="310">
        <f>[59]f!H31</f>
        <v>243.57</v>
      </c>
      <c r="I31" s="309">
        <f>[59]f!I31</f>
        <v>268.60239000000001</v>
      </c>
      <c r="J31" s="310">
        <f>[59]f!J31</f>
        <v>303.51902000000001</v>
      </c>
    </row>
    <row r="32" spans="1:10" ht="20" customHeight="1" thickBot="1">
      <c r="A32" s="297" t="s">
        <v>566</v>
      </c>
      <c r="B32" s="26">
        <v>132.03341645615652</v>
      </c>
      <c r="C32" s="309">
        <f>[59]f!C32</f>
        <v>133.59985277580608</v>
      </c>
      <c r="D32" s="310">
        <f>[59]f!D32</f>
        <v>143.99927202135405</v>
      </c>
      <c r="E32" s="309">
        <f>[59]f!E32</f>
        <v>142.07569398414986</v>
      </c>
      <c r="F32" s="310">
        <f>[59]f!F32</f>
        <v>141.41483011996496</v>
      </c>
      <c r="G32" s="309">
        <f>[59]f!G32</f>
        <v>149.07766646447803</v>
      </c>
      <c r="H32" s="310">
        <f>[59]f!H32</f>
        <v>181.76</v>
      </c>
      <c r="I32" s="309">
        <f>[59]f!I32</f>
        <v>202.59136000000001</v>
      </c>
      <c r="J32" s="310">
        <f>[59]f!J32</f>
        <v>234.39028999999999</v>
      </c>
    </row>
    <row r="33" spans="1:10" ht="30" customHeight="1" thickBot="1">
      <c r="A33" s="78" t="s">
        <v>808</v>
      </c>
      <c r="B33" s="39">
        <v>110.14945460955127</v>
      </c>
      <c r="C33" s="311">
        <f>[59]f!C33</f>
        <v>114.73041951160255</v>
      </c>
      <c r="D33" s="312">
        <f>[59]f!D33</f>
        <v>124.66129778231421</v>
      </c>
      <c r="E33" s="311">
        <f>[59]f!E33</f>
        <v>125.29607374124997</v>
      </c>
      <c r="F33" s="312">
        <f>[59]f!F33</f>
        <v>130.21886901362492</v>
      </c>
      <c r="G33" s="311">
        <f>[59]f!G33</f>
        <v>134.7191420153035</v>
      </c>
      <c r="H33" s="312">
        <f>[59]f!H33</f>
        <v>149.77000000000001</v>
      </c>
      <c r="I33" s="311">
        <f>[59]f!I33</f>
        <v>172.20867000000001</v>
      </c>
      <c r="J33" s="313">
        <f>[59]f!J33</f>
        <v>198.72591</v>
      </c>
    </row>
    <row r="34" spans="1:10" ht="20" customHeight="1">
      <c r="A34" s="28" t="s">
        <v>932</v>
      </c>
      <c r="B34" s="29"/>
      <c r="C34" s="29"/>
      <c r="D34" s="29"/>
      <c r="E34" s="29"/>
      <c r="F34" s="29"/>
      <c r="G34" s="29"/>
      <c r="H34" s="29"/>
      <c r="I34" s="29"/>
      <c r="J34" s="30"/>
    </row>
    <row r="35" spans="1:10" ht="12.75" customHeight="1">
      <c r="A35" s="7" t="s">
        <v>955</v>
      </c>
      <c r="B35" s="31"/>
      <c r="C35" s="31"/>
      <c r="D35" s="31"/>
      <c r="E35" s="31"/>
      <c r="F35" s="31"/>
      <c r="G35" s="31"/>
      <c r="H35" s="31"/>
      <c r="I35" s="31"/>
      <c r="J35" s="32"/>
    </row>
    <row r="36" spans="1:10">
      <c r="A36" s="7" t="s">
        <v>961</v>
      </c>
    </row>
    <row r="37" spans="1:10">
      <c r="A37" s="7" t="s">
        <v>962</v>
      </c>
    </row>
    <row r="38" spans="1:10">
      <c r="A38" s="7" t="s">
        <v>963</v>
      </c>
    </row>
    <row r="39" spans="1:10">
      <c r="A39" s="314" t="s">
        <v>964</v>
      </c>
    </row>
  </sheetData>
  <phoneticPr fontId="0" type="noConversion"/>
  <pageMargins left="0.78740157480314965" right="0.78740157480314965" top="1.28" bottom="0.49" header="0.93" footer="0.4921259845"/>
  <pageSetup paperSize="9" scale="80" orientation="portrait" horizontalDpi="4294967292" verticalDpi="4294967292"/>
  <headerFooter alignWithMargins="0">
    <oddHeader>&amp;L&amp;"Arial,Bold"&amp;14Prämientarife in der OKP</oddHeader>
    <oddFooter>&amp;L&amp;"Arial,Regular"Statistik über die Krankenversicherung, Bundesamt für Sozialversicherung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B9A36-2779-FD49-9160-DB9680EA34F9}">
  <dimension ref="A1:L38"/>
  <sheetViews>
    <sheetView topLeftCell="A20" zoomScale="75" workbookViewId="0">
      <selection activeCell="L10" sqref="L10"/>
    </sheetView>
  </sheetViews>
  <sheetFormatPr baseColWidth="10" defaultColWidth="11.3984375" defaultRowHeight="13"/>
  <cols>
    <col min="1" max="1" width="14.796875" style="7" customWidth="1"/>
    <col min="2" max="2" width="15.3984375" style="7" hidden="1" customWidth="1"/>
    <col min="3" max="3" width="13.3984375" style="116" customWidth="1"/>
    <col min="4" max="4" width="12.796875" style="116" customWidth="1"/>
    <col min="5" max="5" width="13.19921875" style="116" customWidth="1"/>
    <col min="6" max="6" width="12.796875" style="116" customWidth="1"/>
    <col min="7" max="7" width="13.19921875" style="116" customWidth="1"/>
    <col min="8" max="8" width="12.796875" style="116" customWidth="1"/>
    <col min="9" max="9" width="11.796875" style="116" customWidth="1"/>
    <col min="10" max="10" width="13.3984375" style="116" customWidth="1"/>
    <col min="11" max="16384" width="11.3984375" style="7"/>
  </cols>
  <sheetData>
    <row r="1" spans="1:10" s="1" customFormat="1" ht="14" customHeight="1">
      <c r="C1" s="179"/>
      <c r="D1" s="179"/>
      <c r="E1" s="179"/>
      <c r="F1" s="179"/>
      <c r="G1" s="179"/>
      <c r="H1" s="179"/>
      <c r="I1" s="179"/>
      <c r="J1" s="179"/>
    </row>
    <row r="2" spans="1:10" s="1" customFormat="1" ht="28" customHeight="1">
      <c r="A2" s="2" t="s">
        <v>1062</v>
      </c>
      <c r="C2" s="315"/>
      <c r="D2" s="315"/>
      <c r="E2" s="315"/>
      <c r="F2" s="315"/>
      <c r="G2" s="315"/>
      <c r="H2" s="315"/>
      <c r="I2" s="315"/>
      <c r="J2" s="315"/>
    </row>
    <row r="3" spans="1:10" ht="24" customHeight="1">
      <c r="A3" s="41" t="s">
        <v>537</v>
      </c>
      <c r="B3" s="6" t="s">
        <v>1063</v>
      </c>
      <c r="C3" s="271" t="s">
        <v>941</v>
      </c>
      <c r="D3" s="61" t="s">
        <v>941</v>
      </c>
      <c r="E3" s="271" t="s">
        <v>941</v>
      </c>
      <c r="F3" s="61" t="s">
        <v>941</v>
      </c>
      <c r="G3" s="271" t="s">
        <v>941</v>
      </c>
      <c r="H3" s="61" t="s">
        <v>941</v>
      </c>
      <c r="I3" s="271" t="s">
        <v>941</v>
      </c>
      <c r="J3" s="61" t="s">
        <v>942</v>
      </c>
    </row>
    <row r="4" spans="1:10" ht="15" customHeight="1">
      <c r="A4" s="43"/>
      <c r="B4" s="12" t="s">
        <v>941</v>
      </c>
      <c r="C4" s="271" t="s">
        <v>943</v>
      </c>
      <c r="D4" s="61" t="s">
        <v>943</v>
      </c>
      <c r="E4" s="271" t="s">
        <v>943</v>
      </c>
      <c r="F4" s="61" t="s">
        <v>943</v>
      </c>
      <c r="G4" s="271" t="s">
        <v>943</v>
      </c>
      <c r="H4" s="61" t="s">
        <v>943</v>
      </c>
      <c r="I4" s="271" t="s">
        <v>943</v>
      </c>
      <c r="J4" s="61" t="s">
        <v>944</v>
      </c>
    </row>
    <row r="5" spans="1:10" ht="15" customHeight="1">
      <c r="A5" s="43"/>
      <c r="B5" s="12" t="s">
        <v>943</v>
      </c>
      <c r="C5" s="271" t="s">
        <v>945</v>
      </c>
      <c r="D5" s="61" t="s">
        <v>946</v>
      </c>
      <c r="E5" s="62" t="s">
        <v>947</v>
      </c>
      <c r="F5" s="61" t="s">
        <v>948</v>
      </c>
      <c r="G5" s="62" t="s">
        <v>949</v>
      </c>
      <c r="H5" s="61" t="s">
        <v>950</v>
      </c>
      <c r="I5" s="271" t="s">
        <v>951</v>
      </c>
      <c r="J5" s="61" t="s">
        <v>952</v>
      </c>
    </row>
    <row r="6" spans="1:10" ht="15" customHeight="1">
      <c r="A6" s="43"/>
      <c r="B6" s="12" t="s">
        <v>1059</v>
      </c>
      <c r="C6" s="271" t="s">
        <v>953</v>
      </c>
      <c r="D6" s="61"/>
      <c r="E6" s="271"/>
      <c r="F6" s="61"/>
      <c r="G6" s="271"/>
      <c r="H6" s="61"/>
      <c r="I6" s="271"/>
      <c r="J6" s="61" t="s">
        <v>954</v>
      </c>
    </row>
    <row r="7" spans="1:10" ht="16" customHeight="1">
      <c r="A7" s="46"/>
      <c r="B7" s="16"/>
      <c r="C7" s="272"/>
      <c r="D7" s="64"/>
      <c r="E7" s="272"/>
      <c r="F7" s="64"/>
      <c r="G7" s="272"/>
      <c r="H7" s="64"/>
      <c r="I7" s="272"/>
      <c r="J7" s="64" t="s">
        <v>931</v>
      </c>
    </row>
    <row r="8" spans="1:10" ht="30" customHeight="1" thickBot="1">
      <c r="A8" s="296" t="s">
        <v>541</v>
      </c>
      <c r="B8" s="177">
        <v>18.564141910898112</v>
      </c>
      <c r="C8" s="299">
        <f>[60]f!B8</f>
        <v>0.12613928626541648</v>
      </c>
      <c r="D8" s="300">
        <f>[60]f!C8</f>
        <v>2.3588175764025054E-2</v>
      </c>
      <c r="E8" s="299">
        <f>[60]f!D8</f>
        <v>5.6101871108733325E-2</v>
      </c>
      <c r="F8" s="300">
        <f>[60]f!E8</f>
        <v>4.7776159249459882E-2</v>
      </c>
      <c r="G8" s="299">
        <f>[60]f!F8</f>
        <v>8.9195736135180281E-2</v>
      </c>
      <c r="H8" s="300">
        <f>[60]f!G8</f>
        <v>0.15005951909102921</v>
      </c>
      <c r="I8" s="299">
        <f>[60]f!H8</f>
        <v>0.15232445591372246</v>
      </c>
      <c r="J8" s="300">
        <f>[60]f!I8</f>
        <v>6.9237032648262309E-2</v>
      </c>
    </row>
    <row r="9" spans="1:10" ht="20" customHeight="1" thickBot="1">
      <c r="A9" s="297" t="s">
        <v>542</v>
      </c>
      <c r="B9" s="128">
        <v>12.83683012073104</v>
      </c>
      <c r="C9" s="299">
        <f>[60]f!B9</f>
        <v>8.4661519404469976E-2</v>
      </c>
      <c r="D9" s="300">
        <f>[60]f!C9</f>
        <v>4.1535307467694071E-2</v>
      </c>
      <c r="E9" s="299">
        <f>[60]f!D9</f>
        <v>7.3875911040064191E-2</v>
      </c>
      <c r="F9" s="300">
        <f>[60]f!E9</f>
        <v>1.2197913013535233E-2</v>
      </c>
      <c r="G9" s="299">
        <f>[60]f!F9</f>
        <v>5.0271366934601991E-2</v>
      </c>
      <c r="H9" s="300">
        <f>[60]f!G9</f>
        <v>0.18192296072507563</v>
      </c>
      <c r="I9" s="299">
        <f>[60]f!H9</f>
        <v>0.14702692024200692</v>
      </c>
      <c r="J9" s="300">
        <f>[60]f!I9</f>
        <v>6.2072260973299098E-2</v>
      </c>
    </row>
    <row r="10" spans="1:10" ht="20" customHeight="1" thickBot="1">
      <c r="A10" s="297" t="s">
        <v>543</v>
      </c>
      <c r="B10" s="128">
        <v>6.6069268493776256</v>
      </c>
      <c r="C10" s="299">
        <f>[60]f!B10</f>
        <v>3.2186125538066657E-2</v>
      </c>
      <c r="D10" s="300">
        <f>[60]f!C10</f>
        <v>-1.7176073555712379E-2</v>
      </c>
      <c r="E10" s="299">
        <f>[60]f!D10</f>
        <v>4.1204770202574181E-4</v>
      </c>
      <c r="F10" s="300">
        <f>[60]f!E10</f>
        <v>4.0238715621775167E-2</v>
      </c>
      <c r="G10" s="299">
        <f>[60]f!F10</f>
        <v>0.13115717550986883</v>
      </c>
      <c r="H10" s="300">
        <f>[60]f!G10</f>
        <v>0.13347081978435749</v>
      </c>
      <c r="I10" s="299">
        <f>[60]f!H10</f>
        <v>0.17040104969597758</v>
      </c>
      <c r="J10" s="300">
        <f>[60]f!I10</f>
        <v>4.4197644067985653E-2</v>
      </c>
    </row>
    <row r="11" spans="1:10" ht="20" customHeight="1" thickBot="1">
      <c r="A11" s="297" t="s">
        <v>544</v>
      </c>
      <c r="B11" s="128">
        <v>7.82075525200991</v>
      </c>
      <c r="C11" s="299">
        <f>[60]f!B11</f>
        <v>3.083307666763746E-2</v>
      </c>
      <c r="D11" s="300">
        <f>[60]f!C11</f>
        <v>-3.6297710492720459E-2</v>
      </c>
      <c r="E11" s="299">
        <f>[60]f!D11</f>
        <v>6.8911837548211174E-3</v>
      </c>
      <c r="F11" s="300">
        <f>[60]f!E11</f>
        <v>1.0295795443135303E-2</v>
      </c>
      <c r="G11" s="299">
        <f>[60]f!F11</f>
        <v>9.2437092391237652E-2</v>
      </c>
      <c r="H11" s="300">
        <f>[60]f!G11</f>
        <v>0.11873674720519301</v>
      </c>
      <c r="I11" s="299">
        <f>[60]f!H11</f>
        <v>0.1772105760418945</v>
      </c>
      <c r="J11" s="300">
        <f>[60]f!I11</f>
        <v>3.0618880933285242E-2</v>
      </c>
    </row>
    <row r="12" spans="1:10" ht="20" customHeight="1" thickBot="1">
      <c r="A12" s="297" t="s">
        <v>545</v>
      </c>
      <c r="B12" s="128">
        <v>14.973400295568917</v>
      </c>
      <c r="C12" s="299">
        <f>[60]f!B12</f>
        <v>0.10224118520281511</v>
      </c>
      <c r="D12" s="300">
        <f>[60]f!C12</f>
        <v>-7.47315608741973E-2</v>
      </c>
      <c r="E12" s="299">
        <f>[60]f!D12</f>
        <v>5.3604715425992211E-4</v>
      </c>
      <c r="F12" s="300">
        <f>[60]f!E12</f>
        <v>1.2333168719228071E-2</v>
      </c>
      <c r="G12" s="299">
        <f>[60]f!F12</f>
        <v>0.13195308271328021</v>
      </c>
      <c r="H12" s="300">
        <f>[60]f!G12</f>
        <v>0.14968602650146279</v>
      </c>
      <c r="I12" s="299">
        <f>[60]f!H12</f>
        <v>0.18087180992827911</v>
      </c>
      <c r="J12" s="300">
        <f>[60]f!I12</f>
        <v>4.3177771019924593E-2</v>
      </c>
    </row>
    <row r="13" spans="1:10" ht="20" customHeight="1" thickBot="1">
      <c r="A13" s="297" t="s">
        <v>546</v>
      </c>
      <c r="B13" s="128">
        <v>9.3736923415335358</v>
      </c>
      <c r="C13" s="299">
        <f>[60]f!B13</f>
        <v>6.0469299368311802E-2</v>
      </c>
      <c r="D13" s="300">
        <f>[60]f!C13</f>
        <v>-8.0679390595965295E-2</v>
      </c>
      <c r="E13" s="299">
        <f>[60]f!D13</f>
        <v>8.5365699506656512E-3</v>
      </c>
      <c r="F13" s="300">
        <f>[60]f!E13</f>
        <v>2.2238673213403892E-2</v>
      </c>
      <c r="G13" s="299">
        <f>[60]f!F13</f>
        <v>0.11400441850775245</v>
      </c>
      <c r="H13" s="300">
        <f>[60]f!G13</f>
        <v>0.10125874745327312</v>
      </c>
      <c r="I13" s="299">
        <f>[60]f!H13</f>
        <v>0.11940177491994519</v>
      </c>
      <c r="J13" s="300">
        <f>[60]f!I13</f>
        <v>3.0381151176530174E-2</v>
      </c>
    </row>
    <row r="14" spans="1:10" ht="20" customHeight="1" thickBot="1">
      <c r="A14" s="297" t="s">
        <v>547</v>
      </c>
      <c r="B14" s="128">
        <v>8.8465707683986601</v>
      </c>
      <c r="C14" s="299">
        <f>[60]f!B14</f>
        <v>5.1072667046455855E-2</v>
      </c>
      <c r="D14" s="300">
        <f>[60]f!C14</f>
        <v>-5.5911340607194271E-2</v>
      </c>
      <c r="E14" s="299">
        <f>[60]f!D14</f>
        <v>-1.4732492944426023E-2</v>
      </c>
      <c r="F14" s="300">
        <f>[60]f!E14</f>
        <v>1.9881183681756731E-2</v>
      </c>
      <c r="G14" s="299">
        <f>[60]f!F14</f>
        <v>0.11025919108453275</v>
      </c>
      <c r="H14" s="300">
        <f>[60]f!G14</f>
        <v>0.1135237191650853</v>
      </c>
      <c r="I14" s="299">
        <f>[60]f!H14</f>
        <v>0.14265260460067442</v>
      </c>
      <c r="J14" s="300">
        <f>[60]f!I14</f>
        <v>3.0343114642075619E-2</v>
      </c>
    </row>
    <row r="15" spans="1:10" ht="20" customHeight="1" thickBot="1">
      <c r="A15" s="297" t="s">
        <v>548</v>
      </c>
      <c r="B15" s="128">
        <v>11.44608713005036</v>
      </c>
      <c r="C15" s="299">
        <f>[60]f!B15</f>
        <v>0.10059931954872159</v>
      </c>
      <c r="D15" s="300">
        <f>[60]f!C15</f>
        <v>-1.436310245549377E-2</v>
      </c>
      <c r="E15" s="299">
        <f>[60]f!D15</f>
        <v>4.1078699180238321E-2</v>
      </c>
      <c r="F15" s="300">
        <f>[60]f!E15</f>
        <v>1.9759019302495684E-2</v>
      </c>
      <c r="G15" s="299">
        <f>[60]f!F15</f>
        <v>0.10134428428176978</v>
      </c>
      <c r="H15" s="300">
        <f>[60]f!G15</f>
        <v>0.15724294821412976</v>
      </c>
      <c r="I15" s="299">
        <f>[60]f!H15</f>
        <v>0.19852381476666681</v>
      </c>
      <c r="J15" s="300">
        <f>[60]f!I15</f>
        <v>5.6356983488517365E-2</v>
      </c>
    </row>
    <row r="16" spans="1:10" ht="20" customHeight="1" thickBot="1">
      <c r="A16" s="297" t="s">
        <v>549</v>
      </c>
      <c r="B16" s="128">
        <v>12.542560922614754</v>
      </c>
      <c r="C16" s="299">
        <f>[60]f!B16</f>
        <v>8.0245446324829217E-2</v>
      </c>
      <c r="D16" s="300">
        <f>[60]f!C16</f>
        <v>-7.7227655353481195E-2</v>
      </c>
      <c r="E16" s="299">
        <f>[60]f!D16</f>
        <v>2.4430417123930681E-3</v>
      </c>
      <c r="F16" s="300">
        <f>[60]f!E16</f>
        <v>2.9670373900371638E-2</v>
      </c>
      <c r="G16" s="299">
        <f>[60]f!F16</f>
        <v>0.10536131288220085</v>
      </c>
      <c r="H16" s="300">
        <f>[60]f!G16</f>
        <v>0.14443483588621442</v>
      </c>
      <c r="I16" s="299">
        <f>[60]f!H16</f>
        <v>0.18012395710709028</v>
      </c>
      <c r="J16" s="300">
        <f>[60]f!I16</f>
        <v>3.8371824308037539E-2</v>
      </c>
    </row>
    <row r="17" spans="1:10" ht="20" customHeight="1" thickBot="1">
      <c r="A17" s="297" t="s">
        <v>550</v>
      </c>
      <c r="B17" s="128">
        <v>8.8373538196876176</v>
      </c>
      <c r="C17" s="299">
        <f>[60]f!B17</f>
        <v>6.716363944691861E-2</v>
      </c>
      <c r="D17" s="300">
        <f>[60]f!C17</f>
        <v>-6.3020317738560649E-2</v>
      </c>
      <c r="E17" s="299">
        <f>[60]f!D17</f>
        <v>1.3501636281514795E-2</v>
      </c>
      <c r="F17" s="300">
        <f>[60]f!E17</f>
        <v>6.758336659903863E-2</v>
      </c>
      <c r="G17" s="299">
        <f>[60]f!F17</f>
        <v>0.15185458696026277</v>
      </c>
      <c r="H17" s="300">
        <f>[60]f!G17</f>
        <v>0.14037359659310877</v>
      </c>
      <c r="I17" s="299">
        <f>[60]f!H17</f>
        <v>0.1096470933051783</v>
      </c>
      <c r="J17" s="300">
        <f>[60]f!I17</f>
        <v>5.1488695395158546E-2</v>
      </c>
    </row>
    <row r="18" spans="1:10" ht="20" customHeight="1" thickBot="1">
      <c r="A18" s="297" t="s">
        <v>551</v>
      </c>
      <c r="B18" s="128">
        <v>27.585057067168687</v>
      </c>
      <c r="C18" s="299">
        <f>[60]f!B18</f>
        <v>0.13621630771097482</v>
      </c>
      <c r="D18" s="300">
        <f>[60]f!C18</f>
        <v>1.3593656464868875E-2</v>
      </c>
      <c r="E18" s="299">
        <f>[60]f!D18</f>
        <v>2.701519080214565E-2</v>
      </c>
      <c r="F18" s="300">
        <f>[60]f!E18</f>
        <v>4.050594618308101E-2</v>
      </c>
      <c r="G18" s="299">
        <f>[60]f!F18</f>
        <v>5.1251988939087889E-2</v>
      </c>
      <c r="H18" s="300">
        <f>[60]f!G18</f>
        <v>9.993324111822921E-2</v>
      </c>
      <c r="I18" s="299">
        <f>[60]f!H18</f>
        <v>0.15873488112762724</v>
      </c>
      <c r="J18" s="300">
        <f>[60]f!I18</f>
        <v>5.1691827400063728E-2</v>
      </c>
    </row>
    <row r="19" spans="1:10" ht="20" customHeight="1" thickBot="1">
      <c r="A19" s="297" t="s">
        <v>552</v>
      </c>
      <c r="B19" s="128">
        <v>18.780035833461628</v>
      </c>
      <c r="C19" s="299">
        <f>[60]f!B19</f>
        <v>0.15152715969927022</v>
      </c>
      <c r="D19" s="300">
        <f>[60]f!C19</f>
        <v>6.4719408712945459E-2</v>
      </c>
      <c r="E19" s="299">
        <f>[60]f!D19</f>
        <v>9.0581296148655843E-2</v>
      </c>
      <c r="F19" s="300">
        <f>[60]f!E19</f>
        <v>4.718018544307645E-2</v>
      </c>
      <c r="G19" s="299">
        <f>[60]f!F19</f>
        <v>7.9210101899562124E-2</v>
      </c>
      <c r="H19" s="300">
        <f>[60]f!G19</f>
        <v>0.15088050791723595</v>
      </c>
      <c r="I19" s="299">
        <f>[60]f!H19</f>
        <v>0.16605474724559333</v>
      </c>
      <c r="J19" s="300">
        <f>[60]f!I19</f>
        <v>8.2261353726644115E-2</v>
      </c>
    </row>
    <row r="20" spans="1:10" ht="20" customHeight="1" thickBot="1">
      <c r="A20" s="297" t="s">
        <v>553</v>
      </c>
      <c r="B20" s="128">
        <v>20.178584325587163</v>
      </c>
      <c r="C20" s="299">
        <f>[60]f!B20</f>
        <v>0.138313161853306</v>
      </c>
      <c r="D20" s="300">
        <f>[60]f!C20</f>
        <v>9.0721362515584492E-3</v>
      </c>
      <c r="E20" s="299">
        <f>[60]f!D20</f>
        <v>1.9550927077232272E-2</v>
      </c>
      <c r="F20" s="300">
        <f>[60]f!E20</f>
        <v>2.9735301686286908E-2</v>
      </c>
      <c r="G20" s="299">
        <f>[60]f!F20</f>
        <v>8.8954682601370072E-2</v>
      </c>
      <c r="H20" s="300">
        <f>[60]f!G20</f>
        <v>0.1496656488549617</v>
      </c>
      <c r="I20" s="299">
        <f>[60]f!H20</f>
        <v>0.16236002294033391</v>
      </c>
      <c r="J20" s="300">
        <f>[60]f!I20</f>
        <v>6.061343155723864E-2</v>
      </c>
    </row>
    <row r="21" spans="1:10" ht="20" customHeight="1" thickBot="1">
      <c r="A21" s="297" t="s">
        <v>554</v>
      </c>
      <c r="B21" s="128">
        <v>19.600744499948757</v>
      </c>
      <c r="C21" s="299">
        <f>[60]f!B21</f>
        <v>0.16213627024850141</v>
      </c>
      <c r="D21" s="300">
        <f>[60]f!C21</f>
        <v>3.2073830560456429E-2</v>
      </c>
      <c r="E21" s="299">
        <f>[60]f!D21</f>
        <v>7.2076887396088418E-2</v>
      </c>
      <c r="F21" s="300">
        <f>[60]f!E21</f>
        <v>2.3581868515828441E-2</v>
      </c>
      <c r="G21" s="299">
        <f>[60]f!F21</f>
        <v>6.444124443891619E-2</v>
      </c>
      <c r="H21" s="300">
        <f>[60]f!G21</f>
        <v>0.18808924133898564</v>
      </c>
      <c r="I21" s="299">
        <f>[60]f!H21</f>
        <v>0.13288520019486394</v>
      </c>
      <c r="J21" s="300">
        <f>[60]f!I21</f>
        <v>7.5505021357301194E-2</v>
      </c>
    </row>
    <row r="22" spans="1:10" ht="20" customHeight="1" thickBot="1">
      <c r="A22" s="297" t="s">
        <v>555</v>
      </c>
      <c r="B22" s="128">
        <v>14.372369124565809</v>
      </c>
      <c r="C22" s="299">
        <f>[60]f!B22</f>
        <v>0.11530248290676592</v>
      </c>
      <c r="D22" s="300">
        <f>[60]f!C22</f>
        <v>-3.3062325792330371E-2</v>
      </c>
      <c r="E22" s="299">
        <f>[60]f!D22</f>
        <v>-1.2582435883784715E-2</v>
      </c>
      <c r="F22" s="300">
        <f>[60]f!E22</f>
        <v>2.2366196282294748E-2</v>
      </c>
      <c r="G22" s="299">
        <f>[60]f!F22</f>
        <v>0.12165411008948612</v>
      </c>
      <c r="H22" s="300">
        <f>[60]f!G22</f>
        <v>0.17689810359467883</v>
      </c>
      <c r="I22" s="299">
        <f>[60]f!H22</f>
        <v>0.15899086599962819</v>
      </c>
      <c r="J22" s="300">
        <f>[60]f!I22</f>
        <v>5.3172403765486598E-2</v>
      </c>
    </row>
    <row r="23" spans="1:10" ht="20" customHeight="1" thickBot="1">
      <c r="A23" s="297" t="s">
        <v>556</v>
      </c>
      <c r="B23" s="128">
        <v>9.7170391822978548</v>
      </c>
      <c r="C23" s="299">
        <f>[60]f!B23</f>
        <v>6.6714528046374566E-2</v>
      </c>
      <c r="D23" s="300">
        <f>[60]f!C23</f>
        <v>-9.4667256803188438E-2</v>
      </c>
      <c r="E23" s="299">
        <f>[60]f!D23</f>
        <v>-5.7019709454876333E-3</v>
      </c>
      <c r="F23" s="300">
        <f>[60]f!E23</f>
        <v>1.0122864789200658E-2</v>
      </c>
      <c r="G23" s="299">
        <f>[60]f!F23</f>
        <v>0.16555528879855186</v>
      </c>
      <c r="H23" s="300">
        <f>[60]f!G23</f>
        <v>0.13998060716824057</v>
      </c>
      <c r="I23" s="299">
        <f>[60]f!H23</f>
        <v>0.14314342540735758</v>
      </c>
      <c r="J23" s="300">
        <f>[60]f!I23</f>
        <v>3.690663040606923E-2</v>
      </c>
    </row>
    <row r="24" spans="1:10" ht="20" customHeight="1" thickBot="1">
      <c r="A24" s="297" t="s">
        <v>557</v>
      </c>
      <c r="B24" s="128">
        <v>14.982537020422743</v>
      </c>
      <c r="C24" s="299">
        <f>[60]f!B24</f>
        <v>0.11141672230009814</v>
      </c>
      <c r="D24" s="300">
        <f>[60]f!C24</f>
        <v>-2.6000978204538838E-2</v>
      </c>
      <c r="E24" s="299">
        <f>[60]f!D24</f>
        <v>2.4236339607506707E-2</v>
      </c>
      <c r="F24" s="300">
        <f>[60]f!E24</f>
        <v>3.2014617042798177E-2</v>
      </c>
      <c r="G24" s="299">
        <f>[60]f!F24</f>
        <v>0.12898048348915259</v>
      </c>
      <c r="H24" s="300">
        <f>[60]f!G24</f>
        <v>0.16168068866084306</v>
      </c>
      <c r="I24" s="299">
        <f>[60]f!H24</f>
        <v>0.13664324198713373</v>
      </c>
      <c r="J24" s="300">
        <f>[60]f!I24</f>
        <v>5.9704929059593681E-2</v>
      </c>
    </row>
    <row r="25" spans="1:10" ht="20" customHeight="1" thickBot="1">
      <c r="A25" s="297" t="s">
        <v>558</v>
      </c>
      <c r="B25" s="128">
        <v>20.239827486851993</v>
      </c>
      <c r="C25" s="299">
        <f>[60]f!B25</f>
        <v>0.1752339201546198</v>
      </c>
      <c r="D25" s="300">
        <f>[60]f!C25</f>
        <v>-6.4381990195067851E-2</v>
      </c>
      <c r="E25" s="299">
        <f>[60]f!D25</f>
        <v>-2.1214792143766092E-2</v>
      </c>
      <c r="F25" s="300">
        <f>[60]f!E25</f>
        <v>5.5681528194034824E-2</v>
      </c>
      <c r="G25" s="299">
        <f>[60]f!F25</f>
        <v>0.13434078136739491</v>
      </c>
      <c r="H25" s="300">
        <f>[60]f!G25</f>
        <v>0.21008590348330913</v>
      </c>
      <c r="I25" s="299">
        <f>[60]f!H25</f>
        <v>0.19919337252727454</v>
      </c>
      <c r="J25" s="300">
        <f>[60]f!I25</f>
        <v>6.5545136602687348E-2</v>
      </c>
    </row>
    <row r="26" spans="1:10" ht="20" customHeight="1" thickBot="1">
      <c r="A26" s="297" t="s">
        <v>559</v>
      </c>
      <c r="B26" s="128">
        <v>39.932145771844695</v>
      </c>
      <c r="C26" s="299">
        <f>[60]f!B26</f>
        <v>0.12738686957185741</v>
      </c>
      <c r="D26" s="300">
        <f>[60]f!C26</f>
        <v>-1.887778898986836E-4</v>
      </c>
      <c r="E26" s="299">
        <f>[60]f!D26</f>
        <v>3.9906181071561964E-2</v>
      </c>
      <c r="F26" s="300">
        <f>[60]f!E26</f>
        <v>5.131005946777023E-2</v>
      </c>
      <c r="G26" s="299">
        <f>[60]f!F26</f>
        <v>0.12543346969768687</v>
      </c>
      <c r="H26" s="300">
        <f>[60]f!G26</f>
        <v>0.15444647865378625</v>
      </c>
      <c r="I26" s="299">
        <f>[60]f!H26</f>
        <v>0.15538629987228769</v>
      </c>
      <c r="J26" s="300">
        <f>[60]f!I26</f>
        <v>6.9550684175169186E-2</v>
      </c>
    </row>
    <row r="27" spans="1:10" ht="20" customHeight="1" thickBot="1">
      <c r="A27" s="297" t="s">
        <v>560</v>
      </c>
      <c r="B27" s="128">
        <v>21.265011996428605</v>
      </c>
      <c r="C27" s="299">
        <f>[60]f!B27</f>
        <v>0.1676621855725855</v>
      </c>
      <c r="D27" s="300">
        <f>[60]f!C27</f>
        <v>-4.8385716275637369E-3</v>
      </c>
      <c r="E27" s="299">
        <f>[60]f!D27</f>
        <v>5.9877873956748928E-2</v>
      </c>
      <c r="F27" s="300">
        <f>[60]f!E27</f>
        <v>3.074608833777015E-2</v>
      </c>
      <c r="G27" s="299">
        <f>[60]f!F27</f>
        <v>0.14821529479854645</v>
      </c>
      <c r="H27" s="300">
        <f>[60]f!G27</f>
        <v>0.19005530575539575</v>
      </c>
      <c r="I27" s="299">
        <f>[60]f!H27</f>
        <v>0.1676732725452954</v>
      </c>
      <c r="J27" s="300">
        <f>[60]f!I27</f>
        <v>8.1864020649541569E-2</v>
      </c>
    </row>
    <row r="28" spans="1:10" ht="20" customHeight="1" thickBot="1">
      <c r="A28" s="297" t="s">
        <v>561</v>
      </c>
      <c r="B28" s="128">
        <v>13.548470177239732</v>
      </c>
      <c r="C28" s="299">
        <f>[60]f!B28</f>
        <v>9.6996879816964254E-2</v>
      </c>
      <c r="D28" s="300">
        <f>[60]f!C28</f>
        <v>0.12113193491651697</v>
      </c>
      <c r="E28" s="299">
        <f>[60]f!D28</f>
        <v>1.4003403955080485E-2</v>
      </c>
      <c r="F28" s="300">
        <f>[60]f!E28</f>
        <v>1.0141826629378237E-2</v>
      </c>
      <c r="G28" s="299">
        <f>[60]f!F28</f>
        <v>8.9714324091009434E-2</v>
      </c>
      <c r="H28" s="300">
        <f>[60]f!G28</f>
        <v>0.15664707933740174</v>
      </c>
      <c r="I28" s="299">
        <f>[60]f!H28</f>
        <v>0.20062051908951473</v>
      </c>
      <c r="J28" s="300">
        <f>[60]f!I28</f>
        <v>6.8280605739789335E-2</v>
      </c>
    </row>
    <row r="29" spans="1:10" ht="20" customHeight="1" thickBot="1">
      <c r="A29" s="297" t="s">
        <v>562</v>
      </c>
      <c r="B29" s="128">
        <v>5.6528857976264737</v>
      </c>
      <c r="C29" s="299">
        <f>[60]f!B29</f>
        <v>4.2577198700370467E-2</v>
      </c>
      <c r="D29" s="300">
        <f>[60]f!C29</f>
        <v>5.2076995625258693E-3</v>
      </c>
      <c r="E29" s="299">
        <f>[60]f!D29</f>
        <v>1.7476572176503113E-2</v>
      </c>
      <c r="F29" s="300">
        <f>[60]f!E29</f>
        <v>2.7051357722978953E-2</v>
      </c>
      <c r="G29" s="299">
        <f>[60]f!F29</f>
        <v>0.1417559005652469</v>
      </c>
      <c r="H29" s="300">
        <f>[60]f!G29</f>
        <v>0.10455378955114059</v>
      </c>
      <c r="I29" s="299">
        <f>[60]f!H29</f>
        <v>0.17148741253514288</v>
      </c>
      <c r="J29" s="300">
        <f>[60]f!I29</f>
        <v>4.721147364667555E-2</v>
      </c>
    </row>
    <row r="30" spans="1:10" ht="20" customHeight="1" thickBot="1">
      <c r="A30" s="297" t="s">
        <v>563</v>
      </c>
      <c r="B30" s="128">
        <v>3.703563842507243</v>
      </c>
      <c r="C30" s="299">
        <f>[60]f!B30</f>
        <v>5.0049093300743586E-3</v>
      </c>
      <c r="D30" s="300">
        <f>[60]f!C30</f>
        <v>-0.1057248460745015</v>
      </c>
      <c r="E30" s="299">
        <f>[60]f!D30</f>
        <v>1.4926162626151651E-2</v>
      </c>
      <c r="F30" s="300">
        <f>[60]f!E30</f>
        <v>1.4397417347216779E-2</v>
      </c>
      <c r="G30" s="299">
        <f>[60]f!F30</f>
        <v>0.11747581064772961</v>
      </c>
      <c r="H30" s="300">
        <f>[60]f!G30</f>
        <v>0.13621957191375089</v>
      </c>
      <c r="I30" s="299">
        <f>[60]f!H30</f>
        <v>0.1417886792389873</v>
      </c>
      <c r="J30" s="300">
        <f>[60]f!I30</f>
        <v>2.3287043694396825E-2</v>
      </c>
    </row>
    <row r="31" spans="1:10" ht="20" customHeight="1" thickBot="1">
      <c r="A31" s="297" t="s">
        <v>564</v>
      </c>
      <c r="B31" s="128">
        <v>15.046312872791335</v>
      </c>
      <c r="C31" s="299">
        <f>[60]f!B31</f>
        <v>0.12216343354785519</v>
      </c>
      <c r="D31" s="300">
        <f>[60]f!C31</f>
        <v>-1.3967119317599197E-2</v>
      </c>
      <c r="E31" s="299">
        <f>[60]f!D31</f>
        <v>7.4644210638974196E-2</v>
      </c>
      <c r="F31" s="300">
        <f>[60]f!E31</f>
        <v>4.4641091015261036E-2</v>
      </c>
      <c r="G31" s="299">
        <f>[60]f!F31</f>
        <v>0.12082629500605302</v>
      </c>
      <c r="H31" s="300">
        <f>[60]f!G31</f>
        <v>0.16193736895865807</v>
      </c>
      <c r="I31" s="299">
        <f>[60]f!H31</f>
        <v>0.19040741635770031</v>
      </c>
      <c r="J31" s="300">
        <f>[60]f!I31</f>
        <v>7.1131785273236714E-2</v>
      </c>
    </row>
    <row r="32" spans="1:10" ht="20" customHeight="1" thickBot="1">
      <c r="A32" s="297" t="s">
        <v>565</v>
      </c>
      <c r="B32" s="128">
        <v>12.485817879128682</v>
      </c>
      <c r="C32" s="299">
        <f>[60]f!B32</f>
        <v>7.124157591061886E-2</v>
      </c>
      <c r="D32" s="300">
        <f>[60]f!C32</f>
        <v>-2.5706100041421487E-2</v>
      </c>
      <c r="E32" s="299">
        <f>[60]f!D32</f>
        <v>4.4117335885504039E-2</v>
      </c>
      <c r="F32" s="300">
        <f>[60]f!E32</f>
        <v>5.7176324510263221E-2</v>
      </c>
      <c r="G32" s="299">
        <f>[60]f!F32</f>
        <v>0.15172871854170844</v>
      </c>
      <c r="H32" s="300">
        <f>[60]f!G32</f>
        <v>0.10277287843330463</v>
      </c>
      <c r="I32" s="299">
        <f>[60]f!H32</f>
        <v>0.12999374279581044</v>
      </c>
      <c r="J32" s="300">
        <f>[60]f!I32</f>
        <v>5.5882939999294834E-2</v>
      </c>
    </row>
    <row r="33" spans="1:12" ht="20" customHeight="1" thickBot="1">
      <c r="A33" s="297" t="s">
        <v>566</v>
      </c>
      <c r="B33" s="128">
        <v>9.0627478151873415</v>
      </c>
      <c r="C33" s="299">
        <f>[60]f!B33</f>
        <v>7.7840050190767895E-2</v>
      </c>
      <c r="D33" s="300">
        <f>[60]f!C33</f>
        <v>-1.3358248345303636E-2</v>
      </c>
      <c r="E33" s="299">
        <f>[60]f!D33</f>
        <v>-4.6514913681057202E-3</v>
      </c>
      <c r="F33" s="300">
        <f>[60]f!E33</f>
        <v>5.4186935967129646E-2</v>
      </c>
      <c r="G33" s="299">
        <f>[60]f!F33</f>
        <v>0.21923024629118038</v>
      </c>
      <c r="H33" s="300">
        <f>[60]f!G33</f>
        <v>0.11460915492957757</v>
      </c>
      <c r="I33" s="299">
        <f>[60]f!H33</f>
        <v>0.15696093851188908</v>
      </c>
      <c r="J33" s="300">
        <f>[60]f!I33</f>
        <v>6.1281773644142001E-2</v>
      </c>
      <c r="K33" s="27"/>
      <c r="L33" s="27"/>
    </row>
    <row r="34" spans="1:12" ht="30" customHeight="1" thickBot="1">
      <c r="A34" s="78" t="s">
        <v>808</v>
      </c>
      <c r="B34" s="316">
        <v>13.174684544924281</v>
      </c>
      <c r="C34" s="317">
        <f>[60]f!B34</f>
        <v>8.6558371467537087E-2</v>
      </c>
      <c r="D34" s="305">
        <f>[60]f!C34</f>
        <v>5.0920050587330845E-3</v>
      </c>
      <c r="E34" s="317">
        <f>[60]f!D34</f>
        <v>3.9289301934081866E-2</v>
      </c>
      <c r="F34" s="305">
        <f>[60]f!E34</f>
        <v>3.4559300320813779E-2</v>
      </c>
      <c r="G34" s="317">
        <f>[60]f!F34</f>
        <v>0.11172026305650617</v>
      </c>
      <c r="H34" s="305">
        <f>[60]f!G34</f>
        <v>0.14982085864992989</v>
      </c>
      <c r="I34" s="318">
        <f>[60]f!H34</f>
        <v>0.15398318795447397</v>
      </c>
      <c r="J34" s="319">
        <f>[60]f!I34</f>
        <v>5.9733425955682096E-2</v>
      </c>
    </row>
    <row r="35" spans="1:12" ht="20" customHeight="1">
      <c r="A35" s="28" t="s">
        <v>932</v>
      </c>
      <c r="B35" s="29"/>
      <c r="C35" s="320"/>
      <c r="D35" s="320"/>
      <c r="E35" s="320"/>
      <c r="F35" s="320"/>
      <c r="G35" s="320"/>
      <c r="H35" s="321"/>
    </row>
    <row r="36" spans="1:12" ht="12.75" customHeight="1">
      <c r="A36" s="7" t="s">
        <v>1060</v>
      </c>
      <c r="B36" s="31"/>
      <c r="C36" s="322"/>
      <c r="D36" s="322"/>
      <c r="E36" s="322"/>
      <c r="F36" s="322"/>
      <c r="G36" s="322"/>
      <c r="H36" s="323"/>
    </row>
    <row r="37" spans="1:12">
      <c r="A37" s="7" t="s">
        <v>956</v>
      </c>
    </row>
    <row r="38" spans="1:12">
      <c r="A38" s="314" t="s">
        <v>1061</v>
      </c>
    </row>
  </sheetData>
  <phoneticPr fontId="0" type="noConversion"/>
  <pageMargins left="0.59" right="0.35" top="1.28" bottom="0.49" header="0.93" footer="0.4921259845"/>
  <pageSetup paperSize="9" scale="80" orientation="portrait" horizontalDpi="4294967292" verticalDpi="4294967292"/>
  <headerFooter alignWithMargins="0">
    <oddHeader>&amp;L&amp;"Arial,Bold"&amp;14Prämientarife in der OKP</oddHeader>
    <oddFooter>&amp;L&amp;"Arial,Regular"Statistik über die Krankenversicherung, Bundesamt für Sozialversicherung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65C5-7004-4740-95D7-240973D6DAE1}">
  <dimension ref="A1:K35"/>
  <sheetViews>
    <sheetView topLeftCell="A19" zoomScale="75" workbookViewId="0">
      <selection activeCell="A35" sqref="A35"/>
    </sheetView>
  </sheetViews>
  <sheetFormatPr baseColWidth="10" defaultColWidth="11.3984375" defaultRowHeight="13"/>
  <cols>
    <col min="1" max="1" width="11.19921875" style="7" customWidth="1"/>
    <col min="2" max="2" width="11.19921875" style="7" hidden="1" customWidth="1"/>
    <col min="3" max="8" width="11.19921875" style="7" customWidth="1"/>
    <col min="9" max="10" width="13.19921875" style="7" customWidth="1"/>
    <col min="11" max="16384" width="11.3984375" style="7"/>
  </cols>
  <sheetData>
    <row r="1" spans="1:11" s="1" customFormat="1" ht="14" customHeight="1"/>
    <row r="2" spans="1:11" s="1" customFormat="1" ht="28" customHeight="1">
      <c r="A2" s="2" t="s">
        <v>1064</v>
      </c>
    </row>
    <row r="3" spans="1:11" ht="24" customHeight="1">
      <c r="A3" s="41" t="s">
        <v>537</v>
      </c>
      <c r="B3" s="6">
        <v>1996</v>
      </c>
      <c r="C3" s="6">
        <v>1996</v>
      </c>
      <c r="D3" s="42">
        <v>1997</v>
      </c>
      <c r="E3" s="6">
        <v>1998</v>
      </c>
      <c r="F3" s="42">
        <v>1999</v>
      </c>
      <c r="G3" s="6">
        <v>2000</v>
      </c>
      <c r="H3" s="42">
        <v>2001</v>
      </c>
      <c r="I3" s="6">
        <v>2002</v>
      </c>
      <c r="J3" s="42">
        <v>2003</v>
      </c>
    </row>
    <row r="4" spans="1:11" ht="15" customHeight="1">
      <c r="A4" s="43"/>
      <c r="B4" s="12"/>
      <c r="C4" s="12" t="s">
        <v>931</v>
      </c>
      <c r="D4" s="44"/>
      <c r="E4" s="12"/>
      <c r="F4" s="44"/>
      <c r="G4" s="12"/>
      <c r="H4" s="44"/>
      <c r="I4" s="12"/>
      <c r="J4" s="44"/>
    </row>
    <row r="5" spans="1:11" ht="16" customHeight="1">
      <c r="A5" s="46"/>
      <c r="B5" s="16"/>
      <c r="C5" s="16"/>
      <c r="D5" s="47"/>
      <c r="E5" s="16"/>
      <c r="F5" s="47"/>
      <c r="G5" s="189"/>
      <c r="H5" s="48"/>
      <c r="I5" s="16"/>
      <c r="J5" s="47"/>
    </row>
    <row r="6" spans="1:11" ht="30" customHeight="1" thickBot="1">
      <c r="A6" s="296" t="s">
        <v>541</v>
      </c>
      <c r="B6" s="20">
        <v>41.718753671585276</v>
      </c>
      <c r="C6" s="306">
        <f>[61]f!C6</f>
        <v>43.923058994479014</v>
      </c>
      <c r="D6" s="307">
        <f>[61]f!D6</f>
        <v>49.463482306636379</v>
      </c>
      <c r="E6" s="306">
        <f>[61]f!E6</f>
        <v>50.318363772724794</v>
      </c>
      <c r="F6" s="307">
        <f>[61]f!F6</f>
        <v>53.013812330781704</v>
      </c>
      <c r="G6" s="306">
        <f>[61]f!G6</f>
        <v>55.255514362971027</v>
      </c>
      <c r="H6" s="307">
        <f>[61]f!H6</f>
        <v>57.87</v>
      </c>
      <c r="I6" s="306">
        <f>[61]f!I6</f>
        <v>63.425809999999998</v>
      </c>
      <c r="J6" s="308">
        <f>[61]f!J6</f>
        <v>69.532570000000007</v>
      </c>
      <c r="K6" s="22"/>
    </row>
    <row r="7" spans="1:11" ht="20" customHeight="1" thickBot="1">
      <c r="A7" s="297" t="s">
        <v>542</v>
      </c>
      <c r="B7" s="26">
        <v>43.262386429302111</v>
      </c>
      <c r="C7" s="309">
        <f>[61]f!C7</f>
        <v>45.005658086043326</v>
      </c>
      <c r="D7" s="310">
        <f>[61]f!D7</f>
        <v>48.815905481405821</v>
      </c>
      <c r="E7" s="309">
        <f>[61]f!E7</f>
        <v>49.800325535025237</v>
      </c>
      <c r="F7" s="310">
        <f>[61]f!F7</f>
        <v>52.917628328055834</v>
      </c>
      <c r="G7" s="309">
        <f>[61]f!G7</f>
        <v>54.167464738283748</v>
      </c>
      <c r="H7" s="310">
        <f>[61]f!H7</f>
        <v>56.07</v>
      </c>
      <c r="I7" s="309">
        <f>[61]f!I7</f>
        <v>62.33831</v>
      </c>
      <c r="J7" s="310">
        <f>[61]f!J7</f>
        <v>68.851010000000002</v>
      </c>
      <c r="K7" s="22"/>
    </row>
    <row r="8" spans="1:11" ht="20" customHeight="1" thickBot="1">
      <c r="A8" s="297" t="s">
        <v>543</v>
      </c>
      <c r="B8" s="26">
        <v>35.431055547687443</v>
      </c>
      <c r="C8" s="309">
        <f>[61]f!C8</f>
        <v>36.594136013982386</v>
      </c>
      <c r="D8" s="310">
        <f>[61]f!D8</f>
        <v>37.771959469685505</v>
      </c>
      <c r="E8" s="309">
        <f>[61]f!E8</f>
        <v>39.024736967872208</v>
      </c>
      <c r="F8" s="310">
        <f>[61]f!F8</f>
        <v>39.205738865192295</v>
      </c>
      <c r="G8" s="309">
        <f>[61]f!G8</f>
        <v>41.56641556075305</v>
      </c>
      <c r="H8" s="310">
        <f>[61]f!H8</f>
        <v>44.3</v>
      </c>
      <c r="I8" s="309">
        <f>[61]f!I8</f>
        <v>48.980910000000002</v>
      </c>
      <c r="J8" s="310">
        <f>[61]f!J8</f>
        <v>54.38438</v>
      </c>
      <c r="K8" s="22"/>
    </row>
    <row r="9" spans="1:11" ht="20" customHeight="1" thickBot="1">
      <c r="A9" s="297" t="s">
        <v>544</v>
      </c>
      <c r="B9" s="26">
        <v>36.226433792447438</v>
      </c>
      <c r="C9" s="309">
        <f>[61]f!C9</f>
        <v>37.891308884027801</v>
      </c>
      <c r="D9" s="310">
        <f>[61]f!D9</f>
        <v>39.05961451588616</v>
      </c>
      <c r="E9" s="309">
        <f>[61]f!E9</f>
        <v>38.924191837703162</v>
      </c>
      <c r="F9" s="310">
        <f>[61]f!F9</f>
        <v>38.919598278799377</v>
      </c>
      <c r="G9" s="309">
        <f>[61]f!G9</f>
        <v>39.98278042622718</v>
      </c>
      <c r="H9" s="310">
        <f>[61]f!H9</f>
        <v>41.73</v>
      </c>
      <c r="I9" s="309">
        <f>[61]f!I9</f>
        <v>46.114289999999997</v>
      </c>
      <c r="J9" s="310">
        <f>[61]f!J9</f>
        <v>51.525869999999998</v>
      </c>
      <c r="K9" s="22"/>
    </row>
    <row r="10" spans="1:11" ht="20" customHeight="1" thickBot="1">
      <c r="A10" s="297" t="s">
        <v>545</v>
      </c>
      <c r="B10" s="26">
        <v>35.409999042794709</v>
      </c>
      <c r="C10" s="309">
        <f>[61]f!C10</f>
        <v>36.935727398571451</v>
      </c>
      <c r="D10" s="310">
        <f>[61]f!D10</f>
        <v>40.712079944129485</v>
      </c>
      <c r="E10" s="309">
        <f>[61]f!E10</f>
        <v>40.57161294540699</v>
      </c>
      <c r="F10" s="310">
        <f>[61]f!F10</f>
        <v>40.587244523046742</v>
      </c>
      <c r="G10" s="309">
        <f>[61]f!G10</f>
        <v>41.513266884274493</v>
      </c>
      <c r="H10" s="310">
        <f>[61]f!H10</f>
        <v>43.94</v>
      </c>
      <c r="I10" s="309">
        <f>[61]f!I10</f>
        <v>49.170670000000001</v>
      </c>
      <c r="J10" s="310">
        <f>[61]f!J10</f>
        <v>54.933639999999997</v>
      </c>
      <c r="K10" s="22"/>
    </row>
    <row r="11" spans="1:11" ht="20" customHeight="1" thickBot="1">
      <c r="A11" s="297" t="s">
        <v>546</v>
      </c>
      <c r="B11" s="26">
        <v>36.653282798397214</v>
      </c>
      <c r="C11" s="309">
        <f>[61]f!C11</f>
        <v>37.803120547545305</v>
      </c>
      <c r="D11" s="310">
        <f>[61]f!D11</f>
        <v>40.089048760991204</v>
      </c>
      <c r="E11" s="309">
        <f>[61]f!E11</f>
        <v>39.102460115892001</v>
      </c>
      <c r="F11" s="310">
        <f>[61]f!F11</f>
        <v>39.41021611490568</v>
      </c>
      <c r="G11" s="309">
        <f>[61]f!G11</f>
        <v>40.642995823188755</v>
      </c>
      <c r="H11" s="310">
        <f>[61]f!H11</f>
        <v>42.6</v>
      </c>
      <c r="I11" s="309">
        <f>[61]f!I11</f>
        <v>45.837009999999999</v>
      </c>
      <c r="J11" s="310">
        <f>[61]f!J11</f>
        <v>49.250610000000002</v>
      </c>
      <c r="K11" s="22"/>
    </row>
    <row r="12" spans="1:11" ht="20" customHeight="1" thickBot="1">
      <c r="A12" s="297" t="s">
        <v>547</v>
      </c>
      <c r="B12" s="26">
        <v>35.740646131932074</v>
      </c>
      <c r="C12" s="309">
        <f>[61]f!C12</f>
        <v>37.012158059816571</v>
      </c>
      <c r="D12" s="310">
        <f>[61]f!D12</f>
        <v>38.902467685076381</v>
      </c>
      <c r="E12" s="309">
        <f>[61]f!E12</f>
        <v>37.961333408374607</v>
      </c>
      <c r="F12" s="310">
        <f>[61]f!F12</f>
        <v>37.488602413777578</v>
      </c>
      <c r="G12" s="309">
        <f>[61]f!G12</f>
        <v>38.582415416158433</v>
      </c>
      <c r="H12" s="310">
        <f>[61]f!H12</f>
        <v>40.46</v>
      </c>
      <c r="I12" s="309">
        <f>[61]f!I12</f>
        <v>43.951790000000003</v>
      </c>
      <c r="J12" s="310">
        <f>[61]f!J12</f>
        <v>48.316870000000002</v>
      </c>
      <c r="K12" s="22"/>
    </row>
    <row r="13" spans="1:11" ht="20" customHeight="1" thickBot="1">
      <c r="A13" s="297" t="s">
        <v>548</v>
      </c>
      <c r="B13" s="26">
        <v>34.656615291496252</v>
      </c>
      <c r="C13" s="309">
        <f>[61]f!C13</f>
        <v>35.093099721271884</v>
      </c>
      <c r="D13" s="310">
        <f>[61]f!D13</f>
        <v>38.623441674087267</v>
      </c>
      <c r="E13" s="309">
        <f>[61]f!E13</f>
        <v>38.550362907593978</v>
      </c>
      <c r="F13" s="310">
        <f>[61]f!F13</f>
        <v>40.192322472448488</v>
      </c>
      <c r="G13" s="309">
        <f>[61]f!G13</f>
        <v>41.094264828779039</v>
      </c>
      <c r="H13" s="310">
        <f>[61]f!H13</f>
        <v>44.09</v>
      </c>
      <c r="I13" s="309">
        <f>[61]f!I13</f>
        <v>49.420699999999997</v>
      </c>
      <c r="J13" s="310">
        <f>[61]f!J13</f>
        <v>56.229599999999998</v>
      </c>
      <c r="K13" s="22"/>
    </row>
    <row r="14" spans="1:11" ht="20" customHeight="1" thickBot="1">
      <c r="A14" s="297" t="s">
        <v>549</v>
      </c>
      <c r="B14" s="26">
        <v>36.639340808245812</v>
      </c>
      <c r="C14" s="309">
        <f>[61]f!C14</f>
        <v>38.171743830119503</v>
      </c>
      <c r="D14" s="310">
        <f>[61]f!D14</f>
        <v>41.234852450764485</v>
      </c>
      <c r="E14" s="309">
        <f>[61]f!E14</f>
        <v>39.579025737059446</v>
      </c>
      <c r="F14" s="310">
        <f>[61]f!F14</f>
        <v>39.824251186401611</v>
      </c>
      <c r="G14" s="309">
        <f>[61]f!G14</f>
        <v>41.290124723913671</v>
      </c>
      <c r="H14" s="310">
        <f>[61]f!H14</f>
        <v>43.54</v>
      </c>
      <c r="I14" s="309">
        <f>[61]f!I14</f>
        <v>48.346510000000002</v>
      </c>
      <c r="J14" s="310">
        <f>[61]f!J14</f>
        <v>54.650489999999998</v>
      </c>
      <c r="K14" s="22"/>
    </row>
    <row r="15" spans="1:11" ht="20" customHeight="1" thickBot="1">
      <c r="A15" s="297" t="s">
        <v>550</v>
      </c>
      <c r="B15" s="26">
        <v>48.51028508862985</v>
      </c>
      <c r="C15" s="309">
        <f>[61]f!C15</f>
        <v>49.474427978275777</v>
      </c>
      <c r="D15" s="310">
        <f>[61]f!D15</f>
        <v>52.797310620851235</v>
      </c>
      <c r="E15" s="309">
        <f>[61]f!E15</f>
        <v>52.460471481951494</v>
      </c>
      <c r="F15" s="310">
        <f>[61]f!F15</f>
        <v>52.488688974196272</v>
      </c>
      <c r="G15" s="309">
        <f>[61]f!G15</f>
        <v>54.825350997568805</v>
      </c>
      <c r="H15" s="310">
        <f>[61]f!H15</f>
        <v>56.92</v>
      </c>
      <c r="I15" s="309">
        <f>[61]f!I15</f>
        <v>61.386839999999999</v>
      </c>
      <c r="J15" s="310">
        <f>[61]f!J15</f>
        <v>65.283850000000001</v>
      </c>
      <c r="K15" s="22"/>
    </row>
    <row r="16" spans="1:11" ht="20" customHeight="1" thickBot="1">
      <c r="A16" s="297" t="s">
        <v>551</v>
      </c>
      <c r="B16" s="26">
        <v>35.379722200083393</v>
      </c>
      <c r="C16" s="309">
        <f>[61]f!C16</f>
        <v>39.727680770679839</v>
      </c>
      <c r="D16" s="310">
        <f>[61]f!D16</f>
        <v>45.139238759182142</v>
      </c>
      <c r="E16" s="309">
        <f>[61]f!E16</f>
        <v>46.627131804164158</v>
      </c>
      <c r="F16" s="310">
        <f>[61]f!F16</f>
        <v>48.122314081303209</v>
      </c>
      <c r="G16" s="309">
        <f>[61]f!G16</f>
        <v>50.2937322719145</v>
      </c>
      <c r="H16" s="310">
        <f>[61]f!H16</f>
        <v>52.23</v>
      </c>
      <c r="I16" s="309">
        <f>[61]f!I16</f>
        <v>55.529260000000001</v>
      </c>
      <c r="J16" s="310">
        <f>[61]f!J16</f>
        <v>61.430140000000002</v>
      </c>
      <c r="K16" s="22"/>
    </row>
    <row r="17" spans="1:11" ht="20" customHeight="1" thickBot="1">
      <c r="A17" s="297" t="s">
        <v>552</v>
      </c>
      <c r="B17" s="26">
        <v>49.802437633137387</v>
      </c>
      <c r="C17" s="309">
        <f>[61]f!C17</f>
        <v>51.371218445274728</v>
      </c>
      <c r="D17" s="310">
        <f>[61]f!D17</f>
        <v>59.155353266577968</v>
      </c>
      <c r="E17" s="309">
        <f>[61]f!E17</f>
        <v>62.92857388854101</v>
      </c>
      <c r="F17" s="310">
        <f>[61]f!F17</f>
        <v>68.475240112711333</v>
      </c>
      <c r="G17" s="309">
        <f>[61]f!G17</f>
        <v>71.798648406979126</v>
      </c>
      <c r="H17" s="310">
        <f>[61]f!H17</f>
        <v>75.72</v>
      </c>
      <c r="I17" s="309">
        <f>[61]f!I17</f>
        <v>82.667259999999999</v>
      </c>
      <c r="J17" s="310">
        <f>[61]f!J17</f>
        <v>90.215479999999999</v>
      </c>
      <c r="K17" s="22"/>
    </row>
    <row r="18" spans="1:11" ht="20" customHeight="1" thickBot="1">
      <c r="A18" s="297" t="s">
        <v>553</v>
      </c>
      <c r="B18" s="26">
        <v>41.943975664072163</v>
      </c>
      <c r="C18" s="309">
        <f>[61]f!C18</f>
        <v>44.28278425673404</v>
      </c>
      <c r="D18" s="310">
        <f>[61]f!D18</f>
        <v>50.407676162950722</v>
      </c>
      <c r="E18" s="309">
        <f>[61]f!E18</f>
        <v>52.13367219996919</v>
      </c>
      <c r="F18" s="310">
        <f>[61]f!F18</f>
        <v>53.269683230627017</v>
      </c>
      <c r="G18" s="309">
        <f>[61]f!G18</f>
        <v>55.417669457793103</v>
      </c>
      <c r="H18" s="310">
        <f>[61]f!H18</f>
        <v>57.9</v>
      </c>
      <c r="I18" s="309">
        <f>[61]f!I18</f>
        <v>63.903820000000003</v>
      </c>
      <c r="J18" s="310">
        <f>[61]f!J18</f>
        <v>70.882249999999999</v>
      </c>
      <c r="K18" s="22"/>
    </row>
    <row r="19" spans="1:11" ht="20" customHeight="1" thickBot="1">
      <c r="A19" s="297" t="s">
        <v>554</v>
      </c>
      <c r="B19" s="26">
        <v>36.575020697081818</v>
      </c>
      <c r="C19" s="309">
        <f>[61]f!C19</f>
        <v>37.641022119864097</v>
      </c>
      <c r="D19" s="310">
        <f>[61]f!D19</f>
        <v>43.743997054720204</v>
      </c>
      <c r="E19" s="309">
        <f>[61]f!E19</f>
        <v>44.128326631611507</v>
      </c>
      <c r="F19" s="310">
        <f>[61]f!F19</f>
        <v>47.147867343025055</v>
      </c>
      <c r="G19" s="309">
        <f>[61]f!G19</f>
        <v>49.138359447703145</v>
      </c>
      <c r="H19" s="310">
        <f>[61]f!H19</f>
        <v>51.27</v>
      </c>
      <c r="I19" s="309">
        <f>[61]f!I19</f>
        <v>59.141860000000001</v>
      </c>
      <c r="J19" s="310">
        <f>[61]f!J19</f>
        <v>64.781949999999995</v>
      </c>
      <c r="K19" s="22"/>
    </row>
    <row r="20" spans="1:11" ht="20" customHeight="1" thickBot="1">
      <c r="A20" s="297" t="s">
        <v>555</v>
      </c>
      <c r="B20" s="26">
        <v>33.407080929158951</v>
      </c>
      <c r="C20" s="309">
        <f>[61]f!C20</f>
        <v>34.258392229576131</v>
      </c>
      <c r="D20" s="310">
        <f>[61]f!D20</f>
        <v>38.208469914040116</v>
      </c>
      <c r="E20" s="309">
        <f>[61]f!E20</f>
        <v>37.501872392913214</v>
      </c>
      <c r="F20" s="310">
        <f>[61]f!F20</f>
        <v>37.487556354175133</v>
      </c>
      <c r="G20" s="309">
        <f>[61]f!G20</f>
        <v>38.283417332687009</v>
      </c>
      <c r="H20" s="310">
        <f>[61]f!H20</f>
        <v>40.82</v>
      </c>
      <c r="I20" s="309">
        <f>[61]f!I20</f>
        <v>45.358510000000003</v>
      </c>
      <c r="J20" s="310">
        <f>[61]f!J20</f>
        <v>50.411659999999998</v>
      </c>
      <c r="K20" s="22"/>
    </row>
    <row r="21" spans="1:11" ht="20" customHeight="1" thickBot="1">
      <c r="A21" s="297" t="s">
        <v>556</v>
      </c>
      <c r="B21" s="26">
        <v>32.853731323273763</v>
      </c>
      <c r="C21" s="309">
        <f>[61]f!C21</f>
        <v>33.791741202606048</v>
      </c>
      <c r="D21" s="310">
        <f>[61]f!D21</f>
        <v>36.04614126880314</v>
      </c>
      <c r="E21" s="309">
        <f>[61]f!E21</f>
        <v>34.349443344878779</v>
      </c>
      <c r="F21" s="310">
        <f>[61]f!F21</f>
        <v>34.115438111975898</v>
      </c>
      <c r="G21" s="309">
        <f>[61]f!G21</f>
        <v>34.538117356336265</v>
      </c>
      <c r="H21" s="310">
        <f>[61]f!H21</f>
        <v>37.409999999999997</v>
      </c>
      <c r="I21" s="309">
        <f>[61]f!I21</f>
        <v>40.66377</v>
      </c>
      <c r="J21" s="310">
        <f>[61]f!J21</f>
        <v>44.770470000000003</v>
      </c>
      <c r="K21" s="22"/>
    </row>
    <row r="22" spans="1:11" ht="20" customHeight="1" thickBot="1">
      <c r="A22" s="297" t="s">
        <v>557</v>
      </c>
      <c r="B22" s="26">
        <v>34.998635932327019</v>
      </c>
      <c r="C22" s="309">
        <f>[61]f!C22</f>
        <v>36.208128517491303</v>
      </c>
      <c r="D22" s="310">
        <f>[61]f!D22</f>
        <v>40.242319517530895</v>
      </c>
      <c r="E22" s="309">
        <f>[61]f!E22</f>
        <v>40.312091985269127</v>
      </c>
      <c r="F22" s="310">
        <f>[61]f!F22</f>
        <v>40.988240996996879</v>
      </c>
      <c r="G22" s="309">
        <f>[61]f!G22</f>
        <v>42.319009021309192</v>
      </c>
      <c r="H22" s="310">
        <f>[61]f!H22</f>
        <v>44.87</v>
      </c>
      <c r="I22" s="309">
        <f>[61]f!I22</f>
        <v>49.452069999999999</v>
      </c>
      <c r="J22" s="310">
        <f>[61]f!J22</f>
        <v>53.806179999999998</v>
      </c>
      <c r="K22" s="22"/>
    </row>
    <row r="23" spans="1:11" ht="20" customHeight="1" thickBot="1">
      <c r="A23" s="297" t="s">
        <v>558</v>
      </c>
      <c r="B23" s="26">
        <v>32.952640897764887</v>
      </c>
      <c r="C23" s="309">
        <f>[61]f!C23</f>
        <v>33.714308180129308</v>
      </c>
      <c r="D23" s="310">
        <f>[61]f!D23</f>
        <v>39.622198567834332</v>
      </c>
      <c r="E23" s="309">
        <f>[61]f!E23</f>
        <v>37.525989318950934</v>
      </c>
      <c r="F23" s="310">
        <f>[61]f!F23</f>
        <v>37.77391368135067</v>
      </c>
      <c r="G23" s="309">
        <f>[61]f!G23</f>
        <v>39.750026255583869</v>
      </c>
      <c r="H23" s="310">
        <f>[61]f!H23</f>
        <v>42.77</v>
      </c>
      <c r="I23" s="309">
        <f>[61]f!I23</f>
        <v>49.12473</v>
      </c>
      <c r="J23" s="310">
        <f>[61]f!J23</f>
        <v>55.57593</v>
      </c>
      <c r="K23" s="22"/>
    </row>
    <row r="24" spans="1:11" ht="20" customHeight="1" thickBot="1">
      <c r="A24" s="297" t="s">
        <v>559</v>
      </c>
      <c r="B24" s="26">
        <v>28.585234891458057</v>
      </c>
      <c r="C24" s="309">
        <f>[61]f!C24</f>
        <v>35.480218580805271</v>
      </c>
      <c r="D24" s="310">
        <f>[61]f!D24</f>
        <v>39.999932557539303</v>
      </c>
      <c r="E24" s="309">
        <f>[61]f!E24</f>
        <v>40.867760275814078</v>
      </c>
      <c r="F24" s="310">
        <f>[61]f!F24</f>
        <v>43.09740090145656</v>
      </c>
      <c r="G24" s="309">
        <f>[61]f!G24</f>
        <v>45.488728140942797</v>
      </c>
      <c r="H24" s="310">
        <f>[61]f!H24</f>
        <v>49.16</v>
      </c>
      <c r="I24" s="309">
        <f>[61]f!I24</f>
        <v>54.710949999999997</v>
      </c>
      <c r="J24" s="310">
        <f>[61]f!J24</f>
        <v>60.209690000000002</v>
      </c>
      <c r="K24" s="22"/>
    </row>
    <row r="25" spans="1:11" ht="20" customHeight="1" thickBot="1">
      <c r="A25" s="297" t="s">
        <v>560</v>
      </c>
      <c r="B25" s="26">
        <v>34.888516622037422</v>
      </c>
      <c r="C25" s="309">
        <f>[61]f!C25</f>
        <v>36.232708731886646</v>
      </c>
      <c r="D25" s="310">
        <f>[61]f!D25</f>
        <v>42.307563867089662</v>
      </c>
      <c r="E25" s="309">
        <f>[61]f!E25</f>
        <v>42.774392996751637</v>
      </c>
      <c r="F25" s="310">
        <f>[61]f!F25</f>
        <v>45.224448958677044</v>
      </c>
      <c r="G25" s="309">
        <f>[61]f!G25</f>
        <v>46.859517817001347</v>
      </c>
      <c r="H25" s="310">
        <f>[61]f!H25</f>
        <v>51.33</v>
      </c>
      <c r="I25" s="309">
        <f>[61]f!I25</f>
        <v>58.294269999999997</v>
      </c>
      <c r="J25" s="310">
        <f>[61]f!J25</f>
        <v>64.791269999999997</v>
      </c>
      <c r="K25" s="22"/>
    </row>
    <row r="26" spans="1:11" ht="20" customHeight="1" thickBot="1">
      <c r="A26" s="297" t="s">
        <v>561</v>
      </c>
      <c r="B26" s="26">
        <v>60.9754826368548</v>
      </c>
      <c r="C26" s="309">
        <f>[61]f!C26</f>
        <v>63.114790015527959</v>
      </c>
      <c r="D26" s="310">
        <f>[61]f!D26</f>
        <v>69.236727717337061</v>
      </c>
      <c r="E26" s="309">
        <f>[61]f!E26</f>
        <v>65.762853749458174</v>
      </c>
      <c r="F26" s="310">
        <f>[61]f!F26</f>
        <v>66.363292805326296</v>
      </c>
      <c r="G26" s="309">
        <f>[61]f!G26</f>
        <v>67.274446818129505</v>
      </c>
      <c r="H26" s="310">
        <f>[61]f!H26</f>
        <v>69.28</v>
      </c>
      <c r="I26" s="309">
        <f>[61]f!I26</f>
        <v>75.362449999999995</v>
      </c>
      <c r="J26" s="310">
        <f>[61]f!J26</f>
        <v>81.438580000000002</v>
      </c>
      <c r="K26" s="22"/>
    </row>
    <row r="27" spans="1:11" ht="20" customHeight="1" thickBot="1">
      <c r="A27" s="297" t="s">
        <v>562</v>
      </c>
      <c r="B27" s="26">
        <v>75.856129550277231</v>
      </c>
      <c r="C27" s="309">
        <f>[61]f!C27</f>
        <v>76.87122836002753</v>
      </c>
      <c r="D27" s="310">
        <f>[61]f!D27</f>
        <v>80.144189924253979</v>
      </c>
      <c r="E27" s="309">
        <f>[61]f!E27</f>
        <v>77.605631440918998</v>
      </c>
      <c r="F27" s="310">
        <f>[61]f!F27</f>
        <v>78.121876774646324</v>
      </c>
      <c r="G27" s="309">
        <f>[61]f!G27</f>
        <v>79.210640099703042</v>
      </c>
      <c r="H27" s="310">
        <f>[61]f!H27</f>
        <v>80.73</v>
      </c>
      <c r="I27" s="309">
        <f>[61]f!I27</f>
        <v>85.726100000000002</v>
      </c>
      <c r="J27" s="310">
        <f>[61]f!J27</f>
        <v>91.803979999999996</v>
      </c>
      <c r="K27" s="22"/>
    </row>
    <row r="28" spans="1:11" ht="20" customHeight="1" thickBot="1">
      <c r="A28" s="297" t="s">
        <v>563</v>
      </c>
      <c r="B28" s="26">
        <v>48.560499657043145</v>
      </c>
      <c r="C28" s="309">
        <f>[61]f!C28</f>
        <v>50.108181857192136</v>
      </c>
      <c r="D28" s="310">
        <f>[61]f!D28</f>
        <v>50.358968764082256</v>
      </c>
      <c r="E28" s="309">
        <f>[61]f!E28</f>
        <v>47.254479039937515</v>
      </c>
      <c r="F28" s="310">
        <f>[61]f!F28</f>
        <v>47.200711518046234</v>
      </c>
      <c r="G28" s="309">
        <f>[61]f!G28</f>
        <v>47.401333618583557</v>
      </c>
      <c r="H28" s="310">
        <f>[61]f!H28</f>
        <v>48.57</v>
      </c>
      <c r="I28" s="309">
        <f>[61]f!I28</f>
        <v>51.963740000000001</v>
      </c>
      <c r="J28" s="310">
        <f>[61]f!J28</f>
        <v>56.395269999999996</v>
      </c>
      <c r="K28" s="22"/>
    </row>
    <row r="29" spans="1:11" ht="20" customHeight="1" thickBot="1">
      <c r="A29" s="297" t="s">
        <v>564</v>
      </c>
      <c r="B29" s="26">
        <v>53.187830680760385</v>
      </c>
      <c r="C29" s="309">
        <f>[61]f!C29</f>
        <v>54.529167736090365</v>
      </c>
      <c r="D29" s="310">
        <f>[61]f!D29</f>
        <v>61.190638095238093</v>
      </c>
      <c r="E29" s="309">
        <f>[61]f!E29</f>
        <v>63.349411602742357</v>
      </c>
      <c r="F29" s="310">
        <f>[61]f!F29</f>
        <v>66.14797337310975</v>
      </c>
      <c r="G29" s="309">
        <f>[61]f!G29</f>
        <v>68.133447129993144</v>
      </c>
      <c r="H29" s="310">
        <f>[61]f!H29</f>
        <v>68.64</v>
      </c>
      <c r="I29" s="309">
        <f>[61]f!I29</f>
        <v>75.354849999999999</v>
      </c>
      <c r="J29" s="310">
        <f>[61]f!J29</f>
        <v>81.656689999999998</v>
      </c>
      <c r="K29" s="22"/>
    </row>
    <row r="30" spans="1:11" ht="20" customHeight="1" thickBot="1">
      <c r="A30" s="297" t="s">
        <v>565</v>
      </c>
      <c r="B30" s="26">
        <v>73.007835599444448</v>
      </c>
      <c r="C30" s="309">
        <f>[61]f!C30</f>
        <v>76.661943334373419</v>
      </c>
      <c r="D30" s="310">
        <f>[61]f!D30</f>
        <v>82.123460989884748</v>
      </c>
      <c r="E30" s="309">
        <f>[61]f!E30</f>
        <v>81.819434733953273</v>
      </c>
      <c r="F30" s="310">
        <f>[61]f!F30</f>
        <v>81.408749890372022</v>
      </c>
      <c r="G30" s="309">
        <f>[61]f!G30</f>
        <v>85.543589877557864</v>
      </c>
      <c r="H30" s="310">
        <f>[61]f!H30</f>
        <v>88.63</v>
      </c>
      <c r="I30" s="309">
        <f>[61]f!I30</f>
        <v>94.694569999999999</v>
      </c>
      <c r="J30" s="310">
        <f>[61]f!J30</f>
        <v>100.62352</v>
      </c>
    </row>
    <row r="31" spans="1:11" ht="20" customHeight="1" thickBot="1">
      <c r="A31" s="297" t="s">
        <v>566</v>
      </c>
      <c r="B31" s="26">
        <v>50.87956011667579</v>
      </c>
      <c r="C31" s="309">
        <f>[61]f!C31</f>
        <v>51.48319208374695</v>
      </c>
      <c r="D31" s="310">
        <f>[61]f!D31</f>
        <v>55.490646339526755</v>
      </c>
      <c r="E31" s="309">
        <f>[61]f!E31</f>
        <v>59.093285871089705</v>
      </c>
      <c r="F31" s="310">
        <f>[61]f!F31</f>
        <v>58.959970294368595</v>
      </c>
      <c r="G31" s="309">
        <f>[61]f!G31</f>
        <v>61.71005554804438</v>
      </c>
      <c r="H31" s="310">
        <f>[61]f!H31</f>
        <v>66.92</v>
      </c>
      <c r="I31" s="309">
        <f>[61]f!I31</f>
        <v>72.339150000000004</v>
      </c>
      <c r="J31" s="310">
        <f>[61]f!J31</f>
        <v>76.573120000000003</v>
      </c>
    </row>
    <row r="32" spans="1:11" ht="30" customHeight="1" thickBot="1">
      <c r="A32" s="78" t="s">
        <v>808</v>
      </c>
      <c r="B32" s="39">
        <v>45.818020396587798</v>
      </c>
      <c r="C32" s="311">
        <f>[61]f!C32</f>
        <v>47.723529089864961</v>
      </c>
      <c r="D32" s="312">
        <f>[61]f!D32</f>
        <v>51.854400048567307</v>
      </c>
      <c r="E32" s="311">
        <f>[61]f!E32</f>
        <v>51.799576777497641</v>
      </c>
      <c r="F32" s="312">
        <f>[61]f!F32</f>
        <v>53.348085764350309</v>
      </c>
      <c r="G32" s="311">
        <f>[61]f!G32</f>
        <v>55.173206027906794</v>
      </c>
      <c r="H32" s="312">
        <f>[61]f!H32</f>
        <v>57.65</v>
      </c>
      <c r="I32" s="311">
        <f>[61]f!I32</f>
        <v>63.127989999999997</v>
      </c>
      <c r="J32" s="313">
        <f>[61]f!J32</f>
        <v>68.990499999999997</v>
      </c>
    </row>
    <row r="33" spans="1:10" ht="20" customHeight="1">
      <c r="A33" s="28" t="s">
        <v>932</v>
      </c>
      <c r="B33" s="29"/>
      <c r="C33" s="29"/>
      <c r="D33" s="29"/>
      <c r="E33" s="29"/>
      <c r="F33" s="29"/>
      <c r="G33" s="29"/>
      <c r="H33" s="29"/>
      <c r="I33" s="29"/>
      <c r="J33" s="30"/>
    </row>
    <row r="34" spans="1:10" ht="12.75" customHeight="1">
      <c r="A34" s="7" t="s">
        <v>955</v>
      </c>
      <c r="B34" s="31"/>
      <c r="C34" s="31"/>
      <c r="D34" s="31"/>
      <c r="E34" s="31"/>
      <c r="F34" s="31"/>
      <c r="G34" s="31"/>
      <c r="H34" s="31"/>
      <c r="I34" s="31"/>
      <c r="J34" s="32"/>
    </row>
    <row r="35" spans="1:10">
      <c r="A35" s="314" t="s">
        <v>964</v>
      </c>
    </row>
  </sheetData>
  <phoneticPr fontId="0" type="noConversion"/>
  <pageMargins left="0.78740157480314965" right="0.78740157480314965" top="1.28" bottom="0.49" header="0.93" footer="0.4921259845"/>
  <pageSetup paperSize="9" scale="80" orientation="portrait" horizontalDpi="4294967292" verticalDpi="4294967292"/>
  <headerFooter alignWithMargins="0">
    <oddHeader>&amp;L&amp;"Arial,Bold"&amp;14Prämientarife in der OKP</oddHeader>
    <oddFooter>&amp;L&amp;"Arial,Regular"Statistik über die Krankenversicherung, Bundesamt für Sozialversicherung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CDB8-C4C3-F04C-A728-451F54F26714}">
  <dimension ref="A1:L38"/>
  <sheetViews>
    <sheetView topLeftCell="A20" zoomScale="75" workbookViewId="0">
      <selection activeCell="A39" sqref="A39"/>
    </sheetView>
  </sheetViews>
  <sheetFormatPr baseColWidth="10" defaultColWidth="11.3984375" defaultRowHeight="13"/>
  <cols>
    <col min="1" max="1" width="14.796875" style="7" customWidth="1"/>
    <col min="2" max="2" width="15.3984375" style="7" hidden="1" customWidth="1"/>
    <col min="3" max="3" width="14.19921875" style="116" customWidth="1"/>
    <col min="4" max="4" width="13.19921875" style="116" customWidth="1"/>
    <col min="5" max="5" width="14" style="116" customWidth="1"/>
    <col min="6" max="6" width="13.796875" style="116" customWidth="1"/>
    <col min="7" max="7" width="12.19921875" style="116" customWidth="1"/>
    <col min="8" max="8" width="13.19921875" style="116" customWidth="1"/>
    <col min="9" max="9" width="11.3984375" style="116"/>
    <col min="10" max="10" width="13.796875" style="116" customWidth="1"/>
    <col min="11" max="16384" width="11.3984375" style="7"/>
  </cols>
  <sheetData>
    <row r="1" spans="1:10" s="1" customFormat="1" ht="14" customHeight="1">
      <c r="C1" s="179"/>
      <c r="D1" s="179"/>
      <c r="E1" s="179"/>
      <c r="F1" s="179"/>
      <c r="G1" s="179"/>
      <c r="H1" s="179"/>
      <c r="I1" s="179"/>
      <c r="J1" s="179"/>
    </row>
    <row r="2" spans="1:10" s="1" customFormat="1" ht="28" customHeight="1">
      <c r="A2" s="2" t="s">
        <v>1065</v>
      </c>
      <c r="C2" s="179"/>
      <c r="D2" s="179"/>
      <c r="E2" s="179"/>
      <c r="F2" s="179"/>
      <c r="G2" s="179"/>
      <c r="H2" s="179"/>
      <c r="I2" s="179"/>
      <c r="J2" s="179"/>
    </row>
    <row r="3" spans="1:10" ht="24" customHeight="1">
      <c r="A3" s="41" t="s">
        <v>537</v>
      </c>
      <c r="B3" s="6" t="s">
        <v>1063</v>
      </c>
      <c r="C3" s="298" t="s">
        <v>941</v>
      </c>
      <c r="D3" s="260" t="s">
        <v>941</v>
      </c>
      <c r="E3" s="298" t="s">
        <v>941</v>
      </c>
      <c r="F3" s="260" t="s">
        <v>941</v>
      </c>
      <c r="G3" s="298" t="s">
        <v>941</v>
      </c>
      <c r="H3" s="260" t="s">
        <v>941</v>
      </c>
      <c r="I3" s="298" t="s">
        <v>941</v>
      </c>
      <c r="J3" s="260" t="s">
        <v>942</v>
      </c>
    </row>
    <row r="4" spans="1:10" ht="15" customHeight="1">
      <c r="A4" s="43"/>
      <c r="B4" s="12" t="s">
        <v>941</v>
      </c>
      <c r="C4" s="62" t="s">
        <v>943</v>
      </c>
      <c r="D4" s="270" t="s">
        <v>943</v>
      </c>
      <c r="E4" s="271" t="s">
        <v>943</v>
      </c>
      <c r="F4" s="270" t="s">
        <v>943</v>
      </c>
      <c r="G4" s="271" t="s">
        <v>943</v>
      </c>
      <c r="H4" s="270" t="s">
        <v>943</v>
      </c>
      <c r="I4" s="62" t="s">
        <v>943</v>
      </c>
      <c r="J4" s="61" t="s">
        <v>944</v>
      </c>
    </row>
    <row r="5" spans="1:10" ht="15" customHeight="1">
      <c r="A5" s="43"/>
      <c r="B5" s="12" t="s">
        <v>943</v>
      </c>
      <c r="C5" s="62" t="s">
        <v>945</v>
      </c>
      <c r="D5" s="61" t="s">
        <v>946</v>
      </c>
      <c r="E5" s="62" t="s">
        <v>947</v>
      </c>
      <c r="F5" s="61" t="s">
        <v>948</v>
      </c>
      <c r="G5" s="271" t="s">
        <v>949</v>
      </c>
      <c r="H5" s="61" t="s">
        <v>950</v>
      </c>
      <c r="I5" s="62" t="s">
        <v>951</v>
      </c>
      <c r="J5" s="61" t="s">
        <v>952</v>
      </c>
    </row>
    <row r="6" spans="1:10" ht="15" customHeight="1">
      <c r="A6" s="43"/>
      <c r="B6" s="12" t="s">
        <v>1059</v>
      </c>
      <c r="C6" s="62" t="s">
        <v>953</v>
      </c>
      <c r="D6" s="61"/>
      <c r="E6" s="62"/>
      <c r="F6" s="61"/>
      <c r="G6" s="271"/>
      <c r="H6" s="61"/>
      <c r="I6" s="62"/>
      <c r="J6" s="61" t="s">
        <v>954</v>
      </c>
    </row>
    <row r="7" spans="1:10" ht="16" customHeight="1">
      <c r="A7" s="46"/>
      <c r="B7" s="16"/>
      <c r="C7" s="65"/>
      <c r="D7" s="64"/>
      <c r="E7" s="65"/>
      <c r="F7" s="64"/>
      <c r="G7" s="272"/>
      <c r="H7" s="64"/>
      <c r="I7" s="65"/>
      <c r="J7" s="64" t="s">
        <v>931</v>
      </c>
    </row>
    <row r="8" spans="1:10" ht="30" customHeight="1" thickBot="1">
      <c r="A8" s="296" t="s">
        <v>541</v>
      </c>
      <c r="B8" s="177">
        <v>18.564141910898105</v>
      </c>
      <c r="C8" s="299">
        <f>[62]f!B8</f>
        <v>0.12613928626541648</v>
      </c>
      <c r="D8" s="300">
        <f>[62]f!C8</f>
        <v>1.7283082917389336E-2</v>
      </c>
      <c r="E8" s="299">
        <f>[62]f!D8</f>
        <v>5.3567889652206491E-2</v>
      </c>
      <c r="F8" s="300">
        <f>[62]f!E8</f>
        <v>4.2285244800018162E-2</v>
      </c>
      <c r="G8" s="299">
        <f>[62]f!F8</f>
        <v>4.7316284486187854E-2</v>
      </c>
      <c r="H8" s="300">
        <f>[62]f!G8</f>
        <v>9.6005011232071835E-2</v>
      </c>
      <c r="I8" s="299">
        <f>[62]f!H8</f>
        <v>9.6281939481734691E-2</v>
      </c>
      <c r="J8" s="300">
        <f>[62]f!I8</f>
        <v>5.3892238759117417E-2</v>
      </c>
    </row>
    <row r="9" spans="1:10" ht="20" customHeight="1" thickBot="1">
      <c r="A9" s="297" t="s">
        <v>542</v>
      </c>
      <c r="B9" s="128">
        <v>12.836830120731035</v>
      </c>
      <c r="C9" s="299">
        <f>[62]f!B9</f>
        <v>8.4661519404469976E-2</v>
      </c>
      <c r="D9" s="302">
        <f>[62]f!C9</f>
        <v>2.0165969347723856E-2</v>
      </c>
      <c r="E9" s="301">
        <f>[62]f!D9</f>
        <v>6.2596032446377459E-2</v>
      </c>
      <c r="F9" s="302">
        <f>[62]f!E9</f>
        <v>2.3618526561313802E-2</v>
      </c>
      <c r="G9" s="301">
        <f>[62]f!F9</f>
        <v>3.5123210416226236E-2</v>
      </c>
      <c r="H9" s="302">
        <f>[62]f!G9</f>
        <v>0.11179436418762267</v>
      </c>
      <c r="I9" s="301">
        <f>[62]f!H9</f>
        <v>0.10447347706410404</v>
      </c>
      <c r="J9" s="302">
        <f>[62]f!I9</f>
        <v>4.7641173270005721E-2</v>
      </c>
    </row>
    <row r="10" spans="1:10" ht="20" customHeight="1" thickBot="1">
      <c r="A10" s="297" t="s">
        <v>543</v>
      </c>
      <c r="B10" s="128">
        <v>6.6069268493776274</v>
      </c>
      <c r="C10" s="299">
        <f>[62]f!B10</f>
        <v>3.2186125538066657E-2</v>
      </c>
      <c r="D10" s="302">
        <f>[62]f!C10</f>
        <v>3.316686546781189E-2</v>
      </c>
      <c r="E10" s="301">
        <f>[62]f!D10</f>
        <v>4.6381324099404875E-3</v>
      </c>
      <c r="F10" s="302">
        <f>[62]f!E10</f>
        <v>6.0212529182981811E-2</v>
      </c>
      <c r="G10" s="301">
        <f>[62]f!F10</f>
        <v>6.5764257089995448E-2</v>
      </c>
      <c r="H10" s="302">
        <f>[62]f!G10</f>
        <v>0.10566388261851034</v>
      </c>
      <c r="I10" s="301">
        <f>[62]f!H10</f>
        <v>0.11031787690347117</v>
      </c>
      <c r="J10" s="302">
        <f>[62]f!I10</f>
        <v>4.2528430576988852E-2</v>
      </c>
    </row>
    <row r="11" spans="1:10" ht="20" customHeight="1" thickBot="1">
      <c r="A11" s="297" t="s">
        <v>544</v>
      </c>
      <c r="B11" s="128">
        <v>7.820755252009902</v>
      </c>
      <c r="C11" s="299">
        <f>[62]f!B11</f>
        <v>3.083307666763746E-2</v>
      </c>
      <c r="D11" s="302">
        <f>[62]f!C11</f>
        <v>-3.4670766688678079E-3</v>
      </c>
      <c r="E11" s="301">
        <f>[62]f!D11</f>
        <v>-1.1801295510360799E-4</v>
      </c>
      <c r="F11" s="302">
        <f>[62]f!E11</f>
        <v>2.7317397775067809E-2</v>
      </c>
      <c r="G11" s="301">
        <f>[62]f!F11</f>
        <v>4.369930142793943E-2</v>
      </c>
      <c r="H11" s="302">
        <f>[62]f!G11</f>
        <v>0.1050632638389648</v>
      </c>
      <c r="I11" s="301">
        <f>[62]f!H11</f>
        <v>0.11735147608257668</v>
      </c>
      <c r="J11" s="302">
        <f>[62]f!I11</f>
        <v>2.845461487647527E-2</v>
      </c>
    </row>
    <row r="12" spans="1:10" ht="20" customHeight="1" thickBot="1">
      <c r="A12" s="297" t="s">
        <v>545</v>
      </c>
      <c r="B12" s="128">
        <v>14.973400295568922</v>
      </c>
      <c r="C12" s="299">
        <f>[62]f!B12</f>
        <v>0.10224118520281511</v>
      </c>
      <c r="D12" s="302">
        <f>[62]f!C12</f>
        <v>-3.4502535590238415E-3</v>
      </c>
      <c r="E12" s="301">
        <f>[62]f!D12</f>
        <v>3.8528361346612527E-4</v>
      </c>
      <c r="F12" s="302">
        <f>[62]f!E12</f>
        <v>2.2815600618118381E-2</v>
      </c>
      <c r="G12" s="301">
        <f>[62]f!F12</f>
        <v>5.8456809060352777E-2</v>
      </c>
      <c r="H12" s="302">
        <f>[62]f!G12</f>
        <v>0.11904119253527545</v>
      </c>
      <c r="I12" s="301">
        <f>[62]f!H12</f>
        <v>0.11720340601419488</v>
      </c>
      <c r="J12" s="302">
        <f>[62]f!I12</f>
        <v>4.1720840854930774E-2</v>
      </c>
    </row>
    <row r="13" spans="1:10" ht="20" customHeight="1" thickBot="1">
      <c r="A13" s="297" t="s">
        <v>546</v>
      </c>
      <c r="B13" s="128">
        <v>9.3736923415335411</v>
      </c>
      <c r="C13" s="299">
        <f>[62]f!B13</f>
        <v>6.0469299368311802E-2</v>
      </c>
      <c r="D13" s="302">
        <f>[62]f!C13</f>
        <v>-2.4609929035263267E-2</v>
      </c>
      <c r="E13" s="301">
        <f>[62]f!D13</f>
        <v>7.8705022165241889E-3</v>
      </c>
      <c r="F13" s="302">
        <f>[62]f!E13</f>
        <v>3.1280714236347817E-2</v>
      </c>
      <c r="G13" s="301">
        <f>[62]f!F13</f>
        <v>4.8151080823984893E-2</v>
      </c>
      <c r="H13" s="302">
        <f>[62]f!G13</f>
        <v>7.5986150234741645E-2</v>
      </c>
      <c r="I13" s="301">
        <f>[62]f!H13</f>
        <v>7.4472571400272525E-2</v>
      </c>
      <c r="J13" s="302">
        <f>[62]f!I13</f>
        <v>2.7911011475888037E-2</v>
      </c>
    </row>
    <row r="14" spans="1:10" ht="20" customHeight="1" thickBot="1">
      <c r="A14" s="297" t="s">
        <v>547</v>
      </c>
      <c r="B14" s="128">
        <v>8.846570768398653</v>
      </c>
      <c r="C14" s="299">
        <f>[62]f!B14</f>
        <v>5.1072667046455855E-2</v>
      </c>
      <c r="D14" s="302">
        <f>[62]f!C14</f>
        <v>-2.4192148537220182E-2</v>
      </c>
      <c r="E14" s="301">
        <f>[62]f!D14</f>
        <v>-1.2452960740645169E-2</v>
      </c>
      <c r="F14" s="302">
        <f>[62]f!E14</f>
        <v>2.9177214725371048E-2</v>
      </c>
      <c r="G14" s="301">
        <f>[62]f!F14</f>
        <v>4.8664257112716491E-2</v>
      </c>
      <c r="H14" s="302">
        <f>[62]f!G14</f>
        <v>8.6302273850716871E-2</v>
      </c>
      <c r="I14" s="301">
        <f>[62]f!H14</f>
        <v>9.9315181474975089E-2</v>
      </c>
      <c r="J14" s="302">
        <f>[62]f!I14</f>
        <v>2.4853378144886085E-2</v>
      </c>
    </row>
    <row r="15" spans="1:10" ht="20" customHeight="1" thickBot="1">
      <c r="A15" s="297" t="s">
        <v>548</v>
      </c>
      <c r="B15" s="128">
        <v>11.446087130050357</v>
      </c>
      <c r="C15" s="299">
        <f>[62]f!B15</f>
        <v>0.10059931954872159</v>
      </c>
      <c r="D15" s="302">
        <f>[62]f!C15</f>
        <v>-1.8920832356148498E-3</v>
      </c>
      <c r="E15" s="301">
        <f>[62]f!D15</f>
        <v>4.2592583856871036E-2</v>
      </c>
      <c r="F15" s="302">
        <f>[62]f!E15</f>
        <v>2.2440662814367629E-2</v>
      </c>
      <c r="G15" s="301">
        <f>[62]f!F15</f>
        <v>7.289910608457939E-2</v>
      </c>
      <c r="H15" s="302">
        <f>[62]f!G15</f>
        <v>0.1209049671127238</v>
      </c>
      <c r="I15" s="301">
        <f>[62]f!H15</f>
        <v>0.1377742524893415</v>
      </c>
      <c r="J15" s="302">
        <f>[62]f!I15</f>
        <v>5.0125061483003996E-2</v>
      </c>
    </row>
    <row r="16" spans="1:10" ht="20" customHeight="1" thickBot="1">
      <c r="A16" s="297" t="s">
        <v>549</v>
      </c>
      <c r="B16" s="128">
        <v>12.542560922614735</v>
      </c>
      <c r="C16" s="299">
        <f>[62]f!B16</f>
        <v>8.0245446324829217E-2</v>
      </c>
      <c r="D16" s="302">
        <f>[62]f!C16</f>
        <v>-4.01559994832561E-2</v>
      </c>
      <c r="E16" s="301">
        <f>[62]f!D16</f>
        <v>6.1958434998199419E-3</v>
      </c>
      <c r="F16" s="302">
        <f>[62]f!E16</f>
        <v>3.680856497843199E-2</v>
      </c>
      <c r="G16" s="301">
        <f>[62]f!F16</f>
        <v>5.4489427947484126E-2</v>
      </c>
      <c r="H16" s="302">
        <f>[62]f!G16</f>
        <v>0.1103929719797887</v>
      </c>
      <c r="I16" s="301">
        <f>[62]f!H16</f>
        <v>0.13039162495907131</v>
      </c>
      <c r="J16" s="302">
        <f>[62]f!I16</f>
        <v>3.4333157216710486E-2</v>
      </c>
    </row>
    <row r="17" spans="1:10" ht="20" customHeight="1" thickBot="1">
      <c r="A17" s="297" t="s">
        <v>550</v>
      </c>
      <c r="B17" s="128">
        <v>8.8373538196876229</v>
      </c>
      <c r="C17" s="299">
        <f>[62]f!B17</f>
        <v>6.716363944691861E-2</v>
      </c>
      <c r="D17" s="302">
        <f>[62]f!C17</f>
        <v>-6.3798541050443802E-3</v>
      </c>
      <c r="E17" s="301">
        <f>[62]f!D17</f>
        <v>5.3788102637408741E-4</v>
      </c>
      <c r="F17" s="302">
        <f>[62]f!E17</f>
        <v>4.4517439262414138E-2</v>
      </c>
      <c r="G17" s="301">
        <f>[62]f!F17</f>
        <v>3.8205847556253447E-2</v>
      </c>
      <c r="H17" s="302">
        <f>[62]f!G17</f>
        <v>7.8475755446240303E-2</v>
      </c>
      <c r="I17" s="301">
        <f>[62]f!H17</f>
        <v>6.3482824657532522E-2</v>
      </c>
      <c r="J17" s="302">
        <f>[62]f!I17</f>
        <v>3.1299786957875719E-2</v>
      </c>
    </row>
    <row r="18" spans="1:10" ht="20" customHeight="1" thickBot="1">
      <c r="A18" s="297" t="s">
        <v>551</v>
      </c>
      <c r="B18" s="128">
        <v>27.585057067168677</v>
      </c>
      <c r="C18" s="299">
        <f>[62]f!B18</f>
        <v>0.13621630771097482</v>
      </c>
      <c r="D18" s="302">
        <f>[62]f!C18</f>
        <v>3.2962298122038103E-2</v>
      </c>
      <c r="E18" s="301">
        <f>[62]f!D18</f>
        <v>3.2066786424240767E-2</v>
      </c>
      <c r="F18" s="302">
        <f>[62]f!E18</f>
        <v>4.5122896354125031E-2</v>
      </c>
      <c r="G18" s="301">
        <f>[62]f!F18</f>
        <v>3.8499185497250732E-2</v>
      </c>
      <c r="H18" s="302">
        <f>[62]f!G18</f>
        <v>6.3167911162167467E-2</v>
      </c>
      <c r="I18" s="301">
        <f>[62]f!H18</f>
        <v>0.10626613788838535</v>
      </c>
      <c r="J18" s="302">
        <f>[62]f!I18</f>
        <v>4.9000088382089801E-2</v>
      </c>
    </row>
    <row r="19" spans="1:10" ht="20" customHeight="1" thickBot="1">
      <c r="A19" s="297" t="s">
        <v>552</v>
      </c>
      <c r="B19" s="128">
        <v>18.780035833461632</v>
      </c>
      <c r="C19" s="299">
        <f>[62]f!B19</f>
        <v>0.15152715969927022</v>
      </c>
      <c r="D19" s="302">
        <f>[62]f!C19</f>
        <v>6.3784939377496075E-2</v>
      </c>
      <c r="E19" s="301">
        <f>[62]f!D19</f>
        <v>8.814225210306792E-2</v>
      </c>
      <c r="F19" s="302">
        <f>[62]f!E19</f>
        <v>4.8534452581654453E-2</v>
      </c>
      <c r="G19" s="301">
        <f>[62]f!F19</f>
        <v>5.461595280726339E-2</v>
      </c>
      <c r="H19" s="302">
        <f>[62]f!G19</f>
        <v>9.1749339672477559E-2</v>
      </c>
      <c r="I19" s="301">
        <f>[62]f!H19</f>
        <v>9.1308457544135413E-2</v>
      </c>
      <c r="J19" s="302">
        <f>[62]f!I19</f>
        <v>7.0326404723100922E-2</v>
      </c>
    </row>
    <row r="20" spans="1:10" ht="20" customHeight="1" thickBot="1">
      <c r="A20" s="297" t="s">
        <v>553</v>
      </c>
      <c r="B20" s="128">
        <v>20.178584325587163</v>
      </c>
      <c r="C20" s="299">
        <f>[62]f!B20</f>
        <v>0.138313161853306</v>
      </c>
      <c r="D20" s="302">
        <f>[62]f!C20</f>
        <v>3.4240738085979494E-2</v>
      </c>
      <c r="E20" s="301">
        <f>[62]f!D20</f>
        <v>2.179035127816098E-2</v>
      </c>
      <c r="F20" s="302">
        <f>[62]f!E20</f>
        <v>4.032286465580337E-2</v>
      </c>
      <c r="G20" s="301">
        <f>[62]f!F20</f>
        <v>4.4793124043180477E-2</v>
      </c>
      <c r="H20" s="302">
        <f>[62]f!G20</f>
        <v>0.10369291882556131</v>
      </c>
      <c r="I20" s="301">
        <f>[62]f!H20</f>
        <v>0.1092020789993462</v>
      </c>
      <c r="J20" s="302">
        <f>[62]f!I20</f>
        <v>5.3794641389838249E-2</v>
      </c>
    </row>
    <row r="21" spans="1:10" ht="20" customHeight="1" thickBot="1">
      <c r="A21" s="297" t="s">
        <v>554</v>
      </c>
      <c r="B21" s="128">
        <v>19.60074449994876</v>
      </c>
      <c r="C21" s="299">
        <f>[62]f!B21</f>
        <v>0.16213627024850141</v>
      </c>
      <c r="D21" s="302">
        <f>[62]f!C21</f>
        <v>8.7858815556003389E-3</v>
      </c>
      <c r="E21" s="301">
        <f>[62]f!D21</f>
        <v>6.8426358801706444E-2</v>
      </c>
      <c r="F21" s="302">
        <f>[62]f!E21</f>
        <v>4.2218072987187938E-2</v>
      </c>
      <c r="G21" s="301">
        <f>[62]f!F21</f>
        <v>4.3380376883878524E-2</v>
      </c>
      <c r="H21" s="302">
        <f>[62]f!G21</f>
        <v>0.15353735127755019</v>
      </c>
      <c r="I21" s="301">
        <f>[62]f!H21</f>
        <v>9.5365448431956601E-2</v>
      </c>
      <c r="J21" s="302">
        <f>[62]f!I21</f>
        <v>6.6678072024789037E-2</v>
      </c>
    </row>
    <row r="22" spans="1:10" ht="20" customHeight="1" thickBot="1">
      <c r="A22" s="297" t="s">
        <v>555</v>
      </c>
      <c r="B22" s="128">
        <v>14.372369124565839</v>
      </c>
      <c r="C22" s="299">
        <f>[62]f!B22</f>
        <v>0.11530248290676592</v>
      </c>
      <c r="D22" s="302">
        <f>[62]f!C22</f>
        <v>-1.8493216889254538E-2</v>
      </c>
      <c r="E22" s="301">
        <f>[62]f!D22</f>
        <v>-3.817419724564397E-4</v>
      </c>
      <c r="F22" s="302">
        <f>[62]f!E22</f>
        <v>2.12300041910638E-2</v>
      </c>
      <c r="G22" s="301">
        <f>[62]f!F22</f>
        <v>6.6258000043982967E-2</v>
      </c>
      <c r="H22" s="302">
        <f>[62]f!G22</f>
        <v>0.11118348848603632</v>
      </c>
      <c r="I22" s="301">
        <f>[62]f!H22</f>
        <v>0.11140467356621708</v>
      </c>
      <c r="J22" s="302">
        <f>[62]f!I22</f>
        <v>4.0909841382202217E-2</v>
      </c>
    </row>
    <row r="23" spans="1:10" ht="20" customHeight="1" thickBot="1">
      <c r="A23" s="297" t="s">
        <v>556</v>
      </c>
      <c r="B23" s="128">
        <v>9.7170391822978619</v>
      </c>
      <c r="C23" s="299">
        <f>[62]f!B23</f>
        <v>6.6714528046374566E-2</v>
      </c>
      <c r="D23" s="302">
        <f>[62]f!C23</f>
        <v>-4.7070167962549814E-2</v>
      </c>
      <c r="E23" s="301">
        <f>[62]f!D23</f>
        <v>-6.8124898139803047E-3</v>
      </c>
      <c r="F23" s="302">
        <f>[62]f!E23</f>
        <v>1.2389676573199004E-2</v>
      </c>
      <c r="G23" s="301">
        <f>[62]f!F23</f>
        <v>8.3151105604106323E-2</v>
      </c>
      <c r="H23" s="302">
        <f>[62]f!G23</f>
        <v>8.6975942261427575E-2</v>
      </c>
      <c r="I23" s="301">
        <f>[62]f!H23</f>
        <v>0.10099161981291949</v>
      </c>
      <c r="J23" s="302">
        <f>[62]f!I23</f>
        <v>2.6798665806563315E-2</v>
      </c>
    </row>
    <row r="24" spans="1:10" ht="20" customHeight="1" thickBot="1">
      <c r="A24" s="297" t="s">
        <v>557</v>
      </c>
      <c r="B24" s="128">
        <v>14.982537020422754</v>
      </c>
      <c r="C24" s="299">
        <f>[62]f!B24</f>
        <v>0.11141672230009814</v>
      </c>
      <c r="D24" s="302">
        <f>[62]f!C24</f>
        <v>1.7338083036648744E-3</v>
      </c>
      <c r="E24" s="301">
        <f>[62]f!D24</f>
        <v>1.6772858426073123E-2</v>
      </c>
      <c r="F24" s="302">
        <f>[62]f!E24</f>
        <v>3.2467068406517363E-2</v>
      </c>
      <c r="G24" s="301">
        <f>[62]f!F24</f>
        <v>6.0280026344810889E-2</v>
      </c>
      <c r="H24" s="302">
        <f>[62]f!G24</f>
        <v>0.10211878760864734</v>
      </c>
      <c r="I24" s="301">
        <f>[62]f!H24</f>
        <v>8.8047072650345948E-2</v>
      </c>
      <c r="J24" s="302">
        <f>[62]f!I24</f>
        <v>4.5537877679123984E-2</v>
      </c>
    </row>
    <row r="25" spans="1:10" ht="20" customHeight="1" thickBot="1">
      <c r="A25" s="297" t="s">
        <v>558</v>
      </c>
      <c r="B25" s="128">
        <v>20.239827486851979</v>
      </c>
      <c r="C25" s="299">
        <f>[62]f!B25</f>
        <v>0.1752339201546198</v>
      </c>
      <c r="D25" s="302">
        <f>[62]f!C25</f>
        <v>-5.2904920086517371E-2</v>
      </c>
      <c r="E25" s="301">
        <f>[62]f!D25</f>
        <v>6.6067375410814311E-3</v>
      </c>
      <c r="F25" s="302">
        <f>[62]f!E25</f>
        <v>5.2314213213464855E-2</v>
      </c>
      <c r="G25" s="301">
        <f>[62]f!F25</f>
        <v>7.597413206719339E-2</v>
      </c>
      <c r="H25" s="302">
        <f>[62]f!G25</f>
        <v>0.1485791442599953</v>
      </c>
      <c r="I25" s="301">
        <f>[62]f!H25</f>
        <v>0.13132285917907338</v>
      </c>
      <c r="J25" s="302">
        <f>[62]f!I25</f>
        <v>5.5249444018766303E-2</v>
      </c>
    </row>
    <row r="26" spans="1:10" ht="20" customHeight="1" thickBot="1">
      <c r="A26" s="297" t="s">
        <v>559</v>
      </c>
      <c r="B26" s="128">
        <v>39.932145771844702</v>
      </c>
      <c r="C26" s="299">
        <f>[62]f!B26</f>
        <v>0.12738686957185741</v>
      </c>
      <c r="D26" s="302">
        <f>[62]f!C26</f>
        <v>2.1695729537204E-2</v>
      </c>
      <c r="E26" s="301">
        <f>[62]f!D26</f>
        <v>5.455744603067969E-2</v>
      </c>
      <c r="F26" s="302">
        <f>[62]f!E26</f>
        <v>5.5486576672084675E-2</v>
      </c>
      <c r="G26" s="301">
        <f>[62]f!F26</f>
        <v>8.0707287477506329E-2</v>
      </c>
      <c r="H26" s="302">
        <f>[62]f!G26</f>
        <v>0.11291598860862484</v>
      </c>
      <c r="I26" s="301">
        <f>[62]f!H26</f>
        <v>0.10050529190226087</v>
      </c>
      <c r="J26" s="302">
        <f>[62]f!I26</f>
        <v>6.3823818874460203E-2</v>
      </c>
    </row>
    <row r="27" spans="1:10" ht="20" customHeight="1" thickBot="1">
      <c r="A27" s="297" t="s">
        <v>560</v>
      </c>
      <c r="B27" s="128">
        <v>21.265011996428591</v>
      </c>
      <c r="C27" s="299">
        <f>[62]f!B27</f>
        <v>0.1676621855725855</v>
      </c>
      <c r="D27" s="302">
        <f>[62]f!C27</f>
        <v>1.1034176563049725E-2</v>
      </c>
      <c r="E27" s="301">
        <f>[62]f!D27</f>
        <v>5.7278567625996812E-2</v>
      </c>
      <c r="F27" s="302">
        <f>[62]f!E27</f>
        <v>3.6154533575816883E-2</v>
      </c>
      <c r="G27" s="301">
        <f>[62]f!F27</f>
        <v>9.5401796502837533E-2</v>
      </c>
      <c r="H27" s="302">
        <f>[62]f!G27</f>
        <v>0.13567640755893229</v>
      </c>
      <c r="I27" s="301">
        <f>[62]f!H27</f>
        <v>0.11145177733592004</v>
      </c>
      <c r="J27" s="302">
        <f>[62]f!I27</f>
        <v>7.0295207472554022E-2</v>
      </c>
    </row>
    <row r="28" spans="1:10" ht="20" customHeight="1" thickBot="1">
      <c r="A28" s="297" t="s">
        <v>561</v>
      </c>
      <c r="B28" s="128">
        <v>13.54847017723973</v>
      </c>
      <c r="C28" s="299">
        <f>[62]f!B28</f>
        <v>9.6996879816964254E-2</v>
      </c>
      <c r="D28" s="302">
        <f>[62]f!C28</f>
        <v>-5.0173861220899618E-2</v>
      </c>
      <c r="E28" s="301">
        <f>[62]f!D28</f>
        <v>9.1303680061645132E-3</v>
      </c>
      <c r="F28" s="302">
        <f>[62]f!E28</f>
        <v>1.3729789078972265E-2</v>
      </c>
      <c r="G28" s="301">
        <f>[62]f!F28</f>
        <v>2.9811515021332502E-2</v>
      </c>
      <c r="H28" s="302">
        <f>[62]f!G28</f>
        <v>8.7795178983833599E-2</v>
      </c>
      <c r="I28" s="301">
        <f>[62]f!H28</f>
        <v>8.0625430834586842E-2</v>
      </c>
      <c r="J28" s="302">
        <f>[62]f!I28</f>
        <v>2.5659978531125116E-2</v>
      </c>
    </row>
    <row r="29" spans="1:10" ht="20" customHeight="1" thickBot="1">
      <c r="A29" s="297" t="s">
        <v>562</v>
      </c>
      <c r="B29" s="128">
        <v>5.6528857976264577</v>
      </c>
      <c r="C29" s="299">
        <f>[62]f!B29</f>
        <v>4.2577198700370467E-2</v>
      </c>
      <c r="D29" s="302">
        <f>[62]f!C29</f>
        <v>-3.1674891039939701E-2</v>
      </c>
      <c r="E29" s="301">
        <f>[62]f!D29</f>
        <v>6.6521633049316797E-3</v>
      </c>
      <c r="F29" s="302">
        <f>[62]f!E29</f>
        <v>1.3936727713255159E-2</v>
      </c>
      <c r="G29" s="301">
        <f>[62]f!F29</f>
        <v>1.9181260224441221E-2</v>
      </c>
      <c r="H29" s="302">
        <f>[62]f!G29</f>
        <v>6.1886535364796158E-2</v>
      </c>
      <c r="I29" s="301">
        <f>[62]f!H29</f>
        <v>7.0898827778237861E-2</v>
      </c>
      <c r="J29" s="302">
        <f>[62]f!I29</f>
        <v>1.5697019260500822E-2</v>
      </c>
    </row>
    <row r="30" spans="1:10" ht="20" customHeight="1" thickBot="1">
      <c r="A30" s="297" t="s">
        <v>563</v>
      </c>
      <c r="B30" s="128">
        <v>3.7035638425072577</v>
      </c>
      <c r="C30" s="299">
        <f>[62]f!B30</f>
        <v>5.0049093300743586E-3</v>
      </c>
      <c r="D30" s="302">
        <f>[62]f!C30</f>
        <v>-6.1647206055557069E-2</v>
      </c>
      <c r="E30" s="301">
        <f>[62]f!D30</f>
        <v>-1.1378291113068872E-3</v>
      </c>
      <c r="F30" s="302">
        <f>[62]f!E30</f>
        <v>4.2504041588571351E-3</v>
      </c>
      <c r="G30" s="301">
        <f>[62]f!F30</f>
        <v>2.4654715220043366E-2</v>
      </c>
      <c r="H30" s="302">
        <f>[62]f!G30</f>
        <v>6.9873172740374745E-2</v>
      </c>
      <c r="I30" s="301">
        <f>[62]f!H30</f>
        <v>8.5281198004608427E-2</v>
      </c>
      <c r="J30" s="302">
        <f>[62]f!I30</f>
        <v>5.2080668436500499E-3</v>
      </c>
    </row>
    <row r="31" spans="1:10" ht="20" customHeight="1" thickBot="1">
      <c r="A31" s="297" t="s">
        <v>564</v>
      </c>
      <c r="B31" s="128">
        <v>15.046312872791335</v>
      </c>
      <c r="C31" s="299">
        <f>[62]f!B31</f>
        <v>0.12216343354785519</v>
      </c>
      <c r="D31" s="302">
        <f>[62]f!C31</f>
        <v>3.5279473702240383E-2</v>
      </c>
      <c r="E31" s="301">
        <f>[62]f!D31</f>
        <v>4.4176602427136835E-2</v>
      </c>
      <c r="F31" s="302">
        <f>[62]f!E31</f>
        <v>3.0015640020961243E-2</v>
      </c>
      <c r="G31" s="301">
        <f>[62]f!F31</f>
        <v>7.4347165943386972E-3</v>
      </c>
      <c r="H31" s="302">
        <f>[62]f!G31</f>
        <v>9.7827068764568814E-2</v>
      </c>
      <c r="I31" s="301">
        <f>[62]f!H31</f>
        <v>8.3628857333005069E-2</v>
      </c>
      <c r="J31" s="302">
        <f>[62]f!I31</f>
        <v>4.729470013493442E-2</v>
      </c>
    </row>
    <row r="32" spans="1:10" ht="20" customHeight="1" thickBot="1">
      <c r="A32" s="297" t="s">
        <v>565</v>
      </c>
      <c r="B32" s="128">
        <v>12.485817879128669</v>
      </c>
      <c r="C32" s="299">
        <f>[62]f!B32</f>
        <v>7.124157591061886E-2</v>
      </c>
      <c r="D32" s="302">
        <f>[62]f!C32</f>
        <v>-3.7020633600539643E-3</v>
      </c>
      <c r="E32" s="301">
        <f>[62]f!D32</f>
        <v>-5.0194045573236368E-3</v>
      </c>
      <c r="F32" s="302">
        <f>[62]f!E32</f>
        <v>5.0791100376236908E-2</v>
      </c>
      <c r="G32" s="301">
        <f>[62]f!F32</f>
        <v>3.607996960216231E-2</v>
      </c>
      <c r="H32" s="302">
        <f>[62]f!G32</f>
        <v>6.8425702358118068E-2</v>
      </c>
      <c r="I32" s="301">
        <f>[62]f!H32</f>
        <v>6.2611298620396161E-2</v>
      </c>
      <c r="J32" s="302">
        <f>[62]f!I32</f>
        <v>3.0638744151187725E-2</v>
      </c>
    </row>
    <row r="33" spans="1:12" ht="20" customHeight="1" thickBot="1">
      <c r="A33" s="297" t="s">
        <v>566</v>
      </c>
      <c r="B33" s="128">
        <v>9.0627478151873397</v>
      </c>
      <c r="C33" s="299">
        <f>[62]f!B33</f>
        <v>7.7840050190767895E-2</v>
      </c>
      <c r="D33" s="302">
        <f>[62]f!C33</f>
        <v>6.4923365814118172E-2</v>
      </c>
      <c r="E33" s="301">
        <f>[62]f!D33</f>
        <v>-2.2560190173200878E-3</v>
      </c>
      <c r="F33" s="302">
        <f>[62]f!E33</f>
        <v>4.6643260502769568E-2</v>
      </c>
      <c r="G33" s="301">
        <f>[62]f!F33</f>
        <v>8.4426183150968281E-2</v>
      </c>
      <c r="H33" s="302">
        <f>[62]f!G33</f>
        <v>8.0979527794381445E-2</v>
      </c>
      <c r="I33" s="301">
        <f>[62]f!H33</f>
        <v>5.8529440835287661E-2</v>
      </c>
      <c r="J33" s="302">
        <f>[62]f!I33</f>
        <v>4.9786862650890384E-2</v>
      </c>
      <c r="K33" s="27"/>
      <c r="L33" s="27"/>
    </row>
    <row r="34" spans="1:12" ht="30" customHeight="1" thickBot="1">
      <c r="A34" s="78" t="s">
        <v>808</v>
      </c>
      <c r="B34" s="316">
        <v>13.174684544924284</v>
      </c>
      <c r="C34" s="303">
        <f>[62]f!B34</f>
        <v>8.6558371467537087E-2</v>
      </c>
      <c r="D34" s="304">
        <f>[62]f!C34</f>
        <v>-1.0572539845860041E-3</v>
      </c>
      <c r="E34" s="303">
        <f>[62]f!D34</f>
        <v>2.9894240130652117E-2</v>
      </c>
      <c r="F34" s="304">
        <f>[62]f!E34</f>
        <v>3.4211541752752428E-2</v>
      </c>
      <c r="G34" s="303">
        <f>[62]f!F34</f>
        <v>4.4891246139302288E-2</v>
      </c>
      <c r="H34" s="304">
        <f>[62]f!G34</f>
        <v>9.502150910667817E-2</v>
      </c>
      <c r="I34" s="318">
        <f>[62]f!H34</f>
        <v>9.2867046772754813E-2</v>
      </c>
      <c r="J34" s="319">
        <f>[62]f!I34</f>
        <v>4.0772072245963686E-2</v>
      </c>
    </row>
    <row r="35" spans="1:12" ht="20" customHeight="1">
      <c r="A35" s="28" t="s">
        <v>932</v>
      </c>
      <c r="B35" s="29"/>
      <c r="C35" s="320"/>
      <c r="D35" s="320"/>
      <c r="E35" s="320"/>
      <c r="F35" s="320"/>
      <c r="G35" s="320"/>
      <c r="H35" s="321"/>
    </row>
    <row r="36" spans="1:12" ht="12.75" customHeight="1">
      <c r="A36" s="7" t="s">
        <v>955</v>
      </c>
      <c r="B36" s="31"/>
      <c r="C36" s="322"/>
      <c r="D36" s="322"/>
      <c r="E36" s="322"/>
      <c r="F36" s="322"/>
      <c r="G36" s="322"/>
      <c r="H36" s="323"/>
    </row>
    <row r="37" spans="1:12">
      <c r="A37" s="7" t="s">
        <v>956</v>
      </c>
    </row>
    <row r="38" spans="1:12">
      <c r="A38" s="314" t="s">
        <v>1061</v>
      </c>
    </row>
  </sheetData>
  <phoneticPr fontId="0" type="noConversion"/>
  <pageMargins left="0.45" right="0.33" top="1.28" bottom="0.49" header="0.93" footer="0.4921259845"/>
  <pageSetup paperSize="9" scale="80" orientation="portrait" horizontalDpi="4294967292" verticalDpi="4294967292"/>
  <headerFooter alignWithMargins="0">
    <oddHeader>&amp;L&amp;"Arial,Bold"&amp;14Prämientarife in der OKP</oddHeader>
    <oddFooter>&amp;L&amp;"Arial,Regular"Statistik über die Krankenversicherung, Bundesamt für Sozialversicherung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2BC4-EB45-904A-AA9E-9AF66F9C2A5D}">
  <dimension ref="A1:F39"/>
  <sheetViews>
    <sheetView topLeftCell="A17" zoomScale="75" workbookViewId="0">
      <selection activeCell="A4" sqref="A4"/>
    </sheetView>
  </sheetViews>
  <sheetFormatPr baseColWidth="10" defaultColWidth="11.3984375" defaultRowHeight="13"/>
  <cols>
    <col min="1" max="1" width="13.19921875" style="7" customWidth="1"/>
    <col min="2" max="2" width="15.19921875" style="7" customWidth="1"/>
    <col min="3" max="3" width="14.19921875" style="7" customWidth="1"/>
    <col min="4" max="4" width="15.59765625" style="7" customWidth="1"/>
    <col min="5" max="5" width="15.19921875" style="7" customWidth="1"/>
    <col min="6" max="6" width="14.19921875" style="7" customWidth="1"/>
    <col min="7" max="16384" width="11.3984375" style="7"/>
  </cols>
  <sheetData>
    <row r="1" spans="1:6" s="1" customFormat="1" ht="14" customHeight="1">
      <c r="A1" s="163"/>
      <c r="B1" s="163"/>
      <c r="C1" s="163"/>
      <c r="D1" s="163"/>
      <c r="E1" s="163"/>
      <c r="F1" s="163"/>
    </row>
    <row r="2" spans="1:6" s="1" customFormat="1" ht="15.75" customHeight="1">
      <c r="A2" s="164" t="s">
        <v>1066</v>
      </c>
      <c r="B2" s="163"/>
      <c r="C2" s="163"/>
      <c r="D2" s="163"/>
      <c r="E2" s="163"/>
      <c r="F2" s="163"/>
    </row>
    <row r="3" spans="1:6" s="1" customFormat="1" ht="28" customHeight="1">
      <c r="A3" s="164" t="str">
        <f>"für Erwachsene (26 Jahre und mehr) in Franken für "&amp;'[63]data an-1'!$B$2+2</f>
        <v>für Erwachsene (26 Jahre und mehr) in Franken für 2003</v>
      </c>
      <c r="B3" s="163"/>
      <c r="C3" s="163"/>
      <c r="D3" s="163"/>
      <c r="E3" s="163"/>
      <c r="F3" s="163"/>
    </row>
    <row r="4" spans="1:6" ht="24" customHeight="1">
      <c r="A4" s="41" t="s">
        <v>537</v>
      </c>
      <c r="B4" s="324">
        <v>0.05</v>
      </c>
      <c r="C4" s="325">
        <v>0.25</v>
      </c>
      <c r="D4" s="324">
        <v>0.5</v>
      </c>
      <c r="E4" s="325">
        <v>0.25</v>
      </c>
      <c r="F4" s="324">
        <v>0.05</v>
      </c>
    </row>
    <row r="5" spans="1:6" ht="73.5" customHeight="1">
      <c r="A5" s="43"/>
      <c r="B5" s="326" t="s">
        <v>1067</v>
      </c>
      <c r="C5" s="327" t="s">
        <v>1067</v>
      </c>
      <c r="D5" s="326" t="s">
        <v>1068</v>
      </c>
      <c r="E5" s="327" t="s">
        <v>1069</v>
      </c>
      <c r="F5" s="326" t="s">
        <v>1069</v>
      </c>
    </row>
    <row r="6" spans="1:6" ht="16" customHeight="1">
      <c r="A6" s="46"/>
      <c r="B6" s="16"/>
      <c r="C6" s="47"/>
      <c r="D6" s="16"/>
      <c r="E6" s="47"/>
      <c r="F6" s="189"/>
    </row>
    <row r="7" spans="1:6" ht="30" customHeight="1" thickBot="1">
      <c r="A7" s="296" t="str">
        <f>[64]f!A7</f>
        <v>ZH</v>
      </c>
      <c r="B7" s="20">
        <f>[64]f!B7</f>
        <v>230</v>
      </c>
      <c r="C7" s="50">
        <f>[64]f!C7</f>
        <v>253.7</v>
      </c>
      <c r="D7" s="20">
        <f>[64]f!D7</f>
        <v>262.2</v>
      </c>
      <c r="E7" s="50">
        <f>[64]f!E7</f>
        <v>287</v>
      </c>
      <c r="F7" s="20">
        <f>[64]f!F7</f>
        <v>345.7</v>
      </c>
    </row>
    <row r="8" spans="1:6" ht="20" customHeight="1" thickBot="1">
      <c r="A8" s="297" t="str">
        <f>[64]f!A8</f>
        <v>BE</v>
      </c>
      <c r="B8" s="26">
        <f>[64]f!B8</f>
        <v>227</v>
      </c>
      <c r="C8" s="54">
        <f>[64]f!C8</f>
        <v>244</v>
      </c>
      <c r="D8" s="26">
        <f>[64]f!D8</f>
        <v>248.1</v>
      </c>
      <c r="E8" s="54">
        <f>[64]f!E8</f>
        <v>272.7</v>
      </c>
      <c r="F8" s="26">
        <f>[64]f!F8</f>
        <v>331.3</v>
      </c>
    </row>
    <row r="9" spans="1:6" ht="20" customHeight="1" thickBot="1">
      <c r="A9" s="297" t="str">
        <f>[64]f!A9</f>
        <v>LU</v>
      </c>
      <c r="B9" s="26">
        <f>[64]f!B9</f>
        <v>191.6</v>
      </c>
      <c r="C9" s="54">
        <f>[64]f!C9</f>
        <v>201.7</v>
      </c>
      <c r="D9" s="26">
        <f>[64]f!D9</f>
        <v>206</v>
      </c>
      <c r="E9" s="54">
        <f>[64]f!E9</f>
        <v>227.9</v>
      </c>
      <c r="F9" s="26">
        <f>[64]f!F9</f>
        <v>237.2</v>
      </c>
    </row>
    <row r="10" spans="1:6" ht="20" customHeight="1" thickBot="1">
      <c r="A10" s="297" t="str">
        <f>[64]f!A10</f>
        <v>UR</v>
      </c>
      <c r="B10" s="26">
        <f>[64]f!B10</f>
        <v>172</v>
      </c>
      <c r="C10" s="54">
        <f>[64]f!C10</f>
        <v>197.6</v>
      </c>
      <c r="D10" s="26">
        <f>[64]f!D10</f>
        <v>199.7</v>
      </c>
      <c r="E10" s="54">
        <f>[64]f!E10</f>
        <v>205</v>
      </c>
      <c r="F10" s="26">
        <f>[64]f!F10</f>
        <v>205</v>
      </c>
    </row>
    <row r="11" spans="1:6" ht="20" customHeight="1" thickBot="1">
      <c r="A11" s="297" t="str">
        <f>[64]f!A11</f>
        <v>SZ</v>
      </c>
      <c r="B11" s="26">
        <f>[64]f!B11</f>
        <v>190</v>
      </c>
      <c r="C11" s="54">
        <f>[64]f!C11</f>
        <v>204.7</v>
      </c>
      <c r="D11" s="26">
        <f>[64]f!D11</f>
        <v>213</v>
      </c>
      <c r="E11" s="54">
        <f>[64]f!E11</f>
        <v>219.6</v>
      </c>
      <c r="F11" s="26">
        <f>[64]f!F11</f>
        <v>251.5</v>
      </c>
    </row>
    <row r="12" spans="1:6" ht="20" customHeight="1" thickBot="1">
      <c r="A12" s="297" t="str">
        <f>[64]f!A12</f>
        <v>OW</v>
      </c>
      <c r="B12" s="26">
        <f>[64]f!B12</f>
        <v>178</v>
      </c>
      <c r="C12" s="54">
        <f>[64]f!C12</f>
        <v>182</v>
      </c>
      <c r="D12" s="26">
        <f>[64]f!D12</f>
        <v>188.5</v>
      </c>
      <c r="E12" s="54">
        <f>[64]f!E12</f>
        <v>199</v>
      </c>
      <c r="F12" s="26">
        <f>[64]f!F12</f>
        <v>210.8</v>
      </c>
    </row>
    <row r="13" spans="1:6" ht="20" customHeight="1" thickBot="1">
      <c r="A13" s="297" t="str">
        <f>[64]f!A13</f>
        <v>NW</v>
      </c>
      <c r="B13" s="26">
        <f>[64]f!B13</f>
        <v>163.80000000000001</v>
      </c>
      <c r="C13" s="54">
        <f>[64]f!C13</f>
        <v>179.6</v>
      </c>
      <c r="D13" s="26">
        <f>[64]f!D13</f>
        <v>179.6</v>
      </c>
      <c r="E13" s="54">
        <f>[64]f!E13</f>
        <v>191</v>
      </c>
      <c r="F13" s="26">
        <f>[64]f!F13</f>
        <v>202.55</v>
      </c>
    </row>
    <row r="14" spans="1:6" ht="20" customHeight="1" thickBot="1">
      <c r="A14" s="297" t="str">
        <f>[64]f!A14</f>
        <v>GL</v>
      </c>
      <c r="B14" s="26">
        <f>[64]f!B14</f>
        <v>184</v>
      </c>
      <c r="C14" s="54">
        <f>[64]f!C14</f>
        <v>210.5</v>
      </c>
      <c r="D14" s="26">
        <f>[64]f!D14</f>
        <v>220.6</v>
      </c>
      <c r="E14" s="54">
        <f>[64]f!E14</f>
        <v>220.6</v>
      </c>
      <c r="F14" s="26">
        <f>[64]f!F14</f>
        <v>224</v>
      </c>
    </row>
    <row r="15" spans="1:6" ht="20" customHeight="1" thickBot="1">
      <c r="A15" s="297" t="str">
        <f>[64]f!A15</f>
        <v>ZG</v>
      </c>
      <c r="B15" s="26">
        <f>[64]f!B15</f>
        <v>188.9</v>
      </c>
      <c r="C15" s="54">
        <f>[64]f!C15</f>
        <v>209.4</v>
      </c>
      <c r="D15" s="26">
        <f>[64]f!D15</f>
        <v>211.6</v>
      </c>
      <c r="E15" s="54">
        <f>[64]f!E15</f>
        <v>216</v>
      </c>
      <c r="F15" s="26">
        <f>[64]f!F15</f>
        <v>216</v>
      </c>
    </row>
    <row r="16" spans="1:6" ht="20" customHeight="1" thickBot="1">
      <c r="A16" s="297" t="str">
        <f>[64]f!A16</f>
        <v>FR</v>
      </c>
      <c r="B16" s="26">
        <f>[64]f!B16</f>
        <v>217.8</v>
      </c>
      <c r="C16" s="54">
        <f>[64]f!C16</f>
        <v>235.8</v>
      </c>
      <c r="D16" s="26">
        <f>[64]f!D16</f>
        <v>254.25</v>
      </c>
      <c r="E16" s="54">
        <f>[64]f!E16</f>
        <v>266</v>
      </c>
      <c r="F16" s="26">
        <f>[64]f!F16</f>
        <v>299</v>
      </c>
    </row>
    <row r="17" spans="1:6" ht="20" customHeight="1" thickBot="1">
      <c r="A17" s="297" t="str">
        <f>[64]f!A17</f>
        <v>SO</v>
      </c>
      <c r="B17" s="26">
        <f>[64]f!B17</f>
        <v>221</v>
      </c>
      <c r="C17" s="54">
        <f>[64]f!C17</f>
        <v>229</v>
      </c>
      <c r="D17" s="26">
        <f>[64]f!D17</f>
        <v>237.5</v>
      </c>
      <c r="E17" s="54">
        <f>[64]f!E17</f>
        <v>248.6</v>
      </c>
      <c r="F17" s="26">
        <f>[64]f!F17</f>
        <v>270.89999999999998</v>
      </c>
    </row>
    <row r="18" spans="1:6" ht="20" customHeight="1" thickBot="1">
      <c r="A18" s="297" t="str">
        <f>[64]f!A18</f>
        <v>BS</v>
      </c>
      <c r="B18" s="26">
        <f>[64]f!B18</f>
        <v>299.8</v>
      </c>
      <c r="C18" s="54">
        <f>[64]f!C18</f>
        <v>354</v>
      </c>
      <c r="D18" s="26">
        <f>[64]f!D18</f>
        <v>354</v>
      </c>
      <c r="E18" s="54">
        <f>[64]f!E18</f>
        <v>360.1</v>
      </c>
      <c r="F18" s="26">
        <f>[64]f!F18</f>
        <v>404.5</v>
      </c>
    </row>
    <row r="19" spans="1:6" ht="20" customHeight="1" thickBot="1">
      <c r="A19" s="297" t="str">
        <f>[64]f!A19</f>
        <v>BL</v>
      </c>
      <c r="B19" s="26">
        <f>[64]f!B19</f>
        <v>246</v>
      </c>
      <c r="C19" s="54">
        <f>[64]f!C19</f>
        <v>257</v>
      </c>
      <c r="D19" s="26">
        <f>[64]f!D19</f>
        <v>274.10000000000002</v>
      </c>
      <c r="E19" s="54">
        <f>[64]f!E19</f>
        <v>286</v>
      </c>
      <c r="F19" s="26">
        <f>[64]f!F19</f>
        <v>303.7</v>
      </c>
    </row>
    <row r="20" spans="1:6" ht="20" customHeight="1" thickBot="1">
      <c r="A20" s="297" t="str">
        <f>[64]f!A20</f>
        <v>SH</v>
      </c>
      <c r="B20" s="26">
        <f>[64]f!B20</f>
        <v>217</v>
      </c>
      <c r="C20" s="54">
        <f>[64]f!C20</f>
        <v>244</v>
      </c>
      <c r="D20" s="26">
        <f>[64]f!D20</f>
        <v>253.8</v>
      </c>
      <c r="E20" s="54">
        <f>[64]f!E20</f>
        <v>276.7</v>
      </c>
      <c r="F20" s="26">
        <f>[64]f!F20</f>
        <v>303.89999999999998</v>
      </c>
    </row>
    <row r="21" spans="1:6" ht="20" customHeight="1" thickBot="1">
      <c r="A21" s="297" t="str">
        <f>[64]f!A21</f>
        <v>AR</v>
      </c>
      <c r="B21" s="26">
        <f>[64]f!B21</f>
        <v>168</v>
      </c>
      <c r="C21" s="54">
        <f>[64]f!C21</f>
        <v>195.4</v>
      </c>
      <c r="D21" s="26">
        <f>[64]f!D21</f>
        <v>199.7</v>
      </c>
      <c r="E21" s="54">
        <f>[64]f!E21</f>
        <v>199.7</v>
      </c>
      <c r="F21" s="26">
        <f>[64]f!F21</f>
        <v>211</v>
      </c>
    </row>
    <row r="22" spans="1:6" ht="20" customHeight="1" thickBot="1">
      <c r="A22" s="297" t="str">
        <f>[64]f!A22</f>
        <v>AI</v>
      </c>
      <c r="B22" s="26">
        <f>[64]f!B22</f>
        <v>163</v>
      </c>
      <c r="C22" s="54">
        <f>[64]f!C22</f>
        <v>171.4</v>
      </c>
      <c r="D22" s="26">
        <f>[64]f!D22</f>
        <v>173</v>
      </c>
      <c r="E22" s="54">
        <f>[64]f!E22</f>
        <v>176</v>
      </c>
      <c r="F22" s="26">
        <f>[64]f!F22</f>
        <v>185.6</v>
      </c>
    </row>
    <row r="23" spans="1:6" ht="20" customHeight="1" thickBot="1">
      <c r="A23" s="297" t="str">
        <f>[64]f!A23</f>
        <v>SG</v>
      </c>
      <c r="B23" s="26">
        <f>[64]f!B23</f>
        <v>186.8</v>
      </c>
      <c r="C23" s="54">
        <f>[64]f!C23</f>
        <v>198</v>
      </c>
      <c r="D23" s="26">
        <f>[64]f!D23</f>
        <v>204.65</v>
      </c>
      <c r="E23" s="54">
        <f>[64]f!E23</f>
        <v>224.5</v>
      </c>
      <c r="F23" s="26">
        <f>[64]f!F23</f>
        <v>251</v>
      </c>
    </row>
    <row r="24" spans="1:6" ht="20" customHeight="1" thickBot="1">
      <c r="A24" s="297" t="str">
        <f>[64]f!A24</f>
        <v>GR</v>
      </c>
      <c r="B24" s="26">
        <f>[64]f!B24</f>
        <v>191</v>
      </c>
      <c r="C24" s="54">
        <f>[64]f!C24</f>
        <v>214.3</v>
      </c>
      <c r="D24" s="26">
        <f>[64]f!D24</f>
        <v>214.3</v>
      </c>
      <c r="E24" s="54">
        <f>[64]f!E24</f>
        <v>221.8</v>
      </c>
      <c r="F24" s="26">
        <f>[64]f!F24</f>
        <v>228</v>
      </c>
    </row>
    <row r="25" spans="1:6" ht="20" customHeight="1" thickBot="1">
      <c r="A25" s="297" t="str">
        <f>[64]f!A25</f>
        <v>AG</v>
      </c>
      <c r="B25" s="26">
        <f>[64]f!B25</f>
        <v>217</v>
      </c>
      <c r="C25" s="54">
        <f>[64]f!C25</f>
        <v>229</v>
      </c>
      <c r="D25" s="26">
        <f>[64]f!D25</f>
        <v>231.6</v>
      </c>
      <c r="E25" s="54">
        <f>[64]f!E25</f>
        <v>243</v>
      </c>
      <c r="F25" s="26">
        <f>[64]f!F25</f>
        <v>243</v>
      </c>
    </row>
    <row r="26" spans="1:6" ht="20" customHeight="1" thickBot="1">
      <c r="A26" s="297" t="str">
        <f>[64]f!A26</f>
        <v>TG</v>
      </c>
      <c r="B26" s="26">
        <f>[64]f!B26</f>
        <v>224.4</v>
      </c>
      <c r="C26" s="54">
        <f>[64]f!C26</f>
        <v>241.5</v>
      </c>
      <c r="D26" s="26">
        <f>[64]f!D26</f>
        <v>259.10000000000002</v>
      </c>
      <c r="E26" s="54">
        <f>[64]f!E26</f>
        <v>261</v>
      </c>
      <c r="F26" s="26">
        <f>[64]f!F26</f>
        <v>261.8</v>
      </c>
    </row>
    <row r="27" spans="1:6" ht="20" customHeight="1" thickBot="1">
      <c r="A27" s="297" t="str">
        <f>[64]f!A27</f>
        <v>TI</v>
      </c>
      <c r="B27" s="26">
        <f>[64]f!B27</f>
        <v>276.8</v>
      </c>
      <c r="C27" s="54">
        <f>[64]f!C27</f>
        <v>295</v>
      </c>
      <c r="D27" s="26">
        <f>[64]f!D27</f>
        <v>309</v>
      </c>
      <c r="E27" s="54">
        <f>[64]f!E27</f>
        <v>315.7</v>
      </c>
      <c r="F27" s="26">
        <f>[64]f!F27</f>
        <v>329</v>
      </c>
    </row>
    <row r="28" spans="1:6" ht="20" customHeight="1" thickBot="1">
      <c r="A28" s="297" t="str">
        <f>[64]f!A28</f>
        <v>VD</v>
      </c>
      <c r="B28" s="26">
        <f>[64]f!B28</f>
        <v>297</v>
      </c>
      <c r="C28" s="54">
        <f>[64]f!C28</f>
        <v>317.39999999999998</v>
      </c>
      <c r="D28" s="26">
        <f>[64]f!D28</f>
        <v>334</v>
      </c>
      <c r="E28" s="54">
        <f>[64]f!E28</f>
        <v>356.8</v>
      </c>
      <c r="F28" s="26">
        <f>[64]f!F28</f>
        <v>419</v>
      </c>
    </row>
    <row r="29" spans="1:6" ht="20" customHeight="1" thickBot="1">
      <c r="A29" s="297" t="str">
        <f>[64]f!A29</f>
        <v>VS</v>
      </c>
      <c r="B29" s="26">
        <f>[64]f!B29</f>
        <v>165</v>
      </c>
      <c r="C29" s="54">
        <f>[64]f!C29</f>
        <v>198</v>
      </c>
      <c r="D29" s="26">
        <f>[64]f!D29</f>
        <v>219.9</v>
      </c>
      <c r="E29" s="54">
        <f>[64]f!E29</f>
        <v>225.8</v>
      </c>
      <c r="F29" s="26">
        <f>[64]f!F29</f>
        <v>242.5</v>
      </c>
    </row>
    <row r="30" spans="1:6" ht="20" customHeight="1" thickBot="1">
      <c r="A30" s="297" t="str">
        <f>[64]f!A30</f>
        <v>NE</v>
      </c>
      <c r="B30" s="26">
        <f>[64]f!B30</f>
        <v>280.8</v>
      </c>
      <c r="C30" s="54">
        <f>[64]f!C30</f>
        <v>295</v>
      </c>
      <c r="D30" s="26">
        <f>[64]f!D30</f>
        <v>311.8</v>
      </c>
      <c r="E30" s="54">
        <f>[64]f!E30</f>
        <v>340</v>
      </c>
      <c r="F30" s="26">
        <f>[64]f!F30</f>
        <v>374</v>
      </c>
    </row>
    <row r="31" spans="1:6" ht="20" customHeight="1" thickBot="1">
      <c r="A31" s="297" t="str">
        <f>[64]f!A31</f>
        <v>GE</v>
      </c>
      <c r="B31" s="26">
        <f>[64]f!B31</f>
        <v>346.8</v>
      </c>
      <c r="C31" s="54">
        <f>[64]f!C31</f>
        <v>349</v>
      </c>
      <c r="D31" s="26">
        <f>[64]f!D31</f>
        <v>375</v>
      </c>
      <c r="E31" s="54">
        <f>[64]f!E31</f>
        <v>421.1</v>
      </c>
      <c r="F31" s="26">
        <f>[64]f!F31</f>
        <v>442</v>
      </c>
    </row>
    <row r="32" spans="1:6" ht="20" customHeight="1" thickBot="1">
      <c r="A32" s="297" t="str">
        <f>[64]f!A32</f>
        <v>JU</v>
      </c>
      <c r="B32" s="26">
        <f>[64]f!B32</f>
        <v>266</v>
      </c>
      <c r="C32" s="54">
        <f>[64]f!C32</f>
        <v>276</v>
      </c>
      <c r="D32" s="26">
        <f>[64]f!D32</f>
        <v>309</v>
      </c>
      <c r="E32" s="54">
        <f>[64]f!E32</f>
        <v>310</v>
      </c>
      <c r="F32" s="26">
        <f>[64]f!F32</f>
        <v>335.55</v>
      </c>
    </row>
    <row r="33" spans="1:6" ht="30" customHeight="1" thickBot="1">
      <c r="A33" s="78" t="str">
        <f>[64]f!A33</f>
        <v>CH</v>
      </c>
      <c r="B33" s="39">
        <f>[64]f!B33</f>
        <v>198</v>
      </c>
      <c r="C33" s="57">
        <f>[64]f!C33</f>
        <v>227.9</v>
      </c>
      <c r="D33" s="39">
        <f>[64]f!D33</f>
        <v>253.9</v>
      </c>
      <c r="E33" s="57">
        <f>[64]f!E33</f>
        <v>307.2</v>
      </c>
      <c r="F33" s="39">
        <f>[64]f!F33</f>
        <v>375</v>
      </c>
    </row>
    <row r="34" spans="1:6" ht="20" customHeight="1">
      <c r="A34" s="28" t="str">
        <f>'[63]data an-1'!$D$2</f>
        <v>Datenstand: 23.9.2002</v>
      </c>
      <c r="B34" s="328"/>
      <c r="C34" s="328"/>
      <c r="D34" s="328"/>
      <c r="E34" s="328"/>
      <c r="F34" s="328"/>
    </row>
    <row r="35" spans="1:6" ht="12.75" customHeight="1">
      <c r="A35" s="7" t="s">
        <v>955</v>
      </c>
      <c r="B35" s="329"/>
      <c r="C35" s="329"/>
      <c r="D35" s="329"/>
      <c r="E35" s="329"/>
      <c r="F35" s="329"/>
    </row>
    <row r="36" spans="1:6">
      <c r="A36" s="7" t="s">
        <v>1070</v>
      </c>
      <c r="B36" s="218"/>
      <c r="C36" s="218"/>
      <c r="D36" s="218"/>
      <c r="E36" s="218"/>
      <c r="F36" s="218"/>
    </row>
    <row r="37" spans="1:6">
      <c r="B37" s="218"/>
      <c r="C37" s="218"/>
      <c r="D37" s="218"/>
      <c r="E37" s="218"/>
      <c r="F37" s="218"/>
    </row>
    <row r="38" spans="1:6">
      <c r="B38" s="218"/>
      <c r="C38" s="218"/>
      <c r="D38" s="218"/>
      <c r="E38" s="218"/>
      <c r="F38" s="218"/>
    </row>
    <row r="39" spans="1:6">
      <c r="B39" s="218"/>
      <c r="C39" s="218"/>
      <c r="D39" s="218"/>
      <c r="E39" s="218"/>
      <c r="F39" s="218"/>
    </row>
  </sheetData>
  <phoneticPr fontId="0" type="noConversion"/>
  <pageMargins left="0.78740157480314965" right="0.54" top="1.299212598425197" bottom="0.47244094488188981" header="0.94488188976377963" footer="0.51181102362204722"/>
  <pageSetup paperSize="9" scale="80" orientation="portrait" horizontalDpi="4294967292" verticalDpi="4294967292"/>
  <headerFooter alignWithMargins="0">
    <oddHeader>&amp;L&amp;"Arial,Bold"&amp;14Prämientarife in der OKP</oddHeader>
    <oddFooter>&amp;L&amp;"Arial,Regular"Statistik der Krankenversicherung, Bundesamt für Sozialversicherung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B1A2-7A84-224B-A1EF-8289832921FF}">
  <dimension ref="A1:G39"/>
  <sheetViews>
    <sheetView topLeftCell="A17" zoomScale="75" workbookViewId="0">
      <selection activeCell="A37" sqref="A37"/>
    </sheetView>
  </sheetViews>
  <sheetFormatPr baseColWidth="10" defaultColWidth="11.3984375" defaultRowHeight="13"/>
  <cols>
    <col min="1" max="1" width="11.19921875" style="7" customWidth="1"/>
    <col min="2" max="2" width="13.19921875" style="7" customWidth="1"/>
    <col min="3" max="3" width="15.19921875" style="7" customWidth="1"/>
    <col min="4" max="4" width="14.19921875" style="7" customWidth="1"/>
    <col min="5" max="5" width="15.59765625" style="7" customWidth="1"/>
    <col min="6" max="6" width="15.19921875" style="7" customWidth="1"/>
    <col min="7" max="7" width="14.19921875" style="7" customWidth="1"/>
    <col min="8" max="16384" width="11.3984375" style="7"/>
  </cols>
  <sheetData>
    <row r="1" spans="1:6" s="1" customFormat="1" ht="14" customHeight="1">
      <c r="A1" s="163"/>
      <c r="B1" s="163"/>
      <c r="C1" s="163"/>
      <c r="D1" s="163"/>
      <c r="E1" s="163"/>
      <c r="F1" s="163"/>
    </row>
    <row r="2" spans="1:6" s="1" customFormat="1" ht="15.75" customHeight="1">
      <c r="A2" s="164" t="s">
        <v>1071</v>
      </c>
      <c r="B2" s="163"/>
      <c r="C2" s="163"/>
      <c r="D2" s="163"/>
      <c r="E2" s="163"/>
      <c r="F2" s="163"/>
    </row>
    <row r="3" spans="1:6" s="1" customFormat="1" ht="28" customHeight="1">
      <c r="A3" s="164" t="str">
        <f>"für junge Erwachsene (19 - 25 Jahre) in Franken für "&amp;'[63]data an-1'!$B$2+2</f>
        <v>für junge Erwachsene (19 - 25 Jahre) in Franken für 2003</v>
      </c>
      <c r="B3" s="163"/>
      <c r="C3" s="163"/>
      <c r="D3" s="163"/>
      <c r="E3" s="163"/>
      <c r="F3" s="163"/>
    </row>
    <row r="4" spans="1:6" ht="24" customHeight="1">
      <c r="A4" s="41" t="s">
        <v>537</v>
      </c>
      <c r="B4" s="324">
        <v>0.05</v>
      </c>
      <c r="C4" s="325">
        <v>0.25</v>
      </c>
      <c r="D4" s="324">
        <v>0.5</v>
      </c>
      <c r="E4" s="325">
        <v>0.25</v>
      </c>
      <c r="F4" s="324">
        <v>0.05</v>
      </c>
    </row>
    <row r="5" spans="1:6" ht="73.5" customHeight="1">
      <c r="A5" s="43"/>
      <c r="B5" s="326" t="s">
        <v>1067</v>
      </c>
      <c r="C5" s="327" t="s">
        <v>1067</v>
      </c>
      <c r="D5" s="326" t="s">
        <v>1068</v>
      </c>
      <c r="E5" s="327" t="s">
        <v>1069</v>
      </c>
      <c r="F5" s="326" t="s">
        <v>1069</v>
      </c>
    </row>
    <row r="6" spans="1:6" ht="16" customHeight="1">
      <c r="A6" s="46"/>
      <c r="B6" s="16"/>
      <c r="C6" s="47"/>
      <c r="D6" s="16"/>
      <c r="E6" s="47"/>
      <c r="F6" s="189"/>
    </row>
    <row r="7" spans="1:6" ht="30" customHeight="1" thickBot="1">
      <c r="A7" s="296" t="str">
        <f>[65]f!A7</f>
        <v>ZH</v>
      </c>
      <c r="B7" s="20">
        <f>[65]f!B7</f>
        <v>167.5</v>
      </c>
      <c r="C7" s="50">
        <f>[65]f!C7</f>
        <v>180.55</v>
      </c>
      <c r="D7" s="20">
        <f>[65]f!D7</f>
        <v>196.7</v>
      </c>
      <c r="E7" s="50">
        <f>[65]f!E7</f>
        <v>212.2</v>
      </c>
      <c r="F7" s="20">
        <f>[65]f!F7</f>
        <v>252.8</v>
      </c>
    </row>
    <row r="8" spans="1:6" ht="20" customHeight="1" thickBot="1">
      <c r="A8" s="297" t="str">
        <f>[65]f!A8</f>
        <v>BE</v>
      </c>
      <c r="B8" s="26">
        <f>[65]f!B8</f>
        <v>160.6</v>
      </c>
      <c r="C8" s="54">
        <f>[65]f!C8</f>
        <v>173.7</v>
      </c>
      <c r="D8" s="26">
        <f>[65]f!D8</f>
        <v>186.05</v>
      </c>
      <c r="E8" s="54">
        <f>[65]f!E8</f>
        <v>194</v>
      </c>
      <c r="F8" s="26">
        <f>[65]f!F8</f>
        <v>231.9</v>
      </c>
    </row>
    <row r="9" spans="1:6" ht="20" customHeight="1" thickBot="1">
      <c r="A9" s="297" t="str">
        <f>[65]f!A9</f>
        <v>LU</v>
      </c>
      <c r="B9" s="26">
        <f>[65]f!B9</f>
        <v>138.5</v>
      </c>
      <c r="C9" s="54">
        <f>[65]f!C9</f>
        <v>141.69999999999999</v>
      </c>
      <c r="D9" s="26">
        <f>[65]f!D9</f>
        <v>154.5</v>
      </c>
      <c r="E9" s="54">
        <f>[65]f!E9</f>
        <v>163.5</v>
      </c>
      <c r="F9" s="26">
        <f>[65]f!F9</f>
        <v>175.1</v>
      </c>
    </row>
    <row r="10" spans="1:6" ht="20" customHeight="1" thickBot="1">
      <c r="A10" s="297" t="str">
        <f>[65]f!A10</f>
        <v>UR</v>
      </c>
      <c r="B10" s="26">
        <f>[65]f!B10</f>
        <v>129.1</v>
      </c>
      <c r="C10" s="54">
        <f>[65]f!C10</f>
        <v>138.9</v>
      </c>
      <c r="D10" s="26">
        <f>[65]f!D10</f>
        <v>150.80000000000001</v>
      </c>
      <c r="E10" s="54">
        <f>[65]f!E10</f>
        <v>153.80000000000001</v>
      </c>
      <c r="F10" s="26">
        <f>[65]f!F10</f>
        <v>153.80000000000001</v>
      </c>
    </row>
    <row r="11" spans="1:6" ht="20" customHeight="1" thickBot="1">
      <c r="A11" s="297" t="str">
        <f>[65]f!A11</f>
        <v>SZ</v>
      </c>
      <c r="B11" s="26">
        <f>[65]f!B11</f>
        <v>143.80000000000001</v>
      </c>
      <c r="C11" s="54">
        <f>[65]f!C11</f>
        <v>152.75</v>
      </c>
      <c r="D11" s="26">
        <f>[65]f!D11</f>
        <v>159.80000000000001</v>
      </c>
      <c r="E11" s="54">
        <f>[65]f!E11</f>
        <v>162</v>
      </c>
      <c r="F11" s="26">
        <f>[65]f!F11</f>
        <v>176</v>
      </c>
    </row>
    <row r="12" spans="1:6" ht="20" customHeight="1" thickBot="1">
      <c r="A12" s="297" t="str">
        <f>[65]f!A12</f>
        <v>OW</v>
      </c>
      <c r="B12" s="26">
        <f>[65]f!B12</f>
        <v>124.15</v>
      </c>
      <c r="C12" s="54">
        <f>[65]f!C12</f>
        <v>134.4</v>
      </c>
      <c r="D12" s="26">
        <f>[65]f!D12</f>
        <v>136.5</v>
      </c>
      <c r="E12" s="54">
        <f>[65]f!E12</f>
        <v>147.6</v>
      </c>
      <c r="F12" s="26">
        <f>[65]f!F12</f>
        <v>150</v>
      </c>
    </row>
    <row r="13" spans="1:6" ht="20" customHeight="1" thickBot="1">
      <c r="A13" s="297" t="str">
        <f>[65]f!A13</f>
        <v>NW</v>
      </c>
      <c r="B13" s="26">
        <f>[65]f!B13</f>
        <v>120</v>
      </c>
      <c r="C13" s="54">
        <f>[65]f!C13</f>
        <v>128</v>
      </c>
      <c r="D13" s="26">
        <f>[65]f!D13</f>
        <v>134.69999999999999</v>
      </c>
      <c r="E13" s="54">
        <f>[65]f!E13</f>
        <v>143.30000000000001</v>
      </c>
      <c r="F13" s="26">
        <f>[65]f!F13</f>
        <v>147.6</v>
      </c>
    </row>
    <row r="14" spans="1:6" ht="20" customHeight="1" thickBot="1">
      <c r="A14" s="297" t="str">
        <f>[65]f!A14</f>
        <v>GL</v>
      </c>
      <c r="B14" s="26">
        <f>[65]f!B14</f>
        <v>133.6</v>
      </c>
      <c r="C14" s="54">
        <f>[65]f!C14</f>
        <v>152.80000000000001</v>
      </c>
      <c r="D14" s="26">
        <f>[65]f!D14</f>
        <v>165.5</v>
      </c>
      <c r="E14" s="54">
        <f>[65]f!E14</f>
        <v>165.5</v>
      </c>
      <c r="F14" s="26">
        <f>[65]f!F14</f>
        <v>168</v>
      </c>
    </row>
    <row r="15" spans="1:6" ht="20" customHeight="1" thickBot="1">
      <c r="A15" s="297" t="str">
        <f>[65]f!A15</f>
        <v>ZG</v>
      </c>
      <c r="B15" s="26">
        <f>[65]f!B15</f>
        <v>138</v>
      </c>
      <c r="C15" s="54">
        <f>[65]f!C15</f>
        <v>148.69999999999999</v>
      </c>
      <c r="D15" s="26">
        <f>[65]f!D15</f>
        <v>157.1</v>
      </c>
      <c r="E15" s="54">
        <f>[65]f!E15</f>
        <v>162</v>
      </c>
      <c r="F15" s="26">
        <f>[65]f!F15</f>
        <v>170.9</v>
      </c>
    </row>
    <row r="16" spans="1:6" ht="20" customHeight="1" thickBot="1">
      <c r="A16" s="297" t="str">
        <f>[65]f!A16</f>
        <v>FR</v>
      </c>
      <c r="B16" s="26">
        <f>[65]f!B16</f>
        <v>161</v>
      </c>
      <c r="C16" s="54">
        <f>[65]f!C16</f>
        <v>176.3</v>
      </c>
      <c r="D16" s="26">
        <f>[65]f!D16</f>
        <v>199.5</v>
      </c>
      <c r="E16" s="54">
        <f>[65]f!E16</f>
        <v>207.3</v>
      </c>
      <c r="F16" s="26">
        <f>[65]f!F16</f>
        <v>236.2</v>
      </c>
    </row>
    <row r="17" spans="1:6" ht="20" customHeight="1" thickBot="1">
      <c r="A17" s="297" t="str">
        <f>[65]f!A17</f>
        <v>SO</v>
      </c>
      <c r="B17" s="26">
        <f>[65]f!B17</f>
        <v>156</v>
      </c>
      <c r="C17" s="54">
        <f>[65]f!C17</f>
        <v>171.8</v>
      </c>
      <c r="D17" s="26">
        <f>[65]f!D17</f>
        <v>171.85</v>
      </c>
      <c r="E17" s="54">
        <f>[65]f!E17</f>
        <v>179.3</v>
      </c>
      <c r="F17" s="26">
        <f>[65]f!F17</f>
        <v>192.8</v>
      </c>
    </row>
    <row r="18" spans="1:6" ht="20" customHeight="1" thickBot="1">
      <c r="A18" s="297" t="str">
        <f>[65]f!A18</f>
        <v>BS</v>
      </c>
      <c r="B18" s="26">
        <f>[65]f!B18</f>
        <v>247.65</v>
      </c>
      <c r="C18" s="54">
        <f>[65]f!C18</f>
        <v>251.1</v>
      </c>
      <c r="D18" s="26">
        <f>[65]f!D18</f>
        <v>265.5</v>
      </c>
      <c r="E18" s="54">
        <f>[65]f!E18</f>
        <v>265.5</v>
      </c>
      <c r="F18" s="26">
        <f>[65]f!F18</f>
        <v>299.3</v>
      </c>
    </row>
    <row r="19" spans="1:6" ht="20" customHeight="1" thickBot="1">
      <c r="A19" s="297" t="str">
        <f>[65]f!A19</f>
        <v>BL</v>
      </c>
      <c r="B19" s="26">
        <f>[65]f!B19</f>
        <v>172</v>
      </c>
      <c r="C19" s="54">
        <f>[65]f!C19</f>
        <v>186.3</v>
      </c>
      <c r="D19" s="26">
        <f>[65]f!D19</f>
        <v>199.5</v>
      </c>
      <c r="E19" s="54">
        <f>[65]f!E19</f>
        <v>213.8</v>
      </c>
      <c r="F19" s="26">
        <f>[65]f!F19</f>
        <v>226</v>
      </c>
    </row>
    <row r="20" spans="1:6" ht="20" customHeight="1" thickBot="1">
      <c r="A20" s="297" t="str">
        <f>[65]f!A20</f>
        <v>SH</v>
      </c>
      <c r="B20" s="26">
        <f>[65]f!B20</f>
        <v>152</v>
      </c>
      <c r="C20" s="54">
        <f>[65]f!C20</f>
        <v>171</v>
      </c>
      <c r="D20" s="26">
        <f>[65]f!D20</f>
        <v>179.2</v>
      </c>
      <c r="E20" s="54">
        <f>[65]f!E20</f>
        <v>207.6</v>
      </c>
      <c r="F20" s="26">
        <f>[65]f!F20</f>
        <v>212.7</v>
      </c>
    </row>
    <row r="21" spans="1:6" ht="20" customHeight="1" thickBot="1">
      <c r="A21" s="297" t="str">
        <f>[65]f!A21</f>
        <v>AR</v>
      </c>
      <c r="B21" s="26">
        <f>[65]f!B21</f>
        <v>124.15</v>
      </c>
      <c r="C21" s="54">
        <f>[65]f!C21</f>
        <v>139.19999999999999</v>
      </c>
      <c r="D21" s="26">
        <f>[65]f!D21</f>
        <v>146.6</v>
      </c>
      <c r="E21" s="54">
        <f>[65]f!E21</f>
        <v>149.80000000000001</v>
      </c>
      <c r="F21" s="26">
        <f>[65]f!F21</f>
        <v>158.30000000000001</v>
      </c>
    </row>
    <row r="22" spans="1:6" ht="20" customHeight="1" thickBot="1">
      <c r="A22" s="297" t="str">
        <f>[65]f!A22</f>
        <v>AI</v>
      </c>
      <c r="B22" s="26">
        <f>[65]f!B22</f>
        <v>114</v>
      </c>
      <c r="C22" s="54">
        <f>[65]f!C22</f>
        <v>123.9</v>
      </c>
      <c r="D22" s="26">
        <f>[65]f!D22</f>
        <v>129.80000000000001</v>
      </c>
      <c r="E22" s="54">
        <f>[65]f!E22</f>
        <v>132</v>
      </c>
      <c r="F22" s="26">
        <f>[65]f!F22</f>
        <v>139.19999999999999</v>
      </c>
    </row>
    <row r="23" spans="1:6" ht="20" customHeight="1" thickBot="1">
      <c r="A23" s="297" t="str">
        <f>[65]f!A23</f>
        <v>SG</v>
      </c>
      <c r="B23" s="26">
        <f>[65]f!B23</f>
        <v>139.75</v>
      </c>
      <c r="C23" s="54">
        <f>[65]f!C23</f>
        <v>148.5</v>
      </c>
      <c r="D23" s="26">
        <f>[65]f!D23</f>
        <v>153</v>
      </c>
      <c r="E23" s="54">
        <f>[65]f!E23</f>
        <v>165</v>
      </c>
      <c r="F23" s="26">
        <f>[65]f!F23</f>
        <v>179</v>
      </c>
    </row>
    <row r="24" spans="1:6" ht="20" customHeight="1" thickBot="1">
      <c r="A24" s="297" t="str">
        <f>[65]f!A24</f>
        <v>GR</v>
      </c>
      <c r="B24" s="26">
        <f>[65]f!B24</f>
        <v>137</v>
      </c>
      <c r="C24" s="54">
        <f>[65]f!C24</f>
        <v>160.80000000000001</v>
      </c>
      <c r="D24" s="26">
        <f>[65]f!D24</f>
        <v>160.80000000000001</v>
      </c>
      <c r="E24" s="54">
        <f>[65]f!E24</f>
        <v>166.4</v>
      </c>
      <c r="F24" s="26">
        <f>[65]f!F24</f>
        <v>171</v>
      </c>
    </row>
    <row r="25" spans="1:6" ht="20" customHeight="1" thickBot="1">
      <c r="A25" s="297" t="str">
        <f>[65]f!A25</f>
        <v>AG</v>
      </c>
      <c r="B25" s="26">
        <f>[65]f!B25</f>
        <v>158.85</v>
      </c>
      <c r="C25" s="54">
        <f>[65]f!C25</f>
        <v>162.69999999999999</v>
      </c>
      <c r="D25" s="26">
        <f>[65]f!D25</f>
        <v>170</v>
      </c>
      <c r="E25" s="54">
        <f>[65]f!E25</f>
        <v>182.3</v>
      </c>
      <c r="F25" s="26">
        <f>[65]f!F25</f>
        <v>182.3</v>
      </c>
    </row>
    <row r="26" spans="1:6" ht="20" customHeight="1" thickBot="1">
      <c r="A26" s="297" t="str">
        <f>[65]f!A26</f>
        <v>TG</v>
      </c>
      <c r="B26" s="26">
        <f>[65]f!B26</f>
        <v>163</v>
      </c>
      <c r="C26" s="54">
        <f>[65]f!C26</f>
        <v>169.6</v>
      </c>
      <c r="D26" s="26">
        <f>[65]f!D26</f>
        <v>194.4</v>
      </c>
      <c r="E26" s="54">
        <f>[65]f!E26</f>
        <v>195.8</v>
      </c>
      <c r="F26" s="26">
        <f>[65]f!F26</f>
        <v>196.4</v>
      </c>
    </row>
    <row r="27" spans="1:6" ht="20" customHeight="1" thickBot="1">
      <c r="A27" s="297" t="str">
        <f>[65]f!A27</f>
        <v>TI</v>
      </c>
      <c r="B27" s="26">
        <f>[65]f!B27</f>
        <v>206</v>
      </c>
      <c r="C27" s="54">
        <f>[65]f!C27</f>
        <v>218.5</v>
      </c>
      <c r="D27" s="26">
        <f>[65]f!D27</f>
        <v>236.8</v>
      </c>
      <c r="E27" s="54">
        <f>[65]f!E27</f>
        <v>246.8</v>
      </c>
      <c r="F27" s="26">
        <f>[65]f!F27</f>
        <v>309</v>
      </c>
    </row>
    <row r="28" spans="1:6" ht="20" customHeight="1" thickBot="1">
      <c r="A28" s="297" t="str">
        <f>[65]f!A28</f>
        <v>VD</v>
      </c>
      <c r="B28" s="26">
        <f>[65]f!B28</f>
        <v>226.3</v>
      </c>
      <c r="C28" s="54">
        <f>[65]f!C28</f>
        <v>239.4</v>
      </c>
      <c r="D28" s="26">
        <f>[65]f!D28</f>
        <v>253.4</v>
      </c>
      <c r="E28" s="54">
        <f>[65]f!E28</f>
        <v>281.3</v>
      </c>
      <c r="F28" s="26">
        <f>[65]f!F28</f>
        <v>319</v>
      </c>
    </row>
    <row r="29" spans="1:6" ht="20" customHeight="1" thickBot="1">
      <c r="A29" s="297" t="str">
        <f>[65]f!A29</f>
        <v>VS</v>
      </c>
      <c r="B29" s="26">
        <f>[65]f!B29</f>
        <v>123</v>
      </c>
      <c r="C29" s="54">
        <f>[65]f!C29</f>
        <v>148.25</v>
      </c>
      <c r="D29" s="26">
        <f>[65]f!D29</f>
        <v>165</v>
      </c>
      <c r="E29" s="54">
        <f>[65]f!E29</f>
        <v>178.8</v>
      </c>
      <c r="F29" s="26">
        <f>[65]f!F29</f>
        <v>199</v>
      </c>
    </row>
    <row r="30" spans="1:6" ht="20" customHeight="1" thickBot="1">
      <c r="A30" s="297" t="str">
        <f>[65]f!A30</f>
        <v>NE</v>
      </c>
      <c r="B30" s="26">
        <f>[65]f!B30</f>
        <v>207</v>
      </c>
      <c r="C30" s="54">
        <f>[65]f!C30</f>
        <v>240.35</v>
      </c>
      <c r="D30" s="26">
        <f>[65]f!D30</f>
        <v>252.3</v>
      </c>
      <c r="E30" s="54">
        <f>[65]f!E30</f>
        <v>280.39999999999998</v>
      </c>
      <c r="F30" s="26">
        <f>[65]f!F30</f>
        <v>345.7</v>
      </c>
    </row>
    <row r="31" spans="1:6" ht="20" customHeight="1" thickBot="1">
      <c r="A31" s="297" t="str">
        <f>[65]f!A31</f>
        <v>GE</v>
      </c>
      <c r="B31" s="26">
        <f>[65]f!B31</f>
        <v>260.3</v>
      </c>
      <c r="C31" s="54">
        <f>[65]f!C31</f>
        <v>274.8</v>
      </c>
      <c r="D31" s="26">
        <f>[65]f!D31</f>
        <v>300.8</v>
      </c>
      <c r="E31" s="54">
        <f>[65]f!E31</f>
        <v>331.5</v>
      </c>
      <c r="F31" s="26">
        <f>[65]f!F31</f>
        <v>366.2</v>
      </c>
    </row>
    <row r="32" spans="1:6" ht="20" customHeight="1" thickBot="1">
      <c r="A32" s="297" t="str">
        <f>[65]f!A32</f>
        <v>JU</v>
      </c>
      <c r="B32" s="26">
        <f>[65]f!B32</f>
        <v>215</v>
      </c>
      <c r="C32" s="54">
        <f>[65]f!C32</f>
        <v>224.1</v>
      </c>
      <c r="D32" s="26">
        <f>[65]f!D32</f>
        <v>232.5</v>
      </c>
      <c r="E32" s="54">
        <f>[65]f!E32</f>
        <v>232.5</v>
      </c>
      <c r="F32" s="26">
        <f>[65]f!F32</f>
        <v>266</v>
      </c>
    </row>
    <row r="33" spans="1:7" ht="30" customHeight="1" thickBot="1">
      <c r="A33" s="78" t="str">
        <f>[65]f!A33</f>
        <v>CH</v>
      </c>
      <c r="B33" s="39">
        <f>[65]f!B33</f>
        <v>143</v>
      </c>
      <c r="C33" s="57">
        <f>[65]f!C33</f>
        <v>165</v>
      </c>
      <c r="D33" s="39">
        <f>[65]f!D33</f>
        <v>184</v>
      </c>
      <c r="E33" s="57">
        <f>[65]f!E33</f>
        <v>230.2</v>
      </c>
      <c r="F33" s="39">
        <f>[65]f!F33</f>
        <v>299</v>
      </c>
    </row>
    <row r="34" spans="1:7" ht="20" customHeight="1">
      <c r="A34" s="28" t="str">
        <f>'[63]data an-1'!$D$2</f>
        <v>Datenstand: 23.9.2002</v>
      </c>
      <c r="B34" s="328"/>
      <c r="C34" s="328"/>
      <c r="D34" s="328"/>
      <c r="E34" s="328"/>
      <c r="F34" s="328"/>
      <c r="G34" s="328"/>
    </row>
    <row r="35" spans="1:7" ht="12.75" customHeight="1">
      <c r="A35" s="7" t="s">
        <v>955</v>
      </c>
      <c r="B35" s="329"/>
      <c r="C35" s="329"/>
      <c r="D35" s="329"/>
      <c r="E35" s="329"/>
      <c r="F35" s="329"/>
      <c r="G35" s="329"/>
    </row>
    <row r="36" spans="1:7">
      <c r="A36" s="7" t="s">
        <v>1070</v>
      </c>
      <c r="B36" s="218"/>
      <c r="C36" s="218"/>
      <c r="D36" s="218"/>
      <c r="E36" s="218"/>
      <c r="F36" s="218"/>
      <c r="G36" s="218"/>
    </row>
    <row r="37" spans="1:7">
      <c r="B37" s="218"/>
      <c r="C37" s="218"/>
      <c r="D37" s="218"/>
      <c r="E37" s="218"/>
      <c r="F37" s="218"/>
      <c r="G37" s="218"/>
    </row>
    <row r="38" spans="1:7">
      <c r="B38" s="218"/>
      <c r="C38" s="218"/>
      <c r="D38" s="218"/>
      <c r="E38" s="218"/>
      <c r="F38" s="218"/>
      <c r="G38" s="218"/>
    </row>
    <row r="39" spans="1:7">
      <c r="B39" s="218"/>
      <c r="C39" s="218"/>
      <c r="D39" s="218"/>
      <c r="E39" s="218"/>
      <c r="F39" s="218"/>
      <c r="G39" s="218"/>
    </row>
  </sheetData>
  <phoneticPr fontId="0" type="noConversion"/>
  <pageMargins left="0.78740157480314965" right="0.54" top="1.299212598425197" bottom="0.47244094488188981" header="0.94488188976377963" footer="0.51181102362204722"/>
  <pageSetup paperSize="9" scale="80" orientation="portrait" horizontalDpi="4294967292" verticalDpi="4294967292"/>
  <headerFooter alignWithMargins="0">
    <oddHeader>&amp;L&amp;"Arial,Bold"&amp;14Prämientarife in der OKP</oddHeader>
    <oddFooter>&amp;L&amp;"Arial,Regular"Statistik der Krankenversicherung, Bundesamt für Sozialversicherung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E324-5E61-C24B-AD1A-2D17904C4517}">
  <dimension ref="A1:F39"/>
  <sheetViews>
    <sheetView topLeftCell="A36" zoomScale="75" workbookViewId="0">
      <selection activeCell="A35" sqref="A35:A40"/>
    </sheetView>
  </sheetViews>
  <sheetFormatPr baseColWidth="10" defaultColWidth="11.3984375" defaultRowHeight="13"/>
  <cols>
    <col min="1" max="1" width="11.19921875" style="7" customWidth="1"/>
    <col min="2" max="2" width="15.19921875" style="7" customWidth="1"/>
    <col min="3" max="3" width="14.19921875" style="7" customWidth="1"/>
    <col min="4" max="4" width="15.59765625" style="7" customWidth="1"/>
    <col min="5" max="5" width="15.19921875" style="7" customWidth="1"/>
    <col min="6" max="6" width="14.19921875" style="7" customWidth="1"/>
    <col min="7" max="16384" width="11.3984375" style="7"/>
  </cols>
  <sheetData>
    <row r="1" spans="1:6" s="1" customFormat="1" ht="14" customHeight="1">
      <c r="A1" s="163"/>
      <c r="B1" s="163"/>
      <c r="C1" s="163"/>
      <c r="D1" s="163"/>
      <c r="E1" s="163"/>
      <c r="F1" s="163"/>
    </row>
    <row r="2" spans="1:6" s="1" customFormat="1" ht="15.75" customHeight="1">
      <c r="A2" s="164" t="s">
        <v>1072</v>
      </c>
      <c r="B2" s="163"/>
      <c r="C2" s="163"/>
      <c r="D2" s="163"/>
      <c r="E2" s="163"/>
      <c r="F2" s="163"/>
    </row>
    <row r="3" spans="1:6" s="1" customFormat="1" ht="28" customHeight="1">
      <c r="A3" s="164" t="str">
        <f>"für Kinder (0 - 18 Jahre) in Franken für "&amp;'[63]data an-1'!$B$2+2</f>
        <v>für Kinder (0 - 18 Jahre) in Franken für 2003</v>
      </c>
      <c r="B3" s="163"/>
      <c r="C3" s="163"/>
      <c r="D3" s="163"/>
      <c r="E3" s="163"/>
      <c r="F3" s="163"/>
    </row>
    <row r="4" spans="1:6" ht="24" customHeight="1">
      <c r="A4" s="41" t="s">
        <v>537</v>
      </c>
      <c r="B4" s="324">
        <v>0.05</v>
      </c>
      <c r="C4" s="325">
        <v>0.25</v>
      </c>
      <c r="D4" s="324">
        <v>0.5</v>
      </c>
      <c r="E4" s="325">
        <v>0.25</v>
      </c>
      <c r="F4" s="324">
        <v>0.05</v>
      </c>
    </row>
    <row r="5" spans="1:6" ht="73.5" customHeight="1">
      <c r="A5" s="43"/>
      <c r="B5" s="326" t="s">
        <v>1067</v>
      </c>
      <c r="C5" s="327" t="s">
        <v>1067</v>
      </c>
      <c r="D5" s="326" t="s">
        <v>1068</v>
      </c>
      <c r="E5" s="327" t="s">
        <v>1069</v>
      </c>
      <c r="F5" s="326" t="s">
        <v>1069</v>
      </c>
    </row>
    <row r="6" spans="1:6" ht="16" customHeight="1">
      <c r="A6" s="46"/>
      <c r="B6" s="16"/>
      <c r="C6" s="47"/>
      <c r="D6" s="16"/>
      <c r="E6" s="47"/>
      <c r="F6" s="189"/>
    </row>
    <row r="7" spans="1:6" ht="30" customHeight="1" thickBot="1">
      <c r="A7" s="296" t="str">
        <f>[66]f!A7</f>
        <v>ZH</v>
      </c>
      <c r="B7" s="20">
        <f>[66]f!B7</f>
        <v>57</v>
      </c>
      <c r="C7" s="50">
        <f>[66]f!C7</f>
        <v>63.6</v>
      </c>
      <c r="D7" s="20">
        <f>[66]f!D7</f>
        <v>66.3</v>
      </c>
      <c r="E7" s="50">
        <f>[66]f!E7</f>
        <v>73.5</v>
      </c>
      <c r="F7" s="20">
        <f>[66]f!F7</f>
        <v>92.4</v>
      </c>
    </row>
    <row r="8" spans="1:6" ht="20" customHeight="1" thickBot="1">
      <c r="A8" s="297" t="str">
        <f>[66]f!A8</f>
        <v>BE</v>
      </c>
      <c r="B8" s="26">
        <f>[66]f!B8</f>
        <v>60</v>
      </c>
      <c r="C8" s="54">
        <f>[66]f!C8</f>
        <v>64.099999999999994</v>
      </c>
      <c r="D8" s="26">
        <f>[66]f!D8</f>
        <v>69.3</v>
      </c>
      <c r="E8" s="54">
        <f>[66]f!E8</f>
        <v>71.099999999999994</v>
      </c>
      <c r="F8" s="26">
        <f>[66]f!F8</f>
        <v>86.1</v>
      </c>
    </row>
    <row r="9" spans="1:6" ht="20" customHeight="1" thickBot="1">
      <c r="A9" s="297" t="str">
        <f>[66]f!A9</f>
        <v>LU</v>
      </c>
      <c r="B9" s="26">
        <f>[66]f!B9</f>
        <v>47.9</v>
      </c>
      <c r="C9" s="54">
        <f>[66]f!C9</f>
        <v>51.5</v>
      </c>
      <c r="D9" s="26">
        <f>[66]f!D9</f>
        <v>53.4</v>
      </c>
      <c r="E9" s="54">
        <f>[66]f!E9</f>
        <v>56.1</v>
      </c>
      <c r="F9" s="26">
        <f>[66]f!F9</f>
        <v>65.400000000000006</v>
      </c>
    </row>
    <row r="10" spans="1:6" ht="20" customHeight="1" thickBot="1">
      <c r="A10" s="297" t="str">
        <f>[66]f!A10</f>
        <v>UR</v>
      </c>
      <c r="B10" s="26">
        <f>[66]f!B10</f>
        <v>43.1</v>
      </c>
      <c r="C10" s="54">
        <f>[66]f!C10</f>
        <v>51.3</v>
      </c>
      <c r="D10" s="26">
        <f>[66]f!D10</f>
        <v>51.3</v>
      </c>
      <c r="E10" s="54">
        <f>[66]f!E10</f>
        <v>52.8</v>
      </c>
      <c r="F10" s="26">
        <f>[66]f!F10</f>
        <v>56.3</v>
      </c>
    </row>
    <row r="11" spans="1:6" ht="20" customHeight="1" thickBot="1">
      <c r="A11" s="297" t="str">
        <f>[66]f!A11</f>
        <v>SZ</v>
      </c>
      <c r="B11" s="26">
        <f>[66]f!B11</f>
        <v>48</v>
      </c>
      <c r="C11" s="54">
        <f>[66]f!C11</f>
        <v>53.3</v>
      </c>
      <c r="D11" s="26">
        <f>[66]f!D11</f>
        <v>53.3</v>
      </c>
      <c r="E11" s="54">
        <f>[66]f!E11</f>
        <v>57.25</v>
      </c>
      <c r="F11" s="26">
        <f>[66]f!F11</f>
        <v>61.5</v>
      </c>
    </row>
    <row r="12" spans="1:6" ht="20" customHeight="1" thickBot="1">
      <c r="A12" s="297" t="str">
        <f>[66]f!A12</f>
        <v>OW</v>
      </c>
      <c r="B12" s="26">
        <f>[66]f!B12</f>
        <v>45.5</v>
      </c>
      <c r="C12" s="54">
        <f>[66]f!C12</f>
        <v>45.5</v>
      </c>
      <c r="D12" s="26">
        <f>[66]f!D12</f>
        <v>49</v>
      </c>
      <c r="E12" s="54">
        <f>[66]f!E12</f>
        <v>50.4</v>
      </c>
      <c r="F12" s="26">
        <f>[66]f!F12</f>
        <v>55.9</v>
      </c>
    </row>
    <row r="13" spans="1:6" ht="20" customHeight="1" thickBot="1">
      <c r="A13" s="297" t="str">
        <f>[66]f!A13</f>
        <v>NW</v>
      </c>
      <c r="B13" s="26">
        <f>[66]f!B13</f>
        <v>45.3</v>
      </c>
      <c r="C13" s="54">
        <f>[66]f!C13</f>
        <v>47.8</v>
      </c>
      <c r="D13" s="26">
        <f>[66]f!D13</f>
        <v>48.1</v>
      </c>
      <c r="E13" s="54">
        <f>[66]f!E13</f>
        <v>48.1</v>
      </c>
      <c r="F13" s="26">
        <f>[66]f!F13</f>
        <v>52.05</v>
      </c>
    </row>
    <row r="14" spans="1:6" ht="20" customHeight="1" thickBot="1">
      <c r="A14" s="297" t="str">
        <f>[66]f!A14</f>
        <v>GL</v>
      </c>
      <c r="B14" s="26">
        <f>[66]f!B14</f>
        <v>48.3</v>
      </c>
      <c r="C14" s="54">
        <f>[66]f!C14</f>
        <v>52.8</v>
      </c>
      <c r="D14" s="26">
        <f>[66]f!D14</f>
        <v>56</v>
      </c>
      <c r="E14" s="54">
        <f>[66]f!E14</f>
        <v>61.8</v>
      </c>
      <c r="F14" s="26">
        <f>[66]f!F14</f>
        <v>61.8</v>
      </c>
    </row>
    <row r="15" spans="1:6" ht="20" customHeight="1" thickBot="1">
      <c r="A15" s="297" t="str">
        <f>[66]f!A15</f>
        <v>ZG</v>
      </c>
      <c r="B15" s="26">
        <f>[66]f!B15</f>
        <v>48</v>
      </c>
      <c r="C15" s="54">
        <f>[66]f!C15</f>
        <v>54</v>
      </c>
      <c r="D15" s="26">
        <f>[66]f!D15</f>
        <v>54</v>
      </c>
      <c r="E15" s="54">
        <f>[66]f!E15</f>
        <v>57</v>
      </c>
      <c r="F15" s="26">
        <f>[66]f!F15</f>
        <v>58.7</v>
      </c>
    </row>
    <row r="16" spans="1:6" ht="20" customHeight="1" thickBot="1">
      <c r="A16" s="297" t="str">
        <f>[66]f!A16</f>
        <v>FR</v>
      </c>
      <c r="B16" s="26">
        <f>[66]f!B16</f>
        <v>58.8</v>
      </c>
      <c r="C16" s="54">
        <f>[66]f!C16</f>
        <v>61</v>
      </c>
      <c r="D16" s="26">
        <f>[66]f!D16</f>
        <v>66.099999999999994</v>
      </c>
      <c r="E16" s="54">
        <f>[66]f!E16</f>
        <v>66.5</v>
      </c>
      <c r="F16" s="26">
        <f>[66]f!F16</f>
        <v>77.400000000000006</v>
      </c>
    </row>
    <row r="17" spans="1:6" ht="20" customHeight="1" thickBot="1">
      <c r="A17" s="297" t="str">
        <f>[66]f!A17</f>
        <v>SO</v>
      </c>
      <c r="B17" s="26">
        <f>[66]f!B17</f>
        <v>56</v>
      </c>
      <c r="C17" s="54">
        <f>[66]f!C17</f>
        <v>57.3</v>
      </c>
      <c r="D17" s="26">
        <f>[66]f!D17</f>
        <v>62</v>
      </c>
      <c r="E17" s="54">
        <f>[66]f!E17</f>
        <v>64.349999999999994</v>
      </c>
      <c r="F17" s="26">
        <f>[66]f!F17</f>
        <v>68.8</v>
      </c>
    </row>
    <row r="18" spans="1:6" ht="20" customHeight="1" thickBot="1">
      <c r="A18" s="297" t="str">
        <f>[66]f!A18</f>
        <v>BS</v>
      </c>
      <c r="B18" s="26">
        <f>[66]f!B18</f>
        <v>81</v>
      </c>
      <c r="C18" s="54">
        <f>[66]f!C18</f>
        <v>88.5</v>
      </c>
      <c r="D18" s="26">
        <f>[66]f!D18</f>
        <v>88.5</v>
      </c>
      <c r="E18" s="54">
        <f>[66]f!E18</f>
        <v>92.15</v>
      </c>
      <c r="F18" s="26">
        <f>[66]f!F18</f>
        <v>102</v>
      </c>
    </row>
    <row r="19" spans="1:6" ht="20" customHeight="1" thickBot="1">
      <c r="A19" s="297" t="str">
        <f>[66]f!A19</f>
        <v>BL</v>
      </c>
      <c r="B19" s="26">
        <f>[66]f!B19</f>
        <v>62.1</v>
      </c>
      <c r="C19" s="54">
        <f>[66]f!C19</f>
        <v>66.5</v>
      </c>
      <c r="D19" s="26">
        <f>[66]f!D19</f>
        <v>71.3</v>
      </c>
      <c r="E19" s="54">
        <f>[66]f!E19</f>
        <v>74.3</v>
      </c>
      <c r="F19" s="26">
        <f>[66]f!F19</f>
        <v>80</v>
      </c>
    </row>
    <row r="20" spans="1:6" ht="20" customHeight="1" thickBot="1">
      <c r="A20" s="297" t="str">
        <f>[66]f!A20</f>
        <v>SH</v>
      </c>
      <c r="B20" s="26">
        <f>[66]f!B20</f>
        <v>54.3</v>
      </c>
      <c r="C20" s="54">
        <f>[66]f!C20</f>
        <v>61</v>
      </c>
      <c r="D20" s="26">
        <f>[66]f!D20</f>
        <v>62.8</v>
      </c>
      <c r="E20" s="54">
        <f>[66]f!E20</f>
        <v>70.2</v>
      </c>
      <c r="F20" s="26">
        <f>[66]f!F20</f>
        <v>77.5</v>
      </c>
    </row>
    <row r="21" spans="1:6" ht="20" customHeight="1" thickBot="1">
      <c r="A21" s="297" t="str">
        <f>[66]f!A21</f>
        <v>AR</v>
      </c>
      <c r="B21" s="26">
        <f>[66]f!B21</f>
        <v>40.1</v>
      </c>
      <c r="C21" s="54">
        <f>[66]f!C21</f>
        <v>46.85</v>
      </c>
      <c r="D21" s="26">
        <f>[66]f!D21</f>
        <v>50.1</v>
      </c>
      <c r="E21" s="54">
        <f>[66]f!E21</f>
        <v>52.8</v>
      </c>
      <c r="F21" s="26">
        <f>[66]f!F21</f>
        <v>56</v>
      </c>
    </row>
    <row r="22" spans="1:6" ht="20" customHeight="1" thickBot="1">
      <c r="A22" s="297" t="str">
        <f>[66]f!A22</f>
        <v>AI</v>
      </c>
      <c r="B22" s="26">
        <f>[66]f!B22</f>
        <v>36.700000000000003</v>
      </c>
      <c r="C22" s="54">
        <f>[66]f!C22</f>
        <v>43.3</v>
      </c>
      <c r="D22" s="26">
        <f>[66]f!D22</f>
        <v>44.1</v>
      </c>
      <c r="E22" s="54">
        <f>[66]f!E22</f>
        <v>46</v>
      </c>
      <c r="F22" s="26">
        <f>[66]f!F22</f>
        <v>52</v>
      </c>
    </row>
    <row r="23" spans="1:6" ht="20" customHeight="1" thickBot="1">
      <c r="A23" s="297" t="str">
        <f>[66]f!A23</f>
        <v>SG</v>
      </c>
      <c r="B23" s="26">
        <f>[66]f!B23</f>
        <v>49.5</v>
      </c>
      <c r="C23" s="54">
        <f>[66]f!C23</f>
        <v>49.5</v>
      </c>
      <c r="D23" s="26">
        <f>[66]f!D23</f>
        <v>51</v>
      </c>
      <c r="E23" s="54">
        <f>[66]f!E23</f>
        <v>55</v>
      </c>
      <c r="F23" s="26">
        <f>[66]f!F23</f>
        <v>66.900000000000006</v>
      </c>
    </row>
    <row r="24" spans="1:6" ht="20" customHeight="1" thickBot="1">
      <c r="A24" s="297" t="str">
        <f>[66]f!A24</f>
        <v>GR</v>
      </c>
      <c r="B24" s="26">
        <f>[66]f!B24</f>
        <v>45</v>
      </c>
      <c r="C24" s="54">
        <f>[66]f!C24</f>
        <v>53.6</v>
      </c>
      <c r="D24" s="26">
        <f>[66]f!D24</f>
        <v>53.6</v>
      </c>
      <c r="E24" s="54">
        <f>[66]f!E24</f>
        <v>58.3</v>
      </c>
      <c r="F24" s="26">
        <f>[66]f!F24</f>
        <v>66</v>
      </c>
    </row>
    <row r="25" spans="1:6" ht="20" customHeight="1" thickBot="1">
      <c r="A25" s="297" t="str">
        <f>[66]f!A25</f>
        <v>AG</v>
      </c>
      <c r="B25" s="26">
        <f>[66]f!B25</f>
        <v>52.8</v>
      </c>
      <c r="C25" s="54">
        <f>[66]f!C25</f>
        <v>57.3</v>
      </c>
      <c r="D25" s="26">
        <f>[66]f!D25</f>
        <v>59.5</v>
      </c>
      <c r="E25" s="54">
        <f>[66]f!E25</f>
        <v>61.85</v>
      </c>
      <c r="F25" s="26">
        <f>[66]f!F25</f>
        <v>68.099999999999994</v>
      </c>
    </row>
    <row r="26" spans="1:6" ht="20" customHeight="1" thickBot="1">
      <c r="A26" s="297" t="str">
        <f>[66]f!A26</f>
        <v>TG</v>
      </c>
      <c r="B26" s="26">
        <f>[66]f!B26</f>
        <v>55</v>
      </c>
      <c r="C26" s="54">
        <f>[66]f!C26</f>
        <v>62</v>
      </c>
      <c r="D26" s="26">
        <f>[66]f!D26</f>
        <v>65</v>
      </c>
      <c r="E26" s="54">
        <f>[66]f!E26</f>
        <v>65.3</v>
      </c>
      <c r="F26" s="26">
        <f>[66]f!F26</f>
        <v>73.400000000000006</v>
      </c>
    </row>
    <row r="27" spans="1:6" ht="20" customHeight="1" thickBot="1">
      <c r="A27" s="297" t="str">
        <f>[66]f!A27</f>
        <v>TI</v>
      </c>
      <c r="B27" s="26">
        <f>[66]f!B27</f>
        <v>74</v>
      </c>
      <c r="C27" s="54">
        <f>[66]f!C27</f>
        <v>76.7</v>
      </c>
      <c r="D27" s="26">
        <f>[66]f!D27</f>
        <v>80.349999999999994</v>
      </c>
      <c r="E27" s="54">
        <f>[66]f!E27</f>
        <v>88.4</v>
      </c>
      <c r="F27" s="26">
        <f>[66]f!F27</f>
        <v>88.4</v>
      </c>
    </row>
    <row r="28" spans="1:6" ht="20" customHeight="1" thickBot="1">
      <c r="A28" s="297" t="str">
        <f>[66]f!A28</f>
        <v>VD</v>
      </c>
      <c r="B28" s="26">
        <f>[66]f!B28</f>
        <v>84.8</v>
      </c>
      <c r="C28" s="54">
        <f>[66]f!C28</f>
        <v>88.7</v>
      </c>
      <c r="D28" s="26">
        <f>[66]f!D28</f>
        <v>90.5</v>
      </c>
      <c r="E28" s="54">
        <f>[66]f!E28</f>
        <v>94.8</v>
      </c>
      <c r="F28" s="26">
        <f>[66]f!F28</f>
        <v>109</v>
      </c>
    </row>
    <row r="29" spans="1:6" ht="20" customHeight="1" thickBot="1">
      <c r="A29" s="297" t="str">
        <f>[66]f!A29</f>
        <v>VS</v>
      </c>
      <c r="B29" s="26">
        <f>[66]f!B29</f>
        <v>44</v>
      </c>
      <c r="C29" s="54">
        <f>[66]f!C29</f>
        <v>53.3</v>
      </c>
      <c r="D29" s="26">
        <f>[66]f!D29</f>
        <v>56</v>
      </c>
      <c r="E29" s="54">
        <f>[66]f!E29</f>
        <v>61.8</v>
      </c>
      <c r="F29" s="26">
        <f>[66]f!F29</f>
        <v>66.8</v>
      </c>
    </row>
    <row r="30" spans="1:6" ht="20" customHeight="1" thickBot="1">
      <c r="A30" s="297" t="str">
        <f>[66]f!A30</f>
        <v>NE</v>
      </c>
      <c r="B30" s="26">
        <f>[66]f!B30</f>
        <v>65</v>
      </c>
      <c r="C30" s="54">
        <f>[66]f!C30</f>
        <v>74</v>
      </c>
      <c r="D30" s="26">
        <f>[66]f!D30</f>
        <v>77.900000000000006</v>
      </c>
      <c r="E30" s="54">
        <f>[66]f!E30</f>
        <v>89.45</v>
      </c>
      <c r="F30" s="26">
        <f>[66]f!F30</f>
        <v>99.7</v>
      </c>
    </row>
    <row r="31" spans="1:6" ht="20" customHeight="1" thickBot="1">
      <c r="A31" s="297" t="str">
        <f>[66]f!A31</f>
        <v>GE</v>
      </c>
      <c r="B31" s="26">
        <f>[66]f!B31</f>
        <v>85</v>
      </c>
      <c r="C31" s="54">
        <f>[66]f!C31</f>
        <v>94</v>
      </c>
      <c r="D31" s="26">
        <f>[66]f!D31</f>
        <v>98</v>
      </c>
      <c r="E31" s="54">
        <f>[66]f!E31</f>
        <v>108.1</v>
      </c>
      <c r="F31" s="26">
        <f>[66]f!F31</f>
        <v>115.9</v>
      </c>
    </row>
    <row r="32" spans="1:6" ht="20" customHeight="1" thickBot="1">
      <c r="A32" s="297" t="str">
        <f>[66]f!A32</f>
        <v>JU</v>
      </c>
      <c r="B32" s="26">
        <f>[66]f!B32</f>
        <v>65</v>
      </c>
      <c r="C32" s="54">
        <f>[66]f!C32</f>
        <v>72.099999999999994</v>
      </c>
      <c r="D32" s="26">
        <f>[66]f!D32</f>
        <v>77.5</v>
      </c>
      <c r="E32" s="54">
        <f>[66]f!E32</f>
        <v>79.2</v>
      </c>
      <c r="F32" s="26">
        <f>[66]f!F32</f>
        <v>85.8</v>
      </c>
    </row>
    <row r="33" spans="1:6" ht="30" customHeight="1" thickBot="1">
      <c r="A33" s="78" t="str">
        <f>[66]f!A33</f>
        <v>CH</v>
      </c>
      <c r="B33" s="39">
        <f>[66]f!B33</f>
        <v>49.5</v>
      </c>
      <c r="C33" s="57">
        <f>[66]f!C33</f>
        <v>57.3</v>
      </c>
      <c r="D33" s="39">
        <f>[66]f!D33</f>
        <v>65.7</v>
      </c>
      <c r="E33" s="57">
        <f>[66]f!E33</f>
        <v>77.5</v>
      </c>
      <c r="F33" s="39">
        <f>[66]f!F33</f>
        <v>97.8</v>
      </c>
    </row>
    <row r="34" spans="1:6" ht="20" customHeight="1">
      <c r="A34" s="28" t="str">
        <f>'[63]data an-1'!$D$2</f>
        <v>Datenstand: 23.9.2002</v>
      </c>
      <c r="B34" s="328"/>
      <c r="C34" s="328"/>
      <c r="D34" s="328"/>
      <c r="E34" s="328"/>
      <c r="F34" s="328"/>
    </row>
    <row r="35" spans="1:6" ht="12.75" customHeight="1">
      <c r="A35" s="7" t="s">
        <v>955</v>
      </c>
      <c r="B35" s="329"/>
      <c r="C35" s="329"/>
      <c r="D35" s="329"/>
      <c r="E35" s="329"/>
      <c r="F35" s="329"/>
    </row>
    <row r="36" spans="1:6">
      <c r="A36" s="7" t="s">
        <v>1070</v>
      </c>
      <c r="B36" s="218"/>
      <c r="C36" s="218"/>
      <c r="D36" s="218"/>
      <c r="E36" s="218"/>
      <c r="F36" s="218"/>
    </row>
    <row r="37" spans="1:6">
      <c r="B37" s="218"/>
      <c r="C37" s="218"/>
      <c r="D37" s="218"/>
      <c r="E37" s="218"/>
      <c r="F37" s="218"/>
    </row>
    <row r="38" spans="1:6">
      <c r="B38" s="218"/>
      <c r="C38" s="218"/>
      <c r="D38" s="218"/>
      <c r="E38" s="218"/>
      <c r="F38" s="218"/>
    </row>
    <row r="39" spans="1:6">
      <c r="B39" s="218"/>
      <c r="C39" s="218"/>
      <c r="D39" s="218"/>
      <c r="E39" s="218"/>
      <c r="F39" s="218"/>
    </row>
  </sheetData>
  <phoneticPr fontId="0" type="noConversion"/>
  <pageMargins left="0.78740157480314965" right="0.54" top="1.299212598425197" bottom="0.47244094488188981" header="0.94488188976377963" footer="0.51181102362204722"/>
  <pageSetup paperSize="9" scale="80" orientation="portrait" horizontalDpi="4294967292" verticalDpi="4294967292"/>
  <headerFooter alignWithMargins="0">
    <oddHeader>&amp;L&amp;"Arial,Bold"&amp;14Prämientarife in der OKP</oddHeader>
    <oddFooter>&amp;L&amp;"Arial,Regular"Statistik der Krankenversicherung, Bundesamt für Sozialversicherung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DD17-354A-B148-9E7E-F5AB41E54AA8}">
  <dimension ref="A1:H30"/>
  <sheetViews>
    <sheetView zoomScale="75" workbookViewId="0">
      <selection activeCell="A3" sqref="A3"/>
    </sheetView>
  </sheetViews>
  <sheetFormatPr baseColWidth="10" defaultColWidth="11.3984375" defaultRowHeight="13"/>
  <cols>
    <col min="1" max="1" width="16.796875" style="7" customWidth="1"/>
    <col min="2" max="2" width="12.796875" style="7" customWidth="1"/>
    <col min="3" max="3" width="11.3984375" style="7"/>
    <col min="4" max="4" width="11.796875" style="7" customWidth="1"/>
    <col min="5" max="5" width="12.796875" style="7" customWidth="1"/>
    <col min="6" max="6" width="11.3984375" style="7"/>
    <col min="7" max="7" width="12.796875" style="7" customWidth="1"/>
    <col min="8" max="8" width="13.19921875" style="7" customWidth="1"/>
    <col min="9" max="16384" width="11.3984375" style="7"/>
  </cols>
  <sheetData>
    <row r="1" spans="1:8" s="1" customFormat="1" ht="14" customHeight="1"/>
    <row r="2" spans="1:8" s="1" customFormat="1" ht="28" customHeight="1">
      <c r="A2" s="2" t="s">
        <v>1073</v>
      </c>
    </row>
    <row r="3" spans="1:8" ht="24" customHeight="1">
      <c r="A3" s="41" t="s">
        <v>773</v>
      </c>
      <c r="B3" s="6" t="s">
        <v>574</v>
      </c>
      <c r="C3" s="42" t="s">
        <v>522</v>
      </c>
      <c r="D3" s="6" t="s">
        <v>1074</v>
      </c>
      <c r="E3" s="42" t="s">
        <v>574</v>
      </c>
      <c r="F3" s="6" t="s">
        <v>522</v>
      </c>
      <c r="G3" s="42" t="s">
        <v>1075</v>
      </c>
      <c r="H3" s="6" t="s">
        <v>1075</v>
      </c>
    </row>
    <row r="4" spans="1:8" ht="15" customHeight="1">
      <c r="A4" s="43"/>
      <c r="B4" s="12" t="s">
        <v>1074</v>
      </c>
      <c r="C4" s="44" t="s">
        <v>523</v>
      </c>
      <c r="D4" s="12" t="s">
        <v>1076</v>
      </c>
      <c r="E4" s="44" t="s">
        <v>1077</v>
      </c>
      <c r="F4" s="12" t="s">
        <v>523</v>
      </c>
      <c r="G4" s="44" t="s">
        <v>1078</v>
      </c>
      <c r="H4" s="12" t="s">
        <v>1078</v>
      </c>
    </row>
    <row r="5" spans="1:8" ht="15" customHeight="1">
      <c r="A5" s="43"/>
      <c r="B5" s="12" t="s">
        <v>1079</v>
      </c>
      <c r="C5" s="44" t="s">
        <v>524</v>
      </c>
      <c r="D5" s="12" t="s">
        <v>1085</v>
      </c>
      <c r="E5" s="44" t="s">
        <v>1080</v>
      </c>
      <c r="F5" s="12" t="s">
        <v>524</v>
      </c>
      <c r="G5" s="44" t="s">
        <v>1081</v>
      </c>
      <c r="H5" s="12" t="s">
        <v>1082</v>
      </c>
    </row>
    <row r="6" spans="1:8" ht="24" customHeight="1">
      <c r="A6" s="46"/>
      <c r="B6" s="16"/>
      <c r="C6" s="47"/>
      <c r="D6" s="16"/>
      <c r="E6" s="47"/>
      <c r="F6" s="16"/>
      <c r="G6" s="47" t="s">
        <v>740</v>
      </c>
      <c r="H6" s="16" t="s">
        <v>740</v>
      </c>
    </row>
    <row r="7" spans="1:8" ht="30" customHeight="1" thickBot="1">
      <c r="A7" s="49">
        <v>1996</v>
      </c>
      <c r="B7" s="20">
        <f>[67]f!B7</f>
        <v>1656431</v>
      </c>
      <c r="C7" s="51" t="str">
        <f>[67]f!C7</f>
        <v>–</v>
      </c>
      <c r="D7" s="146">
        <f>[67]f!D7</f>
        <v>0.23300000000000001</v>
      </c>
      <c r="E7" s="50">
        <f>[67]f!E7</f>
        <v>821972</v>
      </c>
      <c r="F7" s="146" t="str">
        <f>[67]f!F7</f>
        <v>–</v>
      </c>
      <c r="G7" s="50">
        <f>[67]f!G7</f>
        <v>1508.6632014229194</v>
      </c>
      <c r="H7" s="20">
        <f>[67]f!H7</f>
        <v>901.63486133741753</v>
      </c>
    </row>
    <row r="8" spans="1:8" ht="20" customHeight="1" thickBot="1">
      <c r="A8" s="52">
        <v>1997</v>
      </c>
      <c r="B8" s="26">
        <f>[67]f!B8</f>
        <v>1955994</v>
      </c>
      <c r="C8" s="55">
        <f>[67]f!C8</f>
        <v>0.1808484627491275</v>
      </c>
      <c r="D8" s="190">
        <f>[67]f!D8</f>
        <v>0.27500000000000002</v>
      </c>
      <c r="E8" s="54">
        <f>[67]f!E8</f>
        <v>988940</v>
      </c>
      <c r="F8" s="190">
        <f>[67]f!F8</f>
        <v>0.203131006895612</v>
      </c>
      <c r="G8" s="54">
        <f>[67]f!G8</f>
        <v>2016.5343367646167</v>
      </c>
      <c r="H8" s="26">
        <f>[67]f!H8</f>
        <v>1019.5488672255641</v>
      </c>
    </row>
    <row r="9" spans="1:8" ht="20" customHeight="1" thickBot="1">
      <c r="A9" s="52">
        <v>1998</v>
      </c>
      <c r="B9" s="26">
        <f>[67]f!B9</f>
        <v>2240522</v>
      </c>
      <c r="C9" s="55">
        <f>[67]f!C9</f>
        <v>0.14546465888954668</v>
      </c>
      <c r="D9" s="190">
        <f>[67]f!D9</f>
        <v>0.314</v>
      </c>
      <c r="E9" s="54">
        <f>[67]f!E9</f>
        <v>1178551</v>
      </c>
      <c r="F9" s="190">
        <f>[67]f!F9</f>
        <v>0.19173155095354621</v>
      </c>
      <c r="G9" s="54">
        <f>[67]f!G9</f>
        <v>2075.8295126812504</v>
      </c>
      <c r="H9" s="26">
        <f>[67]f!H9</f>
        <v>1091.9200739827595</v>
      </c>
    </row>
    <row r="10" spans="1:8" ht="20" customHeight="1" thickBot="1">
      <c r="A10" s="52">
        <v>1999</v>
      </c>
      <c r="B10" s="26">
        <f>[67]f!B10</f>
        <v>2334267</v>
      </c>
      <c r="C10" s="55">
        <f>[67]f!C10</f>
        <v>4.1840696052080718E-2</v>
      </c>
      <c r="D10" s="190">
        <f>[67]f!D10</f>
        <v>0.32570843248350928</v>
      </c>
      <c r="E10" s="54">
        <f>[67]f!E10</f>
        <v>1230090</v>
      </c>
      <c r="F10" s="190">
        <f>[67]f!F10</f>
        <v>4.3730818606916459E-2</v>
      </c>
      <c r="G10" s="54">
        <f>[67]f!G10</f>
        <v>2186.5653545675523</v>
      </c>
      <c r="H10" s="26">
        <f>[67]f!H10</f>
        <v>1152.2555804455958</v>
      </c>
    </row>
    <row r="11" spans="1:8" ht="21" customHeight="1" thickBot="1">
      <c r="A11" s="52">
        <v>2000</v>
      </c>
      <c r="B11" s="26">
        <f>[67]f!B11</f>
        <v>2337717</v>
      </c>
      <c r="C11" s="55">
        <f>[67]f!C11</f>
        <v>1.4779800254212565E-3</v>
      </c>
      <c r="D11" s="190">
        <f>[67]f!D11</f>
        <v>0.32427568045795824</v>
      </c>
      <c r="E11" s="54">
        <f>[67]f!E11</f>
        <v>1242695</v>
      </c>
      <c r="F11" s="190">
        <f>[67]f!F11</f>
        <v>1.0247217683258949E-2</v>
      </c>
      <c r="G11" s="54">
        <f>[67]f!G11</f>
        <v>2048</v>
      </c>
      <c r="H11" s="26">
        <f>[67]f!H11</f>
        <v>1088.8085894058177</v>
      </c>
    </row>
    <row r="12" spans="1:8" ht="27.75" customHeight="1" thickBot="1">
      <c r="A12" s="56">
        <v>2001</v>
      </c>
      <c r="B12" s="39">
        <f>[67]f!B12</f>
        <v>2376421</v>
      </c>
      <c r="C12" s="58">
        <f>[67]f!C12</f>
        <v>1.6556323969068969E-2</v>
      </c>
      <c r="D12" s="80">
        <f>[67]f!D12</f>
        <v>0.32731543251630535</v>
      </c>
      <c r="E12" s="57">
        <f>[67]f!E12</f>
        <v>1268943</v>
      </c>
      <c r="F12" s="330">
        <f>[67]f!F12</f>
        <v>2.1121836009640339E-2</v>
      </c>
      <c r="G12" s="57">
        <f>[67]f!G12</f>
        <v>2094.0647990098846</v>
      </c>
      <c r="H12" s="184">
        <f>[67]f!H12</f>
        <v>1118.1726084098736</v>
      </c>
    </row>
    <row r="13" spans="1:8" ht="16.5" customHeight="1">
      <c r="A13" s="331" t="str">
        <f>'[68]data an-1'!$D$2</f>
        <v xml:space="preserve">Datenstand: 21.10.02 </v>
      </c>
      <c r="B13" s="28"/>
      <c r="C13" s="28"/>
      <c r="D13" s="28"/>
      <c r="E13" s="28"/>
      <c r="F13" s="28"/>
      <c r="G13" s="28"/>
      <c r="H13" s="28"/>
    </row>
    <row r="14" spans="1:8">
      <c r="A14" s="7" t="s">
        <v>1083</v>
      </c>
    </row>
    <row r="15" spans="1:8" ht="15" customHeight="1">
      <c r="A15" s="143" t="s">
        <v>1084</v>
      </c>
    </row>
    <row r="16" spans="1:8" ht="30" customHeight="1"/>
    <row r="17" spans="1:1" ht="30" customHeight="1">
      <c r="A17" s="1"/>
    </row>
    <row r="18" spans="1:1" ht="30" customHeight="1">
      <c r="A18" s="2"/>
    </row>
    <row r="19" spans="1:1" ht="30" customHeight="1"/>
    <row r="20" spans="1:1" ht="30" customHeight="1"/>
    <row r="21" spans="1:1" ht="30" customHeight="1"/>
    <row r="22" spans="1:1" ht="30" customHeight="1"/>
    <row r="23" spans="1:1" ht="30" customHeight="1"/>
    <row r="24" spans="1:1" ht="30" customHeight="1"/>
    <row r="25" spans="1:1" ht="30" customHeight="1"/>
    <row r="26" spans="1:1" ht="30" customHeight="1"/>
    <row r="27" spans="1:1" ht="30" customHeight="1"/>
    <row r="28" spans="1:1" ht="30" customHeight="1"/>
    <row r="29" spans="1:1" ht="30" customHeight="1"/>
    <row r="30" spans="1:1" ht="30" customHeight="1"/>
  </sheetData>
  <phoneticPr fontId="0" type="noConversion"/>
  <pageMargins left="0.52" right="0.63" top="1.4566929133858268" bottom="0.76" header="0.94488188976377963" footer="0.47"/>
  <pageSetup paperSize="9" scale="80" orientation="portrait" horizontalDpi="4294967292" verticalDpi="4294967292"/>
  <headerFooter alignWithMargins="0">
    <oddHeader>&amp;L&amp;"Arial,Bold"&amp;14Prämienverbilligung in der OKP</oddHeader>
    <oddFooter>&amp;L&amp;"Arial,Regular"Statistik über die Krankenversicherung, Bundesamt für Sozialversicherung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F918-347E-A348-AD00-A0C29D753817}">
  <dimension ref="A1:I39"/>
  <sheetViews>
    <sheetView topLeftCell="A20" zoomScale="75" workbookViewId="0">
      <selection activeCell="H34" sqref="H34"/>
    </sheetView>
  </sheetViews>
  <sheetFormatPr baseColWidth="10" defaultColWidth="11.3984375" defaultRowHeight="13"/>
  <cols>
    <col min="1" max="8" width="13.19921875" style="7" customWidth="1"/>
    <col min="9" max="16384" width="11.3984375" style="7"/>
  </cols>
  <sheetData>
    <row r="1" spans="1:9" s="1" customFormat="1" ht="14" customHeight="1"/>
    <row r="2" spans="1:9" s="1" customFormat="1" ht="28" customHeight="1">
      <c r="A2" s="2" t="str">
        <f>"T 4.02 Anzahl BezügerInnen und BezügerInnenquoten nach Geschlecht und Kanton "&amp;'[68]data an-1'!$B$2</f>
        <v>T 4.02 Anzahl BezügerInnen und BezügerInnenquoten nach Geschlecht und Kanton 2001</v>
      </c>
    </row>
    <row r="3" spans="1:9" ht="24" customHeight="1">
      <c r="A3" s="41" t="s">
        <v>537</v>
      </c>
      <c r="B3" s="866" t="s">
        <v>1093</v>
      </c>
      <c r="C3" s="863"/>
      <c r="D3" s="863"/>
      <c r="E3" s="41"/>
      <c r="F3" s="866" t="s">
        <v>1094</v>
      </c>
      <c r="G3" s="863"/>
      <c r="H3" s="863"/>
    </row>
    <row r="4" spans="1:9" ht="15" customHeight="1">
      <c r="A4" s="43"/>
      <c r="B4" s="12" t="s">
        <v>1086</v>
      </c>
      <c r="C4" s="45" t="s">
        <v>1087</v>
      </c>
      <c r="D4" s="11" t="s">
        <v>514</v>
      </c>
      <c r="E4" s="45" t="s">
        <v>522</v>
      </c>
      <c r="F4" s="11" t="s">
        <v>1086</v>
      </c>
      <c r="G4" s="45" t="s">
        <v>1087</v>
      </c>
      <c r="H4" s="12" t="s">
        <v>514</v>
      </c>
    </row>
    <row r="5" spans="1:9" ht="15" customHeight="1">
      <c r="A5" s="43"/>
      <c r="B5" s="12" t="s">
        <v>1088</v>
      </c>
      <c r="C5" s="44" t="s">
        <v>1088</v>
      </c>
      <c r="D5" s="12" t="s">
        <v>1088</v>
      </c>
      <c r="E5" s="44" t="s">
        <v>523</v>
      </c>
      <c r="F5" s="11" t="s">
        <v>1088</v>
      </c>
      <c r="G5" s="45" t="s">
        <v>1088</v>
      </c>
      <c r="H5" s="12" t="s">
        <v>1088</v>
      </c>
    </row>
    <row r="6" spans="1:9" ht="15" customHeight="1">
      <c r="A6" s="43"/>
      <c r="B6" s="12"/>
      <c r="C6" s="44"/>
      <c r="D6" s="12"/>
      <c r="E6" s="44" t="s">
        <v>524</v>
      </c>
      <c r="F6" s="11"/>
      <c r="G6" s="45"/>
      <c r="H6" s="12"/>
    </row>
    <row r="7" spans="1:9" ht="16" customHeight="1">
      <c r="A7" s="46"/>
      <c r="B7" s="16"/>
      <c r="C7" s="47"/>
      <c r="D7" s="16"/>
      <c r="E7" s="47" t="s">
        <v>1059</v>
      </c>
      <c r="F7" s="189"/>
      <c r="G7" s="48"/>
      <c r="H7" s="16"/>
      <c r="I7" s="227"/>
    </row>
    <row r="8" spans="1:9" ht="30" customHeight="1" thickBot="1">
      <c r="A8" s="296" t="s">
        <v>541</v>
      </c>
      <c r="B8" s="21">
        <f>[69]f!B8</f>
        <v>184577</v>
      </c>
      <c r="C8" s="68">
        <f>[69]f!C8</f>
        <v>214110</v>
      </c>
      <c r="D8" s="21">
        <f>[69]f!D8</f>
        <v>398687</v>
      </c>
      <c r="E8" s="90">
        <f>[69]f!E8</f>
        <v>4.1246402398575063E-2</v>
      </c>
      <c r="F8" s="69">
        <f>[69]f!F8</f>
        <v>0.30294878444297091</v>
      </c>
      <c r="G8" s="90">
        <f>[69]f!G8</f>
        <v>0.34025843176953136</v>
      </c>
      <c r="H8" s="69">
        <f>[69]f!H8</f>
        <v>0.32190468500837688</v>
      </c>
      <c r="I8" s="22"/>
    </row>
    <row r="9" spans="1:9" ht="20" customHeight="1" thickBot="1">
      <c r="A9" s="297" t="s">
        <v>542</v>
      </c>
      <c r="B9" s="21">
        <f>[69]f!B9</f>
        <v>161434</v>
      </c>
      <c r="C9" s="68">
        <f>[69]f!C9</f>
        <v>188841</v>
      </c>
      <c r="D9" s="21">
        <f>[69]f!D9</f>
        <v>350275</v>
      </c>
      <c r="E9" s="90">
        <f>[69]f!E9</f>
        <v>3.2625999386806916E-2</v>
      </c>
      <c r="F9" s="69">
        <f>[69]f!F9</f>
        <v>0.34823782179328433</v>
      </c>
      <c r="G9" s="90">
        <f>[69]f!G9</f>
        <v>0.38559754643318034</v>
      </c>
      <c r="H9" s="69">
        <f>[69]f!H9</f>
        <v>0.36743032172116102</v>
      </c>
      <c r="I9" s="22"/>
    </row>
    <row r="10" spans="1:9" ht="20" customHeight="1" thickBot="1">
      <c r="A10" s="297" t="s">
        <v>543</v>
      </c>
      <c r="B10" s="21">
        <f>[69]f!B10</f>
        <v>59137</v>
      </c>
      <c r="C10" s="68">
        <f>[69]f!C10</f>
        <v>65116</v>
      </c>
      <c r="D10" s="21">
        <f>[69]f!D10</f>
        <v>124253</v>
      </c>
      <c r="E10" s="90">
        <f>[69]f!E10</f>
        <v>4.9886353074381704E-2</v>
      </c>
      <c r="F10" s="69">
        <f>[69]f!F10</f>
        <v>0.3455172212322164</v>
      </c>
      <c r="G10" s="90">
        <f>[69]f!G10</f>
        <v>0.36799095789771119</v>
      </c>
      <c r="H10" s="69">
        <f>[69]f!H10</f>
        <v>0.35694115281308803</v>
      </c>
      <c r="I10" s="22"/>
    </row>
    <row r="11" spans="1:9" ht="20" customHeight="1" thickBot="1">
      <c r="A11" s="297" t="s">
        <v>544</v>
      </c>
      <c r="B11" s="21">
        <f>[69]f!B11</f>
        <v>5765</v>
      </c>
      <c r="C11" s="68">
        <f>[69]f!C11</f>
        <v>5996</v>
      </c>
      <c r="D11" s="21">
        <f>[69]f!D11</f>
        <v>11761</v>
      </c>
      <c r="E11" s="90">
        <f>[69]f!E11</f>
        <v>-0.216925228044477</v>
      </c>
      <c r="F11" s="69">
        <f>[69]f!F11</f>
        <v>0.33689808321645631</v>
      </c>
      <c r="G11" s="90">
        <f>[69]f!G11</f>
        <v>0.35171281088690753</v>
      </c>
      <c r="H11" s="69">
        <f>[69]f!H11</f>
        <v>0.34429156908665104</v>
      </c>
      <c r="I11" s="22"/>
    </row>
    <row r="12" spans="1:9" ht="20" customHeight="1" thickBot="1">
      <c r="A12" s="297" t="s">
        <v>545</v>
      </c>
      <c r="B12" s="21">
        <f>[69]f!B12</f>
        <v>15381</v>
      </c>
      <c r="C12" s="68">
        <f>[69]f!C12</f>
        <v>16564</v>
      </c>
      <c r="D12" s="21">
        <f>[69]f!D12</f>
        <v>31945</v>
      </c>
      <c r="E12" s="90">
        <f>[69]f!E12</f>
        <v>-9.0271745874177939E-3</v>
      </c>
      <c r="F12" s="69">
        <f>[69]f!F12</f>
        <v>0.23429859704175363</v>
      </c>
      <c r="G12" s="90">
        <f>[69]f!G12</f>
        <v>0.2563332765904765</v>
      </c>
      <c r="H12" s="69">
        <f>[69]f!H12</f>
        <v>0.24522899298358744</v>
      </c>
      <c r="I12" s="22"/>
    </row>
    <row r="13" spans="1:9" ht="20" customHeight="1" thickBot="1">
      <c r="A13" s="297" t="s">
        <v>546</v>
      </c>
      <c r="B13" s="21">
        <f>[69]f!B13</f>
        <v>7832</v>
      </c>
      <c r="C13" s="68">
        <f>[69]f!C13</f>
        <v>8511</v>
      </c>
      <c r="D13" s="21">
        <f>[69]f!D13</f>
        <v>16343</v>
      </c>
      <c r="E13" s="90">
        <f>[69]f!E13</f>
        <v>3.837600864095559E-2</v>
      </c>
      <c r="F13" s="69">
        <f>[69]f!F13</f>
        <v>0.47872860635696823</v>
      </c>
      <c r="G13" s="90">
        <f>[69]f!G13</f>
        <v>0.52771577380952384</v>
      </c>
      <c r="H13" s="69">
        <f>[69]f!H13</f>
        <v>0.50304727899532131</v>
      </c>
      <c r="I13" s="22"/>
    </row>
    <row r="14" spans="1:9" ht="20" customHeight="1" thickBot="1">
      <c r="A14" s="297" t="s">
        <v>547</v>
      </c>
      <c r="B14" s="21">
        <f>[69]f!B14</f>
        <v>7974</v>
      </c>
      <c r="C14" s="68">
        <f>[69]f!C14</f>
        <v>8608</v>
      </c>
      <c r="D14" s="21">
        <f>[69]f!D14</f>
        <v>16582</v>
      </c>
      <c r="E14" s="90">
        <f>[69]f!E14</f>
        <v>0.25554630120390703</v>
      </c>
      <c r="F14" s="69">
        <f>[69]f!F14</f>
        <v>0.4213029006181645</v>
      </c>
      <c r="G14" s="90">
        <f>[69]f!G14</f>
        <v>0.46620450606585789</v>
      </c>
      <c r="H14" s="69">
        <f>[69]f!H14</f>
        <v>0.44347570270920811</v>
      </c>
      <c r="I14" s="22"/>
    </row>
    <row r="15" spans="1:9" ht="20" customHeight="1" thickBot="1">
      <c r="A15" s="297" t="s">
        <v>548</v>
      </c>
      <c r="B15" s="21">
        <f>[69]f!B15</f>
        <v>4890</v>
      </c>
      <c r="C15" s="68">
        <f>[69]f!C15</f>
        <v>5273</v>
      </c>
      <c r="D15" s="21">
        <f>[69]f!D15</f>
        <v>10163</v>
      </c>
      <c r="E15" s="90">
        <f>[69]f!E15</f>
        <v>-2.0999903670166652E-2</v>
      </c>
      <c r="F15" s="69">
        <f>[69]f!F15</f>
        <v>0.26025866198307518</v>
      </c>
      <c r="G15" s="90">
        <f>[69]f!G15</f>
        <v>0.27427828348504552</v>
      </c>
      <c r="H15" s="69">
        <f>[69]f!H15</f>
        <v>0.26734887146840636</v>
      </c>
      <c r="I15" s="22"/>
    </row>
    <row r="16" spans="1:9" ht="20" customHeight="1" thickBot="1">
      <c r="A16" s="297" t="s">
        <v>549</v>
      </c>
      <c r="B16" s="21">
        <f>[69]f!B16</f>
        <v>18261</v>
      </c>
      <c r="C16" s="68">
        <f>[69]f!C16</f>
        <v>18991</v>
      </c>
      <c r="D16" s="21">
        <f>[69]f!D16</f>
        <v>37252</v>
      </c>
      <c r="E16" s="90">
        <f>[69]f!E16</f>
        <v>6.303684045315755E-2</v>
      </c>
      <c r="F16" s="69">
        <f>[69]f!F16</f>
        <v>0.36380117541587809</v>
      </c>
      <c r="G16" s="90">
        <f>[69]f!G16</f>
        <v>0.37947088678415858</v>
      </c>
      <c r="H16" s="69">
        <f>[69]f!H16</f>
        <v>0.37162438523159186</v>
      </c>
      <c r="I16" s="22"/>
    </row>
    <row r="17" spans="1:9" ht="20" customHeight="1" thickBot="1">
      <c r="A17" s="297" t="s">
        <v>550</v>
      </c>
      <c r="B17" s="21">
        <f>[69]f!B17</f>
        <v>50073</v>
      </c>
      <c r="C17" s="68">
        <f>[69]f!C17</f>
        <v>44592</v>
      </c>
      <c r="D17" s="21">
        <f>[69]f!D17</f>
        <v>94665</v>
      </c>
      <c r="E17" s="90">
        <f>[69]f!E17</f>
        <v>1.4923932970956226E-2</v>
      </c>
      <c r="F17" s="69">
        <f>[69]f!F17</f>
        <v>0.41912964869547747</v>
      </c>
      <c r="G17" s="90">
        <f>[69]f!G17</f>
        <v>0.37031316176287399</v>
      </c>
      <c r="H17" s="69">
        <f>[69]f!H17</f>
        <v>0.39462494684975363</v>
      </c>
      <c r="I17" s="22"/>
    </row>
    <row r="18" spans="1:9" ht="20" customHeight="1" thickBot="1">
      <c r="A18" s="297" t="s">
        <v>1095</v>
      </c>
      <c r="B18" s="21">
        <f>[69]f!B18</f>
        <v>34038</v>
      </c>
      <c r="C18" s="68">
        <f>[69]f!C18</f>
        <v>36823</v>
      </c>
      <c r="D18" s="21">
        <f>[69]f!D18</f>
        <v>70861</v>
      </c>
      <c r="E18" s="90">
        <f>[69]f!E18</f>
        <v>0.11144049187527448</v>
      </c>
      <c r="F18" s="69">
        <f>[69]f!F18</f>
        <v>0.285065826940471</v>
      </c>
      <c r="G18" s="90">
        <f>[69]f!G18</f>
        <v>0.29829720359029194</v>
      </c>
      <c r="H18" s="69">
        <f>[69]f!H18</f>
        <v>0.29179157332981948</v>
      </c>
      <c r="I18" s="22"/>
    </row>
    <row r="19" spans="1:9" ht="20" customHeight="1" thickBot="1">
      <c r="A19" s="297" t="s">
        <v>552</v>
      </c>
      <c r="B19" s="21">
        <f>[69]f!B19</f>
        <v>25265</v>
      </c>
      <c r="C19" s="68">
        <f>[69]f!C19</f>
        <v>30670</v>
      </c>
      <c r="D19" s="21">
        <f>[69]f!D19</f>
        <v>55935</v>
      </c>
      <c r="E19" s="90">
        <f>[69]f!E19</f>
        <v>1.5320106732497141E-2</v>
      </c>
      <c r="F19" s="69">
        <f>[69]f!F19</f>
        <v>0.28088451105082934</v>
      </c>
      <c r="G19" s="90">
        <f>[69]f!G19</f>
        <v>0.30618255148798529</v>
      </c>
      <c r="H19" s="69">
        <f>[69]f!H19</f>
        <v>0.29421356322685505</v>
      </c>
      <c r="I19" s="22"/>
    </row>
    <row r="20" spans="1:9" ht="20" customHeight="1" thickBot="1">
      <c r="A20" s="297" t="s">
        <v>1096</v>
      </c>
      <c r="B20" s="21">
        <f>[69]f!B20</f>
        <v>51418</v>
      </c>
      <c r="C20" s="68">
        <f>[69]f!C20</f>
        <v>54713</v>
      </c>
      <c r="D20" s="21">
        <f>[69]f!D20</f>
        <v>106131</v>
      </c>
      <c r="E20" s="90">
        <f>[69]f!E20</f>
        <v>2.4463503098080702E-3</v>
      </c>
      <c r="F20" s="69">
        <f>[69]f!F20</f>
        <v>0.4058664267051868</v>
      </c>
      <c r="G20" s="90">
        <f>[69]f!G20</f>
        <v>0.41440452025327962</v>
      </c>
      <c r="H20" s="69">
        <f>[69]f!H20</f>
        <v>0.41022360512533096</v>
      </c>
      <c r="I20" s="22"/>
    </row>
    <row r="21" spans="1:9" ht="20" customHeight="1" thickBot="1">
      <c r="A21" s="297" t="s">
        <v>554</v>
      </c>
      <c r="B21" s="21">
        <f>[69]f!B21</f>
        <v>11823</v>
      </c>
      <c r="C21" s="68">
        <f>[69]f!C21</f>
        <v>12319</v>
      </c>
      <c r="D21" s="21">
        <f>[69]f!D21</f>
        <v>24142</v>
      </c>
      <c r="E21" s="90">
        <f>[69]f!E21</f>
        <v>-0.10498999036108846</v>
      </c>
      <c r="F21" s="69">
        <f>[69]f!F21</f>
        <v>0.33493866681775686</v>
      </c>
      <c r="G21" s="90">
        <f>[69]f!G21</f>
        <v>0.32814789163847524</v>
      </c>
      <c r="H21" s="69">
        <f>[69]f!H21</f>
        <v>0.33143876990664473</v>
      </c>
      <c r="I21" s="22"/>
    </row>
    <row r="22" spans="1:9" ht="20" customHeight="1" thickBot="1">
      <c r="A22" s="297" t="s">
        <v>555</v>
      </c>
      <c r="B22" s="21">
        <f>[69]f!B22</f>
        <v>7396</v>
      </c>
      <c r="C22" s="68">
        <f>[69]f!C22</f>
        <v>7726</v>
      </c>
      <c r="D22" s="21">
        <f>[69]f!D22</f>
        <v>15122</v>
      </c>
      <c r="E22" s="90">
        <f>[69]f!E22</f>
        <v>-0.16939470504229376</v>
      </c>
      <c r="F22" s="69">
        <f>[69]f!F22</f>
        <v>0.28090698469368375</v>
      </c>
      <c r="G22" s="90">
        <f>[69]f!G22</f>
        <v>0.29027652539825671</v>
      </c>
      <c r="H22" s="69">
        <f>[69]f!H22</f>
        <v>0.28561714987250919</v>
      </c>
      <c r="I22" s="22"/>
    </row>
    <row r="23" spans="1:9" ht="20" customHeight="1" thickBot="1">
      <c r="A23" s="297" t="s">
        <v>556</v>
      </c>
      <c r="B23" s="21">
        <f>[69]f!B23</f>
        <v>4478</v>
      </c>
      <c r="C23" s="68">
        <f>[69]f!C23</f>
        <v>4316</v>
      </c>
      <c r="D23" s="21">
        <f>[69]f!D23</f>
        <v>8794</v>
      </c>
      <c r="E23" s="90">
        <f>[69]f!E23</f>
        <v>6.639194139194139E-3</v>
      </c>
      <c r="F23" s="69">
        <f>[69]f!F23</f>
        <v>0.59866310160427805</v>
      </c>
      <c r="G23" s="90">
        <f>[69]f!G23</f>
        <v>0.59687456783294146</v>
      </c>
      <c r="H23" s="69">
        <f>[69]f!H23</f>
        <v>0.59778397117803006</v>
      </c>
      <c r="I23" s="22"/>
    </row>
    <row r="24" spans="1:9" ht="20" customHeight="1" thickBot="1">
      <c r="A24" s="297" t="s">
        <v>557</v>
      </c>
      <c r="B24" s="21">
        <f>[69]f!B24</f>
        <v>74431</v>
      </c>
      <c r="C24" s="68">
        <f>[69]f!C24</f>
        <v>81177</v>
      </c>
      <c r="D24" s="21">
        <f>[69]f!D24</f>
        <v>155608</v>
      </c>
      <c r="E24" s="90">
        <f>[69]f!E24</f>
        <v>2.2149820016290497E-2</v>
      </c>
      <c r="F24" s="69">
        <f>[69]f!F24</f>
        <v>0.33389707333704177</v>
      </c>
      <c r="G24" s="90">
        <f>[69]f!G24</f>
        <v>0.35602229716987338</v>
      </c>
      <c r="H24" s="69">
        <f>[69]f!H24</f>
        <v>0.34508468111246388</v>
      </c>
      <c r="I24" s="22"/>
    </row>
    <row r="25" spans="1:9" ht="20" customHeight="1" thickBot="1">
      <c r="A25" s="297" t="s">
        <v>558</v>
      </c>
      <c r="B25" s="21">
        <f>[69]f!B25</f>
        <v>26306</v>
      </c>
      <c r="C25" s="68">
        <f>[69]f!C25</f>
        <v>29840</v>
      </c>
      <c r="D25" s="21">
        <f>[69]f!D25</f>
        <v>56146</v>
      </c>
      <c r="E25" s="90">
        <f>[69]f!E25</f>
        <v>-0.17007627268964701</v>
      </c>
      <c r="F25" s="69">
        <f>[69]f!F25</f>
        <v>0.28241381901725232</v>
      </c>
      <c r="G25" s="90">
        <f>[69]f!G25</f>
        <v>0.31373538565060138</v>
      </c>
      <c r="H25" s="69">
        <f>[69]f!H25</f>
        <v>0.298238065643608</v>
      </c>
      <c r="I25" s="22"/>
    </row>
    <row r="26" spans="1:9" ht="20" customHeight="1" thickBot="1">
      <c r="A26" s="297" t="s">
        <v>559</v>
      </c>
      <c r="B26" s="21">
        <f>[69]f!B26</f>
        <v>58309</v>
      </c>
      <c r="C26" s="68">
        <f>[69]f!C26</f>
        <v>62158</v>
      </c>
      <c r="D26" s="21">
        <f>[69]f!D26</f>
        <v>120467</v>
      </c>
      <c r="E26" s="90">
        <f>[69]f!E26</f>
        <v>0.12863393200108678</v>
      </c>
      <c r="F26" s="69">
        <f>[69]f!F26</f>
        <v>0.21457722299706705</v>
      </c>
      <c r="G26" s="90">
        <f>[69]f!G26</f>
        <v>0.22654313788377992</v>
      </c>
      <c r="H26" s="69">
        <f>[69]f!H26</f>
        <v>0.22058907006765974</v>
      </c>
      <c r="I26" s="22"/>
    </row>
    <row r="27" spans="1:9" ht="20" customHeight="1" thickBot="1">
      <c r="A27" s="297" t="s">
        <v>560</v>
      </c>
      <c r="B27" s="21">
        <f>[69]f!B27</f>
        <v>49629</v>
      </c>
      <c r="C27" s="68">
        <f>[69]f!C27</f>
        <v>52359</v>
      </c>
      <c r="D27" s="21">
        <f>[69]f!D27</f>
        <v>101988</v>
      </c>
      <c r="E27" s="90">
        <f>[69]f!E27</f>
        <v>-5.3493206622614892E-2</v>
      </c>
      <c r="F27" s="69">
        <f>[69]f!F27</f>
        <v>0.43986421810188958</v>
      </c>
      <c r="G27" s="90">
        <f>[69]f!G27</f>
        <v>0.45636712281007585</v>
      </c>
      <c r="H27" s="69">
        <f>[69]f!H27</f>
        <v>0.44818463864157709</v>
      </c>
      <c r="I27" s="22"/>
    </row>
    <row r="28" spans="1:9" ht="20" customHeight="1" thickBot="1">
      <c r="A28" s="297" t="s">
        <v>561</v>
      </c>
      <c r="B28" s="21">
        <f>[69]f!B28</f>
        <v>35546</v>
      </c>
      <c r="C28" s="68">
        <f>[69]f!C28</f>
        <v>47642</v>
      </c>
      <c r="D28" s="21">
        <f>[69]f!D28</f>
        <v>83188</v>
      </c>
      <c r="E28" s="90">
        <f>[69]f!E28</f>
        <v>-8.2617040807811074E-3</v>
      </c>
      <c r="F28" s="69">
        <f>[69]f!F28</f>
        <v>0.24540885366325149</v>
      </c>
      <c r="G28" s="90">
        <f>[69]f!G28</f>
        <v>0.29759138495365167</v>
      </c>
      <c r="H28" s="69">
        <f>[69]f!H28</f>
        <v>0.27280478526641655</v>
      </c>
      <c r="I28" s="22"/>
    </row>
    <row r="29" spans="1:9" ht="20" customHeight="1" thickBot="1">
      <c r="A29" s="297" t="s">
        <v>562</v>
      </c>
      <c r="B29" s="21">
        <f>[69]f!B29</f>
        <v>67029</v>
      </c>
      <c r="C29" s="68">
        <f>[69]f!C29</f>
        <v>82519</v>
      </c>
      <c r="D29" s="21">
        <f>[69]f!D29</f>
        <v>149548</v>
      </c>
      <c r="E29" s="90">
        <f>[69]f!E29</f>
        <v>5.7698564254897798E-2</v>
      </c>
      <c r="F29" s="69">
        <f>[69]f!F29</f>
        <v>0.21858898266393603</v>
      </c>
      <c r="G29" s="90">
        <f>[69]f!G29</f>
        <v>0.25209188084451195</v>
      </c>
      <c r="H29" s="69">
        <f>[69]f!H29</f>
        <v>0.23588719535758959</v>
      </c>
      <c r="I29" s="22"/>
    </row>
    <row r="30" spans="1:9" ht="20" customHeight="1" thickBot="1">
      <c r="A30" s="297" t="s">
        <v>1097</v>
      </c>
      <c r="B30" s="21">
        <f>[69]f!B30</f>
        <v>43724</v>
      </c>
      <c r="C30" s="68">
        <f>[69]f!C30</f>
        <v>52282</v>
      </c>
      <c r="D30" s="21">
        <f>[69]f!D30</f>
        <v>96006</v>
      </c>
      <c r="E30" s="90">
        <f>[69]f!E30</f>
        <v>2.1373022543272658E-2</v>
      </c>
      <c r="F30" s="69">
        <f>[69]f!F30</f>
        <v>0.32443422126586036</v>
      </c>
      <c r="G30" s="90">
        <f>[69]f!G30</f>
        <v>0.37422873749158947</v>
      </c>
      <c r="H30" s="69">
        <f>[69]f!H30</f>
        <v>0.34977921566912956</v>
      </c>
      <c r="I30" s="22"/>
    </row>
    <row r="31" spans="1:9" ht="20" customHeight="1" thickBot="1">
      <c r="A31" s="297" t="s">
        <v>564</v>
      </c>
      <c r="B31" s="21">
        <f>[69]f!B31</f>
        <v>26260</v>
      </c>
      <c r="C31" s="68">
        <f>[69]f!C31</f>
        <v>32135</v>
      </c>
      <c r="D31" s="21">
        <f>[69]f!D31</f>
        <v>58395</v>
      </c>
      <c r="E31" s="90">
        <f>[69]f!E31</f>
        <v>-3.836969946480033E-2</v>
      </c>
      <c r="F31" s="69">
        <f>[69]f!F31</f>
        <v>0.32585496599990071</v>
      </c>
      <c r="G31" s="90">
        <f>[69]f!G31</f>
        <v>0.37314646013074931</v>
      </c>
      <c r="H31" s="69">
        <f>[69]f!H31</f>
        <v>0.35028523097410424</v>
      </c>
      <c r="I31" s="22"/>
    </row>
    <row r="32" spans="1:9" ht="20" customHeight="1" thickBot="1">
      <c r="A32" s="297" t="s">
        <v>565</v>
      </c>
      <c r="B32" s="21">
        <f>[69]f!B32</f>
        <v>70700</v>
      </c>
      <c r="C32" s="68">
        <f>[69]f!C32</f>
        <v>85441</v>
      </c>
      <c r="D32" s="21">
        <f>[69]f!D32</f>
        <v>156141</v>
      </c>
      <c r="E32" s="90">
        <f>[69]f!E32</f>
        <v>-4.0419621676765938E-2</v>
      </c>
      <c r="F32" s="69">
        <f>[69]f!F32</f>
        <v>0.35694271246169301</v>
      </c>
      <c r="G32" s="90">
        <f>[69]f!G32</f>
        <v>0.39295142434025959</v>
      </c>
      <c r="H32" s="69">
        <f>[69]f!H32</f>
        <v>0.37578609162344617</v>
      </c>
      <c r="I32" s="22"/>
    </row>
    <row r="33" spans="1:9" ht="20" customHeight="1" thickBot="1">
      <c r="A33" s="297" t="s">
        <v>566</v>
      </c>
      <c r="B33" s="21">
        <f>[69]f!B33</f>
        <v>11424</v>
      </c>
      <c r="C33" s="68">
        <f>[69]f!C33</f>
        <v>14599</v>
      </c>
      <c r="D33" s="21">
        <f>[69]f!D33</f>
        <v>26023</v>
      </c>
      <c r="E33" s="90">
        <f>[69]f!E33</f>
        <v>-2.3343966973165698E-2</v>
      </c>
      <c r="F33" s="69">
        <f>[69]f!F33</f>
        <v>0.34664401019541208</v>
      </c>
      <c r="G33" s="90">
        <f>[69]f!G33</f>
        <v>0.42492068574089703</v>
      </c>
      <c r="H33" s="69">
        <f>[69]f!H33</f>
        <v>0.38659694264109457</v>
      </c>
      <c r="I33" s="22"/>
    </row>
    <row r="34" spans="1:9" ht="30" customHeight="1" thickBot="1">
      <c r="A34" s="332" t="s">
        <v>808</v>
      </c>
      <c r="B34" s="265">
        <f>[69]f!B34</f>
        <v>1113100</v>
      </c>
      <c r="C34" s="266">
        <f>[69]f!C34</f>
        <v>1263321</v>
      </c>
      <c r="D34" s="265">
        <f>[69]f!D34</f>
        <v>2376421</v>
      </c>
      <c r="E34" s="333">
        <f>[69]f!E34</f>
        <v>1.6556323969068969E-2</v>
      </c>
      <c r="F34" s="334">
        <f>[69]f!F34</f>
        <v>0.31318353269674348</v>
      </c>
      <c r="G34" s="333">
        <f>[69]f!G34</f>
        <v>0.34086756949786479</v>
      </c>
      <c r="H34" s="334">
        <f>[69]f!H34</f>
        <v>0.32731543251630535</v>
      </c>
      <c r="I34" s="22"/>
    </row>
    <row r="35" spans="1:9" ht="20" customHeight="1">
      <c r="A35" s="331" t="str">
        <f>'[68]data an-1'!$D$2</f>
        <v xml:space="preserve">Datenstand: 21.10.02 </v>
      </c>
      <c r="B35" s="29"/>
      <c r="C35" s="29"/>
      <c r="D35" s="29"/>
      <c r="E35" s="29"/>
      <c r="F35" s="29"/>
      <c r="G35" s="29"/>
      <c r="H35" s="29"/>
    </row>
    <row r="36" spans="1:9" ht="11.25" customHeight="1">
      <c r="A36" s="7" t="s">
        <v>1089</v>
      </c>
      <c r="B36" s="31"/>
      <c r="C36" s="31"/>
      <c r="D36" s="31"/>
      <c r="E36" s="31"/>
      <c r="F36" s="31"/>
      <c r="G36" s="31"/>
      <c r="H36" s="31"/>
    </row>
    <row r="37" spans="1:9">
      <c r="A37" s="7" t="s">
        <v>1090</v>
      </c>
    </row>
    <row r="38" spans="1:9">
      <c r="A38" s="7" t="s">
        <v>1091</v>
      </c>
      <c r="E38" s="22"/>
    </row>
    <row r="39" spans="1:9">
      <c r="A39" s="7" t="s">
        <v>1092</v>
      </c>
    </row>
  </sheetData>
  <mergeCells count="2">
    <mergeCell ref="B3:D3"/>
    <mergeCell ref="F3:H3"/>
  </mergeCells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&amp;L&amp;"Arial,Bold"&amp;14Prämienverbilligung in der OKP</oddHeader>
    <oddFooter>&amp;L&amp;"Arial,Regular"Statistik über die Krankenversicherung, Bundesamt für Sozialversicherung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D60F-02D7-B140-B311-95BD073CA955}">
  <dimension ref="A1:I30"/>
  <sheetViews>
    <sheetView topLeftCell="A19" zoomScale="75" workbookViewId="0">
      <selection activeCell="E7" sqref="E7"/>
    </sheetView>
  </sheetViews>
  <sheetFormatPr baseColWidth="10" defaultColWidth="11.3984375" defaultRowHeight="13"/>
  <cols>
    <col min="1" max="1" width="15.19921875" style="7" customWidth="1"/>
    <col min="2" max="5" width="14.796875" style="7" customWidth="1"/>
    <col min="6" max="16384" width="11.3984375" style="7"/>
  </cols>
  <sheetData>
    <row r="1" spans="1:9" s="1" customFormat="1" ht="14" customHeight="1"/>
    <row r="2" spans="1:9" s="1" customFormat="1" ht="28" customHeight="1">
      <c r="A2" s="2" t="str">
        <f>"T 4.03 Anzahl BezügerInnen nach Geschlecht und Altersgruppe "&amp;'[68]data an-1'!$B$2</f>
        <v>T 4.03 Anzahl BezügerInnen nach Geschlecht und Altersgruppe 2001</v>
      </c>
    </row>
    <row r="3" spans="1:9" ht="27" customHeight="1">
      <c r="A3" s="41" t="s">
        <v>1098</v>
      </c>
      <c r="B3" s="6" t="s">
        <v>572</v>
      </c>
      <c r="C3" s="42" t="s">
        <v>573</v>
      </c>
      <c r="D3" s="6" t="s">
        <v>514</v>
      </c>
      <c r="E3" s="42" t="s">
        <v>575</v>
      </c>
    </row>
    <row r="4" spans="1:9" ht="15" customHeight="1">
      <c r="A4" s="61"/>
      <c r="B4" s="12"/>
      <c r="C4" s="44"/>
      <c r="D4" s="12"/>
      <c r="E4" s="44" t="s">
        <v>577</v>
      </c>
    </row>
    <row r="5" spans="1:9" ht="15" customHeight="1">
      <c r="A5" s="61"/>
      <c r="B5" s="12"/>
      <c r="C5" s="44"/>
      <c r="D5" s="12"/>
      <c r="E5" s="44" t="s">
        <v>1099</v>
      </c>
    </row>
    <row r="6" spans="1:9" ht="24" customHeight="1">
      <c r="A6" s="64"/>
      <c r="B6" s="16"/>
      <c r="C6" s="47"/>
      <c r="D6" s="16"/>
      <c r="E6" s="47"/>
    </row>
    <row r="7" spans="1:9" ht="30" customHeight="1" thickBot="1">
      <c r="A7" s="67" t="s">
        <v>1100</v>
      </c>
      <c r="B7" s="21">
        <f>[70]f!B7</f>
        <v>100089</v>
      </c>
      <c r="C7" s="68">
        <f>[70]f!C7</f>
        <v>95244</v>
      </c>
      <c r="D7" s="21">
        <f>[70]f!D7</f>
        <v>195333</v>
      </c>
      <c r="E7" s="90">
        <f>[70]f!E7</f>
        <v>8.2196294343468604E-2</v>
      </c>
      <c r="G7" s="264"/>
      <c r="H7" s="264"/>
      <c r="I7" s="264"/>
    </row>
    <row r="8" spans="1:9" ht="20" customHeight="1" thickBot="1">
      <c r="A8" s="70" t="s">
        <v>1101</v>
      </c>
      <c r="B8" s="53">
        <f>[70]f!B8</f>
        <v>108419</v>
      </c>
      <c r="C8" s="71">
        <f>[70]f!C8</f>
        <v>103450</v>
      </c>
      <c r="D8" s="53">
        <f>[70]f!D8</f>
        <v>211869</v>
      </c>
      <c r="E8" s="90">
        <f>[70]f!E8</f>
        <v>8.9154657360795919E-2</v>
      </c>
      <c r="G8" s="264"/>
      <c r="H8" s="264"/>
      <c r="I8" s="264"/>
    </row>
    <row r="9" spans="1:9" ht="20" customHeight="1" thickBot="1">
      <c r="A9" s="70" t="s">
        <v>1102</v>
      </c>
      <c r="B9" s="53">
        <f>[70]f!B9</f>
        <v>97697</v>
      </c>
      <c r="C9" s="71">
        <f>[70]f!C9</f>
        <v>92587</v>
      </c>
      <c r="D9" s="53">
        <f>[70]f!D9</f>
        <v>190284</v>
      </c>
      <c r="E9" s="90">
        <f>[70]f!E9</f>
        <v>8.007167080243778E-2</v>
      </c>
      <c r="G9" s="264"/>
      <c r="H9" s="264"/>
      <c r="I9" s="264"/>
    </row>
    <row r="10" spans="1:9" ht="20" customHeight="1" thickBot="1">
      <c r="A10" s="70" t="s">
        <v>1103</v>
      </c>
      <c r="B10" s="53">
        <f>[70]f!B10</f>
        <v>47848</v>
      </c>
      <c r="C10" s="71">
        <f>[70]f!C10</f>
        <v>45554</v>
      </c>
      <c r="D10" s="53">
        <f>[70]f!D10</f>
        <v>93402</v>
      </c>
      <c r="E10" s="90">
        <f>[70]f!E10</f>
        <v>3.9303641905201143E-2</v>
      </c>
      <c r="G10" s="264"/>
      <c r="H10" s="264"/>
      <c r="I10" s="264"/>
    </row>
    <row r="11" spans="1:9" ht="20" customHeight="1" thickBot="1">
      <c r="A11" s="70" t="s">
        <v>1104</v>
      </c>
      <c r="B11" s="53">
        <f>[70]f!B11</f>
        <v>33797</v>
      </c>
      <c r="C11" s="71">
        <f>[70]f!C11</f>
        <v>32705</v>
      </c>
      <c r="D11" s="53">
        <f>[70]f!D11</f>
        <v>66502</v>
      </c>
      <c r="E11" s="90">
        <f>[70]f!E11</f>
        <v>2.7984098777110621E-2</v>
      </c>
      <c r="G11" s="264"/>
      <c r="H11" s="264"/>
      <c r="I11" s="264"/>
    </row>
    <row r="12" spans="1:9" ht="20" customHeight="1" thickBot="1">
      <c r="A12" s="70" t="s">
        <v>1105</v>
      </c>
      <c r="B12" s="53">
        <f>[70]f!B12</f>
        <v>87791</v>
      </c>
      <c r="C12" s="71">
        <f>[70]f!C12</f>
        <v>91461</v>
      </c>
      <c r="D12" s="53">
        <f>[70]f!D12</f>
        <v>179252</v>
      </c>
      <c r="E12" s="90">
        <f>[70]f!E12</f>
        <v>7.5429395717341335E-2</v>
      </c>
      <c r="G12" s="264"/>
      <c r="H12" s="264"/>
      <c r="I12" s="264"/>
    </row>
    <row r="13" spans="1:9" ht="20" customHeight="1" thickBot="1">
      <c r="A13" s="70" t="s">
        <v>1106</v>
      </c>
      <c r="B13" s="53">
        <f>[70]f!B13</f>
        <v>75555</v>
      </c>
      <c r="C13" s="71">
        <f>[70]f!C13</f>
        <v>87705</v>
      </c>
      <c r="D13" s="53">
        <f>[70]f!D13</f>
        <v>163260</v>
      </c>
      <c r="E13" s="90">
        <f>[70]f!E13</f>
        <v>6.8699948367734506E-2</v>
      </c>
      <c r="G13" s="264"/>
      <c r="H13" s="264"/>
      <c r="I13" s="264"/>
    </row>
    <row r="14" spans="1:9" ht="20" customHeight="1" thickBot="1">
      <c r="A14" s="70" t="s">
        <v>1107</v>
      </c>
      <c r="B14" s="53">
        <f>[70]f!B14</f>
        <v>84896</v>
      </c>
      <c r="C14" s="71">
        <f>[70]f!C14</f>
        <v>107395</v>
      </c>
      <c r="D14" s="53">
        <f>[70]f!D14</f>
        <v>192291</v>
      </c>
      <c r="E14" s="90">
        <f>[70]f!E14</f>
        <v>8.0916218128016873E-2</v>
      </c>
      <c r="G14" s="264"/>
      <c r="H14" s="264"/>
      <c r="I14" s="264"/>
    </row>
    <row r="15" spans="1:9" ht="20" customHeight="1" thickBot="1">
      <c r="A15" s="70" t="s">
        <v>1108</v>
      </c>
      <c r="B15" s="53">
        <f>[70]f!B15</f>
        <v>98094</v>
      </c>
      <c r="C15" s="71">
        <f>[70]f!C15</f>
        <v>112738</v>
      </c>
      <c r="D15" s="53">
        <f>[70]f!D15</f>
        <v>210832</v>
      </c>
      <c r="E15" s="90">
        <f>[70]f!E15</f>
        <v>8.871828686920373E-2</v>
      </c>
      <c r="G15" s="264"/>
      <c r="H15" s="264"/>
      <c r="I15" s="264"/>
    </row>
    <row r="16" spans="1:9" ht="20" customHeight="1" thickBot="1">
      <c r="A16" s="70" t="s">
        <v>1109</v>
      </c>
      <c r="B16" s="53">
        <f>[70]f!B16</f>
        <v>83594</v>
      </c>
      <c r="C16" s="71">
        <f>[70]f!C16</f>
        <v>83841</v>
      </c>
      <c r="D16" s="53">
        <f>[70]f!D16</f>
        <v>167435</v>
      </c>
      <c r="E16" s="90">
        <f>[70]f!E16</f>
        <v>7.0456791957317327E-2</v>
      </c>
      <c r="G16" s="264"/>
      <c r="H16" s="264"/>
      <c r="I16" s="264"/>
    </row>
    <row r="17" spans="1:9" ht="20" customHeight="1" thickBot="1">
      <c r="A17" s="70" t="s">
        <v>1110</v>
      </c>
      <c r="B17" s="53">
        <f>[70]f!B17</f>
        <v>58771</v>
      </c>
      <c r="C17" s="71">
        <f>[70]f!C17</f>
        <v>56394</v>
      </c>
      <c r="D17" s="53">
        <f>[70]f!D17</f>
        <v>115165</v>
      </c>
      <c r="E17" s="90">
        <f>[70]f!E17</f>
        <v>4.8461531016600175E-2</v>
      </c>
      <c r="G17" s="264"/>
      <c r="H17" s="264"/>
      <c r="I17" s="264"/>
    </row>
    <row r="18" spans="1:9" ht="20" customHeight="1" thickBot="1">
      <c r="A18" s="70" t="s">
        <v>1111</v>
      </c>
      <c r="B18" s="53">
        <f>[70]f!B18</f>
        <v>42724</v>
      </c>
      <c r="C18" s="71">
        <f>[70]f!C18</f>
        <v>43067</v>
      </c>
      <c r="D18" s="53">
        <f>[70]f!D18</f>
        <v>85791</v>
      </c>
      <c r="E18" s="90">
        <f>[70]f!E18</f>
        <v>3.6100926561413151E-2</v>
      </c>
      <c r="G18" s="264"/>
      <c r="H18" s="264"/>
      <c r="I18" s="264"/>
    </row>
    <row r="19" spans="1:9" ht="20" customHeight="1" thickBot="1">
      <c r="A19" s="70" t="s">
        <v>1112</v>
      </c>
      <c r="B19" s="53">
        <f>[70]f!B19</f>
        <v>32326</v>
      </c>
      <c r="C19" s="71">
        <f>[70]f!C19</f>
        <v>37867</v>
      </c>
      <c r="D19" s="53">
        <f>[70]f!D19</f>
        <v>70193</v>
      </c>
      <c r="E19" s="90">
        <f>[70]f!E19</f>
        <v>2.9537274750559769E-2</v>
      </c>
      <c r="G19" s="264"/>
      <c r="H19" s="264"/>
      <c r="I19" s="264"/>
    </row>
    <row r="20" spans="1:9" ht="20" customHeight="1" thickBot="1">
      <c r="A20" s="70" t="s">
        <v>1113</v>
      </c>
      <c r="B20" s="53">
        <f>[70]f!B20</f>
        <v>29446</v>
      </c>
      <c r="C20" s="71">
        <f>[70]f!C20</f>
        <v>41481</v>
      </c>
      <c r="D20" s="53">
        <f>[70]f!D20</f>
        <v>70927</v>
      </c>
      <c r="E20" s="90">
        <f>[70]f!E20</f>
        <v>2.9846142581638521E-2</v>
      </c>
      <c r="G20" s="264"/>
      <c r="H20" s="264"/>
      <c r="I20" s="264"/>
    </row>
    <row r="21" spans="1:9" ht="20" customHeight="1" thickBot="1">
      <c r="A21" s="70" t="s">
        <v>1114</v>
      </c>
      <c r="B21" s="53">
        <f>[70]f!B21</f>
        <v>33328</v>
      </c>
      <c r="C21" s="71">
        <f>[70]f!C21</f>
        <v>44761</v>
      </c>
      <c r="D21" s="53">
        <f>[70]f!D21</f>
        <v>78089</v>
      </c>
      <c r="E21" s="90">
        <f>[70]f!E21</f>
        <v>3.2859918339385154E-2</v>
      </c>
      <c r="G21" s="264"/>
      <c r="H21" s="264"/>
      <c r="I21" s="264"/>
    </row>
    <row r="22" spans="1:9" ht="20" customHeight="1" thickBot="1">
      <c r="A22" s="70" t="s">
        <v>1115</v>
      </c>
      <c r="B22" s="53">
        <f>[70]f!B22</f>
        <v>28020</v>
      </c>
      <c r="C22" s="71">
        <f>[70]f!C22</f>
        <v>46999</v>
      </c>
      <c r="D22" s="53">
        <f>[70]f!D22</f>
        <v>75019</v>
      </c>
      <c r="E22" s="90">
        <f>[70]f!E22</f>
        <v>3.1568059699859576E-2</v>
      </c>
      <c r="G22" s="264"/>
      <c r="H22" s="264"/>
      <c r="I22" s="264"/>
    </row>
    <row r="23" spans="1:9" ht="20" customHeight="1" thickBot="1">
      <c r="A23" s="70" t="s">
        <v>1116</v>
      </c>
      <c r="B23" s="53">
        <f>[70]f!B23</f>
        <v>24144</v>
      </c>
      <c r="C23" s="71">
        <f>[70]f!C23</f>
        <v>47622</v>
      </c>
      <c r="D23" s="53">
        <f>[70]f!D23</f>
        <v>71766</v>
      </c>
      <c r="E23" s="90">
        <f>[70]f!E23</f>
        <v>3.0199194502994207E-2</v>
      </c>
      <c r="G23" s="264"/>
      <c r="H23" s="264"/>
      <c r="I23" s="264"/>
    </row>
    <row r="24" spans="1:9" ht="20" customHeight="1" thickBot="1">
      <c r="A24" s="70" t="s">
        <v>1117</v>
      </c>
      <c r="B24" s="53">
        <f>[70]f!B24</f>
        <v>16247</v>
      </c>
      <c r="C24" s="71">
        <f>[70]f!C24</f>
        <v>37721</v>
      </c>
      <c r="D24" s="53">
        <f>[70]f!D24</f>
        <v>53968</v>
      </c>
      <c r="E24" s="90">
        <f>[70]f!E24</f>
        <v>2.2709780800624132E-2</v>
      </c>
      <c r="G24" s="264"/>
      <c r="H24" s="264"/>
      <c r="I24" s="264"/>
    </row>
    <row r="25" spans="1:9" ht="20" customHeight="1" thickBot="1">
      <c r="A25" s="70" t="s">
        <v>1118</v>
      </c>
      <c r="B25" s="53">
        <f>[70]f!B25</f>
        <v>9286</v>
      </c>
      <c r="C25" s="71">
        <f>[70]f!C25</f>
        <v>28834</v>
      </c>
      <c r="D25" s="53">
        <f>[70]f!D25</f>
        <v>38120</v>
      </c>
      <c r="E25" s="90">
        <f>[70]f!E25</f>
        <v>1.6040928774825672E-2</v>
      </c>
      <c r="G25" s="264"/>
      <c r="H25" s="264"/>
      <c r="I25" s="264"/>
    </row>
    <row r="26" spans="1:9" ht="20" customHeight="1" thickBot="1">
      <c r="A26" s="70" t="s">
        <v>1119</v>
      </c>
      <c r="B26" s="53">
        <f>[70]f!B26</f>
        <v>3169</v>
      </c>
      <c r="C26" s="71">
        <f>[70]f!C26</f>
        <v>13364</v>
      </c>
      <c r="D26" s="53">
        <f>[70]f!D26</f>
        <v>16533</v>
      </c>
      <c r="E26" s="90">
        <f>[70]f!E26</f>
        <v>6.9571006147479764E-3</v>
      </c>
      <c r="G26" s="264"/>
      <c r="H26" s="264"/>
      <c r="I26" s="264"/>
    </row>
    <row r="27" spans="1:9" ht="20" customHeight="1" thickBot="1">
      <c r="A27" s="70" t="s">
        <v>1120</v>
      </c>
      <c r="B27" s="53">
        <f>[70]f!B27</f>
        <v>678</v>
      </c>
      <c r="C27" s="71">
        <f>[70]f!C27</f>
        <v>3495</v>
      </c>
      <c r="D27" s="53">
        <f>[70]f!D27</f>
        <v>4173</v>
      </c>
      <c r="E27" s="90">
        <f>[70]f!E27</f>
        <v>1.7560019878632616E-3</v>
      </c>
      <c r="G27" s="264"/>
      <c r="H27" s="264"/>
      <c r="I27" s="264"/>
    </row>
    <row r="28" spans="1:9" ht="20" customHeight="1" thickBot="1">
      <c r="A28" s="70" t="s">
        <v>1121</v>
      </c>
      <c r="B28" s="53">
        <f>[70]f!B28</f>
        <v>12652</v>
      </c>
      <c r="C28" s="71">
        <f>[70]f!C28</f>
        <v>13565</v>
      </c>
      <c r="D28" s="53">
        <f>[70]f!D28</f>
        <v>26217</v>
      </c>
      <c r="E28" s="90">
        <f>[70]f!E28</f>
        <v>1.1032136140860562E-2</v>
      </c>
      <c r="G28" s="264"/>
      <c r="H28" s="264"/>
      <c r="I28" s="264"/>
    </row>
    <row r="29" spans="1:9" ht="30" customHeight="1" thickBot="1">
      <c r="A29" s="78" t="s">
        <v>514</v>
      </c>
      <c r="B29" s="39">
        <f>[70]f!B29</f>
        <v>1108571</v>
      </c>
      <c r="C29" s="57">
        <f>[70]f!C29</f>
        <v>1267850</v>
      </c>
      <c r="D29" s="39">
        <f>[70]f!D29</f>
        <v>2376421</v>
      </c>
      <c r="E29" s="333">
        <f>[70]f!E29</f>
        <v>1</v>
      </c>
      <c r="G29" s="264"/>
      <c r="H29" s="264"/>
      <c r="I29" s="264"/>
    </row>
    <row r="30" spans="1:9" ht="20" customHeight="1">
      <c r="A30" s="331" t="str">
        <f>'[68]data an-1'!$D$2</f>
        <v xml:space="preserve">Datenstand: 21.10.02 </v>
      </c>
      <c r="B30" s="28"/>
      <c r="C30" s="28"/>
      <c r="D30" s="28"/>
      <c r="E30" s="28"/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&amp;L&amp;"Arial,Bold"&amp;14Prämienverbilligung in der OKP</oddHeader>
    <oddFooter>&amp;L&amp;"Arial,Regular"Statistik über die Krankenversicherung, Bundesamt für Sozialversicherung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416D-C566-B54F-BB3A-C9861A47AE16}">
  <dimension ref="A1:K37"/>
  <sheetViews>
    <sheetView topLeftCell="A21" zoomScale="75" workbookViewId="0">
      <selection activeCell="H38" sqref="H38"/>
    </sheetView>
  </sheetViews>
  <sheetFormatPr baseColWidth="10" defaultColWidth="11.3984375" defaultRowHeight="13"/>
  <cols>
    <col min="1" max="1" width="11.796875" style="7" customWidth="1"/>
    <col min="2" max="7" width="11.3984375" style="7"/>
    <col min="8" max="8" width="11.796875" style="7" customWidth="1"/>
    <col min="9" max="16384" width="11.3984375" style="7"/>
  </cols>
  <sheetData>
    <row r="1" spans="1:11" s="1" customFormat="1" ht="14" customHeight="1"/>
    <row r="2" spans="1:11" s="1" customFormat="1" ht="27" customHeight="1">
      <c r="A2" s="2" t="str">
        <f>"T 4.04 Anzahl subventionierte Haushalte 1) nach Haushaltsgrösse und Kanton "&amp;'[71]data an-1'!$B$2</f>
        <v>T 4.04 Anzahl subventionierte Haushalte 1) nach Haushaltsgrösse und Kanton 2001</v>
      </c>
    </row>
    <row r="3" spans="1:11" ht="24" customHeight="1">
      <c r="A3" s="41" t="s">
        <v>537</v>
      </c>
      <c r="B3" s="866" t="s">
        <v>1122</v>
      </c>
      <c r="C3" s="863"/>
      <c r="D3" s="863"/>
      <c r="E3" s="863"/>
      <c r="F3" s="863"/>
      <c r="G3" s="42"/>
      <c r="H3" s="6" t="s">
        <v>1123</v>
      </c>
      <c r="I3" s="42"/>
    </row>
    <row r="4" spans="1:11" ht="15" customHeight="1">
      <c r="A4" s="43"/>
      <c r="B4" s="12" t="s">
        <v>1124</v>
      </c>
      <c r="C4" s="45" t="s">
        <v>1125</v>
      </c>
      <c r="D4" s="11" t="s">
        <v>1126</v>
      </c>
      <c r="E4" s="45" t="s">
        <v>1127</v>
      </c>
      <c r="F4" s="11" t="s">
        <v>1128</v>
      </c>
      <c r="G4" s="45" t="s">
        <v>1129</v>
      </c>
      <c r="H4" s="11" t="s">
        <v>514</v>
      </c>
      <c r="I4" s="61" t="s">
        <v>522</v>
      </c>
    </row>
    <row r="5" spans="1:11" ht="15" customHeight="1">
      <c r="A5" s="43"/>
      <c r="B5" s="12"/>
      <c r="C5" s="44" t="s">
        <v>1130</v>
      </c>
      <c r="D5" s="12" t="s">
        <v>1130</v>
      </c>
      <c r="E5" s="44" t="s">
        <v>1130</v>
      </c>
      <c r="F5" s="11" t="s">
        <v>1131</v>
      </c>
      <c r="G5" s="45" t="s">
        <v>1132</v>
      </c>
      <c r="H5" s="11"/>
      <c r="I5" s="61" t="s">
        <v>1133</v>
      </c>
    </row>
    <row r="6" spans="1:11" ht="15" customHeight="1">
      <c r="A6" s="43"/>
      <c r="B6" s="12"/>
      <c r="C6" s="44"/>
      <c r="D6" s="12"/>
      <c r="E6" s="44"/>
      <c r="F6" s="11" t="s">
        <v>1134</v>
      </c>
      <c r="G6" s="45" t="s">
        <v>1135</v>
      </c>
      <c r="H6" s="11"/>
      <c r="I6" s="61" t="s">
        <v>524</v>
      </c>
    </row>
    <row r="7" spans="1:11" ht="13.5" customHeight="1">
      <c r="A7" s="46"/>
      <c r="B7" s="16"/>
      <c r="C7" s="47"/>
      <c r="D7" s="16"/>
      <c r="E7" s="47"/>
      <c r="F7" s="189"/>
      <c r="G7" s="48"/>
      <c r="H7" s="189"/>
      <c r="I7" s="47"/>
    </row>
    <row r="8" spans="1:11" ht="30" customHeight="1" thickBot="1">
      <c r="A8" s="296" t="s">
        <v>541</v>
      </c>
      <c r="B8" s="21">
        <f>[72]f!B8</f>
        <v>189628</v>
      </c>
      <c r="C8" s="68">
        <f>[72]f!C8</f>
        <v>33595</v>
      </c>
      <c r="D8" s="21">
        <f>[72]f!D8</f>
        <v>14824</v>
      </c>
      <c r="E8" s="68">
        <f>[72]f!E8</f>
        <v>14155</v>
      </c>
      <c r="F8" s="21">
        <f>[72]f!F8</f>
        <v>8075</v>
      </c>
      <c r="G8" s="102">
        <f>[72]f!G8</f>
        <v>57</v>
      </c>
      <c r="H8" s="21">
        <f>[72]f!H8</f>
        <v>260334</v>
      </c>
      <c r="I8" s="263">
        <f>[72]f!I8</f>
        <v>4.1327669378644974E-2</v>
      </c>
      <c r="K8" s="264"/>
    </row>
    <row r="9" spans="1:11" ht="20" customHeight="1" thickBot="1">
      <c r="A9" s="297" t="s">
        <v>542</v>
      </c>
      <c r="B9" s="53">
        <f>[72]f!B9</f>
        <v>118463</v>
      </c>
      <c r="C9" s="71">
        <f>[72]f!C9</f>
        <v>32291</v>
      </c>
      <c r="D9" s="53">
        <f>[72]f!D9</f>
        <v>16053</v>
      </c>
      <c r="E9" s="71">
        <f>[72]f!E9</f>
        <v>23385</v>
      </c>
      <c r="F9" s="53">
        <f>[72]f!F9</f>
        <v>14165</v>
      </c>
      <c r="G9" s="71">
        <f>[72]f!G9</f>
        <v>19</v>
      </c>
      <c r="H9" s="53">
        <f>[72]f!H9</f>
        <v>204376</v>
      </c>
      <c r="I9" s="263">
        <f>[72]f!I9</f>
        <v>4.443990188062142E-2</v>
      </c>
      <c r="K9" s="264"/>
    </row>
    <row r="10" spans="1:11" ht="20" customHeight="1" thickBot="1">
      <c r="A10" s="297" t="s">
        <v>543</v>
      </c>
      <c r="B10" s="53">
        <f>[72]f!B10</f>
        <v>24821</v>
      </c>
      <c r="C10" s="71">
        <f>[72]f!C10</f>
        <v>8515</v>
      </c>
      <c r="D10" s="53">
        <f>[72]f!D10</f>
        <v>4783</v>
      </c>
      <c r="E10" s="71">
        <f>[72]f!E10</f>
        <v>8015</v>
      </c>
      <c r="F10" s="53">
        <f>[72]f!F10</f>
        <v>6557</v>
      </c>
      <c r="G10" s="71">
        <f>[72]f!G10</f>
        <v>0</v>
      </c>
      <c r="H10" s="53">
        <f>[72]f!H10</f>
        <v>52691</v>
      </c>
      <c r="I10" s="263">
        <f>[72]f!I10</f>
        <v>6.1826169316647521E-2</v>
      </c>
      <c r="K10" s="264"/>
    </row>
    <row r="11" spans="1:11" ht="20" customHeight="1" thickBot="1">
      <c r="A11" s="297" t="s">
        <v>544</v>
      </c>
      <c r="B11" s="53">
        <f>[72]f!B11</f>
        <v>1929</v>
      </c>
      <c r="C11" s="71">
        <f>[72]f!C11</f>
        <v>914</v>
      </c>
      <c r="D11" s="53">
        <f>[72]f!D11</f>
        <v>407</v>
      </c>
      <c r="E11" s="71">
        <f>[72]f!E11</f>
        <v>794</v>
      </c>
      <c r="F11" s="53">
        <f>[72]f!F11</f>
        <v>669</v>
      </c>
      <c r="G11" s="71">
        <f>[72]f!G11</f>
        <v>0</v>
      </c>
      <c r="H11" s="53">
        <f>[72]f!H11</f>
        <v>4713</v>
      </c>
      <c r="I11" s="263">
        <f>[72]f!I11</f>
        <v>-0.31086416142710921</v>
      </c>
      <c r="K11" s="264"/>
    </row>
    <row r="12" spans="1:11" ht="20" customHeight="1" thickBot="1">
      <c r="A12" s="297" t="s">
        <v>545</v>
      </c>
      <c r="B12" s="53">
        <f>[72]f!B12</f>
        <v>8677</v>
      </c>
      <c r="C12" s="71">
        <f>[72]f!C12</f>
        <v>1596</v>
      </c>
      <c r="D12" s="53">
        <f>[72]f!D12</f>
        <v>1012</v>
      </c>
      <c r="E12" s="71">
        <f>[72]f!E12</f>
        <v>1526</v>
      </c>
      <c r="F12" s="53">
        <f>[72]f!F12</f>
        <v>1266</v>
      </c>
      <c r="G12" s="71">
        <f>[72]f!G12</f>
        <v>3727</v>
      </c>
      <c r="H12" s="53">
        <f>[72]f!H12</f>
        <v>17804</v>
      </c>
      <c r="I12" s="263">
        <f>[72]f!I12</f>
        <v>2.0871559633027524E-2</v>
      </c>
      <c r="K12" s="264"/>
    </row>
    <row r="13" spans="1:11" ht="20" customHeight="1" thickBot="1">
      <c r="A13" s="297" t="s">
        <v>546</v>
      </c>
      <c r="B13" s="53">
        <f>[72]f!B13</f>
        <v>3541</v>
      </c>
      <c r="C13" s="71">
        <f>[72]f!C13</f>
        <v>1233</v>
      </c>
      <c r="D13" s="53">
        <f>[72]f!D13</f>
        <v>693</v>
      </c>
      <c r="E13" s="71">
        <f>[72]f!E13</f>
        <v>1047</v>
      </c>
      <c r="F13" s="53">
        <f>[72]f!F13</f>
        <v>622</v>
      </c>
      <c r="G13" s="71">
        <f>[72]f!G13</f>
        <v>0</v>
      </c>
      <c r="H13" s="53">
        <f>[72]f!H13</f>
        <v>7136</v>
      </c>
      <c r="I13" s="263">
        <f>[72]f!I13</f>
        <v>3.3304373008977699E-2</v>
      </c>
      <c r="K13" s="264"/>
    </row>
    <row r="14" spans="1:11" ht="20" customHeight="1" thickBot="1">
      <c r="A14" s="297" t="s">
        <v>547</v>
      </c>
      <c r="B14" s="53">
        <f>[72]f!B14</f>
        <v>4134</v>
      </c>
      <c r="C14" s="71">
        <f>[72]f!C14</f>
        <v>1380</v>
      </c>
      <c r="D14" s="53">
        <f>[72]f!D14</f>
        <v>588</v>
      </c>
      <c r="E14" s="71">
        <f>[72]f!E14</f>
        <v>1052</v>
      </c>
      <c r="F14" s="53">
        <f>[72]f!F14</f>
        <v>622</v>
      </c>
      <c r="G14" s="71">
        <f>[72]f!G14</f>
        <v>0</v>
      </c>
      <c r="H14" s="53">
        <f>[72]f!H14</f>
        <v>7776</v>
      </c>
      <c r="I14" s="263">
        <f>[72]f!I14</f>
        <v>0.30011703728473499</v>
      </c>
      <c r="K14" s="264"/>
    </row>
    <row r="15" spans="1:11" ht="20" customHeight="1" thickBot="1">
      <c r="A15" s="297" t="s">
        <v>548</v>
      </c>
      <c r="B15" s="53">
        <f>[72]f!B15</f>
        <v>3348</v>
      </c>
      <c r="C15" s="71">
        <f>[72]f!C15</f>
        <v>654</v>
      </c>
      <c r="D15" s="53">
        <f>[72]f!D15</f>
        <v>350</v>
      </c>
      <c r="E15" s="71">
        <f>[72]f!E15</f>
        <v>552</v>
      </c>
      <c r="F15" s="53">
        <f>[72]f!F15</f>
        <v>416</v>
      </c>
      <c r="G15" s="71">
        <f>[72]f!G15</f>
        <v>0</v>
      </c>
      <c r="H15" s="53">
        <f>[72]f!H15</f>
        <v>5320</v>
      </c>
      <c r="I15" s="263">
        <f>[72]f!I15</f>
        <v>-8.1967213114754092E-2</v>
      </c>
      <c r="K15" s="264"/>
    </row>
    <row r="16" spans="1:11" ht="20" customHeight="1" thickBot="1">
      <c r="A16" s="297" t="s">
        <v>549</v>
      </c>
      <c r="B16" s="53">
        <f>[72]f!B16</f>
        <v>10846</v>
      </c>
      <c r="C16" s="71">
        <f>[72]f!C16</f>
        <v>2811</v>
      </c>
      <c r="D16" s="53">
        <f>[72]f!D16</f>
        <v>1711</v>
      </c>
      <c r="E16" s="71">
        <f>[72]f!E16</f>
        <v>2477</v>
      </c>
      <c r="F16" s="53">
        <f>[72]f!F16</f>
        <v>1091</v>
      </c>
      <c r="G16" s="71">
        <f>[72]f!G16</f>
        <v>0</v>
      </c>
      <c r="H16" s="53">
        <f>[72]f!H16</f>
        <v>18936</v>
      </c>
      <c r="I16" s="263">
        <f>[72]f!I16</f>
        <v>7.1525577184246264E-2</v>
      </c>
      <c r="K16" s="264"/>
    </row>
    <row r="17" spans="1:11" ht="20" customHeight="1" thickBot="1">
      <c r="A17" s="297" t="s">
        <v>1138</v>
      </c>
      <c r="B17" s="53">
        <f>[72]f!B17</f>
        <v>17788</v>
      </c>
      <c r="C17" s="71">
        <f>[72]f!C17</f>
        <v>6392</v>
      </c>
      <c r="D17" s="53">
        <f>[72]f!D17</f>
        <v>3844</v>
      </c>
      <c r="E17" s="71">
        <f>[72]f!E17</f>
        <v>6247</v>
      </c>
      <c r="F17" s="53">
        <f>[72]f!F17</f>
        <v>3761</v>
      </c>
      <c r="G17" s="71">
        <f>[72]f!G17</f>
        <v>0</v>
      </c>
      <c r="H17" s="53">
        <f>[72]f!H17</f>
        <v>38032</v>
      </c>
      <c r="I17" s="263">
        <f>[72]f!I17</f>
        <v>2.4044804652790866E-2</v>
      </c>
      <c r="K17" s="264"/>
    </row>
    <row r="18" spans="1:11" ht="20" customHeight="1" thickBot="1">
      <c r="A18" s="297" t="s">
        <v>1139</v>
      </c>
      <c r="B18" s="53">
        <f>[72]f!B18</f>
        <v>9101</v>
      </c>
      <c r="C18" s="71">
        <f>[72]f!C18</f>
        <v>4630</v>
      </c>
      <c r="D18" s="53">
        <f>[72]f!D18</f>
        <v>3425</v>
      </c>
      <c r="E18" s="71">
        <f>[72]f!E18</f>
        <v>5881</v>
      </c>
      <c r="F18" s="53">
        <f>[72]f!F18</f>
        <v>3495</v>
      </c>
      <c r="G18" s="71">
        <f>[72]f!G18</f>
        <v>0</v>
      </c>
      <c r="H18" s="53">
        <f>[72]f!H18</f>
        <v>26532</v>
      </c>
      <c r="I18" s="263">
        <f>[72]f!I18</f>
        <v>0.13157333560796691</v>
      </c>
      <c r="K18" s="264"/>
    </row>
    <row r="19" spans="1:11" ht="20" customHeight="1" thickBot="1">
      <c r="A19" s="297" t="s">
        <v>552</v>
      </c>
      <c r="B19" s="53">
        <f>[72]f!B19</f>
        <v>18379</v>
      </c>
      <c r="C19" s="71">
        <f>[72]f!C19</f>
        <v>3625</v>
      </c>
      <c r="D19" s="53">
        <f>[72]f!D19</f>
        <v>2041</v>
      </c>
      <c r="E19" s="71">
        <f>[72]f!E19</f>
        <v>2204</v>
      </c>
      <c r="F19" s="53">
        <f>[72]f!F19</f>
        <v>1154</v>
      </c>
      <c r="G19" s="71">
        <f>[72]f!G19</f>
        <v>0</v>
      </c>
      <c r="H19" s="53">
        <f>[72]f!H19</f>
        <v>27403</v>
      </c>
      <c r="I19" s="263">
        <f>[72]f!I19</f>
        <v>-0.14293309980295874</v>
      </c>
      <c r="K19" s="264"/>
    </row>
    <row r="20" spans="1:11" ht="20" customHeight="1" thickBot="1">
      <c r="A20" s="297" t="s">
        <v>553</v>
      </c>
      <c r="B20" s="26">
        <f>[72]f!B20</f>
        <v>17378</v>
      </c>
      <c r="C20" s="54">
        <f>[72]f!C20</f>
        <v>9634</v>
      </c>
      <c r="D20" s="53">
        <f>[72]f!D20</f>
        <v>5933</v>
      </c>
      <c r="E20" s="71">
        <f>[72]f!E20</f>
        <v>8180</v>
      </c>
      <c r="F20" s="26">
        <f>[72]f!F20</f>
        <v>3338</v>
      </c>
      <c r="G20" s="54">
        <f>[72]f!G20</f>
        <v>4925</v>
      </c>
      <c r="H20" s="26">
        <f>[72]f!H20</f>
        <v>49388</v>
      </c>
      <c r="I20" s="263">
        <f>[72]f!I20</f>
        <v>4.9758751886411462E-2</v>
      </c>
      <c r="K20" s="264"/>
    </row>
    <row r="21" spans="1:11" ht="20" customHeight="1" thickBot="1">
      <c r="A21" s="297" t="s">
        <v>554</v>
      </c>
      <c r="B21" s="53">
        <f>[72]f!B21</f>
        <v>6296</v>
      </c>
      <c r="C21" s="71">
        <f>[72]f!C21</f>
        <v>2126</v>
      </c>
      <c r="D21" s="53">
        <f>[72]f!D21</f>
        <v>1020</v>
      </c>
      <c r="E21" s="71">
        <f>[72]f!E21</f>
        <v>1576</v>
      </c>
      <c r="F21" s="53">
        <f>[72]f!F21</f>
        <v>804</v>
      </c>
      <c r="G21" s="71">
        <f>[72]f!G21</f>
        <v>0</v>
      </c>
      <c r="H21" s="53">
        <f>[72]f!H21</f>
        <v>11822</v>
      </c>
      <c r="I21" s="263">
        <f>[72]f!I21</f>
        <v>-3.7766563568289106E-2</v>
      </c>
      <c r="K21" s="264"/>
    </row>
    <row r="22" spans="1:11" ht="20" customHeight="1" thickBot="1">
      <c r="A22" s="297" t="s">
        <v>555</v>
      </c>
      <c r="B22" s="53">
        <f>[72]f!B22</f>
        <v>2291</v>
      </c>
      <c r="C22" s="71">
        <f>[72]f!C22</f>
        <v>874</v>
      </c>
      <c r="D22" s="53">
        <f>[72]f!D22</f>
        <v>564</v>
      </c>
      <c r="E22" s="71">
        <f>[72]f!E22</f>
        <v>1050</v>
      </c>
      <c r="F22" s="53">
        <f>[72]f!F22</f>
        <v>955</v>
      </c>
      <c r="G22" s="71">
        <f>[72]f!G22</f>
        <v>0</v>
      </c>
      <c r="H22" s="53">
        <f>[72]f!H22</f>
        <v>5734</v>
      </c>
      <c r="I22" s="263">
        <f>[72]f!I22</f>
        <v>-0.18504832291074474</v>
      </c>
      <c r="K22" s="264"/>
    </row>
    <row r="23" spans="1:11" ht="20" customHeight="1" thickBot="1">
      <c r="A23" s="297" t="s">
        <v>556</v>
      </c>
      <c r="B23" s="53">
        <f>[72]f!B23</f>
        <v>1116</v>
      </c>
      <c r="C23" s="71">
        <f>[72]f!C23</f>
        <v>760</v>
      </c>
      <c r="D23" s="53">
        <f>[72]f!D23</f>
        <v>296</v>
      </c>
      <c r="E23" s="71">
        <f>[72]f!E23</f>
        <v>543</v>
      </c>
      <c r="F23" s="53">
        <f>[72]f!F23</f>
        <v>583</v>
      </c>
      <c r="G23" s="71">
        <f>[72]f!G23</f>
        <v>0</v>
      </c>
      <c r="H23" s="53">
        <f>[72]f!H23</f>
        <v>3298</v>
      </c>
      <c r="I23" s="263">
        <f>[72]f!I23</f>
        <v>4.7649301143583227E-2</v>
      </c>
      <c r="K23" s="264"/>
    </row>
    <row r="24" spans="1:11" ht="20" customHeight="1" thickBot="1">
      <c r="A24" s="297" t="s">
        <v>557</v>
      </c>
      <c r="B24" s="53">
        <f>[72]f!B24</f>
        <v>25535</v>
      </c>
      <c r="C24" s="71">
        <f>[72]f!C24</f>
        <v>11747</v>
      </c>
      <c r="D24" s="53">
        <f>[72]f!D24</f>
        <v>5749</v>
      </c>
      <c r="E24" s="71">
        <f>[72]f!E24</f>
        <v>10716</v>
      </c>
      <c r="F24" s="53">
        <f>[72]f!F24</f>
        <v>8737</v>
      </c>
      <c r="G24" s="71">
        <f>[72]f!G24</f>
        <v>0</v>
      </c>
      <c r="H24" s="53">
        <f>[72]f!H24</f>
        <v>62484</v>
      </c>
      <c r="I24" s="263">
        <f>[72]f!I24</f>
        <v>8.7501210810112685E-3</v>
      </c>
      <c r="K24" s="264"/>
    </row>
    <row r="25" spans="1:11" ht="20" customHeight="1" thickBot="1">
      <c r="A25" s="297" t="s">
        <v>558</v>
      </c>
      <c r="B25" s="53">
        <f>[72]f!B25</f>
        <v>15173</v>
      </c>
      <c r="C25" s="71">
        <f>[72]f!C25</f>
        <v>4268</v>
      </c>
      <c r="D25" s="53">
        <f>[72]f!D25</f>
        <v>2283</v>
      </c>
      <c r="E25" s="71">
        <f>[72]f!E25</f>
        <v>3633</v>
      </c>
      <c r="F25" s="53">
        <f>[72]f!F25</f>
        <v>2101</v>
      </c>
      <c r="G25" s="71">
        <f>[72]f!G25</f>
        <v>0</v>
      </c>
      <c r="H25" s="53">
        <f>[72]f!H25</f>
        <v>27458</v>
      </c>
      <c r="I25" s="263">
        <f>[72]f!I25</f>
        <v>-7.3335358239681417E-2</v>
      </c>
      <c r="K25" s="264"/>
    </row>
    <row r="26" spans="1:11" ht="20" customHeight="1" thickBot="1">
      <c r="A26" s="297" t="s">
        <v>559</v>
      </c>
      <c r="B26" s="53">
        <f>[72]f!B26</f>
        <v>21432</v>
      </c>
      <c r="C26" s="71">
        <f>[72]f!C26</f>
        <v>6392</v>
      </c>
      <c r="D26" s="53">
        <f>[72]f!D26</f>
        <v>5350</v>
      </c>
      <c r="E26" s="71">
        <f>[72]f!E26</f>
        <v>8946</v>
      </c>
      <c r="F26" s="53">
        <f>[72]f!F26</f>
        <v>6426</v>
      </c>
      <c r="G26" s="71">
        <f>[72]f!G26</f>
        <v>0</v>
      </c>
      <c r="H26" s="53">
        <f>[72]f!H26</f>
        <v>48546</v>
      </c>
      <c r="I26" s="263">
        <f>[72]f!I26</f>
        <v>0.2337916486644471</v>
      </c>
      <c r="K26" s="264"/>
    </row>
    <row r="27" spans="1:11" ht="20" customHeight="1" thickBot="1">
      <c r="A27" s="297" t="s">
        <v>560</v>
      </c>
      <c r="B27" s="53">
        <f>[72]f!B27</f>
        <v>35605</v>
      </c>
      <c r="C27" s="71">
        <f>[72]f!C27</f>
        <v>13651</v>
      </c>
      <c r="D27" s="53">
        <f>[72]f!D27</f>
        <v>5341</v>
      </c>
      <c r="E27" s="71">
        <f>[72]f!E27</f>
        <v>3259</v>
      </c>
      <c r="F27" s="53">
        <f>[72]f!F27</f>
        <v>2105</v>
      </c>
      <c r="G27" s="71">
        <f>[72]f!G27</f>
        <v>0</v>
      </c>
      <c r="H27" s="53">
        <f>[72]f!H27</f>
        <v>59961</v>
      </c>
      <c r="I27" s="263">
        <f>[72]f!I27</f>
        <v>8.5615286281369839E-3</v>
      </c>
      <c r="K27" s="264"/>
    </row>
    <row r="28" spans="1:11" ht="20" customHeight="1" thickBot="1">
      <c r="A28" s="297" t="s">
        <v>561</v>
      </c>
      <c r="B28" s="53">
        <f>[72]f!B28</f>
        <v>34341</v>
      </c>
      <c r="C28" s="71">
        <f>[72]f!C28</f>
        <v>10576</v>
      </c>
      <c r="D28" s="53">
        <f>[72]f!D28</f>
        <v>3064</v>
      </c>
      <c r="E28" s="71">
        <f>[72]f!E28</f>
        <v>2971</v>
      </c>
      <c r="F28" s="53">
        <f>[72]f!F28</f>
        <v>1184</v>
      </c>
      <c r="G28" s="71">
        <f>[72]f!G28</f>
        <v>0</v>
      </c>
      <c r="H28" s="53">
        <f>[72]f!H28</f>
        <v>52136</v>
      </c>
      <c r="I28" s="263">
        <f>[72]f!I28</f>
        <v>-1.2800121184579263E-2</v>
      </c>
      <c r="K28" s="264"/>
    </row>
    <row r="29" spans="1:11" ht="20" customHeight="1" thickBot="1">
      <c r="A29" s="297" t="s">
        <v>562</v>
      </c>
      <c r="B29" s="53">
        <f>[72]f!B29</f>
        <v>42219</v>
      </c>
      <c r="C29" s="71">
        <f>[72]f!C29</f>
        <v>13340</v>
      </c>
      <c r="D29" s="53">
        <f>[72]f!D29</f>
        <v>7337</v>
      </c>
      <c r="E29" s="71">
        <f>[72]f!E29</f>
        <v>8544</v>
      </c>
      <c r="F29" s="53">
        <f>[72]f!F29</f>
        <v>4579</v>
      </c>
      <c r="G29" s="71">
        <f>[72]f!G29</f>
        <v>0</v>
      </c>
      <c r="H29" s="53">
        <f>[72]f!H29</f>
        <v>76019</v>
      </c>
      <c r="I29" s="263">
        <f>[72]f!I29</f>
        <v>-3.9569712136895479E-3</v>
      </c>
      <c r="K29" s="264"/>
    </row>
    <row r="30" spans="1:11" ht="20" customHeight="1" thickBot="1">
      <c r="A30" s="297" t="s">
        <v>563</v>
      </c>
      <c r="B30" s="53">
        <f>[72]f!B30</f>
        <v>31816</v>
      </c>
      <c r="C30" s="71">
        <f>[72]f!C30</f>
        <v>6027</v>
      </c>
      <c r="D30" s="53">
        <f>[72]f!D30</f>
        <v>3773</v>
      </c>
      <c r="E30" s="71">
        <f>[72]f!E30</f>
        <v>5813</v>
      </c>
      <c r="F30" s="53">
        <f>[72]f!F30</f>
        <v>3305</v>
      </c>
      <c r="G30" s="71">
        <f>[72]f!G30</f>
        <v>0</v>
      </c>
      <c r="H30" s="53">
        <f>[72]f!H30</f>
        <v>50734</v>
      </c>
      <c r="I30" s="263">
        <f>[72]f!I30</f>
        <v>2.8503081414206943E-2</v>
      </c>
      <c r="K30" s="264"/>
    </row>
    <row r="31" spans="1:11" ht="20" customHeight="1" thickBot="1">
      <c r="A31" s="297" t="s">
        <v>564</v>
      </c>
      <c r="B31" s="53">
        <f>[72]f!B31</f>
        <v>21144</v>
      </c>
      <c r="C31" s="71">
        <f>[72]f!C31</f>
        <v>5834</v>
      </c>
      <c r="D31" s="53">
        <f>[72]f!D31</f>
        <v>2489</v>
      </c>
      <c r="E31" s="71">
        <f>[72]f!E31</f>
        <v>2990</v>
      </c>
      <c r="F31" s="53">
        <f>[72]f!F31</f>
        <v>1166</v>
      </c>
      <c r="G31" s="71">
        <f>[72]f!G31</f>
        <v>0</v>
      </c>
      <c r="H31" s="53">
        <f>[72]f!H31</f>
        <v>33623</v>
      </c>
      <c r="I31" s="263">
        <f>[72]f!I31</f>
        <v>-2.9162937083128809E-2</v>
      </c>
      <c r="K31" s="264"/>
    </row>
    <row r="32" spans="1:11" ht="20" customHeight="1" thickBot="1">
      <c r="A32" s="297" t="s">
        <v>565</v>
      </c>
      <c r="B32" s="53">
        <f>[72]f!B32</f>
        <v>64649</v>
      </c>
      <c r="C32" s="71">
        <f>[72]f!C32</f>
        <v>19906</v>
      </c>
      <c r="D32" s="53">
        <f>[72]f!D32</f>
        <v>8507</v>
      </c>
      <c r="E32" s="71">
        <f>[72]f!E32</f>
        <v>6993</v>
      </c>
      <c r="F32" s="53">
        <f>[72]f!F32</f>
        <v>2218</v>
      </c>
      <c r="G32" s="71">
        <f>[72]f!G32</f>
        <v>466</v>
      </c>
      <c r="H32" s="53">
        <f>[72]f!H32</f>
        <v>102739</v>
      </c>
      <c r="I32" s="263">
        <f>[72]f!I32</f>
        <v>-4.0252970629997761E-2</v>
      </c>
      <c r="K32" s="264"/>
    </row>
    <row r="33" spans="1:11" ht="20" customHeight="1" thickBot="1">
      <c r="A33" s="297" t="s">
        <v>566</v>
      </c>
      <c r="B33" s="53">
        <f>[72]f!B33</f>
        <v>8726</v>
      </c>
      <c r="C33" s="71">
        <f>[72]f!C33</f>
        <v>2310</v>
      </c>
      <c r="D33" s="53">
        <f>[72]f!D33</f>
        <v>765</v>
      </c>
      <c r="E33" s="71">
        <f>[72]f!E33</f>
        <v>1108</v>
      </c>
      <c r="F33" s="53">
        <f>[72]f!F33</f>
        <v>1039</v>
      </c>
      <c r="G33" s="71">
        <f>[72]f!G33</f>
        <v>0</v>
      </c>
      <c r="H33" s="53">
        <f>[72]f!H33</f>
        <v>13948</v>
      </c>
      <c r="I33" s="263">
        <f>[72]f!I33</f>
        <v>-1.5458459800945861E-2</v>
      </c>
      <c r="J33" s="27"/>
      <c r="K33" s="264"/>
    </row>
    <row r="34" spans="1:11" ht="30" customHeight="1" thickBot="1">
      <c r="A34" s="79" t="s">
        <v>808</v>
      </c>
      <c r="B34" s="111">
        <f>[72]f!B34</f>
        <v>738376</v>
      </c>
      <c r="C34" s="79">
        <f>[72]f!C34</f>
        <v>205081</v>
      </c>
      <c r="D34" s="111">
        <f>[72]f!D34</f>
        <v>102202</v>
      </c>
      <c r="E34" s="79">
        <f>[72]f!E34</f>
        <v>133657</v>
      </c>
      <c r="F34" s="111">
        <f>[72]f!F34</f>
        <v>80433</v>
      </c>
      <c r="G34" s="79">
        <f>[72]f!G34</f>
        <v>9194</v>
      </c>
      <c r="H34" s="111">
        <f>[72]f!H34</f>
        <v>1268943</v>
      </c>
      <c r="I34" s="267">
        <f>[72]f!I34</f>
        <v>2.1121836009640339E-2</v>
      </c>
      <c r="K34" s="264"/>
    </row>
    <row r="35" spans="1:11" ht="19.5" customHeight="1">
      <c r="A35" s="331" t="s">
        <v>409</v>
      </c>
      <c r="B35" s="29"/>
      <c r="C35" s="29"/>
      <c r="D35" s="29"/>
      <c r="E35" s="29"/>
      <c r="F35" s="29"/>
      <c r="G35" s="29"/>
      <c r="H35" s="29"/>
      <c r="I35" s="29"/>
    </row>
    <row r="36" spans="1:11" ht="11.25" customHeight="1">
      <c r="A36" s="7" t="s">
        <v>1136</v>
      </c>
      <c r="B36" s="31"/>
      <c r="C36" s="31"/>
      <c r="D36" s="31"/>
      <c r="E36" s="31"/>
      <c r="F36" s="31"/>
      <c r="G36" s="31"/>
      <c r="H36" s="31"/>
      <c r="I36" s="31"/>
    </row>
    <row r="37" spans="1:11">
      <c r="A37" s="7" t="s">
        <v>1137</v>
      </c>
    </row>
  </sheetData>
  <mergeCells count="1">
    <mergeCell ref="B3:F3"/>
  </mergeCells>
  <phoneticPr fontId="0" type="noConversion"/>
  <pageMargins left="0.78740157480314965" right="0.78740157480314965" top="1.46" bottom="0.49" header="0.95" footer="0.4921259845"/>
  <pageSetup paperSize="9" scale="80" orientation="portrait" horizontalDpi="1200" verticalDpi="1200"/>
  <headerFooter alignWithMargins="0">
    <oddHeader>&amp;L&amp;"Arial,Bold"&amp;14Prämienverbilligung in der OKP</oddHeader>
    <oddFooter>&amp;L&amp;"Arial,Regular"Statistik über die Krankenversicherung, Bundesamt für Sozialversicherung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BB7EF-9434-0240-B301-56A699556C0B}">
  <dimension ref="A1:I37"/>
  <sheetViews>
    <sheetView topLeftCell="A20" zoomScale="75" workbookViewId="0">
      <selection activeCell="A37" sqref="A37"/>
    </sheetView>
  </sheetViews>
  <sheetFormatPr baseColWidth="10" defaultColWidth="11.3984375" defaultRowHeight="13"/>
  <cols>
    <col min="1" max="1" width="11.19921875" style="7" customWidth="1"/>
    <col min="2" max="9" width="11.796875" style="7" customWidth="1"/>
    <col min="10" max="16384" width="11.3984375" style="7"/>
  </cols>
  <sheetData>
    <row r="1" spans="1:9" s="1" customFormat="1" ht="14" customHeight="1"/>
    <row r="2" spans="1:9" s="1" customFormat="1" ht="28" customHeight="1">
      <c r="A2" s="2" t="str">
        <f>"T 4.05 Anzahl subventionierte Haushalte 1) nach ausbezahltem Jahresbetrag und Kanton "&amp;'[68]data an-1'!$B$2</f>
        <v>T 4.05 Anzahl subventionierte Haushalte 1) nach ausbezahltem Jahresbetrag und Kanton 2001</v>
      </c>
    </row>
    <row r="3" spans="1:9" ht="24" customHeight="1">
      <c r="A3" s="41" t="s">
        <v>537</v>
      </c>
      <c r="B3" s="261" t="s">
        <v>1140</v>
      </c>
      <c r="C3" s="42"/>
      <c r="D3" s="6"/>
      <c r="E3" s="41"/>
      <c r="F3" s="261"/>
      <c r="G3" s="42"/>
      <c r="H3" s="261"/>
      <c r="I3" s="42" t="s">
        <v>1123</v>
      </c>
    </row>
    <row r="4" spans="1:9" ht="15" customHeight="1">
      <c r="A4" s="43"/>
      <c r="B4" s="12" t="s">
        <v>1141</v>
      </c>
      <c r="C4" s="45" t="s">
        <v>1142</v>
      </c>
      <c r="D4" s="11" t="s">
        <v>1143</v>
      </c>
      <c r="E4" s="45" t="s">
        <v>1144</v>
      </c>
      <c r="F4" s="11" t="s">
        <v>1145</v>
      </c>
      <c r="G4" s="45" t="s">
        <v>521</v>
      </c>
      <c r="H4" s="11" t="s">
        <v>1146</v>
      </c>
      <c r="I4" s="44" t="s">
        <v>514</v>
      </c>
    </row>
    <row r="5" spans="1:9" ht="15" customHeight="1">
      <c r="A5" s="43"/>
      <c r="B5" s="12" t="s">
        <v>1147</v>
      </c>
      <c r="C5" s="44" t="s">
        <v>1148</v>
      </c>
      <c r="D5" s="12" t="s">
        <v>1149</v>
      </c>
      <c r="E5" s="44" t="s">
        <v>1150</v>
      </c>
      <c r="F5" s="11" t="s">
        <v>1151</v>
      </c>
      <c r="G5" s="45" t="s">
        <v>1151</v>
      </c>
      <c r="H5" s="11" t="s">
        <v>1152</v>
      </c>
      <c r="I5" s="44"/>
    </row>
    <row r="6" spans="1:9" ht="15" customHeight="1">
      <c r="A6" s="43"/>
      <c r="B6" s="12"/>
      <c r="C6" s="44"/>
      <c r="D6" s="12"/>
      <c r="E6" s="44"/>
      <c r="F6" s="11"/>
      <c r="G6" s="45"/>
      <c r="H6" s="11" t="s">
        <v>1135</v>
      </c>
      <c r="I6" s="44"/>
    </row>
    <row r="7" spans="1:9" ht="16" customHeight="1">
      <c r="A7" s="46"/>
      <c r="B7" s="16"/>
      <c r="C7" s="47"/>
      <c r="D7" s="16"/>
      <c r="E7" s="47"/>
      <c r="F7" s="189"/>
      <c r="G7" s="48"/>
      <c r="H7" s="189"/>
      <c r="I7" s="47"/>
    </row>
    <row r="8" spans="1:9" ht="30" customHeight="1" thickBot="1">
      <c r="A8" s="296" t="s">
        <v>541</v>
      </c>
      <c r="B8" s="21">
        <f>[73]f!B8</f>
        <v>77808</v>
      </c>
      <c r="C8" s="68">
        <f>[73]f!C8</f>
        <v>60782</v>
      </c>
      <c r="D8" s="21">
        <f>[73]f!D8</f>
        <v>75353</v>
      </c>
      <c r="E8" s="68">
        <f>[73]f!E8</f>
        <v>35181</v>
      </c>
      <c r="F8" s="21">
        <f>[73]f!F8</f>
        <v>7098</v>
      </c>
      <c r="G8" s="68">
        <f>[73]f!G8</f>
        <v>4055</v>
      </c>
      <c r="H8" s="21">
        <f>[73]f!H8</f>
        <v>57</v>
      </c>
      <c r="I8" s="68">
        <f>[73]f!I8</f>
        <v>260334</v>
      </c>
    </row>
    <row r="9" spans="1:9" ht="20" customHeight="1" thickBot="1">
      <c r="A9" s="297" t="s">
        <v>542</v>
      </c>
      <c r="B9" s="53">
        <f>[73]f!B9</f>
        <v>35374</v>
      </c>
      <c r="C9" s="71">
        <f>[73]f!C9</f>
        <v>42562</v>
      </c>
      <c r="D9" s="53">
        <f>[73]f!D9</f>
        <v>43987</v>
      </c>
      <c r="E9" s="71">
        <f>[73]f!E9</f>
        <v>51461</v>
      </c>
      <c r="F9" s="53">
        <f>[73]f!F9</f>
        <v>15005</v>
      </c>
      <c r="G9" s="71">
        <f>[73]f!G9</f>
        <v>15968</v>
      </c>
      <c r="H9" s="53">
        <f>[73]f!H9</f>
        <v>19</v>
      </c>
      <c r="I9" s="71">
        <f>[73]f!I9</f>
        <v>204376</v>
      </c>
    </row>
    <row r="10" spans="1:9" ht="20" customHeight="1" thickBot="1">
      <c r="A10" s="297" t="s">
        <v>543</v>
      </c>
      <c r="B10" s="53">
        <f>[73]f!B10</f>
        <v>7333</v>
      </c>
      <c r="C10" s="71">
        <f>[73]f!C10</f>
        <v>8217</v>
      </c>
      <c r="D10" s="53">
        <f>[73]f!D10</f>
        <v>27703</v>
      </c>
      <c r="E10" s="71">
        <f>[73]f!E10</f>
        <v>5209</v>
      </c>
      <c r="F10" s="53">
        <f>[73]f!F10</f>
        <v>3067</v>
      </c>
      <c r="G10" s="71">
        <f>[73]f!G10</f>
        <v>1162</v>
      </c>
      <c r="H10" s="53">
        <f>[73]f!H10</f>
        <v>0</v>
      </c>
      <c r="I10" s="71">
        <f>[73]f!I10</f>
        <v>52691</v>
      </c>
    </row>
    <row r="11" spans="1:9" ht="20" customHeight="1" thickBot="1">
      <c r="A11" s="297" t="s">
        <v>544</v>
      </c>
      <c r="B11" s="53">
        <f>[73]f!B11</f>
        <v>553</v>
      </c>
      <c r="C11" s="71">
        <f>[73]f!C11</f>
        <v>915</v>
      </c>
      <c r="D11" s="53">
        <f>[73]f!D11</f>
        <v>2293</v>
      </c>
      <c r="E11" s="71">
        <f>[73]f!E11</f>
        <v>585</v>
      </c>
      <c r="F11" s="53">
        <f>[73]f!F11</f>
        <v>284</v>
      </c>
      <c r="G11" s="71">
        <f>[73]f!G11</f>
        <v>83</v>
      </c>
      <c r="H11" s="53">
        <f>[73]f!H11</f>
        <v>0</v>
      </c>
      <c r="I11" s="71">
        <f>[73]f!I11</f>
        <v>4713</v>
      </c>
    </row>
    <row r="12" spans="1:9" ht="20" customHeight="1" thickBot="1">
      <c r="A12" s="297" t="s">
        <v>545</v>
      </c>
      <c r="B12" s="53">
        <f>[73]f!B12</f>
        <v>469</v>
      </c>
      <c r="C12" s="71">
        <f>[73]f!C12</f>
        <v>6029</v>
      </c>
      <c r="D12" s="53">
        <f>[73]f!D12</f>
        <v>5742</v>
      </c>
      <c r="E12" s="71">
        <f>[73]f!E12</f>
        <v>1383</v>
      </c>
      <c r="F12" s="53">
        <f>[73]f!F12</f>
        <v>326</v>
      </c>
      <c r="G12" s="71">
        <f>[73]f!G12</f>
        <v>128</v>
      </c>
      <c r="H12" s="53">
        <f>[73]f!H12</f>
        <v>3727</v>
      </c>
      <c r="I12" s="71">
        <f>[73]f!I12</f>
        <v>17804</v>
      </c>
    </row>
    <row r="13" spans="1:9" ht="20" customHeight="1" thickBot="1">
      <c r="A13" s="297" t="s">
        <v>546</v>
      </c>
      <c r="B13" s="53">
        <f>[73]f!B13</f>
        <v>1704</v>
      </c>
      <c r="C13" s="71">
        <f>[73]f!C13</f>
        <v>1213</v>
      </c>
      <c r="D13" s="53">
        <f>[73]f!D13</f>
        <v>3136</v>
      </c>
      <c r="E13" s="71">
        <f>[73]f!E13</f>
        <v>839</v>
      </c>
      <c r="F13" s="53">
        <f>[73]f!F13</f>
        <v>194</v>
      </c>
      <c r="G13" s="71">
        <f>[73]f!G13</f>
        <v>50</v>
      </c>
      <c r="H13" s="53">
        <f>[73]f!H13</f>
        <v>0</v>
      </c>
      <c r="I13" s="71">
        <f>[73]f!I13</f>
        <v>7136</v>
      </c>
    </row>
    <row r="14" spans="1:9" ht="20" customHeight="1" thickBot="1">
      <c r="A14" s="297" t="s">
        <v>547</v>
      </c>
      <c r="B14" s="53">
        <f>[73]f!B14</f>
        <v>2215</v>
      </c>
      <c r="C14" s="71">
        <f>[73]f!C14</f>
        <v>2469</v>
      </c>
      <c r="D14" s="53">
        <f>[73]f!D14</f>
        <v>2535</v>
      </c>
      <c r="E14" s="71">
        <f>[73]f!E14</f>
        <v>456</v>
      </c>
      <c r="F14" s="53">
        <f>[73]f!F14</f>
        <v>81</v>
      </c>
      <c r="G14" s="71">
        <f>[73]f!G14</f>
        <v>20</v>
      </c>
      <c r="H14" s="53">
        <f>[73]f!H14</f>
        <v>0</v>
      </c>
      <c r="I14" s="71">
        <f>[73]f!I14</f>
        <v>7776</v>
      </c>
    </row>
    <row r="15" spans="1:9" ht="20" customHeight="1" thickBot="1">
      <c r="A15" s="297" t="s">
        <v>548</v>
      </c>
      <c r="B15" s="53">
        <f>[73]f!B15</f>
        <v>608</v>
      </c>
      <c r="C15" s="71">
        <f>[73]f!C15</f>
        <v>1729</v>
      </c>
      <c r="D15" s="53">
        <f>[73]f!D15</f>
        <v>2230</v>
      </c>
      <c r="E15" s="71">
        <f>[73]f!E15</f>
        <v>428</v>
      </c>
      <c r="F15" s="53">
        <f>[73]f!F15</f>
        <v>229</v>
      </c>
      <c r="G15" s="71">
        <f>[73]f!G15</f>
        <v>96</v>
      </c>
      <c r="H15" s="53">
        <f>[73]f!H15</f>
        <v>0</v>
      </c>
      <c r="I15" s="71">
        <f>[73]f!I15</f>
        <v>5320</v>
      </c>
    </row>
    <row r="16" spans="1:9" ht="20" customHeight="1" thickBot="1">
      <c r="A16" s="297" t="s">
        <v>549</v>
      </c>
      <c r="B16" s="53">
        <f>[73]f!B16</f>
        <v>4775</v>
      </c>
      <c r="C16" s="71">
        <f>[73]f!C16</f>
        <v>5122</v>
      </c>
      <c r="D16" s="53">
        <f>[73]f!D16</f>
        <v>7128</v>
      </c>
      <c r="E16" s="71">
        <f>[73]f!E16</f>
        <v>1434</v>
      </c>
      <c r="F16" s="53">
        <f>[73]f!F16</f>
        <v>351</v>
      </c>
      <c r="G16" s="71">
        <f>[73]f!G16</f>
        <v>126</v>
      </c>
      <c r="H16" s="53">
        <f>[73]f!H16</f>
        <v>0</v>
      </c>
      <c r="I16" s="71">
        <f>[73]f!I16</f>
        <v>18936</v>
      </c>
    </row>
    <row r="17" spans="1:9" ht="20" customHeight="1" thickBot="1">
      <c r="A17" s="297" t="s">
        <v>1138</v>
      </c>
      <c r="B17" s="53">
        <f>[73]f!B17</f>
        <v>1519</v>
      </c>
      <c r="C17" s="71">
        <f>[73]f!C17</f>
        <v>8596</v>
      </c>
      <c r="D17" s="53">
        <f>[73]f!D17</f>
        <v>16052</v>
      </c>
      <c r="E17" s="71">
        <f>[73]f!E17</f>
        <v>5449</v>
      </c>
      <c r="F17" s="53">
        <f>[73]f!F17</f>
        <v>4190</v>
      </c>
      <c r="G17" s="71">
        <f>[73]f!G17</f>
        <v>2226</v>
      </c>
      <c r="H17" s="53">
        <f>[73]f!H17</f>
        <v>0</v>
      </c>
      <c r="I17" s="71">
        <f>[73]f!I17</f>
        <v>38032</v>
      </c>
    </row>
    <row r="18" spans="1:9" ht="20" customHeight="1" thickBot="1">
      <c r="A18" s="297" t="s">
        <v>1139</v>
      </c>
      <c r="B18" s="53">
        <f>[73]f!B18</f>
        <v>2004</v>
      </c>
      <c r="C18" s="71">
        <f>[73]f!C18</f>
        <v>7193</v>
      </c>
      <c r="D18" s="53">
        <f>[73]f!D18</f>
        <v>10726</v>
      </c>
      <c r="E18" s="71">
        <f>[73]f!E18</f>
        <v>4424</v>
      </c>
      <c r="F18" s="53">
        <f>[73]f!F18</f>
        <v>1350</v>
      </c>
      <c r="G18" s="71">
        <f>[73]f!G18</f>
        <v>835</v>
      </c>
      <c r="H18" s="53">
        <f>[73]f!H18</f>
        <v>0</v>
      </c>
      <c r="I18" s="71">
        <f>[73]f!I18</f>
        <v>26532</v>
      </c>
    </row>
    <row r="19" spans="1:9" ht="20" customHeight="1" thickBot="1">
      <c r="A19" s="297" t="s">
        <v>552</v>
      </c>
      <c r="B19" s="53">
        <f>[73]f!B19</f>
        <v>3856</v>
      </c>
      <c r="C19" s="71">
        <f>[73]f!C19</f>
        <v>2848</v>
      </c>
      <c r="D19" s="53">
        <f>[73]f!D19</f>
        <v>7181</v>
      </c>
      <c r="E19" s="71">
        <f>[73]f!E19</f>
        <v>7436</v>
      </c>
      <c r="F19" s="53">
        <f>[73]f!F19</f>
        <v>3554</v>
      </c>
      <c r="G19" s="71">
        <f>[73]f!G19</f>
        <v>2528</v>
      </c>
      <c r="H19" s="53">
        <f>[73]f!H19</f>
        <v>0</v>
      </c>
      <c r="I19" s="71">
        <f>[73]f!I19</f>
        <v>27403</v>
      </c>
    </row>
    <row r="20" spans="1:9" ht="20" customHeight="1" thickBot="1">
      <c r="A20" s="297" t="s">
        <v>553</v>
      </c>
      <c r="B20" s="26">
        <f>[73]f!B20</f>
        <v>9185</v>
      </c>
      <c r="C20" s="54">
        <f>[73]f!C20</f>
        <v>11132</v>
      </c>
      <c r="D20" s="53">
        <f>[73]f!D20</f>
        <v>19701</v>
      </c>
      <c r="E20" s="71">
        <f>[73]f!E20</f>
        <v>3755</v>
      </c>
      <c r="F20" s="26">
        <f>[73]f!F20</f>
        <v>584</v>
      </c>
      <c r="G20" s="54">
        <f>[73]f!G20</f>
        <v>106</v>
      </c>
      <c r="H20" s="26">
        <f>[73]f!H20</f>
        <v>4925</v>
      </c>
      <c r="I20" s="71">
        <f>[73]f!I20</f>
        <v>49388</v>
      </c>
    </row>
    <row r="21" spans="1:9" ht="20" customHeight="1" thickBot="1">
      <c r="A21" s="297" t="s">
        <v>554</v>
      </c>
      <c r="B21" s="53">
        <f>[73]f!B21</f>
        <v>2251</v>
      </c>
      <c r="C21" s="71">
        <f>[73]f!C21</f>
        <v>4462</v>
      </c>
      <c r="D21" s="53">
        <f>[73]f!D21</f>
        <v>3374</v>
      </c>
      <c r="E21" s="71">
        <f>[73]f!E21</f>
        <v>1186</v>
      </c>
      <c r="F21" s="53">
        <f>[73]f!F21</f>
        <v>432</v>
      </c>
      <c r="G21" s="71">
        <f>[73]f!G21</f>
        <v>117</v>
      </c>
      <c r="H21" s="53">
        <f>[73]f!H21</f>
        <v>0</v>
      </c>
      <c r="I21" s="71">
        <f>[73]f!I21</f>
        <v>11822</v>
      </c>
    </row>
    <row r="22" spans="1:9" ht="20" customHeight="1" thickBot="1">
      <c r="A22" s="297" t="s">
        <v>555</v>
      </c>
      <c r="B22" s="53">
        <f>[73]f!B22</f>
        <v>536</v>
      </c>
      <c r="C22" s="71">
        <f>[73]f!C22</f>
        <v>575</v>
      </c>
      <c r="D22" s="53">
        <f>[73]f!D22</f>
        <v>2210</v>
      </c>
      <c r="E22" s="71">
        <f>[73]f!E22</f>
        <v>797</v>
      </c>
      <c r="F22" s="53">
        <f>[73]f!F22</f>
        <v>697</v>
      </c>
      <c r="G22" s="71">
        <f>[73]f!G22</f>
        <v>919</v>
      </c>
      <c r="H22" s="53">
        <f>[73]f!H22</f>
        <v>0</v>
      </c>
      <c r="I22" s="71">
        <f>[73]f!I22</f>
        <v>5734</v>
      </c>
    </row>
    <row r="23" spans="1:9" ht="20" customHeight="1" thickBot="1">
      <c r="A23" s="297" t="s">
        <v>556</v>
      </c>
      <c r="B23" s="53">
        <f>[73]f!B23</f>
        <v>1035</v>
      </c>
      <c r="C23" s="71">
        <f>[73]f!C23</f>
        <v>738</v>
      </c>
      <c r="D23" s="53">
        <f>[73]f!D23</f>
        <v>989</v>
      </c>
      <c r="E23" s="71">
        <f>[73]f!E23</f>
        <v>286</v>
      </c>
      <c r="F23" s="53">
        <f>[73]f!F23</f>
        <v>84</v>
      </c>
      <c r="G23" s="71">
        <f>[73]f!G23</f>
        <v>166</v>
      </c>
      <c r="H23" s="53">
        <f>[73]f!H23</f>
        <v>0</v>
      </c>
      <c r="I23" s="71">
        <f>[73]f!I23</f>
        <v>3298</v>
      </c>
    </row>
    <row r="24" spans="1:9" ht="20" customHeight="1" thickBot="1">
      <c r="A24" s="297" t="s">
        <v>557</v>
      </c>
      <c r="B24" s="53">
        <f>[73]f!B24</f>
        <v>12087</v>
      </c>
      <c r="C24" s="71">
        <f>[73]f!C24</f>
        <v>11406</v>
      </c>
      <c r="D24" s="53">
        <f>[73]f!D24</f>
        <v>29573</v>
      </c>
      <c r="E24" s="71">
        <f>[73]f!E24</f>
        <v>5126</v>
      </c>
      <c r="F24" s="53">
        <f>[73]f!F24</f>
        <v>3621</v>
      </c>
      <c r="G24" s="71">
        <f>[73]f!G24</f>
        <v>671</v>
      </c>
      <c r="H24" s="53">
        <f>[73]f!H24</f>
        <v>0</v>
      </c>
      <c r="I24" s="71">
        <f>[73]f!I24</f>
        <v>62484</v>
      </c>
    </row>
    <row r="25" spans="1:9" ht="20" customHeight="1" thickBot="1">
      <c r="A25" s="297" t="s">
        <v>558</v>
      </c>
      <c r="B25" s="53">
        <f>[73]f!B25</f>
        <v>5869</v>
      </c>
      <c r="C25" s="71">
        <f>[73]f!C25</f>
        <v>6674</v>
      </c>
      <c r="D25" s="53">
        <f>[73]f!D25</f>
        <v>11341</v>
      </c>
      <c r="E25" s="71">
        <f>[73]f!E25</f>
        <v>2247</v>
      </c>
      <c r="F25" s="53">
        <f>[73]f!F25</f>
        <v>1026</v>
      </c>
      <c r="G25" s="71">
        <f>[73]f!G25</f>
        <v>301</v>
      </c>
      <c r="H25" s="53">
        <f>[73]f!H25</f>
        <v>0</v>
      </c>
      <c r="I25" s="71">
        <f>[73]f!I25</f>
        <v>27458</v>
      </c>
    </row>
    <row r="26" spans="1:9" ht="20" customHeight="1" thickBot="1">
      <c r="A26" s="297" t="s">
        <v>559</v>
      </c>
      <c r="B26" s="53">
        <f>[73]f!B26</f>
        <v>4280</v>
      </c>
      <c r="C26" s="71">
        <f>[73]f!C26</f>
        <v>6512</v>
      </c>
      <c r="D26" s="53">
        <f>[73]f!D26</f>
        <v>19437</v>
      </c>
      <c r="E26" s="71">
        <f>[73]f!E26</f>
        <v>9439</v>
      </c>
      <c r="F26" s="53">
        <f>[73]f!F26</f>
        <v>5492</v>
      </c>
      <c r="G26" s="71">
        <f>[73]f!G26</f>
        <v>3386</v>
      </c>
      <c r="H26" s="53">
        <f>[73]f!H26</f>
        <v>0</v>
      </c>
      <c r="I26" s="71">
        <f>[73]f!I26</f>
        <v>48546</v>
      </c>
    </row>
    <row r="27" spans="1:9" ht="20" customHeight="1" thickBot="1">
      <c r="A27" s="297" t="s">
        <v>560</v>
      </c>
      <c r="B27" s="53">
        <f>[73]f!B27</f>
        <v>9123</v>
      </c>
      <c r="C27" s="71">
        <f>[73]f!C27</f>
        <v>34703</v>
      </c>
      <c r="D27" s="53">
        <f>[73]f!D27</f>
        <v>10936</v>
      </c>
      <c r="E27" s="71">
        <f>[73]f!E27</f>
        <v>3924</v>
      </c>
      <c r="F27" s="53">
        <f>[73]f!F27</f>
        <v>1174</v>
      </c>
      <c r="G27" s="71">
        <f>[73]f!G27</f>
        <v>101</v>
      </c>
      <c r="H27" s="53">
        <f>[73]f!H27</f>
        <v>0</v>
      </c>
      <c r="I27" s="71">
        <f>[73]f!I27</f>
        <v>59961</v>
      </c>
    </row>
    <row r="28" spans="1:9" ht="20" customHeight="1" thickBot="1">
      <c r="A28" s="297" t="s">
        <v>561</v>
      </c>
      <c r="B28" s="53">
        <f>[73]f!B28</f>
        <v>4044</v>
      </c>
      <c r="C28" s="71">
        <f>[73]f!C28</f>
        <v>5747</v>
      </c>
      <c r="D28" s="53">
        <f>[73]f!D28</f>
        <v>19773</v>
      </c>
      <c r="E28" s="71">
        <f>[73]f!E28</f>
        <v>13799</v>
      </c>
      <c r="F28" s="53">
        <f>[73]f!F28</f>
        <v>4318</v>
      </c>
      <c r="G28" s="71">
        <f>[73]f!G28</f>
        <v>4455</v>
      </c>
      <c r="H28" s="53">
        <f>[73]f!H28</f>
        <v>0</v>
      </c>
      <c r="I28" s="71">
        <f>[73]f!I28</f>
        <v>52136</v>
      </c>
    </row>
    <row r="29" spans="1:9" ht="20" customHeight="1" thickBot="1">
      <c r="A29" s="297" t="s">
        <v>562</v>
      </c>
      <c r="B29" s="53">
        <f>[73]f!B29</f>
        <v>1777</v>
      </c>
      <c r="C29" s="71">
        <f>[73]f!C29</f>
        <v>3755</v>
      </c>
      <c r="D29" s="53">
        <f>[73]f!D29</f>
        <v>12183</v>
      </c>
      <c r="E29" s="71">
        <f>[73]f!E29</f>
        <v>30069</v>
      </c>
      <c r="F29" s="53">
        <f>[73]f!F29</f>
        <v>11180</v>
      </c>
      <c r="G29" s="71">
        <f>[73]f!G29</f>
        <v>17055</v>
      </c>
      <c r="H29" s="53">
        <f>[73]f!H29</f>
        <v>0</v>
      </c>
      <c r="I29" s="71">
        <f>[73]f!I29</f>
        <v>76019</v>
      </c>
    </row>
    <row r="30" spans="1:9" ht="20" customHeight="1" thickBot="1">
      <c r="A30" s="297" t="s">
        <v>563</v>
      </c>
      <c r="B30" s="53">
        <f>[73]f!B30</f>
        <v>40</v>
      </c>
      <c r="C30" s="71">
        <f>[73]f!C30</f>
        <v>6029</v>
      </c>
      <c r="D30" s="53">
        <f>[73]f!D30</f>
        <v>28725</v>
      </c>
      <c r="E30" s="71">
        <f>[73]f!E30</f>
        <v>5652</v>
      </c>
      <c r="F30" s="53">
        <f>[73]f!F30</f>
        <v>5864</v>
      </c>
      <c r="G30" s="71">
        <f>[73]f!G30</f>
        <v>4424</v>
      </c>
      <c r="H30" s="53">
        <f>[73]f!H30</f>
        <v>0</v>
      </c>
      <c r="I30" s="71">
        <f>[73]f!I30</f>
        <v>50734</v>
      </c>
    </row>
    <row r="31" spans="1:9" ht="20" customHeight="1" thickBot="1">
      <c r="A31" s="297" t="s">
        <v>564</v>
      </c>
      <c r="B31" s="53">
        <f>[73]f!B31</f>
        <v>5696</v>
      </c>
      <c r="C31" s="71">
        <f>[73]f!C31</f>
        <v>5343</v>
      </c>
      <c r="D31" s="53">
        <f>[73]f!D31</f>
        <v>6889</v>
      </c>
      <c r="E31" s="71">
        <f>[73]f!E31</f>
        <v>10468</v>
      </c>
      <c r="F31" s="53">
        <f>[73]f!F31</f>
        <v>1652</v>
      </c>
      <c r="G31" s="71">
        <f>[73]f!G31</f>
        <v>3575</v>
      </c>
      <c r="H31" s="53">
        <f>[73]f!H31</f>
        <v>0</v>
      </c>
      <c r="I31" s="71">
        <f>[73]f!I31</f>
        <v>33623</v>
      </c>
    </row>
    <row r="32" spans="1:9" ht="20" customHeight="1" thickBot="1">
      <c r="A32" s="297" t="s">
        <v>565</v>
      </c>
      <c r="B32" s="53">
        <f>[73]f!B32</f>
        <v>9374</v>
      </c>
      <c r="C32" s="71">
        <f>[73]f!C32</f>
        <v>43474</v>
      </c>
      <c r="D32" s="53">
        <f>[73]f!D32</f>
        <v>15662</v>
      </c>
      <c r="E32" s="71">
        <f>[73]f!E32</f>
        <v>11580</v>
      </c>
      <c r="F32" s="53">
        <f>[73]f!F32</f>
        <v>16962</v>
      </c>
      <c r="G32" s="71">
        <f>[73]f!G32</f>
        <v>5221</v>
      </c>
      <c r="H32" s="53">
        <f>[73]f!H32</f>
        <v>466</v>
      </c>
      <c r="I32" s="71">
        <f>[73]f!I32</f>
        <v>102739</v>
      </c>
    </row>
    <row r="33" spans="1:9" ht="20" customHeight="1" thickBot="1">
      <c r="A33" s="297" t="s">
        <v>566</v>
      </c>
      <c r="B33" s="53">
        <f>[73]f!B33</f>
        <v>2511</v>
      </c>
      <c r="C33" s="71">
        <f>[73]f!C33</f>
        <v>2343</v>
      </c>
      <c r="D33" s="53">
        <f>[73]f!D33</f>
        <v>4089</v>
      </c>
      <c r="E33" s="71">
        <f>[73]f!E33</f>
        <v>3387</v>
      </c>
      <c r="F33" s="53">
        <f>[73]f!F33</f>
        <v>654</v>
      </c>
      <c r="G33" s="71">
        <f>[73]f!G33</f>
        <v>964</v>
      </c>
      <c r="H33" s="53">
        <f>[73]f!H33</f>
        <v>0</v>
      </c>
      <c r="I33" s="71">
        <f>[73]f!I33</f>
        <v>13948</v>
      </c>
    </row>
    <row r="34" spans="1:9" ht="30" customHeight="1" thickBot="1">
      <c r="A34" s="79" t="s">
        <v>808</v>
      </c>
      <c r="B34" s="111">
        <f>[73]f!B34</f>
        <v>206026</v>
      </c>
      <c r="C34" s="79">
        <f>[73]f!C34</f>
        <v>290568</v>
      </c>
      <c r="D34" s="111">
        <f>[73]f!D34</f>
        <v>388948</v>
      </c>
      <c r="E34" s="79">
        <f>[73]f!E34</f>
        <v>216000</v>
      </c>
      <c r="F34" s="111">
        <f>[73]f!F34</f>
        <v>89469</v>
      </c>
      <c r="G34" s="79">
        <f>[73]f!G34</f>
        <v>68738</v>
      </c>
      <c r="H34" s="111">
        <f>[73]f!H34</f>
        <v>9194</v>
      </c>
      <c r="I34" s="79">
        <f>[73]f!I34</f>
        <v>1268943</v>
      </c>
    </row>
    <row r="35" spans="1:9" ht="20" customHeight="1">
      <c r="A35" s="331" t="str">
        <f>'[68]data an-1'!$D$2</f>
        <v xml:space="preserve">Datenstand: 21.10.02 </v>
      </c>
      <c r="B35" s="29"/>
      <c r="C35" s="29"/>
      <c r="D35" s="29"/>
      <c r="E35" s="29"/>
      <c r="F35" s="29"/>
      <c r="G35" s="29"/>
      <c r="H35" s="29"/>
      <c r="I35" s="29"/>
    </row>
    <row r="36" spans="1:9" ht="11.25" customHeight="1">
      <c r="A36" s="7" t="s">
        <v>1136</v>
      </c>
      <c r="B36" s="31"/>
      <c r="C36" s="31"/>
      <c r="D36" s="31"/>
      <c r="E36" s="31"/>
      <c r="F36" s="31"/>
      <c r="G36" s="31"/>
      <c r="H36" s="31"/>
      <c r="I36" s="31"/>
    </row>
    <row r="37" spans="1:9">
      <c r="A37" s="143" t="s">
        <v>1137</v>
      </c>
    </row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&amp;L&amp;"Arial,Bold"&amp;14Prämienverbilligung in der OKP</oddHeader>
    <oddFooter>&amp;L&amp;"Arial,Regular"Statistik über die Krankenversicherung, Bundesamt für Sozialversicherung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DFAB9-A136-7044-AB1F-C0BE90C7C62E}">
  <dimension ref="A1:I36"/>
  <sheetViews>
    <sheetView topLeftCell="A19" zoomScale="75" workbookViewId="0">
      <selection activeCell="L31" sqref="L31"/>
    </sheetView>
  </sheetViews>
  <sheetFormatPr baseColWidth="10" defaultColWidth="11.3984375" defaultRowHeight="13"/>
  <cols>
    <col min="1" max="1" width="11.3984375" style="7"/>
    <col min="2" max="8" width="11.796875" style="7" customWidth="1"/>
    <col min="9" max="9" width="11.59765625" style="7" customWidth="1"/>
    <col min="10" max="10" width="16.19921875" style="7" customWidth="1"/>
    <col min="11" max="16384" width="11.3984375" style="7"/>
  </cols>
  <sheetData>
    <row r="1" spans="1:9" s="1" customFormat="1" ht="14" customHeight="1"/>
    <row r="2" spans="1:9" s="1" customFormat="1" ht="28" customHeight="1">
      <c r="A2" s="2" t="str">
        <f>"T 4.06 Kantonale Grenzbeträge für die Berechtigung: Massgebende Einkommen 1)  "&amp;'[68]data an-1'!$B$2</f>
        <v>T 4.06 Kantonale Grenzbeträge für die Berechtigung: Massgebende Einkommen 1)  2001</v>
      </c>
    </row>
    <row r="3" spans="1:9" ht="24" customHeight="1">
      <c r="A3" s="41" t="s">
        <v>537</v>
      </c>
      <c r="B3" s="261" t="s">
        <v>1153</v>
      </c>
      <c r="C3" s="42"/>
      <c r="D3" s="6"/>
      <c r="E3" s="41"/>
      <c r="F3" s="261"/>
      <c r="G3" s="42"/>
      <c r="H3" s="261"/>
      <c r="I3" s="42"/>
    </row>
    <row r="4" spans="1:9" ht="15" customHeight="1">
      <c r="A4" s="43"/>
      <c r="B4" s="335" t="s">
        <v>1154</v>
      </c>
      <c r="C4" s="45"/>
      <c r="D4" s="11"/>
      <c r="E4" s="45"/>
      <c r="F4" s="336" t="s">
        <v>1155</v>
      </c>
      <c r="G4" s="45"/>
      <c r="H4" s="11"/>
      <c r="I4" s="44"/>
    </row>
    <row r="5" spans="1:9" ht="15" customHeight="1">
      <c r="A5" s="43"/>
      <c r="B5" s="12" t="s">
        <v>1156</v>
      </c>
      <c r="C5" s="44" t="s">
        <v>1157</v>
      </c>
      <c r="D5" s="12" t="s">
        <v>1158</v>
      </c>
      <c r="E5" s="44" t="s">
        <v>1159</v>
      </c>
      <c r="F5" s="11" t="s">
        <v>1156</v>
      </c>
      <c r="G5" s="45" t="s">
        <v>1157</v>
      </c>
      <c r="H5" s="11" t="s">
        <v>1158</v>
      </c>
      <c r="I5" s="44" t="s">
        <v>1159</v>
      </c>
    </row>
    <row r="6" spans="1:9" ht="31" customHeight="1">
      <c r="A6" s="46"/>
      <c r="B6" s="16" t="s">
        <v>538</v>
      </c>
      <c r="C6" s="47"/>
      <c r="D6" s="16"/>
      <c r="E6" s="47"/>
      <c r="F6" s="189" t="s">
        <v>538</v>
      </c>
      <c r="G6" s="48"/>
      <c r="H6" s="189"/>
      <c r="I6" s="47"/>
    </row>
    <row r="7" spans="1:9" ht="30" customHeight="1">
      <c r="A7" s="337" t="s">
        <v>541</v>
      </c>
      <c r="B7" s="338">
        <f>[74]f!B7</f>
        <v>36000</v>
      </c>
      <c r="C7" s="136">
        <f>[74]f!C7</f>
        <v>36000</v>
      </c>
      <c r="D7" s="338">
        <f>[74]f!D7</f>
        <v>36000</v>
      </c>
      <c r="E7" s="136">
        <f>[74]f!E7</f>
        <v>36000</v>
      </c>
      <c r="F7" s="338">
        <f>[74]f!F7</f>
        <v>44600</v>
      </c>
      <c r="G7" s="136">
        <f>[74]f!G7</f>
        <v>44600</v>
      </c>
      <c r="H7" s="338">
        <f>[74]f!H7</f>
        <v>44600</v>
      </c>
      <c r="I7" s="136">
        <f>[74]f!I7</f>
        <v>44600</v>
      </c>
    </row>
    <row r="8" spans="1:9" ht="20" customHeight="1">
      <c r="A8" s="337" t="s">
        <v>542</v>
      </c>
      <c r="B8" s="338">
        <f>[74]f!B8</f>
        <v>35200</v>
      </c>
      <c r="C8" s="136">
        <f>[74]f!C8</f>
        <v>47200</v>
      </c>
      <c r="D8" s="338">
        <f>[74]f!D8</f>
        <v>55700</v>
      </c>
      <c r="E8" s="136">
        <f>[74]f!E8</f>
        <v>64200</v>
      </c>
      <c r="F8" s="338">
        <f>[74]f!F8</f>
        <v>45500</v>
      </c>
      <c r="G8" s="136">
        <f>[74]f!G8</f>
        <v>54000</v>
      </c>
      <c r="H8" s="338">
        <f>[74]f!H8</f>
        <v>62500</v>
      </c>
      <c r="I8" s="136">
        <f>[74]f!I8</f>
        <v>71000</v>
      </c>
    </row>
    <row r="9" spans="1:9" ht="20" customHeight="1">
      <c r="A9" s="337" t="s">
        <v>543</v>
      </c>
      <c r="B9" s="338">
        <f>[74]f!B9</f>
        <v>24000</v>
      </c>
      <c r="C9" s="136">
        <f>[74]f!C9</f>
        <v>30300</v>
      </c>
      <c r="D9" s="338">
        <f>[74]f!D9</f>
        <v>36700</v>
      </c>
      <c r="E9" s="136">
        <f>[74]f!E9</f>
        <v>43000</v>
      </c>
      <c r="F9" s="338">
        <f>[74]f!F9</f>
        <v>48700</v>
      </c>
      <c r="G9" s="136">
        <f>[74]f!G9</f>
        <v>55000</v>
      </c>
      <c r="H9" s="338">
        <f>[74]f!H9</f>
        <v>61400</v>
      </c>
      <c r="I9" s="136">
        <f>[74]f!I9</f>
        <v>67700</v>
      </c>
    </row>
    <row r="10" spans="1:9" ht="20" customHeight="1">
      <c r="A10" s="337" t="s">
        <v>544</v>
      </c>
      <c r="B10" s="338">
        <f>[74]f!B10</f>
        <v>20500</v>
      </c>
      <c r="C10" s="136">
        <f>[74]f!C10</f>
        <v>26000</v>
      </c>
      <c r="D10" s="338">
        <f>[74]f!D10</f>
        <v>30500</v>
      </c>
      <c r="E10" s="136">
        <f>[74]f!E10</f>
        <v>37000</v>
      </c>
      <c r="F10" s="338">
        <f>[74]f!F10</f>
        <v>42000</v>
      </c>
      <c r="G10" s="136">
        <f>[74]f!G10</f>
        <v>48000</v>
      </c>
      <c r="H10" s="338">
        <f>[74]f!H10</f>
        <v>55000</v>
      </c>
      <c r="I10" s="136">
        <f>[74]f!I10</f>
        <v>55000</v>
      </c>
    </row>
    <row r="11" spans="1:9" ht="20" customHeight="1">
      <c r="A11" s="337" t="s">
        <v>545</v>
      </c>
      <c r="B11" s="338">
        <f>[74]f!B11</f>
        <v>29999</v>
      </c>
      <c r="C11" s="136">
        <f>[74]f!C11</f>
        <v>41999</v>
      </c>
      <c r="D11" s="338">
        <f>[74]f!D11</f>
        <v>49499</v>
      </c>
      <c r="E11" s="136">
        <f>[74]f!E11</f>
        <v>52499</v>
      </c>
      <c r="F11" s="338">
        <f>[74]f!F11</f>
        <v>40499</v>
      </c>
      <c r="G11" s="136">
        <f>[74]f!G11</f>
        <v>50999</v>
      </c>
      <c r="H11" s="338">
        <f>[74]f!H11</f>
        <v>58499</v>
      </c>
      <c r="I11" s="136">
        <f>[74]f!I11</f>
        <v>61499</v>
      </c>
    </row>
    <row r="12" spans="1:9" ht="20" customHeight="1">
      <c r="A12" s="337" t="s">
        <v>546</v>
      </c>
      <c r="B12" s="338">
        <f>[74]f!B12</f>
        <v>28700</v>
      </c>
      <c r="C12" s="136">
        <f>[74]f!C12</f>
        <v>36600</v>
      </c>
      <c r="D12" s="338">
        <f>[74]f!D12</f>
        <v>44600</v>
      </c>
      <c r="E12" s="136">
        <f>[74]f!E12</f>
        <v>52500</v>
      </c>
      <c r="F12" s="338">
        <f>[74]f!F12</f>
        <v>59000</v>
      </c>
      <c r="G12" s="136">
        <f>[74]f!G12</f>
        <v>66900</v>
      </c>
      <c r="H12" s="338">
        <f>[74]f!H12</f>
        <v>74800</v>
      </c>
      <c r="I12" s="136">
        <f>[74]f!I12</f>
        <v>82800</v>
      </c>
    </row>
    <row r="13" spans="1:9" ht="20" customHeight="1">
      <c r="A13" s="337" t="s">
        <v>547</v>
      </c>
      <c r="B13" s="338">
        <f>[74]f!B13</f>
        <v>34000</v>
      </c>
      <c r="C13" s="136">
        <f>[74]f!C13</f>
        <v>43000</v>
      </c>
      <c r="D13" s="338">
        <f>[74]f!D13</f>
        <v>52000</v>
      </c>
      <c r="E13" s="136">
        <f>[74]f!E13</f>
        <v>61000</v>
      </c>
      <c r="F13" s="338">
        <f>[74]f!F13</f>
        <v>68000</v>
      </c>
      <c r="G13" s="136">
        <f>[74]f!G13</f>
        <v>78000</v>
      </c>
      <c r="H13" s="338">
        <f>[74]f!H13</f>
        <v>87000</v>
      </c>
      <c r="I13" s="136">
        <f>[74]f!I13</f>
        <v>96000</v>
      </c>
    </row>
    <row r="14" spans="1:9" ht="20" customHeight="1">
      <c r="A14" s="337" t="s">
        <v>548</v>
      </c>
      <c r="B14" s="338">
        <f>[74]f!B14</f>
        <v>36180</v>
      </c>
      <c r="C14" s="136">
        <f>[74]f!C14</f>
        <v>45000</v>
      </c>
      <c r="D14" s="338">
        <f>[74]f!D14</f>
        <v>46860</v>
      </c>
      <c r="E14" s="136">
        <f>[74]f!E14</f>
        <v>50000</v>
      </c>
      <c r="F14" s="338">
        <f>[74]f!F14</f>
        <v>50370</v>
      </c>
      <c r="G14" s="136">
        <f>[74]f!G14</f>
        <v>56975</v>
      </c>
      <c r="H14" s="338">
        <f>[74]f!H14</f>
        <v>60000</v>
      </c>
      <c r="I14" s="136">
        <f>[74]f!I14</f>
        <v>66045</v>
      </c>
    </row>
    <row r="15" spans="1:9" ht="20" customHeight="1">
      <c r="A15" s="337" t="s">
        <v>549</v>
      </c>
      <c r="B15" s="338">
        <f>[74]f!B15</f>
        <v>33500</v>
      </c>
      <c r="C15" s="136">
        <f>[74]f!C15</f>
        <v>47600</v>
      </c>
      <c r="D15" s="338">
        <f>[74]f!D15</f>
        <v>61600</v>
      </c>
      <c r="E15" s="136">
        <f>[74]f!E15</f>
        <v>75700</v>
      </c>
      <c r="F15" s="338">
        <f>[74]f!F15</f>
        <v>67900</v>
      </c>
      <c r="G15" s="136">
        <f>[74]f!G15</f>
        <v>81900</v>
      </c>
      <c r="H15" s="338">
        <f>[74]f!H15</f>
        <v>96000</v>
      </c>
      <c r="I15" s="136">
        <f>[74]f!I15</f>
        <v>110000</v>
      </c>
    </row>
    <row r="16" spans="1:9" ht="20" customHeight="1">
      <c r="A16" s="337" t="s">
        <v>550</v>
      </c>
      <c r="B16" s="338">
        <f>[74]f!B16</f>
        <v>35000</v>
      </c>
      <c r="C16" s="136">
        <f>[74]f!C16</f>
        <v>52000</v>
      </c>
      <c r="D16" s="338">
        <f>[74]f!D16</f>
        <v>61000</v>
      </c>
      <c r="E16" s="136">
        <f>[74]f!E16</f>
        <v>70000</v>
      </c>
      <c r="F16" s="338">
        <f>[74]f!F16</f>
        <v>52000</v>
      </c>
      <c r="G16" s="136">
        <f>[74]f!G16</f>
        <v>61000</v>
      </c>
      <c r="H16" s="338">
        <f>[74]f!H16</f>
        <v>70000</v>
      </c>
      <c r="I16" s="136">
        <f>[74]f!I16</f>
        <v>79000</v>
      </c>
    </row>
    <row r="17" spans="1:9" ht="20" customHeight="1">
      <c r="A17" s="337" t="s">
        <v>551</v>
      </c>
      <c r="B17" s="338">
        <f>[74]f!B17</f>
        <v>24900</v>
      </c>
      <c r="C17" s="136">
        <f>[74]f!C17</f>
        <v>36100</v>
      </c>
      <c r="D17" s="338">
        <f>[74]f!D17</f>
        <v>47300</v>
      </c>
      <c r="E17" s="136">
        <f>[74]f!E17</f>
        <v>58500</v>
      </c>
      <c r="F17" s="338">
        <f>[74]f!F17</f>
        <v>43900</v>
      </c>
      <c r="G17" s="136">
        <f>[74]f!G17</f>
        <v>54100</v>
      </c>
      <c r="H17" s="338">
        <f>[74]f!H17</f>
        <v>64300</v>
      </c>
      <c r="I17" s="136">
        <f>[74]f!I17</f>
        <v>73500</v>
      </c>
    </row>
    <row r="18" spans="1:9" ht="20" customHeight="1">
      <c r="A18" s="337" t="s">
        <v>552</v>
      </c>
      <c r="B18" s="338">
        <f>[74]f!B18</f>
        <v>39000</v>
      </c>
      <c r="C18" s="136">
        <f>[74]f!C18</f>
        <v>39000</v>
      </c>
      <c r="D18" s="338">
        <f>[74]f!D18</f>
        <v>39000</v>
      </c>
      <c r="E18" s="136">
        <f>[74]f!E18</f>
        <v>39000</v>
      </c>
      <c r="F18" s="338">
        <f>[74]f!F18</f>
        <v>64000</v>
      </c>
      <c r="G18" s="136">
        <f>[74]f!G18</f>
        <v>74000</v>
      </c>
      <c r="H18" s="338">
        <f>[74]f!H18</f>
        <v>82000</v>
      </c>
      <c r="I18" s="136">
        <f>[74]f!I18</f>
        <v>88000</v>
      </c>
    </row>
    <row r="19" spans="1:9" ht="20" customHeight="1">
      <c r="A19" s="337" t="s">
        <v>553</v>
      </c>
      <c r="B19" s="11">
        <f>[74]f!B19</f>
        <v>40000</v>
      </c>
      <c r="C19" s="45">
        <f>[74]f!C19</f>
        <v>50000</v>
      </c>
      <c r="D19" s="338">
        <f>[74]f!D19</f>
        <v>65000</v>
      </c>
      <c r="E19" s="136">
        <f>[74]f!E19</f>
        <v>80000</v>
      </c>
      <c r="F19" s="11">
        <f>[74]f!F19</f>
        <v>80000</v>
      </c>
      <c r="G19" s="45">
        <f>[74]f!G19</f>
        <v>105000</v>
      </c>
      <c r="H19" s="11">
        <f>[74]f!H19</f>
        <v>105000</v>
      </c>
      <c r="I19" s="136">
        <f>[74]f!I19</f>
        <v>120000</v>
      </c>
    </row>
    <row r="20" spans="1:9" ht="20" customHeight="1">
      <c r="A20" s="337" t="s">
        <v>554</v>
      </c>
      <c r="B20" s="338">
        <f>[74]f!B20</f>
        <v>26000</v>
      </c>
      <c r="C20" s="136">
        <f>[74]f!C20</f>
        <v>32500</v>
      </c>
      <c r="D20" s="338">
        <f>[74]f!D20</f>
        <v>39000</v>
      </c>
      <c r="E20" s="136">
        <f>[74]f!E20</f>
        <v>45500</v>
      </c>
      <c r="F20" s="338">
        <f>[74]f!F20</f>
        <v>46000</v>
      </c>
      <c r="G20" s="136">
        <f>[74]f!G20</f>
        <v>52500</v>
      </c>
      <c r="H20" s="338">
        <f>[74]f!H20</f>
        <v>59000</v>
      </c>
      <c r="I20" s="136">
        <f>[74]f!I20</f>
        <v>65500</v>
      </c>
    </row>
    <row r="21" spans="1:9" ht="20" customHeight="1">
      <c r="A21" s="337" t="s">
        <v>555</v>
      </c>
      <c r="B21" s="338">
        <f>[74]f!B21</f>
        <v>24272</v>
      </c>
      <c r="C21" s="136">
        <f>[74]f!C21</f>
        <v>31664</v>
      </c>
      <c r="D21" s="338">
        <f>[74]f!D21</f>
        <v>38295</v>
      </c>
      <c r="E21" s="136">
        <f>[74]f!E21</f>
        <v>46449</v>
      </c>
      <c r="F21" s="338">
        <f>[74]f!F21</f>
        <v>40143</v>
      </c>
      <c r="G21" s="136">
        <f>[74]f!G21</f>
        <v>47535</v>
      </c>
      <c r="H21" s="338">
        <f>[74]f!H21</f>
        <v>54927</v>
      </c>
      <c r="I21" s="136">
        <f>[74]f!I21</f>
        <v>62320</v>
      </c>
    </row>
    <row r="22" spans="1:9" ht="20" customHeight="1">
      <c r="A22" s="337" t="s">
        <v>556</v>
      </c>
      <c r="B22" s="338">
        <f>[74]f!B22</f>
        <v>31860</v>
      </c>
      <c r="C22" s="136">
        <f>[74]f!C22</f>
        <v>40150</v>
      </c>
      <c r="D22" s="338">
        <f>[74]f!D22</f>
        <v>48440</v>
      </c>
      <c r="E22" s="136">
        <f>[74]f!E22</f>
        <v>56730</v>
      </c>
      <c r="F22" s="338">
        <f>[74]f!F22</f>
        <v>63720</v>
      </c>
      <c r="G22" s="136">
        <f>[74]f!G22</f>
        <v>72000</v>
      </c>
      <c r="H22" s="338">
        <f>[74]f!H22</f>
        <v>80300</v>
      </c>
      <c r="I22" s="136">
        <f>[74]f!I22</f>
        <v>88600</v>
      </c>
    </row>
    <row r="23" spans="1:9" ht="20" customHeight="1">
      <c r="A23" s="337" t="s">
        <v>557</v>
      </c>
      <c r="B23" s="338">
        <f>[74]f!B23</f>
        <v>22500</v>
      </c>
      <c r="C23" s="136">
        <f>[74]f!C23</f>
        <v>33200</v>
      </c>
      <c r="D23" s="338">
        <f>[74]f!D23</f>
        <v>46400</v>
      </c>
      <c r="E23" s="136">
        <f>[74]f!E23</f>
        <v>59600</v>
      </c>
      <c r="F23" s="338">
        <f>[74]f!F23</f>
        <v>45000</v>
      </c>
      <c r="G23" s="136">
        <f>[74]f!G23</f>
        <v>53200</v>
      </c>
      <c r="H23" s="338">
        <f>[74]f!H23</f>
        <v>66400</v>
      </c>
      <c r="I23" s="136">
        <f>[74]f!I23</f>
        <v>79600</v>
      </c>
    </row>
    <row r="24" spans="1:9" ht="20" customHeight="1">
      <c r="A24" s="337" t="s">
        <v>558</v>
      </c>
      <c r="B24" s="338">
        <f>[74]f!B24</f>
        <v>26263</v>
      </c>
      <c r="C24" s="136">
        <f>[74]f!C24</f>
        <v>30000</v>
      </c>
      <c r="D24" s="338">
        <f>[74]f!D24</f>
        <v>36047</v>
      </c>
      <c r="E24" s="136">
        <f>[74]f!E24</f>
        <v>40000</v>
      </c>
      <c r="F24" s="338">
        <f>[74]f!F24</f>
        <v>43609</v>
      </c>
      <c r="G24" s="136">
        <f>[74]f!G24</f>
        <v>49217</v>
      </c>
      <c r="H24" s="338">
        <f>[74]f!H24</f>
        <v>50440</v>
      </c>
      <c r="I24" s="136">
        <f>[74]f!I24</f>
        <v>55600</v>
      </c>
    </row>
    <row r="25" spans="1:9" ht="20" customHeight="1">
      <c r="A25" s="337" t="s">
        <v>559</v>
      </c>
      <c r="B25" s="338">
        <f>[74]f!B25</f>
        <v>23800</v>
      </c>
      <c r="C25" s="136">
        <f>[74]f!C25</f>
        <v>32600</v>
      </c>
      <c r="D25" s="338">
        <f>[74]f!D25</f>
        <v>41500</v>
      </c>
      <c r="E25" s="136">
        <f>[74]f!E25</f>
        <v>50400</v>
      </c>
      <c r="F25" s="338">
        <f>[74]f!F25</f>
        <v>48800</v>
      </c>
      <c r="G25" s="136">
        <f>[74]f!G25</f>
        <v>57600</v>
      </c>
      <c r="H25" s="338">
        <f>[74]f!H25</f>
        <v>66500</v>
      </c>
      <c r="I25" s="136">
        <f>[74]f!I25</f>
        <v>75400</v>
      </c>
    </row>
    <row r="26" spans="1:9" ht="20" customHeight="1">
      <c r="A26" s="337" t="s">
        <v>560</v>
      </c>
      <c r="B26" s="338">
        <f>[74]f!B26</f>
        <v>29800</v>
      </c>
      <c r="C26" s="136">
        <f>[74]f!C26</f>
        <v>29800</v>
      </c>
      <c r="D26" s="338">
        <f>[74]f!D26</f>
        <v>29800</v>
      </c>
      <c r="E26" s="136">
        <f>[74]f!E26</f>
        <v>29800</v>
      </c>
      <c r="F26" s="338">
        <f>[74]f!F26</f>
        <v>34800</v>
      </c>
      <c r="G26" s="136">
        <f>[74]f!G26</f>
        <v>34800</v>
      </c>
      <c r="H26" s="338">
        <f>[74]f!H26</f>
        <v>34800</v>
      </c>
      <c r="I26" s="136">
        <f>[74]f!I26</f>
        <v>34800</v>
      </c>
    </row>
    <row r="27" spans="1:9" ht="20" customHeight="1">
      <c r="A27" s="337" t="s">
        <v>561</v>
      </c>
      <c r="B27" s="338">
        <f>[74]f!B27</f>
        <v>22000</v>
      </c>
      <c r="C27" s="136">
        <f>[74]f!C27</f>
        <v>34000</v>
      </c>
      <c r="D27" s="338">
        <f>[74]f!D27</f>
        <v>34000</v>
      </c>
      <c r="E27" s="136">
        <f>[74]f!E27</f>
        <v>34000</v>
      </c>
      <c r="F27" s="338">
        <f>[74]f!F27</f>
        <v>34000</v>
      </c>
      <c r="G27" s="136">
        <f>[74]f!G27</f>
        <v>34000</v>
      </c>
      <c r="H27" s="338">
        <f>[74]f!H27</f>
        <v>34000</v>
      </c>
      <c r="I27" s="136">
        <f>[74]f!I27</f>
        <v>34000</v>
      </c>
    </row>
    <row r="28" spans="1:9" ht="20" customHeight="1">
      <c r="A28" s="337" t="s">
        <v>562</v>
      </c>
      <c r="B28" s="338">
        <f>[74]f!B28</f>
        <v>30000</v>
      </c>
      <c r="C28" s="136">
        <f>[74]f!C28</f>
        <v>52000</v>
      </c>
      <c r="D28" s="338">
        <f>[74]f!D28</f>
        <v>59000</v>
      </c>
      <c r="E28" s="136">
        <f>[74]f!E28</f>
        <v>66000</v>
      </c>
      <c r="F28" s="338">
        <f>[74]f!F28</f>
        <v>45000</v>
      </c>
      <c r="G28" s="136">
        <f>[74]f!G28</f>
        <v>52000</v>
      </c>
      <c r="H28" s="338">
        <f>[74]f!H28</f>
        <v>59000</v>
      </c>
      <c r="I28" s="136">
        <f>[74]f!I28</f>
        <v>66000</v>
      </c>
    </row>
    <row r="29" spans="1:9" ht="20" customHeight="1">
      <c r="A29" s="337" t="s">
        <v>563</v>
      </c>
      <c r="B29" s="338">
        <f>[74]f!B29</f>
        <v>29000</v>
      </c>
      <c r="C29" s="136">
        <f>[74]f!C29</f>
        <v>49650</v>
      </c>
      <c r="D29" s="338">
        <f>[74]f!D29</f>
        <v>61150</v>
      </c>
      <c r="E29" s="136">
        <f>[74]f!E29</f>
        <v>71650</v>
      </c>
      <c r="F29" s="338">
        <f>[74]f!F29</f>
        <v>43500</v>
      </c>
      <c r="G29" s="136">
        <f>[74]f!G29</f>
        <v>54000</v>
      </c>
      <c r="H29" s="338">
        <f>[74]f!H29</f>
        <v>65500</v>
      </c>
      <c r="I29" s="136">
        <f>[74]f!I29</f>
        <v>76000</v>
      </c>
    </row>
    <row r="30" spans="1:9" ht="20" customHeight="1">
      <c r="A30" s="337" t="s">
        <v>564</v>
      </c>
      <c r="B30" s="338">
        <f>[74]f!B30</f>
        <v>40000</v>
      </c>
      <c r="C30" s="136">
        <f>[74]f!C30</f>
        <v>49000</v>
      </c>
      <c r="D30" s="338">
        <f>[74]f!D30</f>
        <v>58000</v>
      </c>
      <c r="E30" s="136">
        <f>[74]f!E30</f>
        <v>67000</v>
      </c>
      <c r="F30" s="338">
        <f>[74]f!F30</f>
        <v>59000</v>
      </c>
      <c r="G30" s="136">
        <f>[74]f!G30</f>
        <v>68000</v>
      </c>
      <c r="H30" s="338">
        <f>[74]f!H30</f>
        <v>77000</v>
      </c>
      <c r="I30" s="136">
        <f>[74]f!I30</f>
        <v>86000</v>
      </c>
    </row>
    <row r="31" spans="1:9" ht="20" customHeight="1">
      <c r="A31" s="337" t="s">
        <v>565</v>
      </c>
      <c r="B31" s="338">
        <f>[74]f!B31</f>
        <v>35000</v>
      </c>
      <c r="C31" s="136">
        <f>[74]f!C31</f>
        <v>56000</v>
      </c>
      <c r="D31" s="338">
        <f>[74]f!D31</f>
        <v>62000</v>
      </c>
      <c r="E31" s="136">
        <f>[74]f!E31</f>
        <v>68000</v>
      </c>
      <c r="F31" s="338">
        <f>[74]f!F31</f>
        <v>50000</v>
      </c>
      <c r="G31" s="136">
        <f>[74]f!G31</f>
        <v>56000</v>
      </c>
      <c r="H31" s="338">
        <f>[74]f!H31</f>
        <v>62000</v>
      </c>
      <c r="I31" s="136">
        <f>[74]f!I31</f>
        <v>68000</v>
      </c>
    </row>
    <row r="32" spans="1:9" ht="23.25" customHeight="1" thickBot="1">
      <c r="A32" s="337" t="s">
        <v>566</v>
      </c>
      <c r="B32" s="338">
        <f>[74]f!B32</f>
        <v>33000</v>
      </c>
      <c r="C32" s="136">
        <f>[74]f!C32</f>
        <v>47000</v>
      </c>
      <c r="D32" s="338">
        <f>[74]f!D32</f>
        <v>51000</v>
      </c>
      <c r="E32" s="136">
        <f>[74]f!E32</f>
        <v>57000</v>
      </c>
      <c r="F32" s="338">
        <f>[74]f!F32</f>
        <v>38000</v>
      </c>
      <c r="G32" s="136">
        <f>[74]f!G32</f>
        <v>47000</v>
      </c>
      <c r="H32" s="338">
        <f>[74]f!H32</f>
        <v>51000</v>
      </c>
      <c r="I32" s="136">
        <f>[74]f!I32</f>
        <v>57000</v>
      </c>
    </row>
    <row r="33" spans="1:9" ht="17.25" customHeight="1">
      <c r="A33" s="331" t="str">
        <f>'[68]data an-1'!$D$2</f>
        <v xml:space="preserve">Datenstand: 21.10.02 </v>
      </c>
      <c r="B33" s="29"/>
      <c r="C33" s="29"/>
      <c r="D33" s="29"/>
      <c r="E33" s="29"/>
      <c r="F33" s="29"/>
      <c r="G33" s="29"/>
      <c r="H33" s="29"/>
      <c r="I33" s="29"/>
    </row>
    <row r="34" spans="1:9" ht="14.25" customHeight="1">
      <c r="A34" s="7" t="s">
        <v>1160</v>
      </c>
      <c r="B34" s="31"/>
      <c r="C34" s="31"/>
      <c r="D34" s="31"/>
      <c r="E34" s="31"/>
      <c r="F34" s="31"/>
      <c r="G34" s="31"/>
      <c r="H34" s="31"/>
      <c r="I34" s="31"/>
    </row>
    <row r="35" spans="1:9">
      <c r="A35" s="143" t="s">
        <v>1161</v>
      </c>
    </row>
    <row r="36" spans="1:9">
      <c r="A36" s="143"/>
    </row>
  </sheetData>
  <phoneticPr fontId="0" type="noConversion"/>
  <pageMargins left="0.38" right="0.25" top="1.46" bottom="0.49" header="0.92" footer="0.4921259845"/>
  <pageSetup paperSize="9" scale="80" orientation="portrait" horizontalDpi="4294967292" verticalDpi="4294967292"/>
  <headerFooter alignWithMargins="0">
    <oddHeader>&amp;L&amp;"Arial,Bold"&amp;14Prämienverbilligung in der OKP</oddHeader>
    <oddFooter>&amp;L&amp;"Arial,Regular"Statistik über die Krankenversicherung, Bundesamt für Sozialversicherung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49BE7-7DF3-324A-B6E8-1DCE0D7B276F}">
  <dimension ref="A1:L21"/>
  <sheetViews>
    <sheetView topLeftCell="A21" zoomScale="75" workbookViewId="0">
      <selection sqref="A1:I21"/>
    </sheetView>
  </sheetViews>
  <sheetFormatPr baseColWidth="10" defaultColWidth="11.3984375" defaultRowHeight="13"/>
  <cols>
    <col min="1" max="1" width="8.796875" style="7" customWidth="1"/>
    <col min="2" max="3" width="11.796875" style="7" customWidth="1"/>
    <col min="4" max="4" width="12.796875" style="7" customWidth="1"/>
    <col min="5" max="5" width="13.59765625" style="7" customWidth="1"/>
    <col min="6" max="6" width="11.59765625" style="7" customWidth="1"/>
    <col min="7" max="7" width="13.19921875" style="7" customWidth="1"/>
    <col min="8" max="8" width="11.796875" style="83" customWidth="1"/>
    <col min="9" max="16384" width="11.3984375" style="7"/>
  </cols>
  <sheetData>
    <row r="1" spans="1:12" s="1" customFormat="1" ht="14" customHeight="1">
      <c r="H1" s="59"/>
    </row>
    <row r="2" spans="1:12" s="1" customFormat="1" ht="28" customHeight="1">
      <c r="A2" s="2" t="s">
        <v>1162</v>
      </c>
      <c r="B2" s="2"/>
      <c r="H2" s="59"/>
    </row>
    <row r="3" spans="1:12" ht="24" customHeight="1">
      <c r="A3" s="41" t="s">
        <v>640</v>
      </c>
      <c r="B3" s="6" t="s">
        <v>1163</v>
      </c>
      <c r="C3" s="42" t="s">
        <v>522</v>
      </c>
      <c r="D3" s="6" t="s">
        <v>1164</v>
      </c>
      <c r="E3" s="42" t="s">
        <v>1165</v>
      </c>
      <c r="F3" s="6" t="s">
        <v>522</v>
      </c>
      <c r="G3" s="42" t="s">
        <v>1166</v>
      </c>
      <c r="H3" s="60" t="s">
        <v>522</v>
      </c>
    </row>
    <row r="4" spans="1:12" ht="15" customHeight="1">
      <c r="A4" s="43"/>
      <c r="B4" s="12" t="s">
        <v>1167</v>
      </c>
      <c r="C4" s="44" t="s">
        <v>523</v>
      </c>
      <c r="D4" s="12" t="s">
        <v>1168</v>
      </c>
      <c r="E4" s="44" t="s">
        <v>1169</v>
      </c>
      <c r="F4" s="12" t="s">
        <v>523</v>
      </c>
      <c r="G4" s="44" t="s">
        <v>1170</v>
      </c>
      <c r="H4" s="63" t="s">
        <v>523</v>
      </c>
    </row>
    <row r="5" spans="1:12" ht="15" customHeight="1">
      <c r="A5" s="43"/>
      <c r="B5" s="12" t="s">
        <v>819</v>
      </c>
      <c r="C5" s="44" t="s">
        <v>524</v>
      </c>
      <c r="D5" s="12" t="s">
        <v>1171</v>
      </c>
      <c r="E5" s="44" t="s">
        <v>1172</v>
      </c>
      <c r="F5" s="12" t="s">
        <v>524</v>
      </c>
      <c r="G5" s="44" t="s">
        <v>1173</v>
      </c>
      <c r="H5" s="63" t="s">
        <v>524</v>
      </c>
    </row>
    <row r="6" spans="1:12" ht="24" customHeight="1">
      <c r="A6" s="46"/>
      <c r="B6" s="16"/>
      <c r="C6" s="47"/>
      <c r="D6" s="16" t="s">
        <v>1174</v>
      </c>
      <c r="E6" s="47" t="s">
        <v>819</v>
      </c>
      <c r="F6" s="16"/>
      <c r="G6" s="47" t="s">
        <v>819</v>
      </c>
      <c r="H6" s="66"/>
    </row>
    <row r="7" spans="1:12" ht="30" customHeight="1" thickBot="1">
      <c r="A7" s="49">
        <v>1996</v>
      </c>
      <c r="B7" s="339">
        <f>[75]f!B7</f>
        <v>2470.5</v>
      </c>
      <c r="C7" s="340" t="str">
        <f>[75]f!C7</f>
        <v>–</v>
      </c>
      <c r="D7" s="146">
        <f>[75]f!D7</f>
        <v>0.26510074357417535</v>
      </c>
      <c r="E7" s="340">
        <f>[75]f!E7</f>
        <v>1815.5686129999999</v>
      </c>
      <c r="F7" s="341" t="str">
        <f>[75]f!F7</f>
        <v>–</v>
      </c>
      <c r="G7" s="340">
        <f>[75]f!G7</f>
        <v>1493.4959349999999</v>
      </c>
      <c r="H7" s="146" t="str">
        <f>[75]f!H7</f>
        <v>–</v>
      </c>
      <c r="J7" s="27"/>
      <c r="K7" s="27"/>
      <c r="L7" s="27"/>
    </row>
    <row r="8" spans="1:12" ht="20" customHeight="1" thickBot="1">
      <c r="A8" s="52">
        <v>1997</v>
      </c>
      <c r="B8" s="342">
        <f>[75]f!B8</f>
        <v>2716.0039999999999</v>
      </c>
      <c r="C8" s="55">
        <f>[75]f!C8</f>
        <v>9.9374215745800409E-2</v>
      </c>
      <c r="D8" s="190">
        <f>[75]f!D8</f>
        <v>0.23152856917736497</v>
      </c>
      <c r="E8" s="126">
        <f>[75]f!E8</f>
        <v>2087.17148</v>
      </c>
      <c r="F8" s="190">
        <f>[75]f!F8</f>
        <v>0.14959658646621474</v>
      </c>
      <c r="G8" s="126">
        <f>[75]f!G8</f>
        <v>1994.2314670000001</v>
      </c>
      <c r="H8" s="190">
        <f>[75]f!H8</f>
        <v>0.33527746561961697</v>
      </c>
    </row>
    <row r="9" spans="1:12" ht="20" customHeight="1" thickBot="1">
      <c r="A9" s="52">
        <v>1998</v>
      </c>
      <c r="B9" s="342">
        <f>[75]f!B9</f>
        <v>2972.5</v>
      </c>
      <c r="C9" s="55">
        <f>[75]f!C9</f>
        <v>9.4438741621882774E-2</v>
      </c>
      <c r="D9" s="190">
        <f>[75]f!D9</f>
        <v>0.23858957510513035</v>
      </c>
      <c r="E9" s="126">
        <f>[75]f!E9</f>
        <v>2263.292488</v>
      </c>
      <c r="F9" s="190">
        <f>[75]f!F9</f>
        <v>8.4382624852654686E-2</v>
      </c>
      <c r="G9" s="126">
        <f>[75]f!G9</f>
        <v>2446.4709480000001</v>
      </c>
      <c r="H9" s="190">
        <f>[75]f!H9</f>
        <v>0.22677381662236104</v>
      </c>
    </row>
    <row r="10" spans="1:12" ht="20" customHeight="1" thickBot="1">
      <c r="A10" s="52">
        <v>1999</v>
      </c>
      <c r="B10" s="342">
        <f>[75]f!B10</f>
        <v>3270</v>
      </c>
      <c r="C10" s="55">
        <f>[75]f!C10</f>
        <v>0.10008410428931876</v>
      </c>
      <c r="D10" s="190">
        <f>[75]f!D10</f>
        <v>0.24261539724770631</v>
      </c>
      <c r="E10" s="126">
        <f>[75]f!E10</f>
        <v>2476.6476510000002</v>
      </c>
      <c r="F10" s="190">
        <f>[75]f!F10</f>
        <v>9.4267605327730042E-2</v>
      </c>
      <c r="G10" s="126">
        <f>[75]f!G10</f>
        <v>2689.6721769999999</v>
      </c>
      <c r="H10" s="190">
        <f>[75]f!H10</f>
        <v>9.9408999399243941E-2</v>
      </c>
    </row>
    <row r="11" spans="1:12" ht="20" customHeight="1" thickBot="1">
      <c r="A11" s="52">
        <v>2000</v>
      </c>
      <c r="B11" s="342">
        <f>[75]f!B11</f>
        <v>3319.5</v>
      </c>
      <c r="C11" s="55">
        <f>[75]f!C11</f>
        <v>1.5137614678899083E-2</v>
      </c>
      <c r="D11" s="190">
        <f>[75]f!D11</f>
        <v>0.23698356288597677</v>
      </c>
      <c r="E11" s="126">
        <f>[75]f!E11</f>
        <v>2532.833063</v>
      </c>
      <c r="F11" s="190">
        <f>[75]f!F11</f>
        <v>2.2686074047438172E-2</v>
      </c>
      <c r="G11" s="126">
        <f>[75]f!G11</f>
        <v>2545.3263492000001</v>
      </c>
      <c r="H11" s="190">
        <f>[75]f!H11</f>
        <v>-5.3666699248456337E-2</v>
      </c>
    </row>
    <row r="12" spans="1:12" s="81" customFormat="1" ht="20" customHeight="1" thickBot="1">
      <c r="A12" s="258">
        <v>2001</v>
      </c>
      <c r="B12" s="343">
        <f>[75]f!B12</f>
        <v>3369</v>
      </c>
      <c r="C12" s="259">
        <f>[75]f!C12</f>
        <v>1.4911884319927699E-2</v>
      </c>
      <c r="D12" s="344">
        <f>[75]f!D12</f>
        <v>0.20699731491831064</v>
      </c>
      <c r="E12" s="345">
        <f>[75]f!E12</f>
        <v>2671.6260460402113</v>
      </c>
      <c r="F12" s="344">
        <f>[75]f!F12</f>
        <v>5.4797524980118008E-2</v>
      </c>
      <c r="G12" s="345">
        <f>[75]f!G12</f>
        <v>2657.2488682500002</v>
      </c>
      <c r="H12" s="344">
        <f>[75]f!H12</f>
        <v>4.3971775597725429E-2</v>
      </c>
    </row>
    <row r="13" spans="1:12" ht="20" customHeight="1" thickBot="1">
      <c r="A13" s="52">
        <v>2002</v>
      </c>
      <c r="B13" s="342">
        <f>[75]f!B13</f>
        <v>3420</v>
      </c>
      <c r="C13" s="55">
        <f>[75]f!C13</f>
        <v>1.5138023152270703E-2</v>
      </c>
      <c r="D13" s="190">
        <f>[75]f!D13</f>
        <v>0.16729887017543854</v>
      </c>
      <c r="E13" s="126">
        <f>[75]f!E13</f>
        <v>2847.8378640000001</v>
      </c>
      <c r="F13" s="190">
        <f>[75]f!F13</f>
        <v>6.5956767497817884E-2</v>
      </c>
      <c r="G13" s="126" t="str">
        <f>[75]f!G13</f>
        <v>–</v>
      </c>
      <c r="H13" s="190" t="str">
        <f>[75]f!H13</f>
        <v>–</v>
      </c>
    </row>
    <row r="14" spans="1:12" ht="30" customHeight="1" thickBot="1">
      <c r="A14" s="346">
        <v>2003</v>
      </c>
      <c r="B14" s="347">
        <f>[75]f!B14</f>
        <v>3471</v>
      </c>
      <c r="C14" s="348">
        <f>[75]f!C14</f>
        <v>1.4912280701754385E-2</v>
      </c>
      <c r="D14" s="349" t="str">
        <f>[75]f!D14</f>
        <v>–</v>
      </c>
      <c r="E14" s="130" t="str">
        <f>[75]f!E14</f>
        <v>–</v>
      </c>
      <c r="F14" s="129" t="str">
        <f>[75]f!F14</f>
        <v>–</v>
      </c>
      <c r="G14" s="130" t="str">
        <f>[75]f!G14</f>
        <v>–</v>
      </c>
      <c r="H14" s="349" t="str">
        <f>[75]f!H14</f>
        <v>–</v>
      </c>
    </row>
    <row r="15" spans="1:12" ht="20" customHeight="1">
      <c r="A15" s="350" t="str">
        <f>'[68]data an-1'!$D$2</f>
        <v xml:space="preserve">Datenstand: 21.10.02 </v>
      </c>
      <c r="B15" s="28"/>
      <c r="C15" s="28"/>
      <c r="D15" s="28"/>
      <c r="E15" s="28"/>
      <c r="F15" s="28"/>
      <c r="G15" s="28"/>
      <c r="H15" s="82"/>
    </row>
    <row r="16" spans="1:12" ht="11.25" customHeight="1">
      <c r="A16" s="143" t="s">
        <v>1175</v>
      </c>
    </row>
    <row r="17" spans="1:2" ht="12" customHeight="1">
      <c r="A17" s="143" t="s">
        <v>1176</v>
      </c>
    </row>
    <row r="18" spans="1:2" ht="12" customHeight="1">
      <c r="A18" s="143" t="s">
        <v>1177</v>
      </c>
    </row>
    <row r="19" spans="1:2">
      <c r="A19" s="143" t="s">
        <v>1178</v>
      </c>
      <c r="B19" s="143"/>
    </row>
    <row r="20" spans="1:2">
      <c r="A20" s="143" t="s">
        <v>1179</v>
      </c>
    </row>
    <row r="21" spans="1:2">
      <c r="A21" s="143" t="s">
        <v>1180</v>
      </c>
    </row>
  </sheetData>
  <phoneticPr fontId="0" type="noConversion"/>
  <pageMargins left="0.78740157480314965" right="0.78740157480314965" top="1.46" bottom="0.49" header="0.92" footer="0.4921259845"/>
  <pageSetup paperSize="9" scale="80" orientation="portrait" horizontalDpi="4294967292" verticalDpi="4294967292"/>
  <headerFooter alignWithMargins="0">
    <oddHeader>&amp;L&amp;"Arial,Bold"&amp;14Prämienverbilligung in der OKP</oddHeader>
    <oddFooter>&amp;L&amp;"Arial,Regular"Statistik über die Krankenversicherung, Bundesamt für Sozialversicherung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6D111-E5FD-484C-B695-5D359471A1BF}">
  <dimension ref="A1:M39"/>
  <sheetViews>
    <sheetView topLeftCell="A21" zoomScale="75" workbookViewId="0">
      <selection activeCell="L27" sqref="L27"/>
    </sheetView>
  </sheetViews>
  <sheetFormatPr baseColWidth="10" defaultColWidth="11.3984375" defaultRowHeight="13"/>
  <cols>
    <col min="1" max="1" width="9.796875" style="7" customWidth="1"/>
    <col min="2" max="3" width="11" style="7" customWidth="1"/>
    <col min="4" max="4" width="10.3984375" style="7" customWidth="1"/>
    <col min="5" max="5" width="15.3984375" style="7" customWidth="1"/>
    <col min="6" max="6" width="14.796875" style="7" customWidth="1"/>
    <col min="7" max="7" width="11" style="7" customWidth="1"/>
    <col min="8" max="8" width="15" style="7" customWidth="1"/>
    <col min="9" max="9" width="10.19921875" style="7" customWidth="1"/>
    <col min="10" max="16384" width="11.3984375" style="7"/>
  </cols>
  <sheetData>
    <row r="1" spans="1:10" s="1" customFormat="1" ht="14" customHeight="1"/>
    <row r="2" spans="1:10" s="1" customFormat="1" ht="28" customHeight="1">
      <c r="A2" s="2" t="str">
        <f>"T 4.08 KVG-Verteilmodell 1): Berechnungsbasis sowie Bundes- und Kantonsbeiträge "&amp;'[68]data an-1'!$B$2</f>
        <v>T 4.08 KVG-Verteilmodell 1): Berechnungsbasis sowie Bundes- und Kantonsbeiträge 2001</v>
      </c>
    </row>
    <row r="3" spans="1:10" ht="24" customHeight="1">
      <c r="A3" s="41" t="s">
        <v>537</v>
      </c>
      <c r="B3" s="6" t="s">
        <v>1181</v>
      </c>
      <c r="C3" s="42" t="s">
        <v>1182</v>
      </c>
      <c r="D3" s="6" t="s">
        <v>1183</v>
      </c>
      <c r="E3" s="41" t="str">
        <f>"KVG-Verteilmodell "&amp;'[68]data an-1'!$B$2</f>
        <v>KVG-Verteilmodell 2001</v>
      </c>
      <c r="F3" s="261"/>
      <c r="G3" s="42"/>
      <c r="H3" s="6"/>
      <c r="I3" s="42"/>
    </row>
    <row r="4" spans="1:10" ht="15" customHeight="1">
      <c r="A4" s="43"/>
      <c r="B4" s="12" t="s">
        <v>1184</v>
      </c>
      <c r="C4" s="45" t="s">
        <v>1185</v>
      </c>
      <c r="D4" s="11" t="s">
        <v>1186</v>
      </c>
      <c r="E4" s="45" t="s">
        <v>1187</v>
      </c>
      <c r="F4" s="11" t="s">
        <v>1188</v>
      </c>
      <c r="G4" s="270" t="s">
        <v>1188</v>
      </c>
      <c r="H4" s="11" t="s">
        <v>514</v>
      </c>
      <c r="I4" s="61" t="s">
        <v>522</v>
      </c>
    </row>
    <row r="5" spans="1:10" ht="15" customHeight="1">
      <c r="A5" s="43"/>
      <c r="B5" s="12" t="s">
        <v>1189</v>
      </c>
      <c r="C5" s="44" t="s">
        <v>1220</v>
      </c>
      <c r="D5" s="12">
        <f>[76]f!D7</f>
        <v>2000</v>
      </c>
      <c r="E5" s="44" t="s">
        <v>1221</v>
      </c>
      <c r="F5" s="11" t="s">
        <v>1221</v>
      </c>
      <c r="G5" s="270" t="s">
        <v>1221</v>
      </c>
      <c r="H5" s="11" t="s">
        <v>1222</v>
      </c>
      <c r="I5" s="61" t="s">
        <v>1133</v>
      </c>
    </row>
    <row r="6" spans="1:10" ht="15" customHeight="1">
      <c r="A6" s="43"/>
      <c r="B6" s="12">
        <f>[76]f!B6</f>
        <v>1998</v>
      </c>
      <c r="C6" s="44" t="str">
        <f>[76]f!C7</f>
        <v>2001/02</v>
      </c>
      <c r="D6" s="12"/>
      <c r="E6" s="44" t="s">
        <v>740</v>
      </c>
      <c r="F6" s="11" t="s">
        <v>740</v>
      </c>
      <c r="G6" s="270" t="s">
        <v>1223</v>
      </c>
      <c r="H6" s="11" t="s">
        <v>740</v>
      </c>
      <c r="I6" s="61" t="s">
        <v>524</v>
      </c>
    </row>
    <row r="7" spans="1:10" ht="15" customHeight="1">
      <c r="A7" s="43"/>
      <c r="B7" s="12"/>
      <c r="C7" s="44"/>
      <c r="D7" s="12"/>
      <c r="E7" s="44"/>
      <c r="F7" s="11"/>
      <c r="G7" s="270" t="s">
        <v>1187</v>
      </c>
      <c r="H7" s="11"/>
      <c r="I7" s="44"/>
    </row>
    <row r="8" spans="1:10" ht="16" customHeight="1">
      <c r="A8" s="46"/>
      <c r="B8" s="16"/>
      <c r="C8" s="47"/>
      <c r="D8" s="16"/>
      <c r="E8" s="47"/>
      <c r="F8" s="189"/>
      <c r="G8" s="273" t="s">
        <v>1221</v>
      </c>
      <c r="H8" s="189"/>
      <c r="I8" s="47"/>
    </row>
    <row r="9" spans="1:10" ht="30" customHeight="1" thickBot="1">
      <c r="A9" s="296" t="s">
        <v>541</v>
      </c>
      <c r="B9" s="21">
        <f>[76]f!B9</f>
        <v>1201200</v>
      </c>
      <c r="C9" s="68">
        <f>[76]f!C9</f>
        <v>157</v>
      </c>
      <c r="D9" s="21">
        <f>[76]f!D9</f>
        <v>101</v>
      </c>
      <c r="E9" s="68">
        <f>[76]f!E9</f>
        <v>283462203.16971135</v>
      </c>
      <c r="F9" s="21">
        <f>[76]f!F9</f>
        <v>285133672.57420468</v>
      </c>
      <c r="G9" s="263">
        <f>[76]f!G9</f>
        <v>1.0058966217922627</v>
      </c>
      <c r="H9" s="21">
        <f>[76]f!H9</f>
        <v>568595875.74391603</v>
      </c>
      <c r="I9" s="263">
        <f>[76]f!I9</f>
        <v>2.6731727729627508E-3</v>
      </c>
      <c r="J9" s="22"/>
    </row>
    <row r="10" spans="1:10" ht="20" customHeight="1" thickBot="1">
      <c r="A10" s="297" t="s">
        <v>542</v>
      </c>
      <c r="B10" s="53">
        <f>[76]f!B10</f>
        <v>947400</v>
      </c>
      <c r="C10" s="71">
        <f>[76]f!C10</f>
        <v>66</v>
      </c>
      <c r="D10" s="53">
        <f>[76]f!D10</f>
        <v>97</v>
      </c>
      <c r="E10" s="71">
        <f>[76]f!E10</f>
        <v>341077023.24827003</v>
      </c>
      <c r="F10" s="53">
        <f>[76]f!F10</f>
        <v>104036641.14424881</v>
      </c>
      <c r="G10" s="302">
        <f>[76]f!G10</f>
        <v>0.30502389212104891</v>
      </c>
      <c r="H10" s="53">
        <f>[76]f!H10</f>
        <v>445113664.39251888</v>
      </c>
      <c r="I10" s="302">
        <f>[76]f!I10</f>
        <v>-1.1712970183838545E-2</v>
      </c>
      <c r="J10" s="22"/>
    </row>
    <row r="11" spans="1:10" ht="20" customHeight="1" thickBot="1">
      <c r="A11" s="297" t="s">
        <v>543</v>
      </c>
      <c r="B11" s="53">
        <f>[76]f!B11</f>
        <v>341900</v>
      </c>
      <c r="C11" s="71">
        <f>[76]f!C11</f>
        <v>72</v>
      </c>
      <c r="D11" s="53">
        <f>[76]f!D11</f>
        <v>77</v>
      </c>
      <c r="E11" s="71">
        <f>[76]f!E11</f>
        <v>113139789.46502876</v>
      </c>
      <c r="F11" s="53">
        <f>[76]f!F11</f>
        <v>41459370.567679524</v>
      </c>
      <c r="G11" s="302">
        <f>[76]f!G11</f>
        <v>0.366443766279895</v>
      </c>
      <c r="H11" s="53">
        <f>[76]f!H11</f>
        <v>154599160.03270829</v>
      </c>
      <c r="I11" s="302">
        <f>[76]f!I11</f>
        <v>1.4349634996230654E-2</v>
      </c>
      <c r="J11" s="22"/>
    </row>
    <row r="12" spans="1:10" ht="20" customHeight="1" thickBot="1">
      <c r="A12" s="297" t="s">
        <v>544</v>
      </c>
      <c r="B12" s="53">
        <f>[76]f!B12</f>
        <v>34700</v>
      </c>
      <c r="C12" s="71">
        <f>[76]f!C12</f>
        <v>67</v>
      </c>
      <c r="D12" s="53">
        <f>[76]f!D12</f>
        <v>74</v>
      </c>
      <c r="E12" s="71">
        <f>[76]f!E12</f>
        <v>11720653.549839299</v>
      </c>
      <c r="F12" s="53">
        <f>[76]f!F12</f>
        <v>3878004.2534806076</v>
      </c>
      <c r="G12" s="302">
        <f>[76]f!G12</f>
        <v>0.33086928446355951</v>
      </c>
      <c r="H12" s="53">
        <f>[76]f!H12</f>
        <v>15598657.803319907</v>
      </c>
      <c r="I12" s="302">
        <f>[76]f!I12</f>
        <v>1.4720621965368608E-2</v>
      </c>
      <c r="J12" s="22"/>
    </row>
    <row r="13" spans="1:10" ht="20" customHeight="1" thickBot="1">
      <c r="A13" s="297" t="s">
        <v>545</v>
      </c>
      <c r="B13" s="53">
        <f>[76]f!B13</f>
        <v>125100</v>
      </c>
      <c r="C13" s="71">
        <f>[76]f!C13</f>
        <v>96</v>
      </c>
      <c r="D13" s="53">
        <f>[76]f!D13</f>
        <v>76</v>
      </c>
      <c r="E13" s="71">
        <f>[76]f!E13</f>
        <v>36179008.660611346</v>
      </c>
      <c r="F13" s="53">
        <f>[76]f!F13</f>
        <v>20277876.127539281</v>
      </c>
      <c r="G13" s="302">
        <f>[76]f!G13</f>
        <v>0.56048733445856191</v>
      </c>
      <c r="H13" s="53">
        <f>[76]f!H13</f>
        <v>56456884.788150623</v>
      </c>
      <c r="I13" s="302">
        <f>[76]f!I13</f>
        <v>2.9231923251862302E-2</v>
      </c>
      <c r="J13" s="22"/>
    </row>
    <row r="14" spans="1:10" ht="20" customHeight="1" thickBot="1">
      <c r="A14" s="297" t="s">
        <v>546</v>
      </c>
      <c r="B14" s="53">
        <f>[76]f!B14</f>
        <v>31800</v>
      </c>
      <c r="C14" s="71">
        <f>[76]f!C14</f>
        <v>40</v>
      </c>
      <c r="D14" s="53">
        <f>[76]f!D14</f>
        <v>73</v>
      </c>
      <c r="E14" s="71">
        <f>[76]f!E14</f>
        <v>12563369.252881108</v>
      </c>
      <c r="F14" s="53">
        <f>[76]f!F14</f>
        <v>1703590.8288173229</v>
      </c>
      <c r="G14" s="302">
        <f>[76]f!G14</f>
        <v>0.13559983747406334</v>
      </c>
      <c r="H14" s="53">
        <f>[76]f!H14</f>
        <v>14266960.081698431</v>
      </c>
      <c r="I14" s="302">
        <f>[76]f!I14</f>
        <v>2.7042313707301258E-2</v>
      </c>
      <c r="J14" s="22"/>
    </row>
    <row r="15" spans="1:10" ht="20" customHeight="1" thickBot="1">
      <c r="A15" s="297" t="s">
        <v>547</v>
      </c>
      <c r="B15" s="53">
        <f>[76]f!B15</f>
        <v>36300</v>
      </c>
      <c r="C15" s="71">
        <f>[76]f!C15</f>
        <v>124</v>
      </c>
      <c r="D15" s="53">
        <f>[76]f!D15</f>
        <v>69</v>
      </c>
      <c r="E15" s="71">
        <f>[76]f!E15</f>
        <v>8858940.8021972291</v>
      </c>
      <c r="F15" s="53">
        <f>[76]f!F15</f>
        <v>7298789.743362736</v>
      </c>
      <c r="G15" s="302">
        <f>[76]f!G15</f>
        <v>0.82388966201833769</v>
      </c>
      <c r="H15" s="53">
        <f>[76]f!H15</f>
        <v>16157730.545559965</v>
      </c>
      <c r="I15" s="302">
        <f>[76]f!I15</f>
        <v>2.4248206240041537E-2</v>
      </c>
      <c r="J15" s="22"/>
    </row>
    <row r="16" spans="1:10" ht="20" customHeight="1" thickBot="1">
      <c r="A16" s="297" t="s">
        <v>548</v>
      </c>
      <c r="B16" s="53">
        <f>[76]f!B16</f>
        <v>38300</v>
      </c>
      <c r="C16" s="71">
        <f>[76]f!C16</f>
        <v>78</v>
      </c>
      <c r="D16" s="53">
        <f>[76]f!D16</f>
        <v>74</v>
      </c>
      <c r="E16" s="71">
        <f>[76]f!E16</f>
        <v>12154041.309216226</v>
      </c>
      <c r="F16" s="53">
        <f>[76]f!F16</f>
        <v>5062921.050067706</v>
      </c>
      <c r="G16" s="302">
        <f>[76]f!G16</f>
        <v>0.41656276470185843</v>
      </c>
      <c r="H16" s="53">
        <f>[76]f!H16</f>
        <v>17216962.359283932</v>
      </c>
      <c r="I16" s="302">
        <f>[76]f!I16</f>
        <v>1.1269679216705297E-2</v>
      </c>
      <c r="J16" s="22"/>
    </row>
    <row r="17" spans="1:10" ht="20" customHeight="1" thickBot="1">
      <c r="A17" s="297" t="s">
        <v>549</v>
      </c>
      <c r="B17" s="53">
        <f>[76]f!B17</f>
        <v>95700</v>
      </c>
      <c r="C17" s="71">
        <f>[76]f!C17</f>
        <v>218</v>
      </c>
      <c r="D17" s="53">
        <f>[76]f!D17</f>
        <v>74</v>
      </c>
      <c r="E17" s="71">
        <f>[76]f!E17</f>
        <v>15809695.869843952</v>
      </c>
      <c r="F17" s="53">
        <f>[76]f!F17</f>
        <v>27210233.576199718</v>
      </c>
      <c r="G17" s="302">
        <f>[76]f!G17</f>
        <v>1.7211105008099243</v>
      </c>
      <c r="H17" s="53">
        <f>[76]f!H17</f>
        <v>43019929.44604367</v>
      </c>
      <c r="I17" s="302">
        <f>[76]f!I17</f>
        <v>3.3528752255920891E-2</v>
      </c>
      <c r="J17" s="22"/>
    </row>
    <row r="18" spans="1:10" ht="20" customHeight="1" thickBot="1">
      <c r="A18" s="297" t="s">
        <v>550</v>
      </c>
      <c r="B18" s="53">
        <f>[76]f!B18</f>
        <v>232900</v>
      </c>
      <c r="C18" s="71">
        <f>[76]f!C18</f>
        <v>52</v>
      </c>
      <c r="D18" s="53">
        <f>[76]f!D18</f>
        <v>97</v>
      </c>
      <c r="E18" s="71">
        <f>[76]f!E18</f>
        <v>90572178.333998203</v>
      </c>
      <c r="F18" s="53">
        <f>[76]f!F18</f>
        <v>18850422.929478303</v>
      </c>
      <c r="G18" s="302">
        <f>[76]f!G18</f>
        <v>0.20812597506449057</v>
      </c>
      <c r="H18" s="53">
        <f>[76]f!H18</f>
        <v>109422601.26347651</v>
      </c>
      <c r="I18" s="302">
        <f>[76]f!I18</f>
        <v>3.0607488392651705E-2</v>
      </c>
      <c r="J18" s="22"/>
    </row>
    <row r="19" spans="1:10" ht="20" customHeight="1" thickBot="1">
      <c r="A19" s="297" t="s">
        <v>551</v>
      </c>
      <c r="B19" s="53">
        <f>[76]f!B19</f>
        <v>240700</v>
      </c>
      <c r="C19" s="71">
        <f>[76]f!C19</f>
        <v>87</v>
      </c>
      <c r="D19" s="53">
        <f>[76]f!D19</f>
        <v>96</v>
      </c>
      <c r="E19" s="71">
        <f>[76]f!E19</f>
        <v>77332424.789312989</v>
      </c>
      <c r="F19" s="53">
        <f>[76]f!F19</f>
        <v>35542405.769827507</v>
      </c>
      <c r="G19" s="302">
        <f>[76]f!G19</f>
        <v>0.45960547424525239</v>
      </c>
      <c r="H19" s="53">
        <f>[76]f!H19</f>
        <v>112874830.5591405</v>
      </c>
      <c r="I19" s="302">
        <f>[76]f!I19</f>
        <v>2.624877419698679E-2</v>
      </c>
      <c r="J19" s="22"/>
    </row>
    <row r="20" spans="1:10" ht="20" customHeight="1" thickBot="1">
      <c r="A20" s="297" t="s">
        <v>552</v>
      </c>
      <c r="B20" s="53">
        <f>[76]f!B20</f>
        <v>194800</v>
      </c>
      <c r="C20" s="71">
        <f>[76]f!C20</f>
        <v>158</v>
      </c>
      <c r="D20" s="53">
        <f>[76]f!D20</f>
        <v>133</v>
      </c>
      <c r="E20" s="71">
        <f>[76]f!E20</f>
        <v>51283160.970772862</v>
      </c>
      <c r="F20" s="53">
        <f>[76]f!F20</f>
        <v>46427844.217069358</v>
      </c>
      <c r="G20" s="302">
        <f>[76]f!G20</f>
        <v>0.90532337200371416</v>
      </c>
      <c r="H20" s="53">
        <f>[76]f!H20</f>
        <v>97711005.18784222</v>
      </c>
      <c r="I20" s="302">
        <f>[76]f!I20</f>
        <v>1.8494147740736988E-2</v>
      </c>
      <c r="J20" s="22"/>
    </row>
    <row r="21" spans="1:10" ht="20" customHeight="1" thickBot="1">
      <c r="A21" s="297" t="s">
        <v>553</v>
      </c>
      <c r="B21" s="26">
        <f>[76]f!B21</f>
        <v>253900</v>
      </c>
      <c r="C21" s="54">
        <f>[76]f!C21</f>
        <v>120</v>
      </c>
      <c r="D21" s="53">
        <f>[76]f!D21</f>
        <v>101</v>
      </c>
      <c r="E21" s="71">
        <f>[76]f!E21</f>
        <v>70419767.445830196</v>
      </c>
      <c r="F21" s="26">
        <f>[76]f!F21</f>
        <v>49765458.038169354</v>
      </c>
      <c r="G21" s="302">
        <f>[76]f!G21</f>
        <v>0.70669727894871293</v>
      </c>
      <c r="H21" s="26">
        <f>[76]f!H21</f>
        <v>120185225.48399955</v>
      </c>
      <c r="I21" s="302">
        <f>[76]f!I21</f>
        <v>2.5467821057617801E-2</v>
      </c>
      <c r="J21" s="22"/>
    </row>
    <row r="22" spans="1:10" ht="20" customHeight="1" thickBot="1">
      <c r="A22" s="297" t="s">
        <v>554</v>
      </c>
      <c r="B22" s="53">
        <f>[76]f!B22</f>
        <v>73200</v>
      </c>
      <c r="C22" s="71">
        <f>[76]f!C22</f>
        <v>106</v>
      </c>
      <c r="D22" s="53">
        <f>[76]f!D22</f>
        <v>91</v>
      </c>
      <c r="E22" s="71">
        <f>[76]f!E22</f>
        <v>21047920.562048391</v>
      </c>
      <c r="F22" s="53">
        <f>[76]f!F22</f>
        <v>12955788.252057454</v>
      </c>
      <c r="G22" s="302">
        <f>[76]f!G22</f>
        <v>0.61553768287296273</v>
      </c>
      <c r="H22" s="53">
        <f>[76]f!H22</f>
        <v>34003708.814105846</v>
      </c>
      <c r="I22" s="302">
        <f>[76]f!I22</f>
        <v>1.5069020720339443E-2</v>
      </c>
      <c r="J22" s="22"/>
    </row>
    <row r="23" spans="1:10" ht="20" customHeight="1" thickBot="1">
      <c r="A23" s="297" t="s">
        <v>555</v>
      </c>
      <c r="B23" s="53">
        <f>[76]f!B23</f>
        <v>53500</v>
      </c>
      <c r="C23" s="71">
        <f>[76]f!C23</f>
        <v>59</v>
      </c>
      <c r="D23" s="53">
        <f>[76]f!D23</f>
        <v>71</v>
      </c>
      <c r="E23" s="71">
        <f>[76]f!E23</f>
        <v>18784667.961378366</v>
      </c>
      <c r="F23" s="53">
        <f>[76]f!F23</f>
        <v>5123494.6266908441</v>
      </c>
      <c r="G23" s="302">
        <f>[76]f!G23</f>
        <v>0.27274874579762848</v>
      </c>
      <c r="H23" s="53">
        <f>[76]f!H23</f>
        <v>23908162.588069208</v>
      </c>
      <c r="I23" s="302">
        <f>[76]f!I23</f>
        <v>1.6809418857016922E-2</v>
      </c>
      <c r="J23" s="22"/>
    </row>
    <row r="24" spans="1:10" ht="20" customHeight="1" thickBot="1">
      <c r="A24" s="297" t="s">
        <v>556</v>
      </c>
      <c r="B24" s="53">
        <f>[76]f!B24</f>
        <v>14500</v>
      </c>
      <c r="C24" s="71">
        <f>[76]f!C24</f>
        <v>60</v>
      </c>
      <c r="D24" s="53">
        <f>[76]f!D24</f>
        <v>63</v>
      </c>
      <c r="E24" s="71">
        <f>[76]f!E24</f>
        <v>4959025.482833853</v>
      </c>
      <c r="F24" s="53">
        <f>[76]f!F24</f>
        <v>1418386.9154987824</v>
      </c>
      <c r="G24" s="302">
        <f>[76]f!G24</f>
        <v>0.28602130003337672</v>
      </c>
      <c r="H24" s="53">
        <f>[76]f!H24</f>
        <v>6377412.3983326349</v>
      </c>
      <c r="I24" s="302">
        <f>[76]f!I24</f>
        <v>1.8665173029726034E-2</v>
      </c>
      <c r="J24" s="22"/>
    </row>
    <row r="25" spans="1:10" ht="20" customHeight="1" thickBot="1">
      <c r="A25" s="297" t="s">
        <v>557</v>
      </c>
      <c r="B25" s="53">
        <f>[76]f!B25</f>
        <v>443800</v>
      </c>
      <c r="C25" s="71">
        <f>[76]f!C25</f>
        <v>82</v>
      </c>
      <c r="D25" s="53">
        <f>[76]f!D25</f>
        <v>78</v>
      </c>
      <c r="E25" s="71">
        <f>[76]f!E25</f>
        <v>139290390.20831907</v>
      </c>
      <c r="F25" s="53">
        <f>[76]f!F25</f>
        <v>61777212.99437882</v>
      </c>
      <c r="G25" s="302">
        <f>[76]f!G25</f>
        <v>0.44351381959650221</v>
      </c>
      <c r="H25" s="53">
        <f>[76]f!H25</f>
        <v>201067603.20269787</v>
      </c>
      <c r="I25" s="302">
        <f>[76]f!I25</f>
        <v>1.371368851348409E-2</v>
      </c>
      <c r="J25" s="22"/>
    </row>
    <row r="26" spans="1:10" ht="20" customHeight="1" thickBot="1">
      <c r="A26" s="297" t="s">
        <v>558</v>
      </c>
      <c r="B26" s="53">
        <f>[76]f!B26</f>
        <v>187300</v>
      </c>
      <c r="C26" s="71">
        <f>[76]f!C26</f>
        <v>75</v>
      </c>
      <c r="D26" s="53">
        <f>[76]f!D26</f>
        <v>73</v>
      </c>
      <c r="E26" s="71">
        <f>[76]f!E26</f>
        <v>60283759.004766636</v>
      </c>
      <c r="F26" s="53">
        <f>[76]f!F26</f>
        <v>23747738.583350219</v>
      </c>
      <c r="G26" s="302">
        <f>[76]f!G26</f>
        <v>0.39393261096197546</v>
      </c>
      <c r="H26" s="53">
        <f>[76]f!H26</f>
        <v>84031497.588116854</v>
      </c>
      <c r="I26" s="302">
        <f>[76]f!I26</f>
        <v>1.9899166067449681E-3</v>
      </c>
      <c r="J26" s="22"/>
    </row>
    <row r="27" spans="1:10" ht="20" customHeight="1" thickBot="1">
      <c r="A27" s="297" t="s">
        <v>559</v>
      </c>
      <c r="B27" s="53">
        <f>[76]f!B27</f>
        <v>533200</v>
      </c>
      <c r="C27" s="71">
        <f>[76]f!C27</f>
        <v>100</v>
      </c>
      <c r="D27" s="53">
        <f>[76]f!D27</f>
        <v>83</v>
      </c>
      <c r="E27" s="71">
        <f>[76]f!E27</f>
        <v>154244200.68358219</v>
      </c>
      <c r="F27" s="53">
        <f>[76]f!F27</f>
        <v>89679625.610353902</v>
      </c>
      <c r="G27" s="302">
        <f>[76]f!G27</f>
        <v>0.58141327332185033</v>
      </c>
      <c r="H27" s="53">
        <f>[76]f!H27</f>
        <v>243923826.29393607</v>
      </c>
      <c r="I27" s="302">
        <f>[76]f!I27</f>
        <v>3.0874691501307616E-2</v>
      </c>
      <c r="J27" s="22"/>
    </row>
    <row r="28" spans="1:10" ht="20" customHeight="1" thickBot="1">
      <c r="A28" s="297" t="s">
        <v>560</v>
      </c>
      <c r="B28" s="53">
        <f>[76]f!B28</f>
        <v>225700</v>
      </c>
      <c r="C28" s="71">
        <f>[76]f!C28</f>
        <v>87</v>
      </c>
      <c r="D28" s="53">
        <f>[76]f!D28</f>
        <v>85</v>
      </c>
      <c r="E28" s="71">
        <f>[76]f!E28</f>
        <v>70322221.863297105</v>
      </c>
      <c r="F28" s="53">
        <f>[76]f!F28</f>
        <v>33327465.651225872</v>
      </c>
      <c r="G28" s="302">
        <f>[76]f!G28</f>
        <v>0.47392509463100874</v>
      </c>
      <c r="H28" s="53">
        <f>[76]f!H28</f>
        <v>103649687.51452297</v>
      </c>
      <c r="I28" s="302">
        <f>[76]f!I28</f>
        <v>2.5580037160671143E-2</v>
      </c>
      <c r="J28" s="22"/>
    </row>
    <row r="29" spans="1:10" ht="20" customHeight="1" thickBot="1">
      <c r="A29" s="297" t="s">
        <v>561</v>
      </c>
      <c r="B29" s="53">
        <f>[76]f!B29</f>
        <v>301800</v>
      </c>
      <c r="C29" s="71">
        <f>[76]f!C29</f>
        <v>78</v>
      </c>
      <c r="D29" s="53">
        <f>[76]f!D29</f>
        <v>117</v>
      </c>
      <c r="E29" s="71">
        <f>[76]f!E29</f>
        <v>107225130.02605823</v>
      </c>
      <c r="F29" s="53">
        <f>[76]f!F29</f>
        <v>39895289.109932989</v>
      </c>
      <c r="G29" s="302">
        <f>[76]f!G29</f>
        <v>0.37207032624010339</v>
      </c>
      <c r="H29" s="53">
        <f>[76]f!H29</f>
        <v>147120419.13599122</v>
      </c>
      <c r="I29" s="302">
        <f>[76]f!I29</f>
        <v>2.4262462191641632E-2</v>
      </c>
      <c r="J29" s="22"/>
    </row>
    <row r="30" spans="1:10" ht="20" customHeight="1" thickBot="1">
      <c r="A30" s="297" t="s">
        <v>562</v>
      </c>
      <c r="B30" s="53">
        <f>[76]f!B30</f>
        <v>619900</v>
      </c>
      <c r="C30" s="71">
        <f>[76]f!C30</f>
        <v>95</v>
      </c>
      <c r="D30" s="53">
        <f>[76]f!D30</f>
        <v>130</v>
      </c>
      <c r="E30" s="71">
        <f>[76]f!E30</f>
        <v>209780313.74042439</v>
      </c>
      <c r="F30" s="53">
        <f>[76]f!F30</f>
        <v>99518193.831426635</v>
      </c>
      <c r="G30" s="302">
        <f>[76]f!G30</f>
        <v>0.47439243490963284</v>
      </c>
      <c r="H30" s="53">
        <f>[76]f!H30</f>
        <v>309298507.57185102</v>
      </c>
      <c r="I30" s="302">
        <f>[76]f!I30</f>
        <v>2.417265613049735E-2</v>
      </c>
      <c r="J30" s="22"/>
    </row>
    <row r="31" spans="1:10" ht="20" customHeight="1" thickBot="1">
      <c r="A31" s="297" t="s">
        <v>563</v>
      </c>
      <c r="B31" s="53">
        <f>[76]f!B31</f>
        <v>270300</v>
      </c>
      <c r="C31" s="71">
        <f>[76]f!C31</f>
        <v>30</v>
      </c>
      <c r="D31" s="53">
        <f>[76]f!D31</f>
        <v>81</v>
      </c>
      <c r="E31" s="71">
        <f>[76]f!E31</f>
        <v>115408057.04050756</v>
      </c>
      <c r="F31" s="53">
        <f>[76]f!F31</f>
        <v>7769421.3808267862</v>
      </c>
      <c r="G31" s="302">
        <f>[76]f!G31</f>
        <v>6.7321308235002736E-2</v>
      </c>
      <c r="H31" s="53">
        <f>[76]f!H31</f>
        <v>123177478.42133434</v>
      </c>
      <c r="I31" s="302">
        <f>[76]f!I31</f>
        <v>1.2044782471517967E-2</v>
      </c>
      <c r="J31" s="22"/>
    </row>
    <row r="32" spans="1:10" ht="20" customHeight="1" thickBot="1">
      <c r="A32" s="297" t="s">
        <v>564</v>
      </c>
      <c r="B32" s="53">
        <f>[76]f!B32</f>
        <v>166000</v>
      </c>
      <c r="C32" s="71">
        <f>[76]f!C32</f>
        <v>58</v>
      </c>
      <c r="D32" s="53">
        <f>[76]f!D32</f>
        <v>120</v>
      </c>
      <c r="E32" s="71">
        <f>[76]f!E32</f>
        <v>65806926.520887151</v>
      </c>
      <c r="F32" s="53">
        <f>[76]f!F32</f>
        <v>15553663.706391558</v>
      </c>
      <c r="G32" s="302">
        <f>[76]f!G32</f>
        <v>0.23635298787970013</v>
      </c>
      <c r="H32" s="53">
        <f>[76]f!H32</f>
        <v>81360590.227278709</v>
      </c>
      <c r="I32" s="302">
        <f>[76]f!I32</f>
        <v>2.0605151332639737E-2</v>
      </c>
      <c r="J32" s="22"/>
    </row>
    <row r="33" spans="1:13" ht="20" customHeight="1" thickBot="1">
      <c r="A33" s="297" t="s">
        <v>565</v>
      </c>
      <c r="B33" s="53">
        <f>[76]f!B33</f>
        <v>400600</v>
      </c>
      <c r="C33" s="71">
        <f>[76]f!C33</f>
        <v>130</v>
      </c>
      <c r="D33" s="53">
        <f>[76]f!D33</f>
        <v>151</v>
      </c>
      <c r="E33" s="71">
        <f>[76]f!E33</f>
        <v>123827169.31303599</v>
      </c>
      <c r="F33" s="53">
        <f>[76]f!F33</f>
        <v>83475933.046544403</v>
      </c>
      <c r="G33" s="302">
        <f>[76]f!G33</f>
        <v>0.67413261168489313</v>
      </c>
      <c r="H33" s="53">
        <f>[76]f!H33</f>
        <v>207303102.3595804</v>
      </c>
      <c r="I33" s="302">
        <f>[76]f!I33</f>
        <v>3.8004804761605726E-2</v>
      </c>
    </row>
    <row r="34" spans="1:13" ht="20" customHeight="1" thickBot="1">
      <c r="A34" s="297" t="s">
        <v>566</v>
      </c>
      <c r="B34" s="53">
        <f>[76]f!B34</f>
        <v>67400</v>
      </c>
      <c r="C34" s="71">
        <f>[76]f!C34</f>
        <v>31</v>
      </c>
      <c r="D34" s="53">
        <f>[76]f!D34</f>
        <v>112</v>
      </c>
      <c r="E34" s="71">
        <f>[76]f!E34</f>
        <v>30447960.725347478</v>
      </c>
      <c r="F34" s="53">
        <f>[76]f!F34</f>
        <v>2110555.4711765051</v>
      </c>
      <c r="G34" s="302">
        <f>[76]f!G34</f>
        <v>6.9316808774634905E-2</v>
      </c>
      <c r="H34" s="53">
        <f>[76]f!H34</f>
        <v>32558516.196523983</v>
      </c>
      <c r="I34" s="302">
        <f>[76]f!I34</f>
        <v>2.2706764436904558E-2</v>
      </c>
      <c r="K34" s="27"/>
      <c r="L34" s="27"/>
      <c r="M34" s="27"/>
    </row>
    <row r="35" spans="1:13" ht="30" customHeight="1" thickBot="1">
      <c r="A35" s="332" t="s">
        <v>808</v>
      </c>
      <c r="B35" s="111">
        <f>[76]f!B35</f>
        <v>7131900</v>
      </c>
      <c r="C35" s="79">
        <f>[76]f!C35</f>
        <v>100</v>
      </c>
      <c r="D35" s="111">
        <f>[76]f!D35</f>
        <v>100</v>
      </c>
      <c r="E35" s="79">
        <f>[76]f!E35</f>
        <v>2246000000</v>
      </c>
      <c r="F35" s="111">
        <f>[76]f!F35</f>
        <v>1123000000</v>
      </c>
      <c r="G35" s="351">
        <f>[76]f!G35</f>
        <v>0.5</v>
      </c>
      <c r="H35" s="111">
        <f>[76]f!H35</f>
        <v>3368999999.999999</v>
      </c>
      <c r="I35" s="351">
        <f>[76]f!I35</f>
        <v>1.4911884319927404E-2</v>
      </c>
    </row>
    <row r="36" spans="1:13" ht="20" customHeight="1">
      <c r="A36" s="331" t="str">
        <f>'[68]data an-1'!$D$2</f>
        <v xml:space="preserve">Datenstand: 21.10.02 </v>
      </c>
      <c r="B36" s="29"/>
      <c r="C36" s="29"/>
      <c r="D36" s="29"/>
      <c r="E36" s="29"/>
      <c r="F36" s="29"/>
      <c r="G36" s="29"/>
      <c r="H36" s="29"/>
      <c r="I36" s="29"/>
    </row>
    <row r="37" spans="1:13" ht="11.25" customHeight="1">
      <c r="A37" s="7" t="s">
        <v>1224</v>
      </c>
      <c r="B37" s="31"/>
      <c r="C37" s="31"/>
      <c r="D37" s="31"/>
      <c r="E37" s="31"/>
      <c r="F37" s="31"/>
      <c r="G37" s="31"/>
      <c r="H37" s="31"/>
      <c r="I37" s="31"/>
    </row>
    <row r="38" spans="1:13">
      <c r="A38" s="7" t="s">
        <v>1225</v>
      </c>
    </row>
    <row r="39" spans="1:13">
      <c r="A39" s="7" t="s">
        <v>1226</v>
      </c>
    </row>
  </sheetData>
  <phoneticPr fontId="0" type="noConversion"/>
  <pageMargins left="0.78740157480314965" right="0.51" top="1.48" bottom="0.49" header="0.94" footer="0.4921259845"/>
  <pageSetup paperSize="9" scale="80" orientation="portrait" horizontalDpi="4294967292" verticalDpi="4294967292"/>
  <headerFooter alignWithMargins="0">
    <oddHeader>&amp;L&amp;"Arial,Bold"&amp;14Prämienverbilligung in der OKP</oddHeader>
    <oddFooter>&amp;L&amp;"Arial,Regular"Statistik über die Krankenversicherung, Bundesamt für Sozialversicherung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EB4B9-4354-C549-80B7-4192548EE342}">
  <dimension ref="A1:I40"/>
  <sheetViews>
    <sheetView zoomScale="75" workbookViewId="0">
      <selection activeCell="A40" sqref="A40"/>
    </sheetView>
  </sheetViews>
  <sheetFormatPr baseColWidth="10" defaultColWidth="11.3984375" defaultRowHeight="13"/>
  <cols>
    <col min="1" max="1" width="12.59765625" style="7" customWidth="1"/>
    <col min="2" max="2" width="12.59765625" style="116" customWidth="1"/>
    <col min="3" max="3" width="14.796875" style="7" customWidth="1"/>
    <col min="4" max="4" width="14.796875" style="22" customWidth="1"/>
    <col min="5" max="5" width="14.796875" style="7" customWidth="1"/>
    <col min="6" max="6" width="12.59765625" style="116" customWidth="1"/>
    <col min="7" max="7" width="13.19921875" style="116" customWidth="1"/>
    <col min="8" max="16384" width="11.3984375" style="7"/>
  </cols>
  <sheetData>
    <row r="1" spans="1:7" s="1" customFormat="1" ht="14" customHeight="1">
      <c r="B1" s="179"/>
      <c r="D1" s="180"/>
      <c r="F1" s="179"/>
      <c r="G1" s="179"/>
    </row>
    <row r="2" spans="1:7" s="1" customFormat="1" ht="28" customHeight="1">
      <c r="A2" s="2" t="str">
        <f>"T 4.09 Reduktionsfaktor und Beitrag nach Reduktion nach Kantonen "&amp;'[77]data an-1'!$B$2</f>
        <v>T 4.09 Reduktionsfaktor und Beitrag nach Reduktion nach Kantonen 2001</v>
      </c>
      <c r="B2" s="179"/>
      <c r="D2" s="180"/>
      <c r="F2" s="179"/>
      <c r="G2" s="315"/>
    </row>
    <row r="3" spans="1:7" ht="24" customHeight="1">
      <c r="A3" s="41" t="s">
        <v>537</v>
      </c>
      <c r="B3" s="298" t="s">
        <v>1227</v>
      </c>
      <c r="C3" s="42" t="s">
        <v>1187</v>
      </c>
      <c r="D3" s="352" t="s">
        <v>1188</v>
      </c>
      <c r="E3" s="42" t="s">
        <v>514</v>
      </c>
      <c r="F3" s="298" t="s">
        <v>1228</v>
      </c>
      <c r="G3" s="260" t="s">
        <v>522</v>
      </c>
    </row>
    <row r="4" spans="1:7" ht="15" customHeight="1">
      <c r="A4" s="43"/>
      <c r="B4" s="62" t="s">
        <v>1229</v>
      </c>
      <c r="C4" s="45" t="s">
        <v>1230</v>
      </c>
      <c r="D4" s="271" t="s">
        <v>1230</v>
      </c>
      <c r="E4" s="45" t="s">
        <v>1231</v>
      </c>
      <c r="F4" s="62" t="s">
        <v>514</v>
      </c>
      <c r="G4" s="61" t="s">
        <v>1232</v>
      </c>
    </row>
    <row r="5" spans="1:7" ht="15" customHeight="1">
      <c r="A5" s="43"/>
      <c r="B5" s="62" t="s">
        <v>12</v>
      </c>
      <c r="C5" s="44" t="s">
        <v>1233</v>
      </c>
      <c r="D5" s="271" t="s">
        <v>1233</v>
      </c>
      <c r="E5" s="45" t="s">
        <v>1233</v>
      </c>
      <c r="F5" s="62" t="s">
        <v>1231</v>
      </c>
      <c r="G5" s="61" t="s">
        <v>1133</v>
      </c>
    </row>
    <row r="6" spans="1:7" ht="15" customHeight="1">
      <c r="A6" s="43"/>
      <c r="B6" s="62"/>
      <c r="C6" s="44" t="s">
        <v>1234</v>
      </c>
      <c r="D6" s="271" t="s">
        <v>1234</v>
      </c>
      <c r="E6" s="45" t="s">
        <v>1234</v>
      </c>
      <c r="F6" s="62" t="s">
        <v>1235</v>
      </c>
      <c r="G6" s="61" t="s">
        <v>524</v>
      </c>
    </row>
    <row r="7" spans="1:7" ht="21" customHeight="1">
      <c r="A7" s="46"/>
      <c r="B7" s="65"/>
      <c r="C7" s="47" t="s">
        <v>13</v>
      </c>
      <c r="D7" s="272" t="s">
        <v>13</v>
      </c>
      <c r="E7" s="48" t="s">
        <v>13</v>
      </c>
      <c r="F7" s="272" t="s">
        <v>1234</v>
      </c>
      <c r="G7" s="270"/>
    </row>
    <row r="8" spans="1:7" ht="30" customHeight="1" thickBot="1">
      <c r="A8" s="296" t="s">
        <v>541</v>
      </c>
      <c r="B8" s="353">
        <f>[78]f!B8</f>
        <v>0.34135998058188621</v>
      </c>
      <c r="C8" s="68">
        <f>[78]f!C8</f>
        <v>186699551</v>
      </c>
      <c r="D8" s="354">
        <f>[78]f!D8</f>
        <v>187800449</v>
      </c>
      <c r="E8" s="68">
        <f>[78]f!E8</f>
        <v>374500000</v>
      </c>
      <c r="F8" s="353">
        <f>[78]f!F8</f>
        <v>0.65864002180815528</v>
      </c>
      <c r="G8" s="263">
        <f>[78]f!G8</f>
        <v>0.3208013607632727</v>
      </c>
    </row>
    <row r="9" spans="1:7" ht="20" customHeight="1" thickBot="1">
      <c r="A9" s="297" t="s">
        <v>542</v>
      </c>
      <c r="B9" s="301">
        <f>[78]f!B9</f>
        <v>0</v>
      </c>
      <c r="C9" s="71">
        <f>[78]f!C9</f>
        <v>341077023.24827003</v>
      </c>
      <c r="D9" s="355">
        <f>[78]f!D9</f>
        <v>104036641.14424881</v>
      </c>
      <c r="E9" s="71">
        <f>[78]f!E9</f>
        <v>445113664.39251888</v>
      </c>
      <c r="F9" s="353">
        <f>[78]f!F9</f>
        <v>1</v>
      </c>
      <c r="G9" s="263">
        <f>[78]f!G9</f>
        <v>-1.1712970183838545E-2</v>
      </c>
    </row>
    <row r="10" spans="1:7" ht="20" customHeight="1" thickBot="1">
      <c r="A10" s="297" t="s">
        <v>543</v>
      </c>
      <c r="B10" s="301">
        <f>[78]f!B10</f>
        <v>0.41526212561630227</v>
      </c>
      <c r="C10" s="71">
        <f>[78]f!C10</f>
        <v>66157120</v>
      </c>
      <c r="D10" s="355">
        <f>[78]f!D10</f>
        <v>24242880</v>
      </c>
      <c r="E10" s="71">
        <f>[78]f!E10</f>
        <v>90400000</v>
      </c>
      <c r="F10" s="353">
        <f>[78]f!F10</f>
        <v>0.58473797646037806</v>
      </c>
      <c r="G10" s="263">
        <f>[78]f!G10</f>
        <v>0.18625750598203816</v>
      </c>
    </row>
    <row r="11" spans="1:7" ht="20" customHeight="1" thickBot="1">
      <c r="A11" s="297" t="s">
        <v>544</v>
      </c>
      <c r="B11" s="301">
        <f>[78]f!B11</f>
        <v>0.4</v>
      </c>
      <c r="C11" s="71">
        <f>[78]f!C11</f>
        <v>7032392.1299035791</v>
      </c>
      <c r="D11" s="355">
        <f>[78]f!D11</f>
        <v>2326802</v>
      </c>
      <c r="E11" s="71">
        <f>[78]f!E11</f>
        <v>9359194.1299035791</v>
      </c>
      <c r="F11" s="353">
        <f>[78]f!F11</f>
        <v>0.59999996460667504</v>
      </c>
      <c r="G11" s="263">
        <f>[78]f!G11</f>
        <v>-6.798797284038649E-3</v>
      </c>
    </row>
    <row r="12" spans="1:7" ht="20" customHeight="1" thickBot="1">
      <c r="A12" s="297" t="s">
        <v>545</v>
      </c>
      <c r="B12" s="301">
        <f>[78]f!B12</f>
        <v>0.5</v>
      </c>
      <c r="C12" s="71">
        <f>[78]f!C12</f>
        <v>18089504.330305673</v>
      </c>
      <c r="D12" s="355">
        <f>[78]f!D12</f>
        <v>10138938.06376964</v>
      </c>
      <c r="E12" s="71">
        <f>[78]f!E12</f>
        <v>28228442.394075312</v>
      </c>
      <c r="F12" s="353">
        <f>[78]f!F12</f>
        <v>0.5</v>
      </c>
      <c r="G12" s="263">
        <f>[78]f!G12</f>
        <v>2.9231923251862302E-2</v>
      </c>
    </row>
    <row r="13" spans="1:7" ht="20" customHeight="1" thickBot="1">
      <c r="A13" s="297" t="s">
        <v>546</v>
      </c>
      <c r="B13" s="301">
        <f>[78]f!B13</f>
        <v>0</v>
      </c>
      <c r="C13" s="71">
        <f>[78]f!C13</f>
        <v>12563369.252881108</v>
      </c>
      <c r="D13" s="355">
        <f>[78]f!D13</f>
        <v>1703590.8288173229</v>
      </c>
      <c r="E13" s="71">
        <f>[78]f!E13</f>
        <v>14266960.081698431</v>
      </c>
      <c r="F13" s="353">
        <f>[78]f!F13</f>
        <v>1</v>
      </c>
      <c r="G13" s="263">
        <f>[78]f!G13</f>
        <v>2.7042313707301258E-2</v>
      </c>
    </row>
    <row r="14" spans="1:7" ht="20" customHeight="1" thickBot="1">
      <c r="A14" s="297" t="s">
        <v>547</v>
      </c>
      <c r="B14" s="301">
        <f>[78]f!B14</f>
        <v>0.5</v>
      </c>
      <c r="C14" s="71">
        <f>[78]f!C14</f>
        <v>4429470.4010986146</v>
      </c>
      <c r="D14" s="355">
        <f>[78]f!D14</f>
        <v>3649394.871681368</v>
      </c>
      <c r="E14" s="71">
        <f>[78]f!E14</f>
        <v>8078865.2727799825</v>
      </c>
      <c r="F14" s="353">
        <f>[78]f!F14</f>
        <v>0.5</v>
      </c>
      <c r="G14" s="263">
        <f>[78]f!G14</f>
        <v>2.4248206240041537E-2</v>
      </c>
    </row>
    <row r="15" spans="1:7" ht="20" customHeight="1" thickBot="1">
      <c r="A15" s="297" t="s">
        <v>548</v>
      </c>
      <c r="B15" s="301">
        <f>[78]f!B15</f>
        <v>0.4</v>
      </c>
      <c r="C15" s="71">
        <f>[78]f!C15</f>
        <v>7292424.7855297355</v>
      </c>
      <c r="D15" s="355">
        <f>[78]f!D15</f>
        <v>3037752.6300406237</v>
      </c>
      <c r="E15" s="71">
        <f>[78]f!E15</f>
        <v>10330177.41557036</v>
      </c>
      <c r="F15" s="353">
        <f>[78]f!F15</f>
        <v>0.60000000000000009</v>
      </c>
      <c r="G15" s="263">
        <f>[78]f!G15</f>
        <v>1.1269679216705297E-2</v>
      </c>
    </row>
    <row r="16" spans="1:7" ht="20" customHeight="1" thickBot="1">
      <c r="A16" s="297" t="s">
        <v>549</v>
      </c>
      <c r="B16" s="301">
        <f>[78]f!B16</f>
        <v>0.5</v>
      </c>
      <c r="C16" s="71">
        <f>[78]f!C16</f>
        <v>7904847.9349219762</v>
      </c>
      <c r="D16" s="355">
        <f>[78]f!D16</f>
        <v>13605116.788099859</v>
      </c>
      <c r="E16" s="71">
        <f>[78]f!E16</f>
        <v>21509964.723021835</v>
      </c>
      <c r="F16" s="353">
        <f>[78]f!F16</f>
        <v>0.5</v>
      </c>
      <c r="G16" s="263">
        <f>[78]f!G16</f>
        <v>3.3528752255920891E-2</v>
      </c>
    </row>
    <row r="17" spans="1:7" ht="20" customHeight="1" thickBot="1">
      <c r="A17" s="297" t="s">
        <v>550</v>
      </c>
      <c r="B17" s="301">
        <f>[78]f!B17</f>
        <v>0</v>
      </c>
      <c r="C17" s="71">
        <f>[78]f!C17</f>
        <v>90572178.333998203</v>
      </c>
      <c r="D17" s="355">
        <f>[78]f!D17</f>
        <v>18850422.929478303</v>
      </c>
      <c r="E17" s="71">
        <f>[78]f!E17</f>
        <v>109422601.26347651</v>
      </c>
      <c r="F17" s="353">
        <f>[78]f!F17</f>
        <v>1</v>
      </c>
      <c r="G17" s="263">
        <f>[78]f!G17</f>
        <v>3.0607488392651705E-2</v>
      </c>
    </row>
    <row r="18" spans="1:7" ht="20" customHeight="1" thickBot="1">
      <c r="A18" s="297" t="s">
        <v>551</v>
      </c>
      <c r="B18" s="301">
        <f>[78]f!B18</f>
        <v>0.4</v>
      </c>
      <c r="C18" s="71">
        <f>[78]f!C18</f>
        <v>46399454.873587795</v>
      </c>
      <c r="D18" s="355">
        <f>[78]f!D18</f>
        <v>21325444.461896505</v>
      </c>
      <c r="E18" s="71">
        <f>[78]f!E18</f>
        <v>67724899.335484296</v>
      </c>
      <c r="F18" s="353">
        <f>[78]f!F18</f>
        <v>0.60000000885937099</v>
      </c>
      <c r="G18" s="263">
        <f>[78]f!G18</f>
        <v>2.6248789350184376E-2</v>
      </c>
    </row>
    <row r="19" spans="1:7" ht="20" customHeight="1" thickBot="1">
      <c r="A19" s="297" t="s">
        <v>552</v>
      </c>
      <c r="B19" s="301">
        <f>[78]f!B19</f>
        <v>0</v>
      </c>
      <c r="C19" s="71">
        <f>[78]f!C19</f>
        <v>51283160.970772862</v>
      </c>
      <c r="D19" s="355">
        <f>[78]f!D19</f>
        <v>46427844.217069358</v>
      </c>
      <c r="E19" s="71">
        <f>[78]f!E19</f>
        <v>97711005.18784222</v>
      </c>
      <c r="F19" s="353">
        <f>[78]f!F19</f>
        <v>1</v>
      </c>
      <c r="G19" s="263">
        <f>[78]f!G19</f>
        <v>1.8494147740736988E-2</v>
      </c>
    </row>
    <row r="20" spans="1:7" ht="20" customHeight="1" thickBot="1">
      <c r="A20" s="297" t="s">
        <v>553</v>
      </c>
      <c r="B20" s="301">
        <f>[78]f!B20</f>
        <v>0.4120968940738608</v>
      </c>
      <c r="C20" s="71">
        <f>[78]f!C20</f>
        <v>41400000</v>
      </c>
      <c r="D20" s="355">
        <f>[78]f!D20</f>
        <v>29200000</v>
      </c>
      <c r="E20" s="54">
        <f>[78]f!E20</f>
        <v>70600000</v>
      </c>
      <c r="F20" s="353">
        <f>[78]f!F20</f>
        <v>0.58742661350998659</v>
      </c>
      <c r="G20" s="263">
        <f>[78]f!G20</f>
        <v>2.533972661675099E-2</v>
      </c>
    </row>
    <row r="21" spans="1:7" ht="20" customHeight="1" thickBot="1">
      <c r="A21" s="297" t="s">
        <v>554</v>
      </c>
      <c r="B21" s="301">
        <f>[78]f!B21</f>
        <v>0.38242711617612785</v>
      </c>
      <c r="C21" s="71">
        <f>[78]f!C21</f>
        <v>12998625</v>
      </c>
      <c r="D21" s="355">
        <f>[78]f!D21</f>
        <v>8001375</v>
      </c>
      <c r="E21" s="71">
        <f>[78]f!E21</f>
        <v>21000000</v>
      </c>
      <c r="F21" s="353">
        <f>[78]f!F21</f>
        <v>0.61757969152142944</v>
      </c>
      <c r="G21" s="263">
        <f>[78]f!G21</f>
        <v>-3.2284636169455427E-2</v>
      </c>
    </row>
    <row r="22" spans="1:7" ht="20" customHeight="1" thickBot="1">
      <c r="A22" s="297" t="s">
        <v>555</v>
      </c>
      <c r="B22" s="301">
        <f>[78]f!B22</f>
        <v>0.26</v>
      </c>
      <c r="C22" s="71">
        <f>[78]f!C22</f>
        <v>13900654.29141999</v>
      </c>
      <c r="D22" s="355">
        <f>[78]f!D22</f>
        <v>3791387.0237512244</v>
      </c>
      <c r="E22" s="71">
        <f>[78]f!E22</f>
        <v>17692041.315171216</v>
      </c>
      <c r="F22" s="353">
        <f>[78]f!F22</f>
        <v>0.74000004182671919</v>
      </c>
      <c r="G22" s="263">
        <f>[78]f!G22</f>
        <v>-0.11477763237177097</v>
      </c>
    </row>
    <row r="23" spans="1:7" ht="20" customHeight="1" thickBot="1">
      <c r="A23" s="297" t="s">
        <v>556</v>
      </c>
      <c r="B23" s="301">
        <f>[78]f!B23</f>
        <v>0.3</v>
      </c>
      <c r="C23" s="71">
        <f>[78]f!C23</f>
        <v>3471317.8379836967</v>
      </c>
      <c r="D23" s="355">
        <f>[78]f!D23</f>
        <v>992869.84084914764</v>
      </c>
      <c r="E23" s="71">
        <f>[78]f!E23</f>
        <v>4464187.6788328439</v>
      </c>
      <c r="F23" s="353">
        <f>[78]f!F23</f>
        <v>0.6999998431965917</v>
      </c>
      <c r="G23" s="263">
        <f>[78]f!G23</f>
        <v>1.8664944843767239E-2</v>
      </c>
    </row>
    <row r="24" spans="1:7" ht="20" customHeight="1" thickBot="1">
      <c r="A24" s="297" t="s">
        <v>557</v>
      </c>
      <c r="B24" s="301">
        <f>[78]f!B24</f>
        <v>0.46</v>
      </c>
      <c r="C24" s="71">
        <f>[78]f!C24</f>
        <v>75216810.712492302</v>
      </c>
      <c r="D24" s="355">
        <f>[78]f!D24</f>
        <v>33359695.016964566</v>
      </c>
      <c r="E24" s="71">
        <f>[78]f!E24</f>
        <v>108576505.72945687</v>
      </c>
      <c r="F24" s="353">
        <f>[78]f!F24</f>
        <v>0.54000000000000015</v>
      </c>
      <c r="G24" s="263">
        <f>[78]f!G24</f>
        <v>1.371368851348409E-2</v>
      </c>
    </row>
    <row r="25" spans="1:7" ht="20" customHeight="1" thickBot="1">
      <c r="A25" s="297" t="s">
        <v>558</v>
      </c>
      <c r="B25" s="301">
        <f>[78]f!B25</f>
        <v>0.45</v>
      </c>
      <c r="C25" s="71">
        <f>[78]f!C25</f>
        <v>33156067.452621654</v>
      </c>
      <c r="D25" s="355">
        <f>[78]f!D25</f>
        <v>13061256.220842622</v>
      </c>
      <c r="E25" s="71">
        <f>[78]f!E25</f>
        <v>46217323.673464276</v>
      </c>
      <c r="F25" s="353">
        <f>[78]f!F25</f>
        <v>0.55000000000000004</v>
      </c>
      <c r="G25" s="263">
        <f>[78]f!G25</f>
        <v>2.8929152602146457E-2</v>
      </c>
    </row>
    <row r="26" spans="1:7" ht="20" customHeight="1" thickBot="1">
      <c r="A26" s="297" t="s">
        <v>559</v>
      </c>
      <c r="B26" s="301">
        <f>[78]f!B26</f>
        <v>0.5</v>
      </c>
      <c r="C26" s="71">
        <f>[78]f!C26</f>
        <v>77122100.341791093</v>
      </c>
      <c r="D26" s="355">
        <f>[78]f!D26</f>
        <v>44839812.805176951</v>
      </c>
      <c r="E26" s="71">
        <f>[78]f!E26</f>
        <v>121961913.14696804</v>
      </c>
      <c r="F26" s="353">
        <f>[78]f!F26</f>
        <v>0.5</v>
      </c>
      <c r="G26" s="263">
        <f>[78]f!G26</f>
        <v>3.0874691501307616E-2</v>
      </c>
    </row>
    <row r="27" spans="1:7" ht="20" customHeight="1" thickBot="1">
      <c r="A27" s="297" t="s">
        <v>560</v>
      </c>
      <c r="B27" s="301">
        <f>[78]f!B27</f>
        <v>0</v>
      </c>
      <c r="C27" s="71">
        <f>[78]f!C27</f>
        <v>70322221.863297105</v>
      </c>
      <c r="D27" s="355">
        <f>[78]f!D27</f>
        <v>33327465.651225872</v>
      </c>
      <c r="E27" s="71">
        <f>[78]f!E27</f>
        <v>103649687.51452297</v>
      </c>
      <c r="F27" s="353">
        <f>[78]f!F27</f>
        <v>1</v>
      </c>
      <c r="G27" s="263">
        <f>[78]f!G27</f>
        <v>2.5580037160671143E-2</v>
      </c>
    </row>
    <row r="28" spans="1:7" ht="20" customHeight="1" thickBot="1">
      <c r="A28" s="297" t="s">
        <v>561</v>
      </c>
      <c r="B28" s="301">
        <f>[78]f!B28</f>
        <v>0</v>
      </c>
      <c r="C28" s="71">
        <f>[78]f!C28</f>
        <v>107225130.02605823</v>
      </c>
      <c r="D28" s="355">
        <f>[78]f!D28</f>
        <v>39895289.109932989</v>
      </c>
      <c r="E28" s="71">
        <f>[78]f!E28</f>
        <v>147120419.13599122</v>
      </c>
      <c r="F28" s="353">
        <f>[78]f!F28</f>
        <v>1</v>
      </c>
      <c r="G28" s="263">
        <f>[78]f!G28</f>
        <v>2.4262462191641632E-2</v>
      </c>
    </row>
    <row r="29" spans="1:7" ht="20" customHeight="1" thickBot="1">
      <c r="A29" s="297" t="s">
        <v>562</v>
      </c>
      <c r="B29" s="301">
        <f>[78]f!B29</f>
        <v>0</v>
      </c>
      <c r="C29" s="71">
        <f>[78]f!C29</f>
        <v>209780313.74042439</v>
      </c>
      <c r="D29" s="355">
        <f>[78]f!D29</f>
        <v>99518193.831426635</v>
      </c>
      <c r="E29" s="71">
        <f>[78]f!E29</f>
        <v>309298507.57185102</v>
      </c>
      <c r="F29" s="353">
        <f>[78]f!F29</f>
        <v>1</v>
      </c>
      <c r="G29" s="263">
        <f>[78]f!G29</f>
        <v>2.417265613049735E-2</v>
      </c>
    </row>
    <row r="30" spans="1:7" ht="20" customHeight="1" thickBot="1">
      <c r="A30" s="297" t="s">
        <v>563</v>
      </c>
      <c r="B30" s="301">
        <f>[78]f!B30</f>
        <v>0</v>
      </c>
      <c r="C30" s="71">
        <f>[78]f!C30</f>
        <v>115408057.04050756</v>
      </c>
      <c r="D30" s="355">
        <f>[78]f!D30</f>
        <v>7769421.3808267862</v>
      </c>
      <c r="E30" s="71">
        <f>[78]f!E30</f>
        <v>123177478.42133434</v>
      </c>
      <c r="F30" s="353">
        <f>[78]f!F30</f>
        <v>1</v>
      </c>
      <c r="G30" s="263">
        <f>[78]f!G30</f>
        <v>1.2044782471517967E-2</v>
      </c>
    </row>
    <row r="31" spans="1:7" ht="20" customHeight="1" thickBot="1">
      <c r="A31" s="297" t="s">
        <v>564</v>
      </c>
      <c r="B31" s="301">
        <f>[78]f!B31</f>
        <v>0</v>
      </c>
      <c r="C31" s="71">
        <f>[78]f!C31</f>
        <v>65806926.520887151</v>
      </c>
      <c r="D31" s="355">
        <f>[78]f!D31</f>
        <v>15553663.706391558</v>
      </c>
      <c r="E31" s="71">
        <f>[78]f!E31</f>
        <v>81360590.227278709</v>
      </c>
      <c r="F31" s="353">
        <f>[78]f!F31</f>
        <v>1</v>
      </c>
      <c r="G31" s="263">
        <f>[78]f!G31</f>
        <v>2.0605151332639737E-2</v>
      </c>
    </row>
    <row r="32" spans="1:7" ht="20" customHeight="1" thickBot="1">
      <c r="A32" s="297" t="s">
        <v>565</v>
      </c>
      <c r="B32" s="301">
        <f>[78]f!B32</f>
        <v>0</v>
      </c>
      <c r="C32" s="71">
        <f>[78]f!C32</f>
        <v>123827169.31303599</v>
      </c>
      <c r="D32" s="355">
        <f>[78]f!D32</f>
        <v>83475933.046544403</v>
      </c>
      <c r="E32" s="71">
        <f>[78]f!E32</f>
        <v>207303102.3595804</v>
      </c>
      <c r="F32" s="353">
        <f>[78]f!F32</f>
        <v>1</v>
      </c>
      <c r="G32" s="263">
        <f>[78]f!G32</f>
        <v>3.8004804761605726E-2</v>
      </c>
    </row>
    <row r="33" spans="1:9" ht="20" customHeight="1" thickBot="1">
      <c r="A33" s="297" t="s">
        <v>566</v>
      </c>
      <c r="B33" s="301">
        <f>[78]f!B33</f>
        <v>0</v>
      </c>
      <c r="C33" s="71">
        <f>[78]f!C33</f>
        <v>30447960.725347478</v>
      </c>
      <c r="D33" s="355">
        <f>[78]f!D33</f>
        <v>2110555.4711765051</v>
      </c>
      <c r="E33" s="71">
        <f>[78]f!E33</f>
        <v>32558516.196523983</v>
      </c>
      <c r="F33" s="353">
        <f>[78]f!F33</f>
        <v>1</v>
      </c>
      <c r="G33" s="263">
        <f>[78]f!G33</f>
        <v>2.2706764436904558E-2</v>
      </c>
      <c r="H33" s="27"/>
      <c r="I33" s="27"/>
    </row>
    <row r="34" spans="1:9" s="276" customFormat="1" ht="30" customHeight="1" thickBot="1">
      <c r="A34" s="332" t="s">
        <v>999</v>
      </c>
      <c r="B34" s="356">
        <f>[78]f!B34</f>
        <v>0.20699731458374926</v>
      </c>
      <c r="C34" s="79">
        <f>[78]f!C34</f>
        <v>1819583852.1271365</v>
      </c>
      <c r="D34" s="357">
        <f>[78]f!D34</f>
        <v>852042195.0402112</v>
      </c>
      <c r="E34" s="79">
        <f>[78]f!E34</f>
        <v>2671626047.1673479</v>
      </c>
      <c r="F34" s="358">
        <f>[78]f!F34</f>
        <v>0.79300268541625074</v>
      </c>
      <c r="G34" s="319">
        <f>[78]f!G34</f>
        <v>5.479752542512828E-2</v>
      </c>
    </row>
    <row r="35" spans="1:9" ht="20" customHeight="1">
      <c r="A35" s="331" t="s">
        <v>997</v>
      </c>
      <c r="B35" s="320"/>
      <c r="C35" s="29"/>
      <c r="D35" s="29"/>
      <c r="E35" s="29"/>
      <c r="F35" s="320"/>
    </row>
    <row r="36" spans="1:9" ht="11.25" customHeight="1">
      <c r="A36" s="7" t="s">
        <v>1236</v>
      </c>
      <c r="B36" s="322"/>
      <c r="C36" s="31"/>
      <c r="D36" s="31"/>
      <c r="E36" s="31"/>
      <c r="F36" s="322"/>
    </row>
    <row r="37" spans="1:9">
      <c r="A37" s="7" t="s">
        <v>1177</v>
      </c>
    </row>
    <row r="38" spans="1:9">
      <c r="A38" s="7" t="s">
        <v>10</v>
      </c>
    </row>
    <row r="39" spans="1:9">
      <c r="A39" s="7" t="s">
        <v>11</v>
      </c>
    </row>
    <row r="40" spans="1:9">
      <c r="A40" s="7" t="s">
        <v>998</v>
      </c>
    </row>
  </sheetData>
  <phoneticPr fontId="0" type="noConversion"/>
  <pageMargins left="0.78740157480314965" right="0.78740157480314965" top="1.46" bottom="0.49" header="0.93" footer="0.4921259845"/>
  <pageSetup paperSize="9" scale="80" orientation="portrait" horizontalDpi="4294967292" verticalDpi="4294967292"/>
  <headerFooter alignWithMargins="0">
    <oddHeader>&amp;L&amp;"Arial,Bold"&amp;14Prämienverbilligung in der OKP</oddHeader>
    <oddFooter>&amp;L&amp;"Arial,Regular"Statistik über die Krankenversicherung, Bundesamt für Sozialversicherung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D39ED-F0BC-7947-BA5F-9E49B78007CD}">
  <dimension ref="A1:K36"/>
  <sheetViews>
    <sheetView topLeftCell="A20" zoomScale="75" workbookViewId="0">
      <selection activeCell="J14" sqref="J14"/>
    </sheetView>
  </sheetViews>
  <sheetFormatPr baseColWidth="10" defaultColWidth="11.3984375" defaultRowHeight="13"/>
  <cols>
    <col min="1" max="1" width="11.796875" style="7" customWidth="1"/>
    <col min="2" max="4" width="17.19921875" style="7" customWidth="1"/>
    <col min="5" max="5" width="16" style="116" customWidth="1"/>
    <col min="6" max="6" width="13.19921875" style="7" customWidth="1"/>
    <col min="7" max="7" width="14.59765625" style="116" customWidth="1"/>
    <col min="8" max="8" width="7.3984375" style="7" customWidth="1"/>
    <col min="9" max="9" width="11.59765625" style="7" customWidth="1"/>
    <col min="10" max="16384" width="11.3984375" style="7"/>
  </cols>
  <sheetData>
    <row r="1" spans="1:9" s="1" customFormat="1" ht="14" customHeight="1">
      <c r="E1" s="179"/>
      <c r="G1" s="179"/>
    </row>
    <row r="2" spans="1:9" s="1" customFormat="1" ht="28" customHeight="1">
      <c r="A2" s="2" t="str">
        <f>"T 4.10 Ausgerichtete Leistungen nach Kantonen "&amp;'[68]data an-1'!$B$2</f>
        <v>T 4.10 Ausgerichtete Leistungen nach Kantonen 2001</v>
      </c>
      <c r="E2" s="179"/>
      <c r="G2" s="179"/>
    </row>
    <row r="3" spans="1:9" ht="24" customHeight="1">
      <c r="A3" s="41" t="s">
        <v>537</v>
      </c>
      <c r="B3" s="6" t="s">
        <v>677</v>
      </c>
      <c r="C3" s="42" t="s">
        <v>677</v>
      </c>
      <c r="D3" s="6" t="s">
        <v>514</v>
      </c>
      <c r="E3" s="260" t="s">
        <v>522</v>
      </c>
      <c r="F3" s="6" t="s">
        <v>514</v>
      </c>
      <c r="G3" s="260" t="s">
        <v>514</v>
      </c>
    </row>
    <row r="4" spans="1:9" ht="15" customHeight="1">
      <c r="A4" s="43"/>
      <c r="B4" s="11" t="s">
        <v>1237</v>
      </c>
      <c r="C4" s="45" t="s">
        <v>1237</v>
      </c>
      <c r="D4" s="11" t="s">
        <v>677</v>
      </c>
      <c r="E4" s="61" t="s">
        <v>523</v>
      </c>
      <c r="F4" s="11" t="s">
        <v>677</v>
      </c>
      <c r="G4" s="61" t="s">
        <v>677</v>
      </c>
    </row>
    <row r="5" spans="1:9" ht="15" customHeight="1">
      <c r="A5" s="43"/>
      <c r="B5" s="12" t="str">
        <f>"für "&amp;'[68]data an-1'!$B$2</f>
        <v>für 2001</v>
      </c>
      <c r="C5" s="44" t="str">
        <f>"für "&amp;'[68]data an-1'!$B$2-1</f>
        <v>für 2000</v>
      </c>
      <c r="D5" s="11" t="s">
        <v>1237</v>
      </c>
      <c r="E5" s="61" t="s">
        <v>524</v>
      </c>
      <c r="F5" s="11" t="s">
        <v>1081</v>
      </c>
      <c r="G5" s="61" t="s">
        <v>1082</v>
      </c>
    </row>
    <row r="6" spans="1:9" ht="15" customHeight="1">
      <c r="A6" s="43"/>
      <c r="B6" s="12" t="s">
        <v>740</v>
      </c>
      <c r="C6" s="44" t="s">
        <v>1238</v>
      </c>
      <c r="D6" s="11" t="s">
        <v>740</v>
      </c>
      <c r="E6" s="61"/>
      <c r="F6" s="11" t="s">
        <v>740</v>
      </c>
      <c r="G6" s="61" t="s">
        <v>740</v>
      </c>
    </row>
    <row r="7" spans="1:9" ht="24" customHeight="1">
      <c r="A7" s="46"/>
      <c r="B7" s="16"/>
      <c r="C7" s="47" t="s">
        <v>740</v>
      </c>
      <c r="D7" s="189"/>
      <c r="E7" s="273"/>
      <c r="F7" s="189"/>
      <c r="G7" s="273"/>
    </row>
    <row r="8" spans="1:9" ht="30" customHeight="1" thickBot="1">
      <c r="A8" s="296" t="s">
        <v>541</v>
      </c>
      <c r="B8" s="21">
        <f>[79]f!B8</f>
        <v>374440101.64999998</v>
      </c>
      <c r="C8" s="68">
        <f>[79]f!C8</f>
        <v>1881452.05</v>
      </c>
      <c r="D8" s="21">
        <f>[79]f!D8</f>
        <v>376321553.69999999</v>
      </c>
      <c r="E8" s="263">
        <f>[79]f!E8</f>
        <v>4.6251030239507156E-2</v>
      </c>
      <c r="F8" s="21">
        <f>[79]f!F8</f>
        <v>1445.2172068159036</v>
      </c>
      <c r="G8" s="359">
        <f>[79]f!G8</f>
        <v>943.90224336384176</v>
      </c>
      <c r="H8" s="22"/>
      <c r="I8" s="264"/>
    </row>
    <row r="9" spans="1:9" ht="20" customHeight="1" thickBot="1">
      <c r="A9" s="297" t="s">
        <v>542</v>
      </c>
      <c r="B9" s="53">
        <f>[79]f!B9</f>
        <v>443919470.14999998</v>
      </c>
      <c r="C9" s="71">
        <f>[79]f!C9</f>
        <v>1163018.75</v>
      </c>
      <c r="D9" s="53">
        <f>[79]f!D9</f>
        <v>445082488.89999998</v>
      </c>
      <c r="E9" s="263">
        <f>[79]f!E9</f>
        <v>-9.7418380215126433E-3</v>
      </c>
      <c r="F9" s="53">
        <f>[79]f!F9</f>
        <v>2177.2729398009997</v>
      </c>
      <c r="G9" s="359">
        <f>[79]f!G9</f>
        <v>1270.6658736706872</v>
      </c>
      <c r="H9" s="22"/>
      <c r="I9" s="264"/>
    </row>
    <row r="10" spans="1:9" ht="20" customHeight="1" thickBot="1">
      <c r="A10" s="297" t="s">
        <v>543</v>
      </c>
      <c r="B10" s="53">
        <f>[79]f!B10</f>
        <v>96237242.950000003</v>
      </c>
      <c r="C10" s="71">
        <f>[79]f!C10</f>
        <v>0</v>
      </c>
      <c r="D10" s="53">
        <f>[79]f!D10</f>
        <v>96237242.950000003</v>
      </c>
      <c r="E10" s="263">
        <f>[79]f!E10</f>
        <v>9.0843570461673309E-2</v>
      </c>
      <c r="F10" s="53">
        <f>[79]f!F10</f>
        <v>1826.4455590138734</v>
      </c>
      <c r="G10" s="359">
        <f>[79]f!G10</f>
        <v>774.52651404795063</v>
      </c>
      <c r="H10" s="22"/>
      <c r="I10" s="264"/>
    </row>
    <row r="11" spans="1:9" ht="20" customHeight="1" thickBot="1">
      <c r="A11" s="297" t="s">
        <v>544</v>
      </c>
      <c r="B11" s="53">
        <f>[79]f!B11</f>
        <v>8041201</v>
      </c>
      <c r="C11" s="71">
        <f>[79]f!C11</f>
        <v>239747</v>
      </c>
      <c r="D11" s="53">
        <f>[79]f!D11</f>
        <v>8280948</v>
      </c>
      <c r="E11" s="263">
        <f>[79]f!E11</f>
        <v>-0.17325436619979856</v>
      </c>
      <c r="F11" s="53">
        <f>[79]f!F11</f>
        <v>1757.0439210693826</v>
      </c>
      <c r="G11" s="359">
        <f>[79]f!G11</f>
        <v>704.1023722472579</v>
      </c>
      <c r="H11" s="22"/>
      <c r="I11" s="264"/>
    </row>
    <row r="12" spans="1:9" ht="20" customHeight="1" thickBot="1">
      <c r="A12" s="297" t="s">
        <v>545</v>
      </c>
      <c r="B12" s="53">
        <f>[79]f!B12</f>
        <v>28445140.25</v>
      </c>
      <c r="C12" s="71">
        <f>[79]f!C12</f>
        <v>0</v>
      </c>
      <c r="D12" s="53">
        <f>[79]f!D12</f>
        <v>28445140.25</v>
      </c>
      <c r="E12" s="263">
        <f>[79]f!E12</f>
        <v>3.4843985641740585E-2</v>
      </c>
      <c r="F12" s="53">
        <f>[79]f!F12</f>
        <v>1597.6825572904966</v>
      </c>
      <c r="G12" s="359">
        <f>[79]f!G12</f>
        <v>890.44107841602749</v>
      </c>
      <c r="H12" s="22"/>
      <c r="I12" s="264"/>
    </row>
    <row r="13" spans="1:9" ht="20" customHeight="1" thickBot="1">
      <c r="A13" s="297" t="s">
        <v>546</v>
      </c>
      <c r="B13" s="53">
        <f>[79]f!B13</f>
        <v>12062616</v>
      </c>
      <c r="C13" s="71">
        <f>[79]f!C13</f>
        <v>0</v>
      </c>
      <c r="D13" s="53">
        <f>[79]f!D13</f>
        <v>12062616</v>
      </c>
      <c r="E13" s="263">
        <f>[79]f!E13</f>
        <v>5.7778298465203659E-2</v>
      </c>
      <c r="F13" s="53">
        <f>[79]f!F13</f>
        <v>1690.3890134529147</v>
      </c>
      <c r="G13" s="359">
        <f>[79]f!G13</f>
        <v>738.09068102551555</v>
      </c>
      <c r="H13" s="22"/>
      <c r="I13" s="264"/>
    </row>
    <row r="14" spans="1:9" ht="20" customHeight="1" thickBot="1">
      <c r="A14" s="297" t="s">
        <v>547</v>
      </c>
      <c r="B14" s="53">
        <f>[79]f!B14</f>
        <v>9903862</v>
      </c>
      <c r="C14" s="71">
        <f>[79]f!C14</f>
        <v>378311</v>
      </c>
      <c r="D14" s="53">
        <f>[79]f!D14</f>
        <v>10282173</v>
      </c>
      <c r="E14" s="263">
        <f>[79]f!E14</f>
        <v>0.38514322156099057</v>
      </c>
      <c r="F14" s="53">
        <f>[79]f!F14</f>
        <v>1322.2959104938273</v>
      </c>
      <c r="G14" s="359">
        <f>[79]f!G14</f>
        <v>620.08038837293452</v>
      </c>
      <c r="H14" s="22"/>
      <c r="I14" s="264"/>
    </row>
    <row r="15" spans="1:9" ht="20" customHeight="1" thickBot="1">
      <c r="A15" s="297" t="s">
        <v>548</v>
      </c>
      <c r="B15" s="53">
        <f>[79]f!B15</f>
        <v>10167991.5</v>
      </c>
      <c r="C15" s="71">
        <f>[79]f!C15</f>
        <v>1768.2</v>
      </c>
      <c r="D15" s="53">
        <f>[79]f!D15</f>
        <v>10169759.699999999</v>
      </c>
      <c r="E15" s="263">
        <f>[79]f!E15</f>
        <v>3.9227196047270693E-2</v>
      </c>
      <c r="F15" s="53">
        <f>[79]f!F15</f>
        <v>1911.6089661654134</v>
      </c>
      <c r="G15" s="359">
        <f>[79]f!G15</f>
        <v>1000.6651284069663</v>
      </c>
      <c r="H15" s="22"/>
      <c r="I15" s="264"/>
    </row>
    <row r="16" spans="1:9" ht="20" customHeight="1" thickBot="1">
      <c r="A16" s="297" t="s">
        <v>549</v>
      </c>
      <c r="B16" s="53">
        <f>[79]f!B16</f>
        <v>25867753</v>
      </c>
      <c r="C16" s="71">
        <f>[79]f!C16</f>
        <v>1087118</v>
      </c>
      <c r="D16" s="53">
        <f>[79]f!D16</f>
        <v>26954871</v>
      </c>
      <c r="E16" s="263">
        <f>[79]f!E16</f>
        <v>0.12319179007251216</v>
      </c>
      <c r="F16" s="53">
        <f>[79]f!F16</f>
        <v>1423.4722750316857</v>
      </c>
      <c r="G16" s="359">
        <f>[79]f!G16</f>
        <v>723.58184795447221</v>
      </c>
      <c r="H16" s="22"/>
      <c r="I16" s="264"/>
    </row>
    <row r="17" spans="1:9" ht="20" customHeight="1" thickBot="1">
      <c r="A17" s="297" t="s">
        <v>550</v>
      </c>
      <c r="B17" s="53">
        <f>[79]f!B17</f>
        <v>104999033.7</v>
      </c>
      <c r="C17" s="71">
        <f>[79]f!C17</f>
        <v>0</v>
      </c>
      <c r="D17" s="53">
        <f>[79]f!D17</f>
        <v>104999033.7</v>
      </c>
      <c r="E17" s="263">
        <f>[79]f!E17</f>
        <v>2.710732609324995E-3</v>
      </c>
      <c r="F17" s="53">
        <f>[79]f!F17</f>
        <v>2760.8075751998317</v>
      </c>
      <c r="G17" s="359">
        <f>[79]f!G17</f>
        <v>1109.1642497227065</v>
      </c>
      <c r="H17" s="22"/>
      <c r="I17" s="264"/>
    </row>
    <row r="18" spans="1:9" ht="20" customHeight="1" thickBot="1">
      <c r="A18" s="297" t="s">
        <v>551</v>
      </c>
      <c r="B18" s="53">
        <f>[79]f!B18</f>
        <v>62367949.649999999</v>
      </c>
      <c r="C18" s="71">
        <f>[79]f!C18</f>
        <v>4030296.35</v>
      </c>
      <c r="D18" s="53">
        <f>[79]f!D18</f>
        <v>66398246</v>
      </c>
      <c r="E18" s="263">
        <f>[79]f!E18</f>
        <v>0.14324903969644681</v>
      </c>
      <c r="F18" s="53">
        <f>[79]f!F18</f>
        <v>2502.5722146841549</v>
      </c>
      <c r="G18" s="359">
        <f>[79]f!G18</f>
        <v>937.02101296905209</v>
      </c>
      <c r="H18" s="22"/>
      <c r="I18" s="264"/>
    </row>
    <row r="19" spans="1:9" ht="20" customHeight="1" thickBot="1">
      <c r="A19" s="297" t="s">
        <v>552</v>
      </c>
      <c r="B19" s="53">
        <f>[79]f!B19</f>
        <v>90306536</v>
      </c>
      <c r="C19" s="71">
        <f>[79]f!C19</f>
        <v>102610</v>
      </c>
      <c r="D19" s="53">
        <f>[79]f!D19</f>
        <v>90409146</v>
      </c>
      <c r="E19" s="263">
        <f>[79]f!E19</f>
        <v>1.6049314134386417E-2</v>
      </c>
      <c r="F19" s="53">
        <f>[79]f!F19</f>
        <v>3299.2426376674089</v>
      </c>
      <c r="G19" s="359">
        <f>[79]f!G19</f>
        <v>1616.3251273799947</v>
      </c>
      <c r="H19" s="22"/>
      <c r="I19" s="264"/>
    </row>
    <row r="20" spans="1:9" ht="20" customHeight="1" thickBot="1">
      <c r="A20" s="297" t="s">
        <v>553</v>
      </c>
      <c r="B20" s="53">
        <f>[79]f!B20</f>
        <v>75818869.599999994</v>
      </c>
      <c r="C20" s="71">
        <f>[79]f!C20</f>
        <v>11940841.199999999</v>
      </c>
      <c r="D20" s="26">
        <f>[79]f!D20</f>
        <v>87759710.799999997</v>
      </c>
      <c r="E20" s="263">
        <f>[79]f!E20</f>
        <v>0.34452627157455284</v>
      </c>
      <c r="F20" s="26">
        <f>[79]f!F20</f>
        <v>1776.944010690856</v>
      </c>
      <c r="G20" s="359">
        <f>[79]f!G20</f>
        <v>826.8998765676381</v>
      </c>
      <c r="H20" s="22"/>
      <c r="I20" s="264"/>
    </row>
    <row r="21" spans="1:9" ht="20" customHeight="1" thickBot="1">
      <c r="A21" s="297" t="s">
        <v>554</v>
      </c>
      <c r="B21" s="53">
        <f>[79]f!B21</f>
        <v>21087974.850000001</v>
      </c>
      <c r="C21" s="71">
        <f>[79]f!C21</f>
        <v>666344.75</v>
      </c>
      <c r="D21" s="53">
        <f>[79]f!D21</f>
        <v>21754319.600000001</v>
      </c>
      <c r="E21" s="263">
        <f>[79]f!E21</f>
        <v>-9.7843859216650328E-2</v>
      </c>
      <c r="F21" s="53">
        <f>[79]f!F21</f>
        <v>1840.155608188124</v>
      </c>
      <c r="G21" s="359">
        <f>[79]f!G21</f>
        <v>901.09848396984512</v>
      </c>
      <c r="H21" s="22"/>
      <c r="I21" s="264"/>
    </row>
    <row r="22" spans="1:9" ht="20" customHeight="1" thickBot="1">
      <c r="A22" s="297" t="s">
        <v>555</v>
      </c>
      <c r="B22" s="53">
        <f>[79]f!B22</f>
        <v>17653650.449999999</v>
      </c>
      <c r="C22" s="71">
        <f>[79]f!C22</f>
        <v>356177.35</v>
      </c>
      <c r="D22" s="53">
        <f>[79]f!D22</f>
        <v>18009827.800000001</v>
      </c>
      <c r="E22" s="263">
        <f>[79]f!E22</f>
        <v>6.0228657303288337E-2</v>
      </c>
      <c r="F22" s="53">
        <f>[79]f!F22</f>
        <v>3140.8838158353683</v>
      </c>
      <c r="G22" s="359">
        <f>[79]f!G22</f>
        <v>1190.968641714059</v>
      </c>
      <c r="H22" s="22"/>
      <c r="I22" s="264"/>
    </row>
    <row r="23" spans="1:9" ht="20" customHeight="1" thickBot="1">
      <c r="A23" s="297" t="s">
        <v>556</v>
      </c>
      <c r="B23" s="53">
        <f>[79]f!B23</f>
        <v>4891527.5999999996</v>
      </c>
      <c r="C23" s="71">
        <f>[79]f!C23</f>
        <v>75617</v>
      </c>
      <c r="D23" s="53">
        <f>[79]f!D23</f>
        <v>4967144.5999999996</v>
      </c>
      <c r="E23" s="263">
        <f>[79]f!E23</f>
        <v>8.9425619421434593E-2</v>
      </c>
      <c r="F23" s="53">
        <f>[79]f!F23</f>
        <v>1506.1081261370527</v>
      </c>
      <c r="G23" s="359">
        <f>[79]f!G23</f>
        <v>564.83336365703883</v>
      </c>
      <c r="H23" s="22"/>
      <c r="I23" s="264"/>
    </row>
    <row r="24" spans="1:9" ht="20" customHeight="1" thickBot="1">
      <c r="A24" s="297" t="s">
        <v>557</v>
      </c>
      <c r="B24" s="53">
        <f>[79]f!B24</f>
        <v>101485157.25</v>
      </c>
      <c r="C24" s="71">
        <f>[79]f!C24</f>
        <v>2436311.5499999998</v>
      </c>
      <c r="D24" s="53">
        <f>[79]f!D24</f>
        <v>103921468.8</v>
      </c>
      <c r="E24" s="263">
        <f>[79]f!E24</f>
        <v>4.9916142543154053E-2</v>
      </c>
      <c r="F24" s="53">
        <f>[79]f!F24</f>
        <v>1663.1692721336663</v>
      </c>
      <c r="G24" s="359">
        <f>[79]f!G24</f>
        <v>667.8414271759807</v>
      </c>
      <c r="H24" s="22"/>
      <c r="I24" s="264"/>
    </row>
    <row r="25" spans="1:9" ht="20" customHeight="1" thickBot="1">
      <c r="A25" s="297" t="s">
        <v>558</v>
      </c>
      <c r="B25" s="53">
        <f>[79]f!B25</f>
        <v>40286632.25</v>
      </c>
      <c r="C25" s="71">
        <f>[79]f!C25</f>
        <v>218805.65</v>
      </c>
      <c r="D25" s="53">
        <f>[79]f!D25</f>
        <v>40505437.899999999</v>
      </c>
      <c r="E25" s="263">
        <f>[79]f!E25</f>
        <v>-8.7457593018310742E-2</v>
      </c>
      <c r="F25" s="53">
        <f>[79]f!F25</f>
        <v>1475.1780136936411</v>
      </c>
      <c r="G25" s="359">
        <f>[79]f!G25</f>
        <v>721.43051864781103</v>
      </c>
      <c r="H25" s="22"/>
      <c r="I25" s="264"/>
    </row>
    <row r="26" spans="1:9" ht="20" customHeight="1" thickBot="1">
      <c r="A26" s="297" t="s">
        <v>559</v>
      </c>
      <c r="B26" s="53">
        <f>[79]f!B26</f>
        <v>120425977.45</v>
      </c>
      <c r="C26" s="71">
        <f>[79]f!C26</f>
        <v>201825.3</v>
      </c>
      <c r="D26" s="53">
        <f>[79]f!D26</f>
        <v>120627802.75</v>
      </c>
      <c r="E26" s="263">
        <f>[79]f!E26</f>
        <v>0.47875564463082471</v>
      </c>
      <c r="F26" s="53">
        <f>[79]f!F26</f>
        <v>2484.8144594817286</v>
      </c>
      <c r="G26" s="359">
        <f>[79]f!G26</f>
        <v>1001.3348282102153</v>
      </c>
      <c r="H26" s="22"/>
      <c r="I26" s="264"/>
    </row>
    <row r="27" spans="1:9" ht="20" customHeight="1" thickBot="1">
      <c r="A27" s="297" t="s">
        <v>560</v>
      </c>
      <c r="B27" s="53">
        <f>[79]f!B27</f>
        <v>87590000</v>
      </c>
      <c r="C27" s="71">
        <f>[79]f!C27</f>
        <v>854060</v>
      </c>
      <c r="D27" s="53">
        <f>[79]f!D27</f>
        <v>88444060</v>
      </c>
      <c r="E27" s="263">
        <f>[79]f!E27</f>
        <v>4.8649938638950445E-2</v>
      </c>
      <c r="F27" s="53">
        <f>[79]f!F27</f>
        <v>1475.0264338486684</v>
      </c>
      <c r="G27" s="359">
        <f>[79]f!G27</f>
        <v>867.20065105698711</v>
      </c>
      <c r="H27" s="22"/>
      <c r="I27" s="264"/>
    </row>
    <row r="28" spans="1:9" ht="20" customHeight="1" thickBot="1">
      <c r="A28" s="297" t="s">
        <v>561</v>
      </c>
      <c r="B28" s="53">
        <f>[79]f!B28</f>
        <v>145428184.5</v>
      </c>
      <c r="C28" s="71">
        <f>[79]f!C28</f>
        <v>3030283.3</v>
      </c>
      <c r="D28" s="53">
        <f>[79]f!D28</f>
        <v>148458467.80000001</v>
      </c>
      <c r="E28" s="263">
        <f>[79]f!E28</f>
        <v>-5.6965975207933775E-3</v>
      </c>
      <c r="F28" s="53">
        <f>[79]f!F28</f>
        <v>2847.5231663342029</v>
      </c>
      <c r="G28" s="359">
        <f>[79]f!G28</f>
        <v>1784.613980381786</v>
      </c>
      <c r="H28" s="22"/>
      <c r="I28" s="264"/>
    </row>
    <row r="29" spans="1:9" ht="20" customHeight="1" thickBot="1">
      <c r="A29" s="297" t="s">
        <v>562</v>
      </c>
      <c r="B29" s="53">
        <f>[79]f!B29</f>
        <v>295439111.85000002</v>
      </c>
      <c r="C29" s="71">
        <f>[79]f!C29</f>
        <v>0</v>
      </c>
      <c r="D29" s="53">
        <f>[79]f!D29</f>
        <v>295439111.85000002</v>
      </c>
      <c r="E29" s="263">
        <f>[79]f!E29</f>
        <v>4.6292508510014832E-2</v>
      </c>
      <c r="F29" s="53">
        <f>[79]f!F29</f>
        <v>3886.3851385837756</v>
      </c>
      <c r="G29" s="359">
        <f>[79]f!G29</f>
        <v>1975.5470608099074</v>
      </c>
      <c r="H29" s="22"/>
      <c r="I29" s="264"/>
    </row>
    <row r="30" spans="1:9" ht="20" customHeight="1" thickBot="1">
      <c r="A30" s="297" t="s">
        <v>563</v>
      </c>
      <c r="B30" s="53">
        <f>[79]f!B30</f>
        <v>119466315.5</v>
      </c>
      <c r="C30" s="71">
        <f>[79]f!C30</f>
        <v>3726759</v>
      </c>
      <c r="D30" s="53">
        <f>[79]f!D30</f>
        <v>123193074.5</v>
      </c>
      <c r="E30" s="263">
        <f>[79]f!E30</f>
        <v>1.1996582448213763E-2</v>
      </c>
      <c r="F30" s="53">
        <f>[79]f!F30</f>
        <v>2428.2152895494146</v>
      </c>
      <c r="G30" s="359">
        <f>[79]f!G30</f>
        <v>1283.1809938962149</v>
      </c>
      <c r="H30" s="22"/>
      <c r="I30" s="264"/>
    </row>
    <row r="31" spans="1:9" ht="20" customHeight="1" thickBot="1">
      <c r="A31" s="297" t="s">
        <v>564</v>
      </c>
      <c r="B31" s="53">
        <f>[79]f!B31</f>
        <v>81762380.599999994</v>
      </c>
      <c r="C31" s="71">
        <f>[79]f!C31</f>
        <v>0</v>
      </c>
      <c r="D31" s="53">
        <f>[79]f!D31</f>
        <v>81762380.599999994</v>
      </c>
      <c r="E31" s="263">
        <f>[79]f!E31</f>
        <v>3.0718225773104409E-2</v>
      </c>
      <c r="F31" s="53">
        <f>[79]f!F31</f>
        <v>2431.7396008684532</v>
      </c>
      <c r="G31" s="359">
        <f>[79]f!G31</f>
        <v>1400.1606404657932</v>
      </c>
      <c r="H31" s="22"/>
      <c r="I31" s="264"/>
    </row>
    <row r="32" spans="1:9" ht="20" customHeight="1" thickBot="1">
      <c r="A32" s="297" t="s">
        <v>565</v>
      </c>
      <c r="B32" s="53">
        <f>[79]f!B32</f>
        <v>205996388.5</v>
      </c>
      <c r="C32" s="71">
        <f>[79]f!C32</f>
        <v>8207937.5499999998</v>
      </c>
      <c r="D32" s="53">
        <f>[79]f!D32</f>
        <v>214204326.05000001</v>
      </c>
      <c r="E32" s="263">
        <f>[79]f!E32</f>
        <v>-3.1984137821326468E-2</v>
      </c>
      <c r="F32" s="53">
        <f>[79]f!F32</f>
        <v>2075.5227561649144</v>
      </c>
      <c r="G32" s="359">
        <f>[79]f!G32</f>
        <v>1371.8646995343952</v>
      </c>
      <c r="I32" s="264"/>
    </row>
    <row r="33" spans="1:11" ht="20" customHeight="1" thickBot="1">
      <c r="A33" s="297" t="s">
        <v>566</v>
      </c>
      <c r="B33" s="53">
        <f>[79]f!B33</f>
        <v>30681378.399999999</v>
      </c>
      <c r="C33" s="71">
        <f>[79]f!C33</f>
        <v>1877137.6</v>
      </c>
      <c r="D33" s="53">
        <f>[79]f!D33</f>
        <v>32558516</v>
      </c>
      <c r="E33" s="263">
        <f>[79]f!E33</f>
        <v>2.270677432611946E-2</v>
      </c>
      <c r="F33" s="53">
        <f>[79]f!F33</f>
        <v>2334.2784628620589</v>
      </c>
      <c r="G33" s="359">
        <f>[79]f!G33</f>
        <v>1251.1438343004265</v>
      </c>
      <c r="I33" s="27"/>
      <c r="J33" s="27"/>
      <c r="K33" s="27"/>
    </row>
    <row r="34" spans="1:11" ht="30" customHeight="1" thickBot="1">
      <c r="A34" s="332" t="s">
        <v>808</v>
      </c>
      <c r="B34" s="111">
        <f>[79]f!B34</f>
        <v>2614772446.6500001</v>
      </c>
      <c r="C34" s="79">
        <f>[79]f!C34</f>
        <v>42476421.600000001</v>
      </c>
      <c r="D34" s="111">
        <f>[79]f!D34</f>
        <v>2657248868.25</v>
      </c>
      <c r="E34" s="267">
        <f>[79]f!E34</f>
        <v>4.3971775597725464E-2</v>
      </c>
      <c r="F34" s="111">
        <f>[79]f!F34</f>
        <v>2093.1262313786715</v>
      </c>
      <c r="G34" s="360">
        <f>[79]f!G34</f>
        <v>1118.1726084098734</v>
      </c>
      <c r="I34" s="264"/>
    </row>
    <row r="35" spans="1:11" ht="20" customHeight="1">
      <c r="A35" s="331" t="str">
        <f>'[68]data an-1'!$D$2</f>
        <v xml:space="preserve">Datenstand: 21.10.02 </v>
      </c>
      <c r="B35" s="29"/>
      <c r="C35" s="29"/>
      <c r="D35" s="29"/>
      <c r="E35" s="320"/>
      <c r="F35" s="29"/>
      <c r="G35" s="320"/>
    </row>
    <row r="36" spans="1:11" ht="11.25" customHeight="1">
      <c r="A36" s="7" t="s">
        <v>1239</v>
      </c>
      <c r="B36" s="31"/>
      <c r="C36" s="31"/>
      <c r="D36" s="31"/>
      <c r="E36" s="322"/>
      <c r="F36" s="31"/>
      <c r="G36" s="322"/>
    </row>
  </sheetData>
  <phoneticPr fontId="0" type="noConversion"/>
  <pageMargins left="0.59" right="0.42" top="1.46" bottom="0.49" header="0.92" footer="0.4921259845"/>
  <pageSetup paperSize="9" scale="80" orientation="portrait" horizontalDpi="4294967292" verticalDpi="4294967292"/>
  <headerFooter alignWithMargins="0">
    <oddHeader>&amp;L&amp;"Arial,Bold"&amp;14Prämienverbilligung in der OKP</oddHeader>
    <oddFooter>&amp;L&amp;"Arial,Regular"Statistik über die Krankenversicherung, Bundesamt für Sozialversicherung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BA07C-DBEF-574E-87B8-8FF0FB428F5A}">
  <dimension ref="A1:Q229"/>
  <sheetViews>
    <sheetView zoomScale="75" zoomScaleNormal="75" workbookViewId="0">
      <selection activeCell="F263" sqref="F263"/>
    </sheetView>
  </sheetViews>
  <sheetFormatPr baseColWidth="10" defaultColWidth="11.3984375" defaultRowHeight="13"/>
  <cols>
    <col min="1" max="1" width="5.796875" style="7" customWidth="1"/>
    <col min="2" max="2" width="49" style="116" customWidth="1"/>
    <col min="3" max="4" width="10.796875" style="116" customWidth="1"/>
    <col min="5" max="5" width="10.796875" style="7" customWidth="1"/>
    <col min="6" max="6" width="10.796875" style="22" customWidth="1"/>
    <col min="7" max="7" width="11.3984375" style="22"/>
    <col min="8" max="8" width="11.796875" style="7" customWidth="1"/>
    <col min="9" max="16" width="10.796875" style="7" customWidth="1"/>
    <col min="17" max="16384" width="11.3984375" style="7"/>
  </cols>
  <sheetData>
    <row r="1" spans="1:16" s="1" customFormat="1" ht="14" customHeight="1">
      <c r="A1" s="163"/>
      <c r="B1" s="361"/>
      <c r="C1" s="361"/>
      <c r="D1" s="361"/>
      <c r="E1" s="163"/>
      <c r="G1" s="362"/>
      <c r="H1" s="163"/>
      <c r="I1" s="163"/>
      <c r="J1" s="163"/>
      <c r="K1" s="163"/>
      <c r="L1" s="163"/>
      <c r="M1" s="163"/>
      <c r="N1" s="163"/>
      <c r="O1" s="163"/>
      <c r="P1" s="163"/>
    </row>
    <row r="2" spans="1:16" s="1" customFormat="1" ht="19.5" customHeight="1">
      <c r="B2" s="363" t="str">
        <f>"T 5.02 Surveillance AOS pour l'exercice "&amp;'[80]data '!$B$2</f>
        <v>T 5.02 Surveillance AOS pour l'exercice 2001</v>
      </c>
      <c r="C2" s="361"/>
      <c r="D2" s="361"/>
      <c r="E2" s="163"/>
      <c r="F2" s="362"/>
      <c r="G2" s="362"/>
      <c r="H2" s="210"/>
      <c r="I2" s="163"/>
      <c r="J2" s="163"/>
      <c r="K2" s="163"/>
      <c r="L2" s="163"/>
      <c r="M2" s="163"/>
      <c r="N2" s="163"/>
      <c r="O2" s="163"/>
      <c r="P2" s="163"/>
    </row>
    <row r="3" spans="1:16" s="1" customFormat="1" ht="19.5" customHeight="1">
      <c r="C3" s="361"/>
      <c r="D3" s="361"/>
      <c r="E3" s="163"/>
      <c r="F3" s="362"/>
      <c r="G3" s="362"/>
      <c r="H3" s="163"/>
      <c r="I3" s="163"/>
      <c r="J3" s="163"/>
      <c r="K3" s="163"/>
      <c r="L3" s="163"/>
      <c r="M3" s="163"/>
      <c r="N3" s="163"/>
      <c r="O3" s="163"/>
      <c r="P3" s="163"/>
    </row>
    <row r="4" spans="1:16" ht="18" customHeight="1">
      <c r="A4" s="364" t="s">
        <v>1240</v>
      </c>
      <c r="B4" s="364" t="s">
        <v>1241</v>
      </c>
      <c r="C4" s="365" t="s">
        <v>1242</v>
      </c>
      <c r="D4" s="366" t="s">
        <v>1243</v>
      </c>
      <c r="E4" s="365" t="s">
        <v>1244</v>
      </c>
      <c r="F4" s="367" t="s">
        <v>1245</v>
      </c>
      <c r="G4" s="368" t="s">
        <v>1246</v>
      </c>
      <c r="H4" s="365" t="s">
        <v>1246</v>
      </c>
      <c r="I4" s="366" t="s">
        <v>1247</v>
      </c>
      <c r="J4" s="365" t="s">
        <v>1247</v>
      </c>
      <c r="K4" s="366" t="s">
        <v>1248</v>
      </c>
      <c r="L4" s="368" t="s">
        <v>1249</v>
      </c>
      <c r="M4" s="367" t="s">
        <v>1249</v>
      </c>
      <c r="N4" s="368" t="s">
        <v>1249</v>
      </c>
      <c r="O4" s="366" t="s">
        <v>1249</v>
      </c>
      <c r="P4" s="368" t="s">
        <v>1250</v>
      </c>
    </row>
    <row r="5" spans="1:16" ht="15" customHeight="1">
      <c r="A5" s="369" t="s">
        <v>1251</v>
      </c>
      <c r="B5" s="369"/>
      <c r="C5" s="370" t="s">
        <v>1252</v>
      </c>
      <c r="D5" s="371" t="s">
        <v>1253</v>
      </c>
      <c r="E5" s="370" t="s">
        <v>1254</v>
      </c>
      <c r="F5" s="372" t="s">
        <v>1255</v>
      </c>
      <c r="G5" s="373" t="s">
        <v>1256</v>
      </c>
      <c r="H5" s="370" t="s">
        <v>1256</v>
      </c>
      <c r="I5" s="371" t="s">
        <v>1257</v>
      </c>
      <c r="J5" s="370" t="s">
        <v>1257</v>
      </c>
      <c r="K5" s="371" t="s">
        <v>1258</v>
      </c>
      <c r="L5" s="373" t="s">
        <v>1259</v>
      </c>
      <c r="M5" s="372" t="s">
        <v>1259</v>
      </c>
      <c r="N5" s="373" t="s">
        <v>1260</v>
      </c>
      <c r="O5" s="371" t="s">
        <v>1260</v>
      </c>
      <c r="P5" s="373" t="s">
        <v>1261</v>
      </c>
    </row>
    <row r="6" spans="1:16" ht="15" customHeight="1">
      <c r="A6" s="369"/>
      <c r="B6" s="369"/>
      <c r="C6" s="370"/>
      <c r="D6" s="371" t="s">
        <v>1254</v>
      </c>
      <c r="E6" s="370" t="s">
        <v>1262</v>
      </c>
      <c r="F6" s="372" t="s">
        <v>1261</v>
      </c>
      <c r="G6" s="373" t="s">
        <v>1263</v>
      </c>
      <c r="H6" s="370" t="s">
        <v>1263</v>
      </c>
      <c r="I6" s="371" t="s">
        <v>1265</v>
      </c>
      <c r="J6" s="370" t="s">
        <v>1266</v>
      </c>
      <c r="K6" s="371" t="s">
        <v>1267</v>
      </c>
      <c r="L6" s="373" t="s">
        <v>1254</v>
      </c>
      <c r="M6" s="372" t="s">
        <v>1268</v>
      </c>
      <c r="N6" s="373" t="s">
        <v>1254</v>
      </c>
      <c r="O6" s="371" t="s">
        <v>1268</v>
      </c>
      <c r="P6" s="373" t="s">
        <v>1269</v>
      </c>
    </row>
    <row r="7" spans="1:16" ht="15" customHeight="1">
      <c r="A7" s="369"/>
      <c r="B7" s="369"/>
      <c r="C7" s="370"/>
      <c r="D7" s="371" t="s">
        <v>1262</v>
      </c>
      <c r="E7" s="370"/>
      <c r="F7" s="372" t="s">
        <v>1270</v>
      </c>
      <c r="G7" s="373" t="s">
        <v>1254</v>
      </c>
      <c r="H7" s="370" t="s">
        <v>1268</v>
      </c>
      <c r="I7" s="371" t="s">
        <v>1271</v>
      </c>
      <c r="J7" s="370" t="s">
        <v>1267</v>
      </c>
      <c r="K7" s="371" t="s">
        <v>1272</v>
      </c>
      <c r="L7" s="373" t="s">
        <v>1262</v>
      </c>
      <c r="M7" s="372" t="s">
        <v>1272</v>
      </c>
      <c r="N7" s="373" t="s">
        <v>1262</v>
      </c>
      <c r="O7" s="371" t="s">
        <v>1272</v>
      </c>
      <c r="P7" s="373"/>
    </row>
    <row r="8" spans="1:16" ht="15" customHeight="1">
      <c r="A8" s="369"/>
      <c r="B8" s="369"/>
      <c r="C8" s="370"/>
      <c r="D8" s="371"/>
      <c r="E8" s="370"/>
      <c r="F8" s="372"/>
      <c r="G8" s="373" t="s">
        <v>1262</v>
      </c>
      <c r="H8" s="370" t="s">
        <v>1272</v>
      </c>
      <c r="I8" s="371" t="s">
        <v>1273</v>
      </c>
      <c r="J8" s="370" t="s">
        <v>1272</v>
      </c>
      <c r="K8" s="371" t="s">
        <v>1274</v>
      </c>
      <c r="L8" s="373"/>
      <c r="M8" s="372" t="s">
        <v>1274</v>
      </c>
      <c r="N8" s="373"/>
      <c r="O8" s="371" t="s">
        <v>1274</v>
      </c>
      <c r="P8" s="373"/>
    </row>
    <row r="9" spans="1:16" ht="15" customHeight="1">
      <c r="A9" s="369"/>
      <c r="B9" s="369"/>
      <c r="C9" s="370"/>
      <c r="D9" s="371"/>
      <c r="E9" s="370"/>
      <c r="F9" s="372"/>
      <c r="G9" s="373"/>
      <c r="H9" s="370" t="s">
        <v>1274</v>
      </c>
      <c r="I9" s="371"/>
      <c r="J9" s="370" t="s">
        <v>1274</v>
      </c>
      <c r="K9" s="371"/>
      <c r="L9" s="373"/>
      <c r="M9" s="372"/>
      <c r="N9" s="373"/>
      <c r="O9" s="371"/>
      <c r="P9" s="373"/>
    </row>
    <row r="10" spans="1:16" ht="18" customHeight="1">
      <c r="A10" s="374"/>
      <c r="B10" s="375"/>
      <c r="C10" s="376">
        <v>1</v>
      </c>
      <c r="D10" s="377">
        <v>2</v>
      </c>
      <c r="E10" s="376">
        <v>3</v>
      </c>
      <c r="F10" s="378">
        <v>4</v>
      </c>
      <c r="G10" s="379">
        <v>5</v>
      </c>
      <c r="H10" s="376" t="s">
        <v>1275</v>
      </c>
      <c r="I10" s="377">
        <v>6</v>
      </c>
      <c r="J10" s="376" t="s">
        <v>1276</v>
      </c>
      <c r="K10" s="377">
        <v>7</v>
      </c>
      <c r="L10" s="379">
        <v>8</v>
      </c>
      <c r="M10" s="378" t="s">
        <v>1277</v>
      </c>
      <c r="N10" s="379">
        <v>9</v>
      </c>
      <c r="O10" s="377" t="s">
        <v>1278</v>
      </c>
      <c r="P10" s="379" t="s">
        <v>1279</v>
      </c>
    </row>
    <row r="11" spans="1:16" ht="14" thickBot="1">
      <c r="A11" s="380">
        <v>8</v>
      </c>
      <c r="B11" s="381" t="s">
        <v>1280</v>
      </c>
      <c r="C11" s="382">
        <v>1023856</v>
      </c>
      <c r="D11" s="383">
        <v>2002.5765939800001</v>
      </c>
      <c r="E11" s="384">
        <v>1926.5975308000002</v>
      </c>
      <c r="F11" s="385">
        <v>-2.7385567131295304E-2</v>
      </c>
      <c r="G11" s="386">
        <v>1969.1066600199999</v>
      </c>
      <c r="H11" s="387">
        <v>1923.2261763568315</v>
      </c>
      <c r="I11" s="388">
        <v>5.7646989842337841E-2</v>
      </c>
      <c r="J11" s="387">
        <v>113.23005617000828</v>
      </c>
      <c r="K11" s="389">
        <v>-8.280946519823086</v>
      </c>
      <c r="L11" s="384">
        <v>511</v>
      </c>
      <c r="M11" s="389">
        <v>499.0936225406698</v>
      </c>
      <c r="N11" s="384">
        <v>277.23188726000001</v>
      </c>
      <c r="O11" s="389">
        <v>270.77234226297446</v>
      </c>
      <c r="P11" s="390">
        <v>0.14389714656432798</v>
      </c>
    </row>
    <row r="12" spans="1:16" ht="14" thickBot="1">
      <c r="A12" s="380">
        <v>32</v>
      </c>
      <c r="B12" s="381" t="s">
        <v>1281</v>
      </c>
      <c r="C12" s="382">
        <v>31934</v>
      </c>
      <c r="D12" s="383">
        <v>64.851544150000009</v>
      </c>
      <c r="E12" s="384">
        <v>65.249491500000005</v>
      </c>
      <c r="F12" s="385">
        <v>1.913640941423906E-2</v>
      </c>
      <c r="G12" s="386">
        <v>59.782898349999996</v>
      </c>
      <c r="H12" s="387">
        <v>1872.0767316966242</v>
      </c>
      <c r="I12" s="388">
        <v>2.1635359394143086E-2</v>
      </c>
      <c r="J12" s="387">
        <v>41.891638379157008</v>
      </c>
      <c r="K12" s="389">
        <v>94.541247259973687</v>
      </c>
      <c r="L12" s="384">
        <v>16.399999999999999</v>
      </c>
      <c r="M12" s="389">
        <v>513.55921588275817</v>
      </c>
      <c r="N12" s="384">
        <v>16.16646257</v>
      </c>
      <c r="O12" s="389">
        <v>506.24608786872926</v>
      </c>
      <c r="P12" s="390">
        <v>0.24776380931642969</v>
      </c>
    </row>
    <row r="13" spans="1:16" ht="14" thickBot="1">
      <c r="A13" s="380">
        <v>57</v>
      </c>
      <c r="B13" s="381" t="s">
        <v>1282</v>
      </c>
      <c r="C13" s="382">
        <v>10014</v>
      </c>
      <c r="D13" s="383">
        <v>25.615091329999998</v>
      </c>
      <c r="E13" s="384">
        <v>25.046598460000002</v>
      </c>
      <c r="F13" s="385">
        <v>0.10362765120775387</v>
      </c>
      <c r="G13" s="386">
        <v>20.379003150000003</v>
      </c>
      <c r="H13" s="387">
        <v>2035.0512432594371</v>
      </c>
      <c r="I13" s="388">
        <v>6.2453491354589441E-2</v>
      </c>
      <c r="J13" s="387">
        <v>149.9007589374875</v>
      </c>
      <c r="K13" s="389">
        <v>157.72981126423014</v>
      </c>
      <c r="L13" s="384">
        <v>10.58175</v>
      </c>
      <c r="M13" s="389">
        <v>1056.6956261234272</v>
      </c>
      <c r="N13" s="384">
        <v>15.156962929999999</v>
      </c>
      <c r="O13" s="389">
        <v>1513.5772848012782</v>
      </c>
      <c r="P13" s="390">
        <v>0.60515055384490712</v>
      </c>
    </row>
    <row r="14" spans="1:16" ht="14" thickBot="1">
      <c r="A14" s="380">
        <v>62</v>
      </c>
      <c r="B14" s="381" t="s">
        <v>1283</v>
      </c>
      <c r="C14" s="382">
        <v>206670</v>
      </c>
      <c r="D14" s="383">
        <v>476.86023738999995</v>
      </c>
      <c r="E14" s="384">
        <v>480.88901095</v>
      </c>
      <c r="F14" s="385">
        <v>-4.9527610918593402E-2</v>
      </c>
      <c r="G14" s="386">
        <v>526.07557550000001</v>
      </c>
      <c r="H14" s="387">
        <v>2545.4859220012581</v>
      </c>
      <c r="I14" s="388">
        <v>7.3642081747884031E-2</v>
      </c>
      <c r="J14" s="387">
        <v>198.62274621377074</v>
      </c>
      <c r="K14" s="389">
        <v>-389.78546441186421</v>
      </c>
      <c r="L14" s="384">
        <v>182.61679505000001</v>
      </c>
      <c r="M14" s="389">
        <v>883.61540160642573</v>
      </c>
      <c r="N14" s="384">
        <v>1.16813904</v>
      </c>
      <c r="O14" s="389">
        <v>5.6521945129917261</v>
      </c>
      <c r="P14" s="390">
        <v>2.42912400450227E-3</v>
      </c>
    </row>
    <row r="15" spans="1:16" ht="14" thickBot="1">
      <c r="A15" s="380">
        <v>97</v>
      </c>
      <c r="B15" s="381" t="s">
        <v>1284</v>
      </c>
      <c r="C15" s="382">
        <v>856</v>
      </c>
      <c r="D15" s="383">
        <v>1.12814047</v>
      </c>
      <c r="E15" s="384">
        <v>1.2133704000000001</v>
      </c>
      <c r="F15" s="385">
        <v>-5.1300260507452587E-2</v>
      </c>
      <c r="G15" s="386">
        <v>1.62970215</v>
      </c>
      <c r="H15" s="387">
        <v>1903.8576518691589</v>
      </c>
      <c r="I15" s="388">
        <v>7.0474842930074767E-4</v>
      </c>
      <c r="J15" s="387">
        <v>1.1682242990654206</v>
      </c>
      <c r="K15" s="389">
        <v>-339.72614485981302</v>
      </c>
      <c r="L15" s="384">
        <v>0.25</v>
      </c>
      <c r="M15" s="389">
        <v>292.05607476635515</v>
      </c>
      <c r="N15" s="384">
        <v>0.45227266999999999</v>
      </c>
      <c r="O15" s="389">
        <v>528.35592289719625</v>
      </c>
      <c r="P15" s="390">
        <v>0.37274081352240007</v>
      </c>
    </row>
    <row r="16" spans="1:16" ht="14" thickBot="1">
      <c r="A16" s="380">
        <v>109</v>
      </c>
      <c r="B16" s="381" t="s">
        <v>1285</v>
      </c>
      <c r="C16" s="382">
        <v>258</v>
      </c>
      <c r="D16" s="383">
        <v>0.26533250000000003</v>
      </c>
      <c r="E16" s="384">
        <v>0.29940539999999999</v>
      </c>
      <c r="F16" s="385">
        <v>3.8694845147126712E-2</v>
      </c>
      <c r="G16" s="386">
        <v>0.44770969999999993</v>
      </c>
      <c r="H16" s="387">
        <v>1735.3089147286819</v>
      </c>
      <c r="I16" s="388">
        <v>5.6999259425680453E-2</v>
      </c>
      <c r="J16" s="387">
        <v>98.236434108527135</v>
      </c>
      <c r="K16" s="389">
        <v>-695.04806201550389</v>
      </c>
      <c r="L16" s="384">
        <v>0.1</v>
      </c>
      <c r="M16" s="389">
        <v>387.59689922480618</v>
      </c>
      <c r="N16" s="384">
        <v>0.43876604999999996</v>
      </c>
      <c r="O16" s="389">
        <v>1700.6436046511628</v>
      </c>
      <c r="P16" s="390">
        <v>1.4654580378309809</v>
      </c>
    </row>
    <row r="17" spans="1:16" ht="14" thickBot="1">
      <c r="A17" s="380">
        <v>134</v>
      </c>
      <c r="B17" s="381" t="s">
        <v>1286</v>
      </c>
      <c r="C17" s="382">
        <v>1926</v>
      </c>
      <c r="D17" s="383">
        <v>2.9842744999999997</v>
      </c>
      <c r="E17" s="384">
        <v>2.8324742500000002</v>
      </c>
      <c r="F17" s="385">
        <v>-5.5592071037701127E-2</v>
      </c>
      <c r="G17" s="386">
        <v>3.26415465</v>
      </c>
      <c r="H17" s="387">
        <v>1694.7843457943925</v>
      </c>
      <c r="I17" s="388">
        <v>5.914533201439684E-2</v>
      </c>
      <c r="J17" s="387">
        <v>94.178478712357233</v>
      </c>
      <c r="K17" s="389">
        <v>-42.855555555555554</v>
      </c>
      <c r="L17" s="384">
        <v>1.05</v>
      </c>
      <c r="M17" s="389">
        <v>545.17133956386294</v>
      </c>
      <c r="N17" s="384">
        <v>1.4768483700000001</v>
      </c>
      <c r="O17" s="389">
        <v>766.79562305295951</v>
      </c>
      <c r="P17" s="390">
        <v>0.52139869232703528</v>
      </c>
    </row>
    <row r="18" spans="1:16" ht="14" thickBot="1">
      <c r="A18" s="380">
        <v>160</v>
      </c>
      <c r="B18" s="381" t="s">
        <v>1287</v>
      </c>
      <c r="C18" s="382">
        <v>20768</v>
      </c>
      <c r="D18" s="383">
        <v>42.348066599999996</v>
      </c>
      <c r="E18" s="384">
        <v>41.972470699999995</v>
      </c>
      <c r="F18" s="385">
        <v>0.15739599313844471</v>
      </c>
      <c r="G18" s="386">
        <v>34.130769000000001</v>
      </c>
      <c r="H18" s="387">
        <v>1643.4307107087827</v>
      </c>
      <c r="I18" s="388">
        <v>4.8520014523173303E-2</v>
      </c>
      <c r="J18" s="387">
        <v>101.5519188174114</v>
      </c>
      <c r="K18" s="389">
        <v>-53.888460612480728</v>
      </c>
      <c r="L18" s="384">
        <v>9.8000000000000007</v>
      </c>
      <c r="M18" s="389">
        <v>471.87981510015408</v>
      </c>
      <c r="N18" s="384">
        <v>6.0550785199999995</v>
      </c>
      <c r="O18" s="389">
        <v>291.558095146379</v>
      </c>
      <c r="P18" s="390">
        <v>0.14426309480990357</v>
      </c>
    </row>
    <row r="19" spans="1:16" ht="14" thickBot="1">
      <c r="A19" s="380">
        <v>178</v>
      </c>
      <c r="B19" s="381" t="s">
        <v>1288</v>
      </c>
      <c r="C19" s="382">
        <v>928</v>
      </c>
      <c r="D19" s="383">
        <v>1.2678277</v>
      </c>
      <c r="E19" s="384">
        <v>1.2664418</v>
      </c>
      <c r="F19" s="385">
        <v>0.15775014223147199</v>
      </c>
      <c r="G19" s="386">
        <v>1.3013203000000002</v>
      </c>
      <c r="H19" s="387">
        <v>1402.2848060344832</v>
      </c>
      <c r="I19" s="388">
        <v>7.0032896652562196E-2</v>
      </c>
      <c r="J19" s="387">
        <v>107.03566810344829</v>
      </c>
      <c r="K19" s="389">
        <v>-162.16907327586213</v>
      </c>
      <c r="L19" s="384">
        <v>0.4</v>
      </c>
      <c r="M19" s="389">
        <v>431.0344827586207</v>
      </c>
      <c r="N19" s="384">
        <v>0.79856459999999996</v>
      </c>
      <c r="O19" s="389">
        <v>860.52219827586202</v>
      </c>
      <c r="P19" s="390">
        <v>0.63055767742347102</v>
      </c>
    </row>
    <row r="20" spans="1:16" ht="14" thickBot="1">
      <c r="A20" s="380">
        <v>182</v>
      </c>
      <c r="B20" s="381" t="s">
        <v>0</v>
      </c>
      <c r="C20" s="382">
        <v>25761</v>
      </c>
      <c r="D20" s="383">
        <v>51.768766060000004</v>
      </c>
      <c r="E20" s="384">
        <v>51.55186775</v>
      </c>
      <c r="F20" s="385">
        <v>2.1298865781774052E-2</v>
      </c>
      <c r="G20" s="386">
        <v>48.442250580000007</v>
      </c>
      <c r="H20" s="387">
        <v>1880.4491510422733</v>
      </c>
      <c r="I20" s="388">
        <v>7.119154286193391E-2</v>
      </c>
      <c r="J20" s="387">
        <v>147.14555180311322</v>
      </c>
      <c r="K20" s="389">
        <v>-57.317458561391241</v>
      </c>
      <c r="L20" s="384">
        <v>13.7</v>
      </c>
      <c r="M20" s="389">
        <v>531.81165327432939</v>
      </c>
      <c r="N20" s="384">
        <v>11.385010529999999</v>
      </c>
      <c r="O20" s="389">
        <v>441.94753813904737</v>
      </c>
      <c r="P20" s="390">
        <v>0.22084574287805506</v>
      </c>
    </row>
    <row r="21" spans="1:16" ht="14" thickBot="1">
      <c r="A21" s="380">
        <v>194</v>
      </c>
      <c r="B21" s="381" t="s">
        <v>1</v>
      </c>
      <c r="C21" s="382">
        <v>8667</v>
      </c>
      <c r="D21" s="383">
        <v>13.449382899999998</v>
      </c>
      <c r="E21" s="384">
        <v>13.227102499999997</v>
      </c>
      <c r="F21" s="385">
        <v>0.235757195967705</v>
      </c>
      <c r="G21" s="386">
        <v>9.4343268499999997</v>
      </c>
      <c r="H21" s="387">
        <v>1088.5343082958348</v>
      </c>
      <c r="I21" s="388">
        <v>2.2221362510969227E-2</v>
      </c>
      <c r="J21" s="387">
        <v>33.096746278989272</v>
      </c>
      <c r="K21" s="389">
        <v>62.380985346717431</v>
      </c>
      <c r="L21" s="384">
        <v>2.5</v>
      </c>
      <c r="M21" s="389">
        <v>288.45044421368408</v>
      </c>
      <c r="N21" s="384">
        <v>6.3079703</v>
      </c>
      <c r="O21" s="389">
        <v>727.81473404869041</v>
      </c>
      <c r="P21" s="390">
        <v>0.47689736282001305</v>
      </c>
    </row>
    <row r="22" spans="1:16" ht="14" thickBot="1">
      <c r="A22" s="380">
        <v>216</v>
      </c>
      <c r="B22" s="381" t="s">
        <v>2</v>
      </c>
      <c r="C22" s="382">
        <v>643</v>
      </c>
      <c r="D22" s="383">
        <v>1.4761802200000003</v>
      </c>
      <c r="E22" s="384">
        <v>1.4083573</v>
      </c>
      <c r="F22" s="385">
        <v>-1.3801837827091329E-2</v>
      </c>
      <c r="G22" s="386">
        <v>1.3102278299999999</v>
      </c>
      <c r="H22" s="387">
        <v>2037.6793623639189</v>
      </c>
      <c r="I22" s="388">
        <v>7.3642120229378008E-2</v>
      </c>
      <c r="J22" s="387">
        <v>165.98024883359253</v>
      </c>
      <c r="K22" s="389">
        <v>41.893608087091756</v>
      </c>
      <c r="L22" s="384">
        <v>0.53</v>
      </c>
      <c r="M22" s="389">
        <v>824.2612752721617</v>
      </c>
      <c r="N22" s="384">
        <v>1.38096284</v>
      </c>
      <c r="O22" s="389">
        <v>2147.6871539657855</v>
      </c>
      <c r="P22" s="390">
        <v>0.9805486434443873</v>
      </c>
    </row>
    <row r="23" spans="1:16" ht="14" thickBot="1">
      <c r="A23" s="380">
        <v>240</v>
      </c>
      <c r="B23" s="381" t="s">
        <v>3</v>
      </c>
      <c r="C23" s="382">
        <v>299</v>
      </c>
      <c r="D23" s="383">
        <v>0.49140925000000002</v>
      </c>
      <c r="E23" s="384">
        <v>0.48830939999999995</v>
      </c>
      <c r="F23" s="385">
        <v>3.6112466340428057E-2</v>
      </c>
      <c r="G23" s="386">
        <v>0.44415284999999999</v>
      </c>
      <c r="H23" s="387">
        <v>1485.4610367892976</v>
      </c>
      <c r="I23" s="388">
        <v>0.13195905449480247</v>
      </c>
      <c r="J23" s="387">
        <v>216.8759197324415</v>
      </c>
      <c r="K23" s="389">
        <v>-4.942905987896349E-15</v>
      </c>
      <c r="L23" s="384">
        <v>0.105</v>
      </c>
      <c r="M23" s="389">
        <v>351.17056856187293</v>
      </c>
      <c r="N23" s="384">
        <v>0.62187007999999999</v>
      </c>
      <c r="O23" s="389">
        <v>2079.8330434782606</v>
      </c>
      <c r="P23" s="390">
        <v>1.2735165040853198</v>
      </c>
    </row>
    <row r="24" spans="1:16" ht="14" thickBot="1">
      <c r="A24" s="380">
        <v>246</v>
      </c>
      <c r="B24" s="381" t="s">
        <v>4</v>
      </c>
      <c r="C24" s="382">
        <v>3073</v>
      </c>
      <c r="D24" s="383">
        <v>5.0173955000000001</v>
      </c>
      <c r="E24" s="384">
        <v>4.9896052000000006</v>
      </c>
      <c r="F24" s="385">
        <v>0.17395164483246336</v>
      </c>
      <c r="G24" s="386">
        <v>3.6434022000000001</v>
      </c>
      <c r="H24" s="387">
        <v>1185.6173771558738</v>
      </c>
      <c r="I24" s="388">
        <v>6.4348374941622169E-2</v>
      </c>
      <c r="J24" s="387">
        <v>101.1725512528474</v>
      </c>
      <c r="K24" s="389">
        <v>60.472551252847396</v>
      </c>
      <c r="L24" s="384">
        <v>1.2</v>
      </c>
      <c r="M24" s="389">
        <v>390.49788480312401</v>
      </c>
      <c r="N24" s="384">
        <v>2.4872276000000002</v>
      </c>
      <c r="O24" s="389">
        <v>809.38093068662545</v>
      </c>
      <c r="P24" s="390">
        <v>0.49848184381401556</v>
      </c>
    </row>
    <row r="25" spans="1:16" ht="14" thickBot="1">
      <c r="A25" s="380">
        <v>261</v>
      </c>
      <c r="B25" s="381" t="s">
        <v>26</v>
      </c>
      <c r="C25" s="382">
        <v>13195</v>
      </c>
      <c r="D25" s="383">
        <v>20.291641629999997</v>
      </c>
      <c r="E25" s="384">
        <v>18.793073799999998</v>
      </c>
      <c r="F25" s="385">
        <v>0.12357753235167898</v>
      </c>
      <c r="G25" s="386">
        <v>15.769324699999999</v>
      </c>
      <c r="H25" s="387">
        <v>1195.0984994316029</v>
      </c>
      <c r="I25" s="388">
        <v>8.790402981779559E-2</v>
      </c>
      <c r="J25" s="387">
        <v>140.85234785903751</v>
      </c>
      <c r="K25" s="389">
        <v>-64.514240242516095</v>
      </c>
      <c r="L25" s="384">
        <v>4.55</v>
      </c>
      <c r="M25" s="389">
        <v>344.82758620689657</v>
      </c>
      <c r="N25" s="384">
        <v>4.5071424800000006</v>
      </c>
      <c r="O25" s="389">
        <v>341.57957408109138</v>
      </c>
      <c r="P25" s="390">
        <v>0.23982997821250512</v>
      </c>
    </row>
    <row r="26" spans="1:16" ht="14" thickBot="1">
      <c r="A26" s="380">
        <v>263</v>
      </c>
      <c r="B26" s="381" t="s">
        <v>27</v>
      </c>
      <c r="C26" s="382">
        <v>33999</v>
      </c>
      <c r="D26" s="383">
        <v>83.584507889999998</v>
      </c>
      <c r="E26" s="384">
        <v>82.963070800000011</v>
      </c>
      <c r="F26" s="385">
        <v>5.0148575445540022E-2</v>
      </c>
      <c r="G26" s="386">
        <v>75.318987159999992</v>
      </c>
      <c r="H26" s="387">
        <v>2215.3294849848526</v>
      </c>
      <c r="I26" s="388">
        <v>5.4617265594781784E-2</v>
      </c>
      <c r="J26" s="387">
        <v>135.29272655078088</v>
      </c>
      <c r="K26" s="389">
        <v>-18.665268978499366</v>
      </c>
      <c r="L26" s="384">
        <v>19.399999999999999</v>
      </c>
      <c r="M26" s="389">
        <v>570.60501779464107</v>
      </c>
      <c r="N26" s="384">
        <v>12.357785849999999</v>
      </c>
      <c r="O26" s="389">
        <v>363.47498014647488</v>
      </c>
      <c r="P26" s="390">
        <v>0.14895526082672433</v>
      </c>
    </row>
    <row r="27" spans="1:16" ht="14" thickBot="1">
      <c r="A27" s="380">
        <v>290</v>
      </c>
      <c r="B27" s="381" t="s">
        <v>28</v>
      </c>
      <c r="C27" s="382">
        <v>554563</v>
      </c>
      <c r="D27" s="383">
        <v>1042.7419444799998</v>
      </c>
      <c r="E27" s="384">
        <v>1018.1103624499999</v>
      </c>
      <c r="F27" s="385">
        <v>-5.4539745716626634E-2</v>
      </c>
      <c r="G27" s="386">
        <v>1065.29188884</v>
      </c>
      <c r="H27" s="387">
        <v>1920.9573823713445</v>
      </c>
      <c r="I27" s="388">
        <v>5.348652657144732E-2</v>
      </c>
      <c r="J27" s="387">
        <v>103.672736280639</v>
      </c>
      <c r="K27" s="389">
        <v>-58.001460086590683</v>
      </c>
      <c r="L27" s="384">
        <v>302.77561125</v>
      </c>
      <c r="M27" s="389">
        <v>545.97153299084141</v>
      </c>
      <c r="N27" s="384">
        <v>164.76725311999999</v>
      </c>
      <c r="O27" s="389">
        <v>297.11187569311335</v>
      </c>
      <c r="P27" s="390">
        <v>0.16183633837445774</v>
      </c>
    </row>
    <row r="28" spans="1:16" ht="14" thickBot="1">
      <c r="A28" s="380">
        <v>294</v>
      </c>
      <c r="B28" s="381" t="s">
        <v>29</v>
      </c>
      <c r="C28" s="382">
        <v>2242</v>
      </c>
      <c r="D28" s="383">
        <v>2.7016438000000003</v>
      </c>
      <c r="E28" s="384">
        <v>2.72222645</v>
      </c>
      <c r="F28" s="385">
        <v>-0.11236529404801623</v>
      </c>
      <c r="G28" s="386">
        <v>2.5673197500000007</v>
      </c>
      <c r="H28" s="387">
        <v>1145.1024754683322</v>
      </c>
      <c r="I28" s="388">
        <v>9.8365346085156624E-2</v>
      </c>
      <c r="J28" s="387">
        <v>116.11338090990188</v>
      </c>
      <c r="K28" s="389">
        <v>24.585325602140948</v>
      </c>
      <c r="L28" s="384">
        <v>0.85</v>
      </c>
      <c r="M28" s="389">
        <v>379.12578055307762</v>
      </c>
      <c r="N28" s="384">
        <v>1.9609044199999999</v>
      </c>
      <c r="O28" s="389">
        <v>874.62284567350582</v>
      </c>
      <c r="P28" s="390">
        <v>0.72033111720004039</v>
      </c>
    </row>
    <row r="29" spans="1:16" ht="14" thickBot="1">
      <c r="A29" s="380">
        <v>312</v>
      </c>
      <c r="B29" s="381" t="s">
        <v>30</v>
      </c>
      <c r="C29" s="382">
        <v>112225</v>
      </c>
      <c r="D29" s="383">
        <v>193.70846244999998</v>
      </c>
      <c r="E29" s="384">
        <v>193.35285960000002</v>
      </c>
      <c r="F29" s="385">
        <v>-8.4827182004200571E-2</v>
      </c>
      <c r="G29" s="386">
        <v>199.37333913000001</v>
      </c>
      <c r="H29" s="387">
        <v>1776.5501370461127</v>
      </c>
      <c r="I29" s="388">
        <v>4.6829942415164749E-2</v>
      </c>
      <c r="J29" s="387">
        <v>85.600323279126755</v>
      </c>
      <c r="K29" s="389">
        <v>-101.82496948095344</v>
      </c>
      <c r="L29" s="384">
        <v>65.850999999999999</v>
      </c>
      <c r="M29" s="389">
        <v>586.77656493651148</v>
      </c>
      <c r="N29" s="384">
        <v>39.257822490000002</v>
      </c>
      <c r="O29" s="389">
        <v>349.8135218534195</v>
      </c>
      <c r="P29" s="390">
        <v>0.20303719619774374</v>
      </c>
    </row>
    <row r="30" spans="1:16" ht="14" thickBot="1">
      <c r="A30" s="380">
        <v>343</v>
      </c>
      <c r="B30" s="381" t="s">
        <v>31</v>
      </c>
      <c r="C30" s="382">
        <v>68066</v>
      </c>
      <c r="D30" s="383">
        <v>150.24026190999999</v>
      </c>
      <c r="E30" s="384">
        <v>149.79612890000001</v>
      </c>
      <c r="F30" s="385">
        <v>-1.0507136901462832E-2</v>
      </c>
      <c r="G30" s="386">
        <v>144.47518595</v>
      </c>
      <c r="H30" s="387">
        <v>2122.5749412335085</v>
      </c>
      <c r="I30" s="388">
        <v>7.3556058786354461E-2</v>
      </c>
      <c r="J30" s="387">
        <v>172.16427114859107</v>
      </c>
      <c r="K30" s="389">
        <v>-133.31259762583372</v>
      </c>
      <c r="L30" s="384">
        <v>38.1</v>
      </c>
      <c r="M30" s="389">
        <v>559.75083007669025</v>
      </c>
      <c r="N30" s="384">
        <v>22.60688184</v>
      </c>
      <c r="O30" s="389">
        <v>332.13178150618518</v>
      </c>
      <c r="P30" s="390">
        <v>0.15091766393437153</v>
      </c>
    </row>
    <row r="31" spans="1:16" ht="14" thickBot="1">
      <c r="A31" s="380">
        <v>354</v>
      </c>
      <c r="B31" s="381" t="s">
        <v>32</v>
      </c>
      <c r="C31" s="382">
        <v>29418</v>
      </c>
      <c r="D31" s="383">
        <v>44.977511340000007</v>
      </c>
      <c r="E31" s="384">
        <v>49.840573899999995</v>
      </c>
      <c r="F31" s="385">
        <v>7.5593333394955234E-2</v>
      </c>
      <c r="G31" s="386">
        <v>48.636775800000002</v>
      </c>
      <c r="H31" s="387">
        <v>1653.2998776259435</v>
      </c>
      <c r="I31" s="388">
        <v>0.10142532236350242</v>
      </c>
      <c r="J31" s="387">
        <v>191.66307396831871</v>
      </c>
      <c r="K31" s="389">
        <v>-360.78521687402275</v>
      </c>
      <c r="L31" s="384">
        <v>14.6</v>
      </c>
      <c r="M31" s="389">
        <v>496.29478550547282</v>
      </c>
      <c r="N31" s="384">
        <v>-17.86156789</v>
      </c>
      <c r="O31" s="389">
        <v>-607.16458936705419</v>
      </c>
      <c r="P31" s="390">
        <v>-0.3583740413149617</v>
      </c>
    </row>
    <row r="32" spans="1:16" ht="14" thickBot="1">
      <c r="A32" s="380">
        <v>360</v>
      </c>
      <c r="B32" s="381" t="s">
        <v>33</v>
      </c>
      <c r="C32" s="382">
        <v>11942</v>
      </c>
      <c r="D32" s="383">
        <v>16.066640410000002</v>
      </c>
      <c r="E32" s="384">
        <v>15.53072117</v>
      </c>
      <c r="F32" s="385">
        <v>0.19488867119046949</v>
      </c>
      <c r="G32" s="386">
        <v>11.434815899999998</v>
      </c>
      <c r="H32" s="387">
        <v>957.52938368782441</v>
      </c>
      <c r="I32" s="388">
        <v>3.204329811135545E-2</v>
      </c>
      <c r="J32" s="387">
        <v>41.817744096466257</v>
      </c>
      <c r="K32" s="389">
        <v>40.3507167978563</v>
      </c>
      <c r="L32" s="384">
        <v>3.25109505</v>
      </c>
      <c r="M32" s="389">
        <v>272.24041617819461</v>
      </c>
      <c r="N32" s="384">
        <v>6.0638493699999998</v>
      </c>
      <c r="O32" s="389">
        <v>507.77502679618158</v>
      </c>
      <c r="P32" s="390">
        <v>0.39044222760970476</v>
      </c>
    </row>
    <row r="33" spans="1:16" ht="14" thickBot="1">
      <c r="A33" s="380">
        <v>376</v>
      </c>
      <c r="B33" s="381" t="s">
        <v>34</v>
      </c>
      <c r="C33" s="382">
        <v>319025</v>
      </c>
      <c r="D33" s="383">
        <v>579.59490997</v>
      </c>
      <c r="E33" s="384">
        <v>576.01807654999993</v>
      </c>
      <c r="F33" s="385">
        <v>8.7546548506829358E-2</v>
      </c>
      <c r="G33" s="386">
        <v>529.00490980000006</v>
      </c>
      <c r="H33" s="387">
        <v>1658.1926488519712</v>
      </c>
      <c r="I33" s="388">
        <v>7.644844345559533E-2</v>
      </c>
      <c r="J33" s="387">
        <v>150.7839910665308</v>
      </c>
      <c r="K33" s="389">
        <v>-155.59225653161977</v>
      </c>
      <c r="L33" s="384">
        <v>174.21322000000001</v>
      </c>
      <c r="M33" s="389">
        <v>546.08015045842808</v>
      </c>
      <c r="N33" s="384">
        <v>123.21764414</v>
      </c>
      <c r="O33" s="389">
        <v>386.23193837473553</v>
      </c>
      <c r="P33" s="390">
        <v>0.21391280787227929</v>
      </c>
    </row>
    <row r="34" spans="1:16" ht="14" thickBot="1">
      <c r="A34" s="380">
        <v>411</v>
      </c>
      <c r="B34" s="381" t="s">
        <v>35</v>
      </c>
      <c r="C34" s="382">
        <v>34321</v>
      </c>
      <c r="D34" s="383">
        <v>54.290885159999995</v>
      </c>
      <c r="E34" s="384">
        <v>47.844964400000002</v>
      </c>
      <c r="F34" s="385">
        <v>9.0091489309584147E-2</v>
      </c>
      <c r="G34" s="386">
        <v>48.176937199999998</v>
      </c>
      <c r="H34" s="387">
        <v>1403.7160106057515</v>
      </c>
      <c r="I34" s="388">
        <v>5.7653630305518302E-2</v>
      </c>
      <c r="J34" s="387">
        <v>96.973307013198905</v>
      </c>
      <c r="K34" s="389">
        <v>-100.14212318988373</v>
      </c>
      <c r="L34" s="384">
        <v>16.0655492</v>
      </c>
      <c r="M34" s="389">
        <v>468.0967687421695</v>
      </c>
      <c r="N34" s="384">
        <v>7.5781283899999998</v>
      </c>
      <c r="O34" s="389">
        <v>220.80150316132978</v>
      </c>
      <c r="P34" s="390">
        <v>0.15838925757461739</v>
      </c>
    </row>
    <row r="35" spans="1:16" ht="14" thickBot="1">
      <c r="A35" s="380">
        <v>445</v>
      </c>
      <c r="B35" s="381" t="s">
        <v>36</v>
      </c>
      <c r="C35" s="382">
        <v>61047</v>
      </c>
      <c r="D35" s="383">
        <v>121.49252893000002</v>
      </c>
      <c r="E35" s="384">
        <v>119.75430450000002</v>
      </c>
      <c r="F35" s="385">
        <v>0.21046192078800446</v>
      </c>
      <c r="G35" s="386">
        <v>91.84052336000002</v>
      </c>
      <c r="H35" s="387">
        <v>1504.4232044162698</v>
      </c>
      <c r="I35" s="388">
        <v>5.6591590693691775E-2</v>
      </c>
      <c r="J35" s="387">
        <v>118.19376185561943</v>
      </c>
      <c r="K35" s="389">
        <v>-98.391901485740505</v>
      </c>
      <c r="L35" s="384">
        <v>26.3</v>
      </c>
      <c r="M35" s="389">
        <v>430.81560109423884</v>
      </c>
      <c r="N35" s="384">
        <v>14.68218237</v>
      </c>
      <c r="O35" s="389">
        <v>240.50620620177895</v>
      </c>
      <c r="P35" s="390">
        <v>0.12260254386095989</v>
      </c>
    </row>
    <row r="36" spans="1:16" ht="14" thickBot="1">
      <c r="A36" s="380">
        <v>455</v>
      </c>
      <c r="B36" s="381" t="s">
        <v>37</v>
      </c>
      <c r="C36" s="382">
        <v>85218</v>
      </c>
      <c r="D36" s="383">
        <v>134.62568168999999</v>
      </c>
      <c r="E36" s="384">
        <v>127.10109399999999</v>
      </c>
      <c r="F36" s="385">
        <v>-1.7523419160337179E-2</v>
      </c>
      <c r="G36" s="386">
        <v>129.79875146000001</v>
      </c>
      <c r="H36" s="387">
        <v>1523.137734516182</v>
      </c>
      <c r="I36" s="388">
        <v>8.0748376320256943E-2</v>
      </c>
      <c r="J36" s="387">
        <v>133.02408845549064</v>
      </c>
      <c r="K36" s="389">
        <v>-67.610378910558794</v>
      </c>
      <c r="L36" s="384">
        <v>33.5206576</v>
      </c>
      <c r="M36" s="389">
        <v>393.35184585416226</v>
      </c>
      <c r="N36" s="384">
        <v>21.283025719999998</v>
      </c>
      <c r="O36" s="389">
        <v>249.74800769790417</v>
      </c>
      <c r="P36" s="390">
        <v>0.16744958717664538</v>
      </c>
    </row>
    <row r="37" spans="1:16" ht="14" thickBot="1">
      <c r="A37" s="380">
        <v>484</v>
      </c>
      <c r="B37" s="381" t="s">
        <v>38</v>
      </c>
      <c r="C37" s="382">
        <v>34085</v>
      </c>
      <c r="D37" s="383">
        <v>51.913294990000004</v>
      </c>
      <c r="E37" s="384">
        <v>55.663417500000001</v>
      </c>
      <c r="F37" s="385">
        <v>-1.366105253262407E-2</v>
      </c>
      <c r="G37" s="386">
        <v>53.708681300000002</v>
      </c>
      <c r="H37" s="387">
        <v>1575.7277776147866</v>
      </c>
      <c r="I37" s="388">
        <v>0.10351570524996631</v>
      </c>
      <c r="J37" s="387">
        <v>177.35426697960978</v>
      </c>
      <c r="K37" s="389">
        <v>-190.25383453131877</v>
      </c>
      <c r="L37" s="384">
        <v>20</v>
      </c>
      <c r="M37" s="389">
        <v>586.7683731846854</v>
      </c>
      <c r="N37" s="384">
        <v>11.12764741</v>
      </c>
      <c r="O37" s="389">
        <v>326.46757840692385</v>
      </c>
      <c r="P37" s="390">
        <v>0.19990952603655712</v>
      </c>
    </row>
    <row r="38" spans="1:16" ht="14" thickBot="1">
      <c r="A38" s="380">
        <v>509</v>
      </c>
      <c r="B38" s="381" t="s">
        <v>39</v>
      </c>
      <c r="C38" s="382">
        <v>130592</v>
      </c>
      <c r="D38" s="383">
        <v>320.55548427000008</v>
      </c>
      <c r="E38" s="384">
        <v>308.51999135</v>
      </c>
      <c r="F38" s="385">
        <v>-3.6312013274418832E-2</v>
      </c>
      <c r="G38" s="386">
        <v>343.99016287000006</v>
      </c>
      <c r="H38" s="387">
        <v>2634.0829673333747</v>
      </c>
      <c r="I38" s="388">
        <v>6.984576819265885E-2</v>
      </c>
      <c r="J38" s="387">
        <v>186.59201382933105</v>
      </c>
      <c r="K38" s="389">
        <v>-216.85291955096784</v>
      </c>
      <c r="L38" s="384">
        <v>106.669</v>
      </c>
      <c r="M38" s="389">
        <v>816.8111369762313</v>
      </c>
      <c r="N38" s="384">
        <v>69.681687510000003</v>
      </c>
      <c r="O38" s="389">
        <v>533.58312538287191</v>
      </c>
      <c r="P38" s="390">
        <v>0.2258579329173834</v>
      </c>
    </row>
    <row r="39" spans="1:16" ht="14" thickBot="1">
      <c r="A39" s="380">
        <v>556</v>
      </c>
      <c r="B39" s="381" t="s">
        <v>40</v>
      </c>
      <c r="C39" s="382">
        <v>2572</v>
      </c>
      <c r="D39" s="383">
        <v>4.3936055500000002</v>
      </c>
      <c r="E39" s="384">
        <v>4.2966762999999997</v>
      </c>
      <c r="F39" s="385">
        <v>0.12170687466470448</v>
      </c>
      <c r="G39" s="386">
        <v>3.6551226500000005</v>
      </c>
      <c r="H39" s="387">
        <v>1421.1207814930017</v>
      </c>
      <c r="I39" s="388">
        <v>4.5879307380945908E-2</v>
      </c>
      <c r="J39" s="387">
        <v>79.267204510108868</v>
      </c>
      <c r="K39" s="389">
        <v>-19.488472006220835</v>
      </c>
      <c r="L39" s="384">
        <v>0.88</v>
      </c>
      <c r="M39" s="389">
        <v>342.14618973561431</v>
      </c>
      <c r="N39" s="384">
        <v>2.09665839</v>
      </c>
      <c r="O39" s="389">
        <v>815.18599922239503</v>
      </c>
      <c r="P39" s="390">
        <v>0.48797215419742002</v>
      </c>
    </row>
    <row r="40" spans="1:16" ht="14" thickBot="1">
      <c r="A40" s="380">
        <v>558</v>
      </c>
      <c r="B40" s="381" t="s">
        <v>41</v>
      </c>
      <c r="C40" s="382">
        <v>1469</v>
      </c>
      <c r="D40" s="383">
        <v>1.93389955</v>
      </c>
      <c r="E40" s="384">
        <v>1.8835164</v>
      </c>
      <c r="F40" s="385">
        <v>0.17589951866941589</v>
      </c>
      <c r="G40" s="386">
        <v>1.4446639999999999</v>
      </c>
      <c r="H40" s="387">
        <v>983.43362831858406</v>
      </c>
      <c r="I40" s="388">
        <v>9.7603257984358219E-2</v>
      </c>
      <c r="J40" s="387">
        <v>131.59407760381214</v>
      </c>
      <c r="K40" s="389">
        <v>-31.78148400272293</v>
      </c>
      <c r="L40" s="384">
        <v>0.46</v>
      </c>
      <c r="M40" s="389">
        <v>313.13818924438391</v>
      </c>
      <c r="N40" s="384">
        <v>1.00917988</v>
      </c>
      <c r="O40" s="389">
        <v>686.98426140231447</v>
      </c>
      <c r="P40" s="390">
        <v>0.535795642660717</v>
      </c>
    </row>
    <row r="41" spans="1:16" ht="14" thickBot="1">
      <c r="A41" s="380">
        <v>591</v>
      </c>
      <c r="B41" s="381" t="s">
        <v>42</v>
      </c>
      <c r="C41" s="382">
        <v>7841</v>
      </c>
      <c r="D41" s="383">
        <v>9.9909510899999994</v>
      </c>
      <c r="E41" s="384">
        <v>9.8436223599999995</v>
      </c>
      <c r="F41" s="385">
        <v>8.1035448247800401E-2</v>
      </c>
      <c r="G41" s="386">
        <v>9.6663700500000012</v>
      </c>
      <c r="H41" s="387">
        <v>1232.7981188623901</v>
      </c>
      <c r="I41" s="388">
        <v>3.9827376191178022E-2</v>
      </c>
      <c r="J41" s="387">
        <v>57.907500318836881</v>
      </c>
      <c r="K41" s="389">
        <v>-179.76873868129067</v>
      </c>
      <c r="L41" s="384">
        <v>3.44</v>
      </c>
      <c r="M41" s="389">
        <v>438.71955107766865</v>
      </c>
      <c r="N41" s="384">
        <v>3.6124365899999997</v>
      </c>
      <c r="O41" s="389">
        <v>460.71120902946052</v>
      </c>
      <c r="P41" s="390">
        <v>0.36698244384905476</v>
      </c>
    </row>
    <row r="42" spans="1:16" ht="14" thickBot="1">
      <c r="A42" s="380">
        <v>623</v>
      </c>
      <c r="B42" s="381" t="s">
        <v>43</v>
      </c>
      <c r="C42" s="382">
        <v>733</v>
      </c>
      <c r="D42" s="383">
        <v>0.8805658999999999</v>
      </c>
      <c r="E42" s="384">
        <v>0.80376594999999995</v>
      </c>
      <c r="F42" s="385">
        <v>5.019158702375371E-2</v>
      </c>
      <c r="G42" s="386">
        <v>0.69616049999999996</v>
      </c>
      <c r="H42" s="387">
        <v>949.74147339699869</v>
      </c>
      <c r="I42" s="388">
        <v>5.5834642438749423E-2</v>
      </c>
      <c r="J42" s="387">
        <v>63.16186903137789</v>
      </c>
      <c r="K42" s="389">
        <v>70.086903137789903</v>
      </c>
      <c r="L42" s="384">
        <v>0.34599999999999997</v>
      </c>
      <c r="M42" s="389">
        <v>472.03274215552523</v>
      </c>
      <c r="N42" s="384">
        <v>0.79885034999999993</v>
      </c>
      <c r="O42" s="389">
        <v>1089.8367667121418</v>
      </c>
      <c r="P42" s="390">
        <v>0.993884289325767</v>
      </c>
    </row>
    <row r="43" spans="1:16" ht="14" thickBot="1">
      <c r="A43" s="380">
        <v>627</v>
      </c>
      <c r="B43" s="381" t="s">
        <v>44</v>
      </c>
      <c r="C43" s="382">
        <v>2101</v>
      </c>
      <c r="D43" s="383">
        <v>2.3876532000000004</v>
      </c>
      <c r="E43" s="384">
        <v>2.3991568000000001</v>
      </c>
      <c r="F43" s="385">
        <v>7.8068288979320777E-2</v>
      </c>
      <c r="G43" s="386">
        <v>2.3931710699999993</v>
      </c>
      <c r="H43" s="387">
        <v>1139.0628605425984</v>
      </c>
      <c r="I43" s="388">
        <v>5.9002403949172458E-2</v>
      </c>
      <c r="J43" s="387">
        <v>72.933960019038551</v>
      </c>
      <c r="K43" s="389">
        <v>-99.681894336030481</v>
      </c>
      <c r="L43" s="384">
        <v>0.85</v>
      </c>
      <c r="M43" s="389">
        <v>404.56925273679201</v>
      </c>
      <c r="N43" s="384">
        <v>2.9972652400000004</v>
      </c>
      <c r="O43" s="389">
        <v>1426.5898334126607</v>
      </c>
      <c r="P43" s="390">
        <v>1.2492994372022705</v>
      </c>
    </row>
    <row r="44" spans="1:16" ht="14" thickBot="1">
      <c r="A44" s="380">
        <v>743</v>
      </c>
      <c r="B44" s="381" t="s">
        <v>45</v>
      </c>
      <c r="C44" s="382">
        <v>298</v>
      </c>
      <c r="D44" s="383">
        <v>0.43243638000000001</v>
      </c>
      <c r="E44" s="384">
        <v>0.38576100000000002</v>
      </c>
      <c r="F44" s="385">
        <v>-8.9987225404116078E-2</v>
      </c>
      <c r="G44" s="386">
        <v>0.49272435000000003</v>
      </c>
      <c r="H44" s="387">
        <v>1653.4374161073827</v>
      </c>
      <c r="I44" s="388">
        <v>4.1296638360007978E-2</v>
      </c>
      <c r="J44" s="387">
        <v>64.26218120805369</v>
      </c>
      <c r="K44" s="389">
        <v>-104.98288590604027</v>
      </c>
      <c r="L44" s="384">
        <v>0.20200000000000001</v>
      </c>
      <c r="M44" s="389">
        <v>677.85234899328862</v>
      </c>
      <c r="N44" s="384">
        <v>0.56329211000000001</v>
      </c>
      <c r="O44" s="389">
        <v>1890.2419798657718</v>
      </c>
      <c r="P44" s="390">
        <v>1.4602101041836784</v>
      </c>
    </row>
    <row r="45" spans="1:16" ht="14" thickBot="1">
      <c r="A45" s="380">
        <v>749</v>
      </c>
      <c r="B45" s="381" t="s">
        <v>46</v>
      </c>
      <c r="C45" s="382">
        <v>83776</v>
      </c>
      <c r="D45" s="383">
        <v>211.25246598000001</v>
      </c>
      <c r="E45" s="384">
        <v>208.79853264999997</v>
      </c>
      <c r="F45" s="385">
        <v>0.14616870319953268</v>
      </c>
      <c r="G45" s="386">
        <v>173.69095206</v>
      </c>
      <c r="H45" s="387">
        <v>2073.2781710752483</v>
      </c>
      <c r="I45" s="388">
        <v>5.5901985552073069E-2</v>
      </c>
      <c r="J45" s="387">
        <v>140.55060530462185</v>
      </c>
      <c r="K45" s="389">
        <v>7.4018747612681484</v>
      </c>
      <c r="L45" s="384">
        <v>46.5</v>
      </c>
      <c r="M45" s="389">
        <v>555.05156608097786</v>
      </c>
      <c r="N45" s="384">
        <v>20.920274790000001</v>
      </c>
      <c r="O45" s="389">
        <v>249.71680182868602</v>
      </c>
      <c r="P45" s="390">
        <v>0.10019359103958723</v>
      </c>
    </row>
    <row r="46" spans="1:16" ht="14" thickBot="1">
      <c r="A46" s="380">
        <v>758</v>
      </c>
      <c r="B46" s="381" t="s">
        <v>47</v>
      </c>
      <c r="C46" s="382">
        <v>1518</v>
      </c>
      <c r="D46" s="383">
        <v>2.0105080699999998</v>
      </c>
      <c r="E46" s="384">
        <v>1.7962776</v>
      </c>
      <c r="F46" s="385">
        <v>1.5791331790078317E-2</v>
      </c>
      <c r="G46" s="386">
        <v>1.8799802999999999</v>
      </c>
      <c r="H46" s="387">
        <v>1238.4586956521739</v>
      </c>
      <c r="I46" s="388">
        <v>7.5539974222169792E-2</v>
      </c>
      <c r="J46" s="387">
        <v>105.42770092226614</v>
      </c>
      <c r="K46" s="389">
        <v>-71.20907773386034</v>
      </c>
      <c r="L46" s="384">
        <v>0.6</v>
      </c>
      <c r="M46" s="389">
        <v>395.25691699604744</v>
      </c>
      <c r="N46" s="384">
        <v>1.7826126599999998</v>
      </c>
      <c r="O46" s="389">
        <v>1174.3166403162054</v>
      </c>
      <c r="P46" s="390">
        <v>0.99239263463509197</v>
      </c>
    </row>
    <row r="47" spans="1:16" ht="14" thickBot="1">
      <c r="A47" s="380">
        <v>762</v>
      </c>
      <c r="B47" s="381" t="s">
        <v>48</v>
      </c>
      <c r="C47" s="382">
        <v>32067</v>
      </c>
      <c r="D47" s="383">
        <v>50.759035019999999</v>
      </c>
      <c r="E47" s="384">
        <v>50.799647299999997</v>
      </c>
      <c r="F47" s="385">
        <v>0.11172716340579476</v>
      </c>
      <c r="G47" s="386">
        <v>45.294298449999992</v>
      </c>
      <c r="H47" s="387">
        <v>1412.4894268250848</v>
      </c>
      <c r="I47" s="388">
        <v>8.5071376781118688E-2</v>
      </c>
      <c r="J47" s="387">
        <v>140.90510462469206</v>
      </c>
      <c r="K47" s="389">
        <v>-73.41062431783449</v>
      </c>
      <c r="L47" s="384">
        <v>11.5</v>
      </c>
      <c r="M47" s="389">
        <v>358.62413072629181</v>
      </c>
      <c r="N47" s="384">
        <v>7.8310672300000004</v>
      </c>
      <c r="O47" s="389">
        <v>244.20953721894784</v>
      </c>
      <c r="P47" s="390">
        <v>0.15415593702360214</v>
      </c>
    </row>
    <row r="48" spans="1:16" ht="14" thickBot="1">
      <c r="A48" s="380">
        <v>774</v>
      </c>
      <c r="B48" s="381" t="s">
        <v>49</v>
      </c>
      <c r="C48" s="382">
        <v>1182</v>
      </c>
      <c r="D48" s="383">
        <v>2.2827524100000001</v>
      </c>
      <c r="E48" s="384">
        <v>2.2103611000000001</v>
      </c>
      <c r="F48" s="385">
        <v>-0.13168883260537223</v>
      </c>
      <c r="G48" s="386">
        <v>2.69052677</v>
      </c>
      <c r="H48" s="387">
        <v>2276.2493824027074</v>
      </c>
      <c r="I48" s="388">
        <v>7.4759876617592633E-2</v>
      </c>
      <c r="J48" s="387">
        <v>161.18683587140441</v>
      </c>
      <c r="K48" s="389">
        <v>-224.79813874788491</v>
      </c>
      <c r="L48" s="384">
        <v>0.73</v>
      </c>
      <c r="M48" s="389">
        <v>617.59729272419622</v>
      </c>
      <c r="N48" s="384">
        <v>2.2897507799999999</v>
      </c>
      <c r="O48" s="389">
        <v>1937.1834010152284</v>
      </c>
      <c r="P48" s="390">
        <v>1.0359170635060488</v>
      </c>
    </row>
    <row r="49" spans="1:16" ht="14" thickBot="1">
      <c r="A49" s="380">
        <v>780</v>
      </c>
      <c r="B49" s="381" t="s">
        <v>50</v>
      </c>
      <c r="C49" s="382">
        <v>2280</v>
      </c>
      <c r="D49" s="383">
        <v>2.9789663499999999</v>
      </c>
      <c r="E49" s="384">
        <v>2.8717628500000005</v>
      </c>
      <c r="F49" s="385">
        <v>0.13190347047726808</v>
      </c>
      <c r="G49" s="386">
        <v>2.4500612999999998</v>
      </c>
      <c r="H49" s="387">
        <v>1074.5882894736842</v>
      </c>
      <c r="I49" s="388">
        <v>2.1030361764657744E-2</v>
      </c>
      <c r="J49" s="387">
        <v>26.826820175438598</v>
      </c>
      <c r="K49" s="389">
        <v>30.940855263157911</v>
      </c>
      <c r="L49" s="384">
        <v>0.55000000000000004</v>
      </c>
      <c r="M49" s="389">
        <v>241.2280701754386</v>
      </c>
      <c r="N49" s="384">
        <v>1.2326947500000001</v>
      </c>
      <c r="O49" s="389">
        <v>540.65559210526317</v>
      </c>
      <c r="P49" s="390">
        <v>0.429246708167424</v>
      </c>
    </row>
    <row r="50" spans="1:16" ht="14" thickBot="1">
      <c r="A50" s="380">
        <v>790</v>
      </c>
      <c r="B50" s="381" t="s">
        <v>51</v>
      </c>
      <c r="C50" s="382">
        <v>1643</v>
      </c>
      <c r="D50" s="383">
        <v>2.1642572800000002</v>
      </c>
      <c r="E50" s="384">
        <v>2.2014154399999999</v>
      </c>
      <c r="F50" s="385">
        <v>-4.3671794880135506E-2</v>
      </c>
      <c r="G50" s="386">
        <v>2.26355935</v>
      </c>
      <c r="H50" s="387">
        <v>1377.6989348752284</v>
      </c>
      <c r="I50" s="388">
        <v>5.077834809535043E-2</v>
      </c>
      <c r="J50" s="387">
        <v>70.607930614729142</v>
      </c>
      <c r="K50" s="389">
        <v>-73.253104077906258</v>
      </c>
      <c r="L50" s="384">
        <v>0.66</v>
      </c>
      <c r="M50" s="389">
        <v>401.70419963481436</v>
      </c>
      <c r="N50" s="384">
        <v>1.2286388700000002</v>
      </c>
      <c r="O50" s="389">
        <v>747.80211199026178</v>
      </c>
      <c r="P50" s="390">
        <v>0.55811313379359251</v>
      </c>
    </row>
    <row r="51" spans="1:16" ht="14" thickBot="1">
      <c r="A51" s="380">
        <v>809</v>
      </c>
      <c r="B51" s="381" t="s">
        <v>52</v>
      </c>
      <c r="C51" s="382">
        <v>614</v>
      </c>
      <c r="D51" s="383">
        <v>0.80369774999999999</v>
      </c>
      <c r="E51" s="384">
        <v>0.74964730000000002</v>
      </c>
      <c r="F51" s="385">
        <v>-3.7158247612364227E-2</v>
      </c>
      <c r="G51" s="386">
        <v>0.63036684999999992</v>
      </c>
      <c r="H51" s="387">
        <v>1026.6561074918566</v>
      </c>
      <c r="I51" s="388">
        <v>7.7191694973917827E-2</v>
      </c>
      <c r="J51" s="387">
        <v>82.435016286644952</v>
      </c>
      <c r="K51" s="389">
        <v>241.02801302931599</v>
      </c>
      <c r="L51" s="384">
        <v>0.24</v>
      </c>
      <c r="M51" s="389">
        <v>390.87947882736154</v>
      </c>
      <c r="N51" s="384">
        <v>1.6936028999999999</v>
      </c>
      <c r="O51" s="389">
        <v>2758.3109120521171</v>
      </c>
      <c r="P51" s="390">
        <v>2.2591996262775838</v>
      </c>
    </row>
    <row r="52" spans="1:16" ht="14" thickBot="1">
      <c r="A52" s="380">
        <v>820</v>
      </c>
      <c r="B52" s="381" t="s">
        <v>53</v>
      </c>
      <c r="C52" s="382">
        <v>2403</v>
      </c>
      <c r="D52" s="383">
        <v>3.1014743999999999</v>
      </c>
      <c r="E52" s="384">
        <v>3.029725</v>
      </c>
      <c r="F52" s="385">
        <v>-5.2323823791677923E-2</v>
      </c>
      <c r="G52" s="386">
        <v>3.4542009999999999</v>
      </c>
      <c r="H52" s="387">
        <v>1437.4535996670829</v>
      </c>
      <c r="I52" s="388">
        <v>4.5480942102825564E-2</v>
      </c>
      <c r="J52" s="387">
        <v>63.10429463171036</v>
      </c>
      <c r="K52" s="389">
        <v>-96.821065334997911</v>
      </c>
      <c r="L52" s="384">
        <v>0.42</v>
      </c>
      <c r="M52" s="389">
        <v>174.78152309612983</v>
      </c>
      <c r="N52" s="384">
        <v>1.0205871399999999</v>
      </c>
      <c r="O52" s="389">
        <v>424.7137494798169</v>
      </c>
      <c r="P52" s="390">
        <v>0.33685801186576336</v>
      </c>
    </row>
    <row r="53" spans="1:16" ht="14" thickBot="1">
      <c r="A53" s="380">
        <v>829</v>
      </c>
      <c r="B53" s="381" t="s">
        <v>54</v>
      </c>
      <c r="C53" s="382">
        <v>11345</v>
      </c>
      <c r="D53" s="383">
        <v>16.784179780000002</v>
      </c>
      <c r="E53" s="384">
        <v>17.013359300000001</v>
      </c>
      <c r="F53" s="385">
        <v>4.5816138177709617E-2</v>
      </c>
      <c r="G53" s="386">
        <v>16.404958449999999</v>
      </c>
      <c r="H53" s="387">
        <v>1446.0077963860731</v>
      </c>
      <c r="I53" s="388">
        <v>6.5021134159267718E-2</v>
      </c>
      <c r="J53" s="387">
        <v>107.42673865138826</v>
      </c>
      <c r="K53" s="389">
        <v>-172.74777170559719</v>
      </c>
      <c r="L53" s="384">
        <v>4.49</v>
      </c>
      <c r="M53" s="389">
        <v>395.76906126046714</v>
      </c>
      <c r="N53" s="384">
        <v>3.35</v>
      </c>
      <c r="O53" s="389">
        <v>295.28426619656238</v>
      </c>
      <c r="P53" s="390">
        <v>0.19690408818909735</v>
      </c>
    </row>
    <row r="54" spans="1:16" ht="14" thickBot="1">
      <c r="A54" s="380">
        <v>880</v>
      </c>
      <c r="B54" s="381" t="s">
        <v>55</v>
      </c>
      <c r="C54" s="382">
        <v>1139</v>
      </c>
      <c r="D54" s="383">
        <v>1.3654942999999995</v>
      </c>
      <c r="E54" s="384">
        <v>1.2374022000000002</v>
      </c>
      <c r="F54" s="385">
        <v>-0.17667008935884984</v>
      </c>
      <c r="G54" s="386">
        <v>1.5203233500000002</v>
      </c>
      <c r="H54" s="387">
        <v>1334.7878402107112</v>
      </c>
      <c r="I54" s="388">
        <v>7.8542932707091076E-2</v>
      </c>
      <c r="J54" s="387">
        <v>92.974653204565399</v>
      </c>
      <c r="K54" s="389">
        <v>15.110605794556632</v>
      </c>
      <c r="L54" s="384">
        <v>0.50349999999999995</v>
      </c>
      <c r="M54" s="389">
        <v>442.05443371378402</v>
      </c>
      <c r="N54" s="384">
        <v>0.74556371999999993</v>
      </c>
      <c r="O54" s="389">
        <v>654.57745390693583</v>
      </c>
      <c r="P54" s="390">
        <v>0.60252335093634046</v>
      </c>
    </row>
    <row r="55" spans="1:16" ht="14" thickBot="1">
      <c r="A55" s="380">
        <v>881</v>
      </c>
      <c r="B55" s="381" t="s">
        <v>56</v>
      </c>
      <c r="C55" s="382">
        <v>120002</v>
      </c>
      <c r="D55" s="383">
        <v>202.20687874999999</v>
      </c>
      <c r="E55" s="384">
        <v>203.93854095</v>
      </c>
      <c r="F55" s="385">
        <v>9.5963740105948311E-2</v>
      </c>
      <c r="G55" s="386">
        <v>167.75882724999997</v>
      </c>
      <c r="H55" s="387">
        <v>1397.9669276345392</v>
      </c>
      <c r="I55" s="388">
        <v>8.3555697362792211E-2</v>
      </c>
      <c r="J55" s="387">
        <v>142.3232588623523</v>
      </c>
      <c r="K55" s="389">
        <v>-18.304744754254084</v>
      </c>
      <c r="L55" s="384">
        <v>50.159857969999997</v>
      </c>
      <c r="M55" s="389">
        <v>417.99184988583522</v>
      </c>
      <c r="N55" s="384">
        <v>53.687145539999996</v>
      </c>
      <c r="O55" s="389">
        <v>447.38542307628205</v>
      </c>
      <c r="P55" s="390">
        <v>0.26325159182717983</v>
      </c>
    </row>
    <row r="56" spans="1:16" ht="14" thickBot="1">
      <c r="A56" s="380">
        <v>895</v>
      </c>
      <c r="B56" s="381" t="s">
        <v>57</v>
      </c>
      <c r="C56" s="382">
        <v>633</v>
      </c>
      <c r="D56" s="383">
        <v>0.89128555000000009</v>
      </c>
      <c r="E56" s="384">
        <v>0.81849859999999997</v>
      </c>
      <c r="F56" s="385">
        <v>0.1374250934506904</v>
      </c>
      <c r="G56" s="386">
        <v>0.64763375000000012</v>
      </c>
      <c r="H56" s="387">
        <v>1023.1180884676147</v>
      </c>
      <c r="I56" s="388">
        <v>5.3185205484605591E-2</v>
      </c>
      <c r="J56" s="387">
        <v>68.34075829383886</v>
      </c>
      <c r="K56" s="389">
        <v>123.07598736176934</v>
      </c>
      <c r="L56" s="384">
        <v>0.4</v>
      </c>
      <c r="M56" s="389">
        <v>631.91153238546599</v>
      </c>
      <c r="N56" s="384">
        <v>1.15875971</v>
      </c>
      <c r="O56" s="389">
        <v>1830.5840600315955</v>
      </c>
      <c r="P56" s="390">
        <v>1.4157137348799376</v>
      </c>
    </row>
    <row r="57" spans="1:16" ht="14" thickBot="1">
      <c r="A57" s="380">
        <v>901</v>
      </c>
      <c r="B57" s="381" t="s">
        <v>58</v>
      </c>
      <c r="C57" s="382">
        <v>2325</v>
      </c>
      <c r="D57" s="383">
        <v>2.8703751999999998</v>
      </c>
      <c r="E57" s="384">
        <v>2.8395722499999998</v>
      </c>
      <c r="F57" s="385">
        <v>-3.1250949353241346E-2</v>
      </c>
      <c r="G57" s="386">
        <v>2.7576366000000001</v>
      </c>
      <c r="H57" s="387">
        <v>1186.0802580645161</v>
      </c>
      <c r="I57" s="388">
        <v>4.3116911116340854E-2</v>
      </c>
      <c r="J57" s="387">
        <v>53.072494623655913</v>
      </c>
      <c r="K57" s="389">
        <v>3.6725591397849389</v>
      </c>
      <c r="L57" s="384">
        <v>0.8</v>
      </c>
      <c r="M57" s="389">
        <v>344.08602150537632</v>
      </c>
      <c r="N57" s="384">
        <v>2.06608875</v>
      </c>
      <c r="O57" s="389">
        <v>888.64032258064515</v>
      </c>
      <c r="P57" s="390">
        <v>0.72760562792512151</v>
      </c>
    </row>
    <row r="58" spans="1:16" ht="14" thickBot="1">
      <c r="A58" s="380">
        <v>923</v>
      </c>
      <c r="B58" s="381" t="s">
        <v>59</v>
      </c>
      <c r="C58" s="382">
        <v>12793</v>
      </c>
      <c r="D58" s="383">
        <v>21.7189932</v>
      </c>
      <c r="E58" s="384">
        <v>20.85813585</v>
      </c>
      <c r="F58" s="385">
        <v>-0.15988015503407405</v>
      </c>
      <c r="G58" s="386">
        <v>23.883784850000001</v>
      </c>
      <c r="H58" s="387">
        <v>1866.9416751348394</v>
      </c>
      <c r="I58" s="388">
        <v>0.12161124857859758</v>
      </c>
      <c r="J58" s="387">
        <v>213.92207848041897</v>
      </c>
      <c r="K58" s="389">
        <v>-61.340110216524685</v>
      </c>
      <c r="L58" s="384">
        <v>7.8</v>
      </c>
      <c r="M58" s="389">
        <v>609.70843430000787</v>
      </c>
      <c r="N58" s="384">
        <v>20.70715555</v>
      </c>
      <c r="O58" s="389">
        <v>1618.6317165637458</v>
      </c>
      <c r="P58" s="390">
        <v>0.99276156310967734</v>
      </c>
    </row>
    <row r="59" spans="1:16" ht="14" thickBot="1">
      <c r="A59" s="380">
        <v>941</v>
      </c>
      <c r="B59" s="381" t="s">
        <v>60</v>
      </c>
      <c r="C59" s="382">
        <v>12696</v>
      </c>
      <c r="D59" s="383">
        <v>16.846494199999999</v>
      </c>
      <c r="E59" s="384">
        <v>16.879960570000001</v>
      </c>
      <c r="F59" s="385">
        <v>0.13379679019507812</v>
      </c>
      <c r="G59" s="386">
        <v>14.760569940000002</v>
      </c>
      <c r="H59" s="387">
        <v>1162.6157797731571</v>
      </c>
      <c r="I59" s="388">
        <v>1.3839828289667752E-2</v>
      </c>
      <c r="J59" s="387">
        <v>18.819888941398865</v>
      </c>
      <c r="K59" s="389">
        <v>-32.921904536862002</v>
      </c>
      <c r="L59" s="384">
        <v>5.3597700000000001</v>
      </c>
      <c r="M59" s="389">
        <v>422.16209829867677</v>
      </c>
      <c r="N59" s="384">
        <v>10.860613900000001</v>
      </c>
      <c r="O59" s="389">
        <v>855.43587744171396</v>
      </c>
      <c r="P59" s="390">
        <v>0.64340280031827113</v>
      </c>
    </row>
    <row r="60" spans="1:16" ht="14" thickBot="1">
      <c r="A60" s="380">
        <v>966</v>
      </c>
      <c r="B60" s="381" t="s">
        <v>61</v>
      </c>
      <c r="C60" s="382">
        <v>5353</v>
      </c>
      <c r="D60" s="383">
        <v>6.9810262500000002</v>
      </c>
      <c r="E60" s="384">
        <v>6.7428044000000007</v>
      </c>
      <c r="F60" s="385">
        <v>-1.7307233302553474E-2</v>
      </c>
      <c r="G60" s="386">
        <v>6.9613238900000001</v>
      </c>
      <c r="H60" s="387">
        <v>1300.4528096394545</v>
      </c>
      <c r="I60" s="388">
        <v>2.071323730117007E-2</v>
      </c>
      <c r="J60" s="387">
        <v>27.18697926396413</v>
      </c>
      <c r="K60" s="389">
        <v>-8.4078628806276861</v>
      </c>
      <c r="L60" s="384">
        <v>1.389</v>
      </c>
      <c r="M60" s="389">
        <v>259.48066504763682</v>
      </c>
      <c r="N60" s="384">
        <v>2.2784900800000001</v>
      </c>
      <c r="O60" s="389">
        <v>425.64731552400525</v>
      </c>
      <c r="P60" s="390">
        <v>0.3379143075839483</v>
      </c>
    </row>
    <row r="61" spans="1:16" ht="14" thickBot="1">
      <c r="A61" s="380">
        <v>979</v>
      </c>
      <c r="B61" s="381" t="s">
        <v>62</v>
      </c>
      <c r="C61" s="382">
        <v>422</v>
      </c>
      <c r="D61" s="383">
        <v>0.49026438</v>
      </c>
      <c r="E61" s="384">
        <v>0.45088299999999998</v>
      </c>
      <c r="F61" s="385">
        <v>-3.0259183830569129E-2</v>
      </c>
      <c r="G61" s="386">
        <v>0.55081465000000007</v>
      </c>
      <c r="H61" s="387">
        <v>1305.2479857819906</v>
      </c>
      <c r="I61" s="388">
        <v>5.9583018466731981E-2</v>
      </c>
      <c r="J61" s="387">
        <v>80.890947867298564</v>
      </c>
      <c r="K61" s="389">
        <v>-195.85355450236966</v>
      </c>
      <c r="L61" s="384">
        <v>0.30279346999999995</v>
      </c>
      <c r="M61" s="389">
        <v>717.52007109004728</v>
      </c>
      <c r="N61" s="384">
        <v>1.1569783200000001</v>
      </c>
      <c r="O61" s="389">
        <v>2741.6547867298582</v>
      </c>
      <c r="P61" s="390">
        <v>2.5660278165289006</v>
      </c>
    </row>
    <row r="62" spans="1:16" ht="14" thickBot="1">
      <c r="A62" s="380">
        <v>992</v>
      </c>
      <c r="B62" s="381" t="s">
        <v>63</v>
      </c>
      <c r="C62" s="382">
        <v>18317</v>
      </c>
      <c r="D62" s="383">
        <v>33.589634129999993</v>
      </c>
      <c r="E62" s="384">
        <v>34.4404009</v>
      </c>
      <c r="F62" s="385">
        <v>0.28616667757672903</v>
      </c>
      <c r="G62" s="386">
        <v>19.336567129999999</v>
      </c>
      <c r="H62" s="387">
        <v>1055.662342632527</v>
      </c>
      <c r="I62" s="388">
        <v>9.2532198875433E-2</v>
      </c>
      <c r="J62" s="387">
        <v>170.17658568542888</v>
      </c>
      <c r="K62" s="389">
        <v>-5.3110798711579434</v>
      </c>
      <c r="L62" s="384">
        <v>7.54</v>
      </c>
      <c r="M62" s="389">
        <v>411.63946061036194</v>
      </c>
      <c r="N62" s="384">
        <v>2.3514787300000002</v>
      </c>
      <c r="O62" s="389">
        <v>128.37684828301579</v>
      </c>
      <c r="P62" s="390">
        <v>6.8276752550810185E-2</v>
      </c>
    </row>
    <row r="63" spans="1:16" ht="14" thickBot="1">
      <c r="A63" s="380">
        <v>994</v>
      </c>
      <c r="B63" s="381" t="s">
        <v>64</v>
      </c>
      <c r="C63" s="382">
        <v>36470</v>
      </c>
      <c r="D63" s="383">
        <v>62.21575</v>
      </c>
      <c r="E63" s="384">
        <v>66.46084845</v>
      </c>
      <c r="F63" s="385">
        <v>0.25320738800062687</v>
      </c>
      <c r="G63" s="386">
        <v>53.233894849999999</v>
      </c>
      <c r="H63" s="387">
        <v>1459.6625952837949</v>
      </c>
      <c r="I63" s="388">
        <v>3.998906627684734E-2</v>
      </c>
      <c r="J63" s="387">
        <v>73.099183712640539</v>
      </c>
      <c r="K63" s="389">
        <v>-122.03601727447219</v>
      </c>
      <c r="L63" s="384">
        <v>16.559999999999999</v>
      </c>
      <c r="M63" s="389">
        <v>454.07183986838498</v>
      </c>
      <c r="N63" s="384">
        <v>12.021904699999999</v>
      </c>
      <c r="O63" s="389">
        <v>329.6381875514121</v>
      </c>
      <c r="P63" s="390">
        <v>0.1808870181524142</v>
      </c>
    </row>
    <row r="64" spans="1:16" ht="14" thickBot="1">
      <c r="A64" s="380">
        <v>1003</v>
      </c>
      <c r="B64" s="381" t="s">
        <v>69</v>
      </c>
      <c r="C64" s="382">
        <v>192</v>
      </c>
      <c r="D64" s="383">
        <v>0.21879985000000002</v>
      </c>
      <c r="E64" s="384">
        <v>0.21572820000000001</v>
      </c>
      <c r="F64" s="385">
        <v>-0.24508243492854312</v>
      </c>
      <c r="G64" s="386">
        <v>0.27924474999999999</v>
      </c>
      <c r="H64" s="387">
        <v>1454.3997395833333</v>
      </c>
      <c r="I64" s="388">
        <v>9.3774359437026333E-2</v>
      </c>
      <c r="J64" s="387">
        <v>108.2703125</v>
      </c>
      <c r="K64" s="389">
        <v>-15.000781249999999</v>
      </c>
      <c r="L64" s="384">
        <v>0.20699999999999999</v>
      </c>
      <c r="M64" s="389">
        <v>1078.125</v>
      </c>
      <c r="N64" s="384">
        <v>0.71929741000000003</v>
      </c>
      <c r="O64" s="389">
        <v>3746.3406770833335</v>
      </c>
      <c r="P64" s="390">
        <v>3.3342762327780977</v>
      </c>
    </row>
    <row r="65" spans="1:16" ht="14" thickBot="1">
      <c r="A65" s="380">
        <v>1007</v>
      </c>
      <c r="B65" s="381" t="s">
        <v>70</v>
      </c>
      <c r="C65" s="382">
        <v>16115</v>
      </c>
      <c r="D65" s="383">
        <v>30.907763410000001</v>
      </c>
      <c r="E65" s="384">
        <v>30.629000400000002</v>
      </c>
      <c r="F65" s="385">
        <v>0.30932723514075844</v>
      </c>
      <c r="G65" s="386">
        <v>18.365045420000001</v>
      </c>
      <c r="H65" s="387">
        <v>1139.6242891715794</v>
      </c>
      <c r="I65" s="388">
        <v>5.8060630854575759E-2</v>
      </c>
      <c r="J65" s="387">
        <v>110.41045671734409</v>
      </c>
      <c r="K65" s="389">
        <v>16.309282035370771</v>
      </c>
      <c r="L65" s="384">
        <v>5.01</v>
      </c>
      <c r="M65" s="389">
        <v>310.89047471300029</v>
      </c>
      <c r="N65" s="384">
        <v>4.9717898899999993</v>
      </c>
      <c r="O65" s="389">
        <v>308.51938504498912</v>
      </c>
      <c r="P65" s="390">
        <v>0.16232295618762665</v>
      </c>
    </row>
    <row r="66" spans="1:16" ht="14" thickBot="1">
      <c r="A66" s="380">
        <v>1040</v>
      </c>
      <c r="B66" s="381" t="s">
        <v>71</v>
      </c>
      <c r="C66" s="382">
        <v>2081</v>
      </c>
      <c r="D66" s="383">
        <v>2.4056558999999997</v>
      </c>
      <c r="E66" s="384">
        <v>2.3669959999999999</v>
      </c>
      <c r="F66" s="385">
        <v>0.11835441635688633</v>
      </c>
      <c r="G66" s="386">
        <v>1.8438884000000002</v>
      </c>
      <c r="H66" s="387">
        <v>886.05881787602118</v>
      </c>
      <c r="I66" s="388">
        <v>9.204479186131001E-2</v>
      </c>
      <c r="J66" s="387">
        <v>104.75595867371456</v>
      </c>
      <c r="K66" s="389">
        <v>17.911941374339261</v>
      </c>
      <c r="L66" s="384">
        <v>0.78486509999999998</v>
      </c>
      <c r="M66" s="389">
        <v>377.15766458433444</v>
      </c>
      <c r="N66" s="384">
        <v>2.67871587</v>
      </c>
      <c r="O66" s="389">
        <v>1287.2253099471409</v>
      </c>
      <c r="P66" s="390">
        <v>1.131694295216384</v>
      </c>
    </row>
    <row r="67" spans="1:16" ht="14" thickBot="1">
      <c r="A67" s="380">
        <v>1058</v>
      </c>
      <c r="B67" s="381" t="s">
        <v>72</v>
      </c>
      <c r="C67" s="382">
        <v>129</v>
      </c>
      <c r="D67" s="383">
        <v>0.15761905000000001</v>
      </c>
      <c r="E67" s="384">
        <v>9.1200000000000003E-2</v>
      </c>
      <c r="F67" s="385">
        <v>-0.16577310927835182</v>
      </c>
      <c r="G67" s="386">
        <v>0.20634060000000001</v>
      </c>
      <c r="H67" s="387">
        <v>1599.539534883721</v>
      </c>
      <c r="I67" s="388">
        <v>4.3556134839353659E-2</v>
      </c>
      <c r="J67" s="387">
        <v>63.830232558139535</v>
      </c>
      <c r="K67" s="389">
        <v>-243.61744186046514</v>
      </c>
      <c r="L67" s="384">
        <v>0.06</v>
      </c>
      <c r="M67" s="389">
        <v>465.11627906976742</v>
      </c>
      <c r="N67" s="384">
        <v>0.66983559999999998</v>
      </c>
      <c r="O67" s="389">
        <v>5192.5240310077515</v>
      </c>
      <c r="P67" s="390">
        <v>7.3446885964912276</v>
      </c>
    </row>
    <row r="68" spans="1:16" ht="14" thickBot="1">
      <c r="A68" s="380">
        <v>1060</v>
      </c>
      <c r="B68" s="381" t="s">
        <v>73</v>
      </c>
      <c r="C68" s="382">
        <v>280269</v>
      </c>
      <c r="D68" s="383">
        <v>584.91163315000006</v>
      </c>
      <c r="E68" s="384">
        <v>569.68151536000005</v>
      </c>
      <c r="F68" s="385">
        <v>-0.1561266554029726</v>
      </c>
      <c r="G68" s="386">
        <v>663.78412906999995</v>
      </c>
      <c r="H68" s="387">
        <v>2368.382265145271</v>
      </c>
      <c r="I68" s="388">
        <v>6.2317851677607235E-2</v>
      </c>
      <c r="J68" s="387">
        <v>136.67245182306996</v>
      </c>
      <c r="K68" s="389">
        <v>-106.18574808487561</v>
      </c>
      <c r="L68" s="384">
        <v>173.01599999999999</v>
      </c>
      <c r="M68" s="389">
        <v>617.32121640281298</v>
      </c>
      <c r="N68" s="384">
        <v>96.832182639999999</v>
      </c>
      <c r="O68" s="389">
        <v>345.49729952295831</v>
      </c>
      <c r="P68" s="390">
        <v>0.1699759954100119</v>
      </c>
    </row>
    <row r="69" spans="1:16" ht="14" thickBot="1">
      <c r="A69" s="380">
        <v>1063</v>
      </c>
      <c r="B69" s="381" t="s">
        <v>74</v>
      </c>
      <c r="C69" s="382">
        <v>647</v>
      </c>
      <c r="D69" s="383">
        <v>0.72568084999999993</v>
      </c>
      <c r="E69" s="384">
        <v>0.70200909999999994</v>
      </c>
      <c r="F69" s="385">
        <v>-0.1012414755053823</v>
      </c>
      <c r="G69" s="386">
        <v>0.68821030000000005</v>
      </c>
      <c r="H69" s="387">
        <v>1063.6944358578053</v>
      </c>
      <c r="I69" s="388">
        <v>5.2911197822414054E-2</v>
      </c>
      <c r="J69" s="387">
        <v>54.194899536321479</v>
      </c>
      <c r="K69" s="389">
        <v>97.347295208655325</v>
      </c>
      <c r="L69" s="384">
        <v>0.27050000000000002</v>
      </c>
      <c r="M69" s="389">
        <v>418.08346213292117</v>
      </c>
      <c r="N69" s="384">
        <v>0.91099292000000009</v>
      </c>
      <c r="O69" s="389">
        <v>1408.0261514683154</v>
      </c>
      <c r="P69" s="390">
        <v>1.2976938902928754</v>
      </c>
    </row>
    <row r="70" spans="1:16" ht="14" thickBot="1">
      <c r="A70" s="380">
        <v>1065</v>
      </c>
      <c r="B70" s="381" t="s">
        <v>75</v>
      </c>
      <c r="C70" s="382">
        <v>3082</v>
      </c>
      <c r="D70" s="383">
        <v>5.9784420300000001</v>
      </c>
      <c r="E70" s="384">
        <v>6.1564912000000005</v>
      </c>
      <c r="F70" s="385">
        <v>-0.13618280413434067</v>
      </c>
      <c r="G70" s="386">
        <v>7.8038599</v>
      </c>
      <c r="H70" s="387">
        <v>2532.0765412070086</v>
      </c>
      <c r="I70" s="388">
        <v>7.9965409233168069E-2</v>
      </c>
      <c r="J70" s="387">
        <v>158.69536664503568</v>
      </c>
      <c r="K70" s="389">
        <v>-44.757170668397137</v>
      </c>
      <c r="L70" s="384">
        <v>1.96</v>
      </c>
      <c r="M70" s="389">
        <v>635.95068137573003</v>
      </c>
      <c r="N70" s="384">
        <v>2.1724295599999999</v>
      </c>
      <c r="O70" s="389">
        <v>704.87656067488649</v>
      </c>
      <c r="P70" s="390">
        <v>0.35286813371876496</v>
      </c>
    </row>
    <row r="71" spans="1:16" ht="14" thickBot="1">
      <c r="A71" s="380">
        <v>1079</v>
      </c>
      <c r="B71" s="381" t="s">
        <v>76</v>
      </c>
      <c r="C71" s="382">
        <v>3864</v>
      </c>
      <c r="D71" s="383">
        <v>5.4122927199999999</v>
      </c>
      <c r="E71" s="384">
        <v>5.5897341000000003</v>
      </c>
      <c r="F71" s="385">
        <v>0.17258896521768319</v>
      </c>
      <c r="G71" s="386">
        <v>3.91035529</v>
      </c>
      <c r="H71" s="387">
        <v>1011.9967106625259</v>
      </c>
      <c r="I71" s="388">
        <v>9.1439818133623771E-2</v>
      </c>
      <c r="J71" s="387">
        <v>131.46639233954451</v>
      </c>
      <c r="K71" s="389">
        <v>-37.039935300207034</v>
      </c>
      <c r="L71" s="384">
        <v>1.38</v>
      </c>
      <c r="M71" s="389">
        <v>357.14285714285717</v>
      </c>
      <c r="N71" s="384">
        <v>3.0228320099999997</v>
      </c>
      <c r="O71" s="389">
        <v>782.30642080745338</v>
      </c>
      <c r="P71" s="390">
        <v>0.54078279143904173</v>
      </c>
    </row>
    <row r="72" spans="1:16" ht="14" thickBot="1">
      <c r="A72" s="380">
        <v>1093</v>
      </c>
      <c r="B72" s="381" t="s">
        <v>77</v>
      </c>
      <c r="C72" s="382">
        <v>2447</v>
      </c>
      <c r="D72" s="383">
        <v>3.3697650499999998</v>
      </c>
      <c r="E72" s="384">
        <v>3.0264061999999998</v>
      </c>
      <c r="F72" s="385">
        <v>8.885604650686256E-2</v>
      </c>
      <c r="G72" s="386">
        <v>2.6568215500000005</v>
      </c>
      <c r="H72" s="387">
        <v>1085.7464446260731</v>
      </c>
      <c r="I72" s="388">
        <v>5.9951572060787821E-2</v>
      </c>
      <c r="J72" s="387">
        <v>85.109125459746622</v>
      </c>
      <c r="K72" s="389">
        <v>-42.530702901512072</v>
      </c>
      <c r="L72" s="384">
        <v>1</v>
      </c>
      <c r="M72" s="389">
        <v>408.66366979975481</v>
      </c>
      <c r="N72" s="384">
        <v>2.2586096200000001</v>
      </c>
      <c r="O72" s="389">
        <v>923.01169595422971</v>
      </c>
      <c r="P72" s="390">
        <v>0.74630088320596233</v>
      </c>
    </row>
    <row r="73" spans="1:16" ht="14" thickBot="1">
      <c r="A73" s="380">
        <v>1097</v>
      </c>
      <c r="B73" s="381" t="s">
        <v>78</v>
      </c>
      <c r="C73" s="382">
        <v>2221</v>
      </c>
      <c r="D73" s="383">
        <v>3.3911110299999998</v>
      </c>
      <c r="E73" s="384">
        <v>3.4210935</v>
      </c>
      <c r="F73" s="385">
        <v>-2.9048591782617039E-2</v>
      </c>
      <c r="G73" s="386">
        <v>3.6210618999999999</v>
      </c>
      <c r="H73" s="387">
        <v>1630.3745610085546</v>
      </c>
      <c r="I73" s="388">
        <v>6.6999351392069445E-2</v>
      </c>
      <c r="J73" s="387">
        <v>106.08119765871228</v>
      </c>
      <c r="K73" s="389">
        <v>-56.477059882935606</v>
      </c>
      <c r="L73" s="384">
        <v>0.99</v>
      </c>
      <c r="M73" s="389">
        <v>445.74515983791088</v>
      </c>
      <c r="N73" s="384">
        <v>2.4647573899999999</v>
      </c>
      <c r="O73" s="389">
        <v>1109.7511886537595</v>
      </c>
      <c r="P73" s="390">
        <v>0.72045893805591688</v>
      </c>
    </row>
    <row r="74" spans="1:16" ht="14" thickBot="1">
      <c r="A74" s="380">
        <v>1113</v>
      </c>
      <c r="B74" s="381" t="s">
        <v>79</v>
      </c>
      <c r="C74" s="382">
        <v>3059</v>
      </c>
      <c r="D74" s="383">
        <v>2.1573262500000001</v>
      </c>
      <c r="E74" s="384">
        <v>4.1818318000000003</v>
      </c>
      <c r="F74" s="385">
        <v>-2.0663726684825721E-2</v>
      </c>
      <c r="G74" s="386">
        <v>4.3586658499999995</v>
      </c>
      <c r="H74" s="387">
        <v>1424.866247139588</v>
      </c>
      <c r="I74" s="388">
        <v>5.5671102151939607E-2</v>
      </c>
      <c r="J74" s="387">
        <v>42.310542661000326</v>
      </c>
      <c r="K74" s="389">
        <v>-54.770022883295198</v>
      </c>
      <c r="L74" s="384">
        <v>0.62</v>
      </c>
      <c r="M74" s="389">
        <v>202.68061457992809</v>
      </c>
      <c r="N74" s="384">
        <v>2.2018106</v>
      </c>
      <c r="O74" s="389">
        <v>719.78117031709712</v>
      </c>
      <c r="P74" s="390">
        <v>0.52651821146895472</v>
      </c>
    </row>
    <row r="75" spans="1:16" ht="14" thickBot="1">
      <c r="A75" s="380">
        <v>1131</v>
      </c>
      <c r="B75" s="381" t="s">
        <v>80</v>
      </c>
      <c r="C75" s="382">
        <v>2275</v>
      </c>
      <c r="D75" s="383">
        <v>3.4449910799999999</v>
      </c>
      <c r="E75" s="384">
        <v>3.1766450000000002</v>
      </c>
      <c r="F75" s="385">
        <v>-3.8836385027737147E-2</v>
      </c>
      <c r="G75" s="386">
        <v>3.4852729999999998</v>
      </c>
      <c r="H75" s="387">
        <v>1531.9881318681319</v>
      </c>
      <c r="I75" s="388">
        <v>5.9140139016692725E-2</v>
      </c>
      <c r="J75" s="387">
        <v>98.575507692307681</v>
      </c>
      <c r="K75" s="389">
        <v>-152.53044835164835</v>
      </c>
      <c r="L75" s="384">
        <v>0.83</v>
      </c>
      <c r="M75" s="389">
        <v>364.83516483516485</v>
      </c>
      <c r="N75" s="384">
        <v>0.41327501999999999</v>
      </c>
      <c r="O75" s="389">
        <v>181.65934945054946</v>
      </c>
      <c r="P75" s="390">
        <v>0.13009795554744077</v>
      </c>
    </row>
    <row r="76" spans="1:16" ht="14" thickBot="1">
      <c r="A76" s="380">
        <v>1142</v>
      </c>
      <c r="B76" s="381" t="s">
        <v>81</v>
      </c>
      <c r="C76" s="382">
        <v>1236</v>
      </c>
      <c r="D76" s="383">
        <v>3.4970211</v>
      </c>
      <c r="E76" s="384">
        <v>2.9519173999999997</v>
      </c>
      <c r="F76" s="385">
        <v>-0.96055697233282344</v>
      </c>
      <c r="G76" s="386">
        <v>4.1530491500000002</v>
      </c>
      <c r="H76" s="387">
        <v>3360.0721278317155</v>
      </c>
      <c r="I76" s="388">
        <v>2.8706170124283947E-2</v>
      </c>
      <c r="J76" s="387">
        <v>77.753721682847896</v>
      </c>
      <c r="K76" s="389">
        <v>120.69850323624595</v>
      </c>
      <c r="L76" s="384">
        <v>1.67</v>
      </c>
      <c r="M76" s="389">
        <v>1351.1326860841425</v>
      </c>
      <c r="N76" s="384">
        <v>11.526474949999999</v>
      </c>
      <c r="O76" s="389">
        <v>9325.626982200647</v>
      </c>
      <c r="P76" s="390">
        <v>3.9047416943306068</v>
      </c>
    </row>
    <row r="77" spans="1:16" ht="14" thickBot="1">
      <c r="A77" s="380">
        <v>1147</v>
      </c>
      <c r="B77" s="381" t="s">
        <v>82</v>
      </c>
      <c r="C77" s="382">
        <v>391</v>
      </c>
      <c r="D77" s="383">
        <v>0.64487080000000008</v>
      </c>
      <c r="E77" s="384">
        <v>0.60466900000000001</v>
      </c>
      <c r="F77" s="385">
        <v>-0.2070445738898396</v>
      </c>
      <c r="G77" s="386">
        <v>0.71316755000000009</v>
      </c>
      <c r="H77" s="387">
        <v>1823.957928388747</v>
      </c>
      <c r="I77" s="388">
        <v>0.11380044066588875</v>
      </c>
      <c r="J77" s="387">
        <v>182.25204603580565</v>
      </c>
      <c r="K77" s="389">
        <v>47.780306905370843</v>
      </c>
      <c r="L77" s="384">
        <v>0.56499999999999995</v>
      </c>
      <c r="M77" s="389">
        <v>1445.0127877237851</v>
      </c>
      <c r="N77" s="384">
        <v>0.95235409999999998</v>
      </c>
      <c r="O77" s="389">
        <v>2435.6882352941175</v>
      </c>
      <c r="P77" s="390">
        <v>1.5750007028638808</v>
      </c>
    </row>
    <row r="78" spans="1:16" ht="14" thickBot="1">
      <c r="A78" s="380">
        <v>1159</v>
      </c>
      <c r="B78" s="381" t="s">
        <v>83</v>
      </c>
      <c r="C78" s="382">
        <v>8782</v>
      </c>
      <c r="D78" s="383">
        <v>12.682709490000001</v>
      </c>
      <c r="E78" s="384">
        <v>12.807171</v>
      </c>
      <c r="F78" s="385">
        <v>0.19172974055088915</v>
      </c>
      <c r="G78" s="386">
        <v>9.1423191700000004</v>
      </c>
      <c r="H78" s="387">
        <v>1041.029283762241</v>
      </c>
      <c r="I78" s="388">
        <v>7.8993974932432764E-2</v>
      </c>
      <c r="J78" s="387">
        <v>120.42923707583695</v>
      </c>
      <c r="K78" s="389">
        <v>-80.366020268731489</v>
      </c>
      <c r="L78" s="384">
        <v>1.87</v>
      </c>
      <c r="M78" s="389">
        <v>212.93554998861308</v>
      </c>
      <c r="N78" s="384">
        <v>1.9008704400000001</v>
      </c>
      <c r="O78" s="389">
        <v>216.45074470507856</v>
      </c>
      <c r="P78" s="390">
        <v>0.14842235182149124</v>
      </c>
    </row>
    <row r="79" spans="1:16" ht="14" thickBot="1">
      <c r="A79" s="380">
        <v>1215</v>
      </c>
      <c r="B79" s="381" t="s">
        <v>84</v>
      </c>
      <c r="C79" s="382">
        <v>4253</v>
      </c>
      <c r="D79" s="383">
        <v>7.4831611199999992</v>
      </c>
      <c r="E79" s="384">
        <v>7.5611279000000007</v>
      </c>
      <c r="F79" s="385">
        <v>0.18070478215227848</v>
      </c>
      <c r="G79" s="386">
        <v>5.3771068799999986</v>
      </c>
      <c r="H79" s="387">
        <v>1264.3091652950857</v>
      </c>
      <c r="I79" s="388">
        <v>8.6587568774538728E-2</v>
      </c>
      <c r="J79" s="387">
        <v>153.79738772631086</v>
      </c>
      <c r="K79" s="389">
        <v>-16.704537973195389</v>
      </c>
      <c r="L79" s="384">
        <v>1.405</v>
      </c>
      <c r="M79" s="389">
        <v>330.35504349870678</v>
      </c>
      <c r="N79" s="384">
        <v>2.4349570599999999</v>
      </c>
      <c r="O79" s="389">
        <v>572.52693628027271</v>
      </c>
      <c r="P79" s="390">
        <v>0.32203622160656742</v>
      </c>
    </row>
    <row r="80" spans="1:16" ht="14" thickBot="1">
      <c r="A80" s="380">
        <v>1305</v>
      </c>
      <c r="B80" s="381" t="s">
        <v>85</v>
      </c>
      <c r="C80" s="382">
        <v>20194</v>
      </c>
      <c r="D80" s="383">
        <v>42.047451449999997</v>
      </c>
      <c r="E80" s="384">
        <v>40.210920000000002</v>
      </c>
      <c r="F80" s="385">
        <v>-3.6970136034249467E-4</v>
      </c>
      <c r="G80" s="386">
        <v>43.254115599999999</v>
      </c>
      <c r="H80" s="387">
        <v>2141.9290680400118</v>
      </c>
      <c r="I80" s="388">
        <v>3.6165642813454912E-2</v>
      </c>
      <c r="J80" s="387">
        <v>79.5033613944736</v>
      </c>
      <c r="K80" s="389">
        <v>-116.13638605526397</v>
      </c>
      <c r="L80" s="384">
        <v>11.307926</v>
      </c>
      <c r="M80" s="389">
        <v>559.96464296325644</v>
      </c>
      <c r="N80" s="384">
        <v>14.461043960000001</v>
      </c>
      <c r="O80" s="389">
        <v>716.10597009012588</v>
      </c>
      <c r="P80" s="390">
        <v>0.35962977121637607</v>
      </c>
    </row>
    <row r="81" spans="1:16" ht="14" thickBot="1">
      <c r="A81" s="380">
        <v>1318</v>
      </c>
      <c r="B81" s="381" t="s">
        <v>86</v>
      </c>
      <c r="C81" s="382">
        <v>2245</v>
      </c>
      <c r="D81" s="383">
        <v>3.5677680000000001</v>
      </c>
      <c r="E81" s="384">
        <v>3.5210961999999997</v>
      </c>
      <c r="F81" s="385">
        <v>-1.0146679941072408E-2</v>
      </c>
      <c r="G81" s="386">
        <v>3.1902613900000008</v>
      </c>
      <c r="H81" s="387">
        <v>1421.0518440979959</v>
      </c>
      <c r="I81" s="388">
        <v>8.0405317846063695E-2</v>
      </c>
      <c r="J81" s="387">
        <v>131.52575501113586</v>
      </c>
      <c r="K81" s="389">
        <v>-46.578044543429833</v>
      </c>
      <c r="L81" s="384">
        <v>1.1299999999999999</v>
      </c>
      <c r="M81" s="389">
        <v>503.34075723830733</v>
      </c>
      <c r="N81" s="384">
        <v>2.2002058099999999</v>
      </c>
      <c r="O81" s="389">
        <v>980.0471314031181</v>
      </c>
      <c r="P81" s="390">
        <v>0.62486387335852966</v>
      </c>
    </row>
    <row r="82" spans="1:16" ht="14" thickBot="1">
      <c r="A82" s="380">
        <v>1322</v>
      </c>
      <c r="B82" s="381" t="s">
        <v>87</v>
      </c>
      <c r="C82" s="382">
        <v>5865</v>
      </c>
      <c r="D82" s="383">
        <v>7.1129388499999999</v>
      </c>
      <c r="E82" s="384">
        <v>7.188059449999999</v>
      </c>
      <c r="F82" s="385">
        <v>0.31553866092916016</v>
      </c>
      <c r="G82" s="386">
        <v>5.1952852500000013</v>
      </c>
      <c r="H82" s="387">
        <v>885.81163682864462</v>
      </c>
      <c r="I82" s="388">
        <v>5.6680853561907794E-2</v>
      </c>
      <c r="J82" s="387">
        <v>75.891901108269394</v>
      </c>
      <c r="K82" s="389">
        <v>-126.15633418584828</v>
      </c>
      <c r="L82" s="384">
        <v>0.70899341000000005</v>
      </c>
      <c r="M82" s="389">
        <v>120.88549190110828</v>
      </c>
      <c r="N82" s="384">
        <v>0</v>
      </c>
      <c r="O82" s="389">
        <v>0</v>
      </c>
      <c r="P82" s="390">
        <v>0</v>
      </c>
    </row>
    <row r="83" spans="1:16" ht="14" thickBot="1">
      <c r="A83" s="380">
        <v>1328</v>
      </c>
      <c r="B83" s="381" t="s">
        <v>88</v>
      </c>
      <c r="C83" s="382">
        <v>7696</v>
      </c>
      <c r="D83" s="383">
        <v>12.656544239999999</v>
      </c>
      <c r="E83" s="384">
        <v>12.506640200000001</v>
      </c>
      <c r="F83" s="385">
        <v>-5.8908892179560704E-2</v>
      </c>
      <c r="G83" s="386">
        <v>12.171241940000002</v>
      </c>
      <c r="H83" s="387">
        <v>1581.5023310810814</v>
      </c>
      <c r="I83" s="388">
        <v>0.1026276805867362</v>
      </c>
      <c r="J83" s="387">
        <v>178.52689189189189</v>
      </c>
      <c r="K83" s="389">
        <v>-94.997506496881499</v>
      </c>
      <c r="L83" s="384">
        <v>4.5225980000000003</v>
      </c>
      <c r="M83" s="389">
        <v>587.65566528066529</v>
      </c>
      <c r="N83" s="384">
        <v>7.2790218300000005</v>
      </c>
      <c r="O83" s="389">
        <v>945.81884485446983</v>
      </c>
      <c r="P83" s="390">
        <v>0.58201257200954737</v>
      </c>
    </row>
    <row r="84" spans="1:16" ht="14" thickBot="1">
      <c r="A84" s="380">
        <v>1331</v>
      </c>
      <c r="B84" s="381" t="s">
        <v>89</v>
      </c>
      <c r="C84" s="382">
        <v>546</v>
      </c>
      <c r="D84" s="383">
        <v>0.84503614999999999</v>
      </c>
      <c r="E84" s="384">
        <v>0.73459989999999997</v>
      </c>
      <c r="F84" s="385">
        <v>-0.1052913535119178</v>
      </c>
      <c r="G84" s="386">
        <v>0.89638370000000001</v>
      </c>
      <c r="H84" s="387">
        <v>1641.7283882783881</v>
      </c>
      <c r="I84" s="388">
        <v>5.0456939303211303E-2</v>
      </c>
      <c r="J84" s="387">
        <v>81.617490842490838</v>
      </c>
      <c r="K84" s="389">
        <v>-69.881959706959719</v>
      </c>
      <c r="L84" s="384">
        <v>0.245</v>
      </c>
      <c r="M84" s="389">
        <v>448.71794871794873</v>
      </c>
      <c r="N84" s="384">
        <v>1.4525869</v>
      </c>
      <c r="O84" s="389">
        <v>2660.4155677655676</v>
      </c>
      <c r="P84" s="390">
        <v>1.9773851044629873</v>
      </c>
    </row>
    <row r="85" spans="1:16" ht="14" thickBot="1">
      <c r="A85" s="380">
        <v>1362</v>
      </c>
      <c r="B85" s="381" t="s">
        <v>90</v>
      </c>
      <c r="C85" s="382">
        <v>494</v>
      </c>
      <c r="D85" s="383">
        <v>0.66128984999999996</v>
      </c>
      <c r="E85" s="384">
        <v>0.6266642</v>
      </c>
      <c r="F85" s="385">
        <v>8.1145960428698552E-2</v>
      </c>
      <c r="G85" s="386">
        <v>0.53671534999999992</v>
      </c>
      <c r="H85" s="387">
        <v>1086.4683198380567</v>
      </c>
      <c r="I85" s="388">
        <v>5.6135715343173326E-2</v>
      </c>
      <c r="J85" s="387">
        <v>71.077429149797567</v>
      </c>
      <c r="K85" s="389">
        <v>72.472165991902827</v>
      </c>
      <c r="L85" s="384">
        <v>0.18099999999999999</v>
      </c>
      <c r="M85" s="389">
        <v>366.39676113360326</v>
      </c>
      <c r="N85" s="384">
        <v>0.70823469999999999</v>
      </c>
      <c r="O85" s="389">
        <v>1433.6734817813765</v>
      </c>
      <c r="P85" s="390">
        <v>1.1301662038456959</v>
      </c>
    </row>
    <row r="86" spans="1:16" ht="14" thickBot="1">
      <c r="A86" s="380">
        <v>1384</v>
      </c>
      <c r="B86" s="381" t="s">
        <v>91</v>
      </c>
      <c r="C86" s="382">
        <v>471925</v>
      </c>
      <c r="D86" s="383">
        <v>901.20136143999991</v>
      </c>
      <c r="E86" s="384">
        <v>881.81574155000021</v>
      </c>
      <c r="F86" s="385">
        <v>-3.2728661708711519E-2</v>
      </c>
      <c r="G86" s="386">
        <v>885.67408580000006</v>
      </c>
      <c r="H86" s="387">
        <v>1876.7263565185146</v>
      </c>
      <c r="I86" s="388">
        <v>6.6697813513481044E-2</v>
      </c>
      <c r="J86" s="387">
        <v>129.84971495470677</v>
      </c>
      <c r="K86" s="389">
        <v>-37.208437887376185</v>
      </c>
      <c r="L86" s="384">
        <v>225.29799287999998</v>
      </c>
      <c r="M86" s="389">
        <v>477.40211448853103</v>
      </c>
      <c r="N86" s="384">
        <v>152.78293715999999</v>
      </c>
      <c r="O86" s="389">
        <v>323.74410586427928</v>
      </c>
      <c r="P86" s="390">
        <v>0.17325948036655339</v>
      </c>
    </row>
    <row r="87" spans="1:16" ht="14" thickBot="1">
      <c r="A87" s="380">
        <v>1386</v>
      </c>
      <c r="B87" s="381" t="s">
        <v>92</v>
      </c>
      <c r="C87" s="382">
        <v>27583</v>
      </c>
      <c r="D87" s="383">
        <v>51.38976195</v>
      </c>
      <c r="E87" s="384">
        <v>52.108886499999997</v>
      </c>
      <c r="F87" s="385">
        <v>6.8026215093218573E-2</v>
      </c>
      <c r="G87" s="386">
        <v>49.391112849999999</v>
      </c>
      <c r="H87" s="387">
        <v>1790.6360022477613</v>
      </c>
      <c r="I87" s="388">
        <v>4.7267605488578716E-2</v>
      </c>
      <c r="J87" s="387">
        <v>99.352996410832759</v>
      </c>
      <c r="K87" s="389">
        <v>-238.83027951999415</v>
      </c>
      <c r="L87" s="384">
        <v>13.87</v>
      </c>
      <c r="M87" s="389">
        <v>502.84595584236666</v>
      </c>
      <c r="N87" s="384">
        <v>0.51807420000000004</v>
      </c>
      <c r="O87" s="389">
        <v>18.782373200884603</v>
      </c>
      <c r="P87" s="390">
        <v>9.9421468159754302E-3</v>
      </c>
    </row>
    <row r="88" spans="1:16" ht="14" thickBot="1">
      <c r="A88" s="380">
        <v>1395</v>
      </c>
      <c r="B88" s="381" t="s">
        <v>93</v>
      </c>
      <c r="C88" s="382">
        <v>11268</v>
      </c>
      <c r="D88" s="383">
        <v>21.411908699999998</v>
      </c>
      <c r="E88" s="384">
        <v>18.6741183</v>
      </c>
      <c r="F88" s="385">
        <v>0.16692341864880081</v>
      </c>
      <c r="G88" s="386">
        <v>15.608742750000001</v>
      </c>
      <c r="H88" s="387">
        <v>1385.2274361022367</v>
      </c>
      <c r="I88" s="388">
        <v>0.11265056386864297</v>
      </c>
      <c r="J88" s="387">
        <v>216.79115193468226</v>
      </c>
      <c r="K88" s="389">
        <v>-24.216484735534284</v>
      </c>
      <c r="L88" s="384">
        <v>3.8794304999999998</v>
      </c>
      <c r="M88" s="389">
        <v>344.28740681576147</v>
      </c>
      <c r="N88" s="384">
        <v>3.7828622000000003</v>
      </c>
      <c r="O88" s="389">
        <v>335.71727014554494</v>
      </c>
      <c r="P88" s="390">
        <v>0.20257246629952003</v>
      </c>
    </row>
    <row r="89" spans="1:16" ht="14" thickBot="1">
      <c r="A89" s="380">
        <v>1401</v>
      </c>
      <c r="B89" s="381" t="s">
        <v>94</v>
      </c>
      <c r="C89" s="382">
        <v>14805</v>
      </c>
      <c r="D89" s="383">
        <v>22.294036030000004</v>
      </c>
      <c r="E89" s="384">
        <v>22.063562750000003</v>
      </c>
      <c r="F89" s="385">
        <v>0.18399928548065594</v>
      </c>
      <c r="G89" s="386">
        <v>16.62318621</v>
      </c>
      <c r="H89" s="387">
        <v>1122.8089300911854</v>
      </c>
      <c r="I89" s="388">
        <v>4.6772334434810638E-2</v>
      </c>
      <c r="J89" s="387">
        <v>72.692968591691994</v>
      </c>
      <c r="K89" s="389">
        <v>-48.342254643701459</v>
      </c>
      <c r="L89" s="384">
        <v>4</v>
      </c>
      <c r="M89" s="389">
        <v>270.17899358324888</v>
      </c>
      <c r="N89" s="384">
        <v>2.834565</v>
      </c>
      <c r="O89" s="389">
        <v>191.45997973657549</v>
      </c>
      <c r="P89" s="390">
        <v>0.12847267833024834</v>
      </c>
    </row>
    <row r="90" spans="1:16" ht="14" thickBot="1">
      <c r="A90" s="380">
        <v>1423</v>
      </c>
      <c r="B90" s="381" t="s">
        <v>95</v>
      </c>
      <c r="C90" s="382">
        <v>6423</v>
      </c>
      <c r="D90" s="383">
        <v>9.4808029099999995</v>
      </c>
      <c r="E90" s="384">
        <v>9.5677523999999998</v>
      </c>
      <c r="F90" s="385">
        <v>0.33732289663217996</v>
      </c>
      <c r="G90" s="386">
        <v>7.4379065999999998</v>
      </c>
      <c r="H90" s="387">
        <v>1158.0113031293788</v>
      </c>
      <c r="I90" s="388">
        <v>5.0357088528585565E-2</v>
      </c>
      <c r="J90" s="387">
        <v>86.098575432041088</v>
      </c>
      <c r="K90" s="389">
        <v>-233.68996419118798</v>
      </c>
      <c r="L90" s="384">
        <v>2.1</v>
      </c>
      <c r="M90" s="389">
        <v>326.9500233535731</v>
      </c>
      <c r="N90" s="384">
        <v>2.0109479999999999E-2</v>
      </c>
      <c r="O90" s="389">
        <v>3.1308547407753387</v>
      </c>
      <c r="P90" s="390">
        <v>2.1017977012030538E-3</v>
      </c>
    </row>
    <row r="91" spans="1:16" ht="14" thickBot="1">
      <c r="A91" s="380">
        <v>1442</v>
      </c>
      <c r="B91" s="381" t="s">
        <v>96</v>
      </c>
      <c r="C91" s="382">
        <v>306</v>
      </c>
      <c r="D91" s="383">
        <v>0.62959799999999999</v>
      </c>
      <c r="E91" s="384">
        <v>0.65148960000000011</v>
      </c>
      <c r="F91" s="385">
        <v>7.1058040209784651E-2</v>
      </c>
      <c r="G91" s="386">
        <v>0.5193047999999999</v>
      </c>
      <c r="H91" s="387">
        <v>1697.074509803921</v>
      </c>
      <c r="I91" s="388">
        <v>5.9341668828698867E-2</v>
      </c>
      <c r="J91" s="387">
        <v>110.5212091503268</v>
      </c>
      <c r="K91" s="389">
        <v>195.05444444444444</v>
      </c>
      <c r="L91" s="384">
        <v>0.19</v>
      </c>
      <c r="M91" s="389">
        <v>620.9150326797386</v>
      </c>
      <c r="N91" s="384">
        <v>0.78314373999999998</v>
      </c>
      <c r="O91" s="389">
        <v>2559.293267973856</v>
      </c>
      <c r="P91" s="390">
        <v>1.2020817216422179</v>
      </c>
    </row>
    <row r="92" spans="1:16" ht="14" thickBot="1">
      <c r="A92" s="380">
        <v>1448</v>
      </c>
      <c r="B92" s="381" t="s">
        <v>97</v>
      </c>
      <c r="C92" s="382">
        <v>1021</v>
      </c>
      <c r="D92" s="383">
        <v>1.5210195500000001</v>
      </c>
      <c r="E92" s="384">
        <v>1.4478364500000001</v>
      </c>
      <c r="F92" s="385">
        <v>0.11417801960533641</v>
      </c>
      <c r="G92" s="386">
        <v>1.1795275000000001</v>
      </c>
      <c r="H92" s="387">
        <v>1155.2668952007834</v>
      </c>
      <c r="I92" s="388">
        <v>5.9723306764922469E-2</v>
      </c>
      <c r="J92" s="387">
        <v>84.19118511263467</v>
      </c>
      <c r="K92" s="389">
        <v>80.047845249755142</v>
      </c>
      <c r="L92" s="384">
        <v>0.6</v>
      </c>
      <c r="M92" s="389">
        <v>587.65915768854063</v>
      </c>
      <c r="N92" s="384">
        <v>1.2127055500000001</v>
      </c>
      <c r="O92" s="389">
        <v>1187.7625367286973</v>
      </c>
      <c r="P92" s="390">
        <v>0.83759843869105521</v>
      </c>
    </row>
    <row r="93" spans="1:16" ht="14" thickBot="1">
      <c r="A93" s="380">
        <v>1454</v>
      </c>
      <c r="B93" s="381" t="s">
        <v>98</v>
      </c>
      <c r="C93" s="382">
        <v>5516</v>
      </c>
      <c r="D93" s="383">
        <v>8.4912102100000002</v>
      </c>
      <c r="E93" s="384">
        <v>8.1633353599999996</v>
      </c>
      <c r="F93" s="385">
        <v>0.21998263543165775</v>
      </c>
      <c r="G93" s="386">
        <v>6.4624782000000005</v>
      </c>
      <c r="H93" s="387">
        <v>1171.5877810007253</v>
      </c>
      <c r="I93" s="388">
        <v>2.8193566706523027E-2</v>
      </c>
      <c r="J93" s="387">
        <v>43.813877810007256</v>
      </c>
      <c r="K93" s="389">
        <v>-14.659923857868018</v>
      </c>
      <c r="L93" s="384">
        <v>1.95</v>
      </c>
      <c r="M93" s="389">
        <v>353.51704133430025</v>
      </c>
      <c r="N93" s="384">
        <v>2.8124908900000003</v>
      </c>
      <c r="O93" s="389">
        <v>509.87869651921687</v>
      </c>
      <c r="P93" s="390">
        <v>0.34452717743057421</v>
      </c>
    </row>
    <row r="94" spans="1:16" ht="14" thickBot="1">
      <c r="A94" s="380">
        <v>1479</v>
      </c>
      <c r="B94" s="381" t="s">
        <v>99</v>
      </c>
      <c r="C94" s="382">
        <v>107218</v>
      </c>
      <c r="D94" s="383">
        <v>233.2005106</v>
      </c>
      <c r="E94" s="384">
        <v>231.18222250000002</v>
      </c>
      <c r="F94" s="385">
        <v>9.939947361333093E-2</v>
      </c>
      <c r="G94" s="386">
        <v>194.93996507999998</v>
      </c>
      <c r="H94" s="387">
        <v>1818.1645346863397</v>
      </c>
      <c r="I94" s="388">
        <v>6.8537255634426572E-2</v>
      </c>
      <c r="J94" s="387">
        <v>152.74483715420919</v>
      </c>
      <c r="K94" s="389">
        <v>-53.626839523214379</v>
      </c>
      <c r="L94" s="384">
        <v>55.45</v>
      </c>
      <c r="M94" s="389">
        <v>517.17062433546607</v>
      </c>
      <c r="N94" s="384">
        <v>49.289059520000002</v>
      </c>
      <c r="O94" s="389">
        <v>459.70881307243189</v>
      </c>
      <c r="P94" s="390">
        <v>0.2132043674768288</v>
      </c>
    </row>
    <row r="95" spans="1:16" ht="14" thickBot="1">
      <c r="A95" s="380">
        <v>1507</v>
      </c>
      <c r="B95" s="381" t="s">
        <v>100</v>
      </c>
      <c r="C95" s="382">
        <v>4836</v>
      </c>
      <c r="D95" s="383">
        <v>3.3612453000000002</v>
      </c>
      <c r="E95" s="384">
        <v>6.2474615999999994</v>
      </c>
      <c r="F95" s="385">
        <v>-3.947929655714208E-2</v>
      </c>
      <c r="G95" s="386">
        <v>6.7568540000000006</v>
      </c>
      <c r="H95" s="387">
        <v>1397.1989247311831</v>
      </c>
      <c r="I95" s="388">
        <v>7.5887360736220058E-2</v>
      </c>
      <c r="J95" s="387">
        <v>55.11681968569065</v>
      </c>
      <c r="K95" s="389">
        <v>-31.251166253101751</v>
      </c>
      <c r="L95" s="384">
        <v>1.081</v>
      </c>
      <c r="M95" s="389">
        <v>223.53184449958644</v>
      </c>
      <c r="N95" s="384">
        <v>3.0087313399999998</v>
      </c>
      <c r="O95" s="389">
        <v>622.1528825475599</v>
      </c>
      <c r="P95" s="390">
        <v>0.48159261034913764</v>
      </c>
    </row>
    <row r="96" spans="1:16" ht="14" thickBot="1">
      <c r="A96" s="380">
        <v>1509</v>
      </c>
      <c r="B96" s="381" t="s">
        <v>101</v>
      </c>
      <c r="C96" s="382">
        <v>396741</v>
      </c>
      <c r="D96" s="383">
        <v>685.10777305000011</v>
      </c>
      <c r="E96" s="384">
        <v>687.38307280000004</v>
      </c>
      <c r="F96" s="385">
        <v>0.23745900922383351</v>
      </c>
      <c r="G96" s="386">
        <v>513.73926510000001</v>
      </c>
      <c r="H96" s="387">
        <v>1294.898347032447</v>
      </c>
      <c r="I96" s="388">
        <v>7.6816913785360152E-2</v>
      </c>
      <c r="J96" s="387">
        <v>141.43023219178255</v>
      </c>
      <c r="K96" s="389">
        <v>-114.29515363927599</v>
      </c>
      <c r="L96" s="384">
        <v>157.1</v>
      </c>
      <c r="M96" s="389">
        <v>395.97621622166605</v>
      </c>
      <c r="N96" s="384">
        <v>118.08854241</v>
      </c>
      <c r="O96" s="389">
        <v>297.64643031599962</v>
      </c>
      <c r="P96" s="390">
        <v>0.17179437068325781</v>
      </c>
    </row>
    <row r="97" spans="1:16" ht="14" thickBot="1">
      <c r="A97" s="380">
        <v>1519</v>
      </c>
      <c r="B97" s="381" t="s">
        <v>102</v>
      </c>
      <c r="C97" s="382">
        <v>64667</v>
      </c>
      <c r="D97" s="383">
        <v>110.27952975999999</v>
      </c>
      <c r="E97" s="384">
        <v>110.05080484999999</v>
      </c>
      <c r="F97" s="385">
        <v>-5.0212673304384252E-3</v>
      </c>
      <c r="G97" s="386">
        <v>95.384030100000004</v>
      </c>
      <c r="H97" s="387">
        <v>1475.0031716331362</v>
      </c>
      <c r="I97" s="388">
        <v>0.11393182885371664</v>
      </c>
      <c r="J97" s="387">
        <v>194.89826897799495</v>
      </c>
      <c r="K97" s="389">
        <v>-5.31213586527904</v>
      </c>
      <c r="L97" s="384">
        <v>27</v>
      </c>
      <c r="M97" s="389">
        <v>417.52362101226282</v>
      </c>
      <c r="N97" s="384">
        <v>21.233517729999999</v>
      </c>
      <c r="O97" s="389">
        <v>328.35167442435863</v>
      </c>
      <c r="P97" s="390">
        <v>0.19294286633288535</v>
      </c>
    </row>
    <row r="98" spans="1:16" ht="14" thickBot="1">
      <c r="A98" s="380">
        <v>1520</v>
      </c>
      <c r="B98" s="381" t="s">
        <v>103</v>
      </c>
      <c r="C98" s="382">
        <v>18216</v>
      </c>
      <c r="D98" s="383">
        <v>42.77089806</v>
      </c>
      <c r="E98" s="384">
        <v>42.4222313</v>
      </c>
      <c r="F98" s="385">
        <v>0.21436674037421416</v>
      </c>
      <c r="G98" s="386">
        <v>33.921811780000006</v>
      </c>
      <c r="H98" s="387">
        <v>1862.1987143170843</v>
      </c>
      <c r="I98" s="388">
        <v>6.1095811277249806E-2</v>
      </c>
      <c r="J98" s="387">
        <v>146.78384112867809</v>
      </c>
      <c r="K98" s="389">
        <v>-54.533715963987703</v>
      </c>
      <c r="L98" s="384">
        <v>11</v>
      </c>
      <c r="M98" s="389">
        <v>603.86473429951695</v>
      </c>
      <c r="N98" s="384">
        <v>11.005094230000001</v>
      </c>
      <c r="O98" s="389">
        <v>604.14439119455426</v>
      </c>
      <c r="P98" s="390">
        <v>0.25941809029738616</v>
      </c>
    </row>
    <row r="99" spans="1:16" ht="14" thickBot="1">
      <c r="A99" s="380">
        <v>1529</v>
      </c>
      <c r="B99" s="381" t="s">
        <v>104</v>
      </c>
      <c r="C99" s="382">
        <v>399679</v>
      </c>
      <c r="D99" s="383">
        <v>754.38578769000003</v>
      </c>
      <c r="E99" s="384">
        <v>757.45106305000002</v>
      </c>
      <c r="F99" s="385">
        <v>0.17310109294325857</v>
      </c>
      <c r="G99" s="386">
        <v>634.65579820000005</v>
      </c>
      <c r="H99" s="387">
        <v>1587.9137963215483</v>
      </c>
      <c r="I99" s="388">
        <v>3.8809010726869195E-2</v>
      </c>
      <c r="J99" s="387">
        <v>77.598491239219484</v>
      </c>
      <c r="K99" s="389">
        <v>-112.01758956562645</v>
      </c>
      <c r="L99" s="384">
        <v>175.77663250000001</v>
      </c>
      <c r="M99" s="389">
        <v>439.79451634937038</v>
      </c>
      <c r="N99" s="384">
        <v>49.421004630000006</v>
      </c>
      <c r="O99" s="389">
        <v>123.65174209803368</v>
      </c>
      <c r="P99" s="390">
        <v>6.5246465469331161E-2</v>
      </c>
    </row>
    <row r="100" spans="1:16" ht="14" thickBot="1">
      <c r="A100" s="380">
        <v>1535</v>
      </c>
      <c r="B100" s="381" t="s">
        <v>105</v>
      </c>
      <c r="C100" s="382">
        <v>81020</v>
      </c>
      <c r="D100" s="383">
        <v>189.46222104999998</v>
      </c>
      <c r="E100" s="384">
        <v>190.42665355000005</v>
      </c>
      <c r="F100" s="385">
        <v>7.8913391900194765E-3</v>
      </c>
      <c r="G100" s="386">
        <v>180.31060335000001</v>
      </c>
      <c r="H100" s="387">
        <v>2225.5073235003701</v>
      </c>
      <c r="I100" s="388">
        <v>9.1447117694943514E-2</v>
      </c>
      <c r="J100" s="387">
        <v>228.77105529498888</v>
      </c>
      <c r="K100" s="389">
        <v>-163.21358491730439</v>
      </c>
      <c r="L100" s="384">
        <v>41.41</v>
      </c>
      <c r="M100" s="389">
        <v>511.10836830412245</v>
      </c>
      <c r="N100" s="384">
        <v>50.54172956</v>
      </c>
      <c r="O100" s="389">
        <v>623.81794075536902</v>
      </c>
      <c r="P100" s="390">
        <v>0.26541310587453731</v>
      </c>
    </row>
    <row r="101" spans="1:16" ht="14" thickBot="1">
      <c r="A101" s="380">
        <v>1542</v>
      </c>
      <c r="B101" s="381" t="s">
        <v>106</v>
      </c>
      <c r="C101" s="382">
        <v>288706</v>
      </c>
      <c r="D101" s="383">
        <v>488.54168530999993</v>
      </c>
      <c r="E101" s="384">
        <v>489.57357200000001</v>
      </c>
      <c r="F101" s="385">
        <v>0.4141868181045843</v>
      </c>
      <c r="G101" s="386">
        <v>273.64620968000003</v>
      </c>
      <c r="H101" s="387">
        <v>947.83693335088287</v>
      </c>
      <c r="I101" s="388">
        <v>5.96583669626072E-2</v>
      </c>
      <c r="J101" s="387">
        <v>107.3541047986533</v>
      </c>
      <c r="K101" s="389">
        <v>-107.30400459290765</v>
      </c>
      <c r="L101" s="384">
        <v>98.7</v>
      </c>
      <c r="M101" s="389">
        <v>341.87027633648069</v>
      </c>
      <c r="N101" s="384">
        <v>39.33160565</v>
      </c>
      <c r="O101" s="389">
        <v>136.23411238422477</v>
      </c>
      <c r="P101" s="390">
        <v>8.0338498439209052E-2</v>
      </c>
    </row>
    <row r="102" spans="1:16" ht="14" thickBot="1">
      <c r="A102" s="380">
        <v>1549</v>
      </c>
      <c r="B102" s="381" t="s">
        <v>109</v>
      </c>
      <c r="C102" s="382">
        <v>38059</v>
      </c>
      <c r="D102" s="383">
        <v>90.810823990000003</v>
      </c>
      <c r="E102" s="384">
        <v>90.092190099999996</v>
      </c>
      <c r="F102" s="385">
        <v>0.15812240621868184</v>
      </c>
      <c r="G102" s="386">
        <v>66.487920280000012</v>
      </c>
      <c r="H102" s="387">
        <v>1746.9697122888149</v>
      </c>
      <c r="I102" s="388">
        <v>7.7007331992974895E-2</v>
      </c>
      <c r="J102" s="387">
        <v>187.94342074148034</v>
      </c>
      <c r="K102" s="389">
        <v>-54.537387740087766</v>
      </c>
      <c r="L102" s="384">
        <v>19.600000000000001</v>
      </c>
      <c r="M102" s="389">
        <v>514.98988412727613</v>
      </c>
      <c r="N102" s="384">
        <v>13.656562970000001</v>
      </c>
      <c r="O102" s="389">
        <v>358.82611130087497</v>
      </c>
      <c r="P102" s="390">
        <v>0.15158431551993098</v>
      </c>
    </row>
    <row r="103" spans="1:16" ht="14" thickBot="1">
      <c r="A103" s="380">
        <v>1551</v>
      </c>
      <c r="B103" s="381" t="s">
        <v>110</v>
      </c>
      <c r="C103" s="382">
        <v>72217</v>
      </c>
      <c r="D103" s="383">
        <v>137.79466480999997</v>
      </c>
      <c r="E103" s="384">
        <v>135.60468680000002</v>
      </c>
      <c r="F103" s="385">
        <v>0.18997207211247763</v>
      </c>
      <c r="G103" s="386">
        <v>107.07360371999999</v>
      </c>
      <c r="H103" s="387">
        <v>1482.6647980392429</v>
      </c>
      <c r="I103" s="388">
        <v>5.1578030474553747E-2</v>
      </c>
      <c r="J103" s="387">
        <v>103.49907805641331</v>
      </c>
      <c r="K103" s="389">
        <v>-98.586354044061636</v>
      </c>
      <c r="L103" s="384">
        <v>31</v>
      </c>
      <c r="M103" s="389">
        <v>429.26180816151322</v>
      </c>
      <c r="N103" s="384">
        <v>11.52431591</v>
      </c>
      <c r="O103" s="389">
        <v>159.5789898500353</v>
      </c>
      <c r="P103" s="390">
        <v>8.498464309715878E-2</v>
      </c>
    </row>
    <row r="104" spans="1:16" ht="14" thickBot="1">
      <c r="A104" s="380">
        <v>1552</v>
      </c>
      <c r="B104" s="381" t="s">
        <v>111</v>
      </c>
      <c r="C104" s="382">
        <v>4063</v>
      </c>
      <c r="D104" s="383">
        <v>6.3375914800000004</v>
      </c>
      <c r="E104" s="384">
        <v>6.4212619499999999</v>
      </c>
      <c r="F104" s="385">
        <v>0.23510927687626842</v>
      </c>
      <c r="G104" s="386">
        <v>4.674684899999999</v>
      </c>
      <c r="H104" s="387">
        <v>1150.5500615308883</v>
      </c>
      <c r="I104" s="388">
        <v>6.1627772434411879E-2</v>
      </c>
      <c r="J104" s="387">
        <v>101.65698990893428</v>
      </c>
      <c r="K104" s="389">
        <v>-89.701577651981282</v>
      </c>
      <c r="L104" s="384">
        <v>1.2649999999999999</v>
      </c>
      <c r="M104" s="389">
        <v>311.34629584051191</v>
      </c>
      <c r="N104" s="384">
        <v>2.1518223500000002</v>
      </c>
      <c r="O104" s="389">
        <v>529.61416441053416</v>
      </c>
      <c r="P104" s="390">
        <v>0.33510895004057578</v>
      </c>
    </row>
    <row r="105" spans="1:16" ht="14" thickBot="1">
      <c r="A105" s="380">
        <v>1555</v>
      </c>
      <c r="B105" s="381" t="s">
        <v>112</v>
      </c>
      <c r="C105" s="382">
        <v>523471</v>
      </c>
      <c r="D105" s="383">
        <v>1179.5772109399998</v>
      </c>
      <c r="E105" s="384">
        <v>1145.6779942800001</v>
      </c>
      <c r="F105" s="385">
        <v>-0.24801419803360455</v>
      </c>
      <c r="G105" s="386">
        <v>1434.3626098899999</v>
      </c>
      <c r="H105" s="387">
        <v>2740.0994704386676</v>
      </c>
      <c r="I105" s="388">
        <v>6.2674912112845232E-2</v>
      </c>
      <c r="J105" s="387">
        <v>141.65878167080888</v>
      </c>
      <c r="K105" s="389">
        <v>-6.8386570411732563</v>
      </c>
      <c r="L105" s="384">
        <v>479.553</v>
      </c>
      <c r="M105" s="389">
        <v>916.10232467510139</v>
      </c>
      <c r="N105" s="384">
        <v>256.34389192999998</v>
      </c>
      <c r="O105" s="389">
        <v>489.70027361592145</v>
      </c>
      <c r="P105" s="390">
        <v>0.22374863898044842</v>
      </c>
    </row>
    <row r="106" spans="1:16" ht="14" thickBot="1">
      <c r="A106" s="380">
        <v>1560</v>
      </c>
      <c r="B106" s="381" t="s">
        <v>113</v>
      </c>
      <c r="C106" s="382">
        <v>53553</v>
      </c>
      <c r="D106" s="383">
        <v>67.414521080000014</v>
      </c>
      <c r="E106" s="384">
        <v>69.691779549999993</v>
      </c>
      <c r="F106" s="385">
        <v>0.30711349229094004</v>
      </c>
      <c r="G106" s="386">
        <v>38.042670280000003</v>
      </c>
      <c r="H106" s="387">
        <v>710.37421395626768</v>
      </c>
      <c r="I106" s="388">
        <v>9.9384138788407281E-2</v>
      </c>
      <c r="J106" s="387">
        <v>124.3449240938883</v>
      </c>
      <c r="K106" s="389">
        <v>7.6828166489272336</v>
      </c>
      <c r="L106" s="384">
        <v>14.3233023</v>
      </c>
      <c r="M106" s="389">
        <v>267.46031594868634</v>
      </c>
      <c r="N106" s="384">
        <v>22.106227749999999</v>
      </c>
      <c r="O106" s="389">
        <v>412.79158497189701</v>
      </c>
      <c r="P106" s="390">
        <v>0.31719993222644005</v>
      </c>
    </row>
    <row r="107" spans="1:16" ht="14" thickBot="1">
      <c r="A107" s="380">
        <v>1562</v>
      </c>
      <c r="B107" s="381" t="s">
        <v>114</v>
      </c>
      <c r="C107" s="382">
        <v>1094829</v>
      </c>
      <c r="D107" s="383">
        <v>2130.6538573399998</v>
      </c>
      <c r="E107" s="384">
        <v>2175.1337749500003</v>
      </c>
      <c r="F107" s="385">
        <v>-0.11592503312967065</v>
      </c>
      <c r="G107" s="386">
        <v>2539.2764879400002</v>
      </c>
      <c r="H107" s="387">
        <v>2319.336159290629</v>
      </c>
      <c r="I107" s="388">
        <v>4.7010627432328297E-2</v>
      </c>
      <c r="J107" s="387">
        <v>104.4814916119321</v>
      </c>
      <c r="K107" s="389">
        <v>-276.40139419032562</v>
      </c>
      <c r="L107" s="384">
        <v>658</v>
      </c>
      <c r="M107" s="389">
        <v>601.00709791209408</v>
      </c>
      <c r="N107" s="384">
        <v>104.99759147999998</v>
      </c>
      <c r="O107" s="389">
        <v>95.903188059505169</v>
      </c>
      <c r="P107" s="390">
        <v>4.8271785712312595E-2</v>
      </c>
    </row>
    <row r="108" spans="1:16" ht="14" thickBot="1">
      <c r="A108" s="380">
        <v>1563</v>
      </c>
      <c r="B108" s="381" t="s">
        <v>115</v>
      </c>
      <c r="C108" s="382">
        <v>53902</v>
      </c>
      <c r="D108" s="383">
        <v>89.009898300000017</v>
      </c>
      <c r="E108" s="384">
        <v>89.616984000000002</v>
      </c>
      <c r="F108" s="385">
        <v>8.0787607191322899E-2</v>
      </c>
      <c r="G108" s="386">
        <v>79.700656549999991</v>
      </c>
      <c r="H108" s="387">
        <v>1478.6215084783496</v>
      </c>
      <c r="I108" s="388">
        <v>8.87268233135073E-2</v>
      </c>
      <c r="J108" s="387">
        <v>155.44321286779714</v>
      </c>
      <c r="K108" s="389">
        <v>-100.60202515676599</v>
      </c>
      <c r="L108" s="384">
        <v>22.315999999999999</v>
      </c>
      <c r="M108" s="389">
        <v>414.01061185113724</v>
      </c>
      <c r="N108" s="384">
        <v>37.377603090000001</v>
      </c>
      <c r="O108" s="389">
        <v>693.43629345849877</v>
      </c>
      <c r="P108" s="390">
        <v>0.41708168944850899</v>
      </c>
    </row>
    <row r="109" spans="1:16" ht="14" thickBot="1">
      <c r="A109" s="380">
        <v>1564</v>
      </c>
      <c r="B109" s="381" t="s">
        <v>116</v>
      </c>
      <c r="C109" s="382">
        <v>5360</v>
      </c>
      <c r="D109" s="383">
        <v>10.560626689999999</v>
      </c>
      <c r="E109" s="384">
        <v>11.0992266</v>
      </c>
      <c r="F109" s="385">
        <v>0.18892979162773532</v>
      </c>
      <c r="G109" s="386">
        <v>7.4709758999999991</v>
      </c>
      <c r="H109" s="387">
        <v>1393.8387873134327</v>
      </c>
      <c r="I109" s="388">
        <v>7.7027045795844906E-2</v>
      </c>
      <c r="J109" s="387">
        <v>167.62995708955222</v>
      </c>
      <c r="K109" s="389">
        <v>-205.98186194029856</v>
      </c>
      <c r="L109" s="384">
        <v>2.1</v>
      </c>
      <c r="M109" s="389">
        <v>391.79104477611941</v>
      </c>
      <c r="N109" s="384">
        <v>3.5238209300000003</v>
      </c>
      <c r="O109" s="389">
        <v>657.42927798507469</v>
      </c>
      <c r="P109" s="390">
        <v>0.31748346592004889</v>
      </c>
    </row>
    <row r="110" spans="1:16" s="81" customFormat="1" ht="14" thickBot="1">
      <c r="A110" s="391" t="s">
        <v>514</v>
      </c>
      <c r="B110" s="392" t="s">
        <v>117</v>
      </c>
      <c r="C110" s="393">
        <v>7301050</v>
      </c>
      <c r="D110" s="394">
        <v>14138.186701800001</v>
      </c>
      <c r="E110" s="395">
        <v>13997.312395199999</v>
      </c>
      <c r="F110" s="396" t="s">
        <v>118</v>
      </c>
      <c r="G110" s="397">
        <v>13986.271283229995</v>
      </c>
      <c r="H110" s="398">
        <v>1915.6520340540053</v>
      </c>
      <c r="I110" s="399">
        <v>6.0883052651706737E-2</v>
      </c>
      <c r="J110" s="398">
        <v>124.48296499818515</v>
      </c>
      <c r="K110" s="400">
        <v>-108.16490430006641</v>
      </c>
      <c r="L110" s="395">
        <v>3996.3588402799987</v>
      </c>
      <c r="M110" s="400">
        <v>547.36768550824866</v>
      </c>
      <c r="N110" s="395">
        <v>2102.6392701499994</v>
      </c>
      <c r="O110" s="400">
        <v>287.99135331904307</v>
      </c>
      <c r="P110" s="401">
        <v>0.15021735678851056</v>
      </c>
    </row>
    <row r="112" spans="1:16">
      <c r="B112" s="224" t="str">
        <f>'[80]data '!$E$1</f>
        <v>Etat des données: 28.9.2002</v>
      </c>
      <c r="H112" s="282"/>
    </row>
    <row r="113" spans="1:17">
      <c r="B113" s="227"/>
    </row>
    <row r="116" spans="1:17">
      <c r="B116" s="402" t="s">
        <v>119</v>
      </c>
    </row>
    <row r="117" spans="1:17">
      <c r="B117" s="402" t="s">
        <v>120</v>
      </c>
    </row>
    <row r="121" spans="1:17">
      <c r="A121" s="403" t="s">
        <v>121</v>
      </c>
      <c r="B121" s="404"/>
      <c r="C121" s="404"/>
      <c r="D121" s="404"/>
      <c r="E121" s="403"/>
      <c r="F121" s="405"/>
      <c r="G121" s="405"/>
      <c r="H121" s="403"/>
      <c r="I121" s="403"/>
      <c r="J121" s="403"/>
      <c r="K121" s="403"/>
      <c r="L121" s="403"/>
      <c r="M121" s="403"/>
      <c r="N121" s="403"/>
      <c r="O121" s="403"/>
      <c r="P121" s="403"/>
      <c r="Q121" s="403"/>
    </row>
    <row r="123" spans="1:17">
      <c r="B123" s="227" t="s">
        <v>122</v>
      </c>
    </row>
    <row r="124" spans="1:17">
      <c r="B124" s="227"/>
      <c r="C124" s="406" t="s">
        <v>123</v>
      </c>
      <c r="D124" s="406" t="s">
        <v>124</v>
      </c>
      <c r="E124" s="406" t="s">
        <v>125</v>
      </c>
    </row>
    <row r="125" spans="1:17">
      <c r="C125" s="406" t="s">
        <v>126</v>
      </c>
      <c r="D125" s="406" t="s">
        <v>127</v>
      </c>
      <c r="E125" s="406" t="s">
        <v>128</v>
      </c>
      <c r="F125" s="407"/>
    </row>
    <row r="126" spans="1:17">
      <c r="B126" s="408">
        <f t="shared" ref="B126:B157" si="0">A11</f>
        <v>8</v>
      </c>
      <c r="C126" s="409">
        <f t="shared" ref="C126:C157" si="1">H11</f>
        <v>1923.2261763568315</v>
      </c>
      <c r="D126" s="409">
        <f t="shared" ref="D126:D157" si="2">M11</f>
        <v>499.0936225406698</v>
      </c>
      <c r="E126" s="22">
        <f t="shared" ref="E126:E157" si="3">O11</f>
        <v>270.77234226297446</v>
      </c>
    </row>
    <row r="127" spans="1:17">
      <c r="B127" s="408">
        <f t="shared" si="0"/>
        <v>32</v>
      </c>
      <c r="C127" s="409">
        <f t="shared" si="1"/>
        <v>1872.0767316966242</v>
      </c>
      <c r="D127" s="409">
        <f t="shared" si="2"/>
        <v>513.55921588275817</v>
      </c>
      <c r="E127" s="22">
        <f t="shared" si="3"/>
        <v>506.24608786872926</v>
      </c>
    </row>
    <row r="128" spans="1:17">
      <c r="B128" s="408">
        <f t="shared" si="0"/>
        <v>57</v>
      </c>
      <c r="C128" s="409">
        <f t="shared" si="1"/>
        <v>2035.0512432594371</v>
      </c>
      <c r="D128" s="409">
        <f t="shared" si="2"/>
        <v>1056.6956261234272</v>
      </c>
      <c r="E128" s="22">
        <f t="shared" si="3"/>
        <v>1513.5772848012782</v>
      </c>
    </row>
    <row r="129" spans="2:5">
      <c r="B129" s="408">
        <f t="shared" si="0"/>
        <v>62</v>
      </c>
      <c r="C129" s="409">
        <f t="shared" si="1"/>
        <v>2545.4859220012581</v>
      </c>
      <c r="D129" s="409">
        <f t="shared" si="2"/>
        <v>883.61540160642573</v>
      </c>
      <c r="E129" s="22">
        <f t="shared" si="3"/>
        <v>5.6521945129917261</v>
      </c>
    </row>
    <row r="130" spans="2:5">
      <c r="B130" s="408">
        <f t="shared" si="0"/>
        <v>97</v>
      </c>
      <c r="C130" s="409">
        <f t="shared" si="1"/>
        <v>1903.8576518691589</v>
      </c>
      <c r="D130" s="409">
        <f t="shared" si="2"/>
        <v>292.05607476635515</v>
      </c>
      <c r="E130" s="22">
        <f t="shared" si="3"/>
        <v>528.35592289719625</v>
      </c>
    </row>
    <row r="131" spans="2:5">
      <c r="B131" s="408">
        <f t="shared" si="0"/>
        <v>109</v>
      </c>
      <c r="C131" s="409">
        <f t="shared" si="1"/>
        <v>1735.3089147286819</v>
      </c>
      <c r="D131" s="409">
        <f t="shared" si="2"/>
        <v>387.59689922480618</v>
      </c>
      <c r="E131" s="22">
        <f t="shared" si="3"/>
        <v>1700.6436046511628</v>
      </c>
    </row>
    <row r="132" spans="2:5">
      <c r="B132" s="408">
        <f t="shared" si="0"/>
        <v>134</v>
      </c>
      <c r="C132" s="409">
        <f t="shared" si="1"/>
        <v>1694.7843457943925</v>
      </c>
      <c r="D132" s="409">
        <f t="shared" si="2"/>
        <v>545.17133956386294</v>
      </c>
      <c r="E132" s="22">
        <f t="shared" si="3"/>
        <v>766.79562305295951</v>
      </c>
    </row>
    <row r="133" spans="2:5">
      <c r="B133" s="408">
        <f t="shared" si="0"/>
        <v>160</v>
      </c>
      <c r="C133" s="409">
        <f t="shared" si="1"/>
        <v>1643.4307107087827</v>
      </c>
      <c r="D133" s="409">
        <f t="shared" si="2"/>
        <v>471.87981510015408</v>
      </c>
      <c r="E133" s="22">
        <f t="shared" si="3"/>
        <v>291.558095146379</v>
      </c>
    </row>
    <row r="134" spans="2:5">
      <c r="B134" s="408">
        <f t="shared" si="0"/>
        <v>178</v>
      </c>
      <c r="C134" s="409">
        <f t="shared" si="1"/>
        <v>1402.2848060344832</v>
      </c>
      <c r="D134" s="409">
        <f t="shared" si="2"/>
        <v>431.0344827586207</v>
      </c>
      <c r="E134" s="22">
        <f t="shared" si="3"/>
        <v>860.52219827586202</v>
      </c>
    </row>
    <row r="135" spans="2:5">
      <c r="B135" s="408">
        <f t="shared" si="0"/>
        <v>182</v>
      </c>
      <c r="C135" s="409">
        <f t="shared" si="1"/>
        <v>1880.4491510422733</v>
      </c>
      <c r="D135" s="409">
        <f t="shared" si="2"/>
        <v>531.81165327432939</v>
      </c>
      <c r="E135" s="22">
        <f t="shared" si="3"/>
        <v>441.94753813904737</v>
      </c>
    </row>
    <row r="136" spans="2:5">
      <c r="B136" s="408">
        <f t="shared" si="0"/>
        <v>194</v>
      </c>
      <c r="C136" s="409">
        <f t="shared" si="1"/>
        <v>1088.5343082958348</v>
      </c>
      <c r="D136" s="409">
        <f t="shared" si="2"/>
        <v>288.45044421368408</v>
      </c>
      <c r="E136" s="22">
        <f t="shared" si="3"/>
        <v>727.81473404869041</v>
      </c>
    </row>
    <row r="137" spans="2:5">
      <c r="B137" s="408">
        <f t="shared" si="0"/>
        <v>216</v>
      </c>
      <c r="C137" s="409">
        <f t="shared" si="1"/>
        <v>2037.6793623639189</v>
      </c>
      <c r="D137" s="409">
        <f t="shared" si="2"/>
        <v>824.2612752721617</v>
      </c>
      <c r="E137" s="22">
        <f t="shared" si="3"/>
        <v>2147.6871539657855</v>
      </c>
    </row>
    <row r="138" spans="2:5">
      <c r="B138" s="408">
        <f t="shared" si="0"/>
        <v>240</v>
      </c>
      <c r="C138" s="409">
        <f t="shared" si="1"/>
        <v>1485.4610367892976</v>
      </c>
      <c r="D138" s="409">
        <f t="shared" si="2"/>
        <v>351.17056856187293</v>
      </c>
      <c r="E138" s="22">
        <f t="shared" si="3"/>
        <v>2079.8330434782606</v>
      </c>
    </row>
    <row r="139" spans="2:5">
      <c r="B139" s="408">
        <f t="shared" si="0"/>
        <v>246</v>
      </c>
      <c r="C139" s="409">
        <f t="shared" si="1"/>
        <v>1185.6173771558738</v>
      </c>
      <c r="D139" s="409">
        <f t="shared" si="2"/>
        <v>390.49788480312401</v>
      </c>
      <c r="E139" s="22">
        <f t="shared" si="3"/>
        <v>809.38093068662545</v>
      </c>
    </row>
    <row r="140" spans="2:5">
      <c r="B140" s="408">
        <f t="shared" si="0"/>
        <v>261</v>
      </c>
      <c r="C140" s="409">
        <f t="shared" si="1"/>
        <v>1195.0984994316029</v>
      </c>
      <c r="D140" s="409">
        <f t="shared" si="2"/>
        <v>344.82758620689657</v>
      </c>
      <c r="E140" s="22">
        <f t="shared" si="3"/>
        <v>341.57957408109138</v>
      </c>
    </row>
    <row r="141" spans="2:5">
      <c r="B141" s="408">
        <f t="shared" si="0"/>
        <v>263</v>
      </c>
      <c r="C141" s="409">
        <f t="shared" si="1"/>
        <v>2215.3294849848526</v>
      </c>
      <c r="D141" s="409">
        <f t="shared" si="2"/>
        <v>570.60501779464107</v>
      </c>
      <c r="E141" s="22">
        <f t="shared" si="3"/>
        <v>363.47498014647488</v>
      </c>
    </row>
    <row r="142" spans="2:5">
      <c r="B142" s="408">
        <f t="shared" si="0"/>
        <v>290</v>
      </c>
      <c r="C142" s="409">
        <f t="shared" si="1"/>
        <v>1920.9573823713445</v>
      </c>
      <c r="D142" s="409">
        <f t="shared" si="2"/>
        <v>545.97153299084141</v>
      </c>
      <c r="E142" s="22">
        <f t="shared" si="3"/>
        <v>297.11187569311335</v>
      </c>
    </row>
    <row r="143" spans="2:5">
      <c r="B143" s="408">
        <f t="shared" si="0"/>
        <v>294</v>
      </c>
      <c r="C143" s="409">
        <f t="shared" si="1"/>
        <v>1145.1024754683322</v>
      </c>
      <c r="D143" s="409">
        <f t="shared" si="2"/>
        <v>379.12578055307762</v>
      </c>
      <c r="E143" s="22">
        <f t="shared" si="3"/>
        <v>874.62284567350582</v>
      </c>
    </row>
    <row r="144" spans="2:5">
      <c r="B144" s="408">
        <f t="shared" si="0"/>
        <v>312</v>
      </c>
      <c r="C144" s="409">
        <f t="shared" si="1"/>
        <v>1776.5501370461127</v>
      </c>
      <c r="D144" s="409">
        <f t="shared" si="2"/>
        <v>586.77656493651148</v>
      </c>
      <c r="E144" s="22">
        <f t="shared" si="3"/>
        <v>349.8135218534195</v>
      </c>
    </row>
    <row r="145" spans="2:5">
      <c r="B145" s="408">
        <f t="shared" si="0"/>
        <v>343</v>
      </c>
      <c r="C145" s="409">
        <f t="shared" si="1"/>
        <v>2122.5749412335085</v>
      </c>
      <c r="D145" s="409">
        <f t="shared" si="2"/>
        <v>559.75083007669025</v>
      </c>
      <c r="E145" s="22">
        <f t="shared" si="3"/>
        <v>332.13178150618518</v>
      </c>
    </row>
    <row r="146" spans="2:5">
      <c r="B146" s="408">
        <f t="shared" si="0"/>
        <v>354</v>
      </c>
      <c r="C146" s="409">
        <f t="shared" si="1"/>
        <v>1653.2998776259435</v>
      </c>
      <c r="D146" s="409">
        <f t="shared" si="2"/>
        <v>496.29478550547282</v>
      </c>
      <c r="E146" s="22">
        <f t="shared" si="3"/>
        <v>-607.16458936705419</v>
      </c>
    </row>
    <row r="147" spans="2:5">
      <c r="B147" s="408">
        <f t="shared" si="0"/>
        <v>360</v>
      </c>
      <c r="C147" s="409">
        <f t="shared" si="1"/>
        <v>957.52938368782441</v>
      </c>
      <c r="D147" s="409">
        <f t="shared" si="2"/>
        <v>272.24041617819461</v>
      </c>
      <c r="E147" s="22">
        <f t="shared" si="3"/>
        <v>507.77502679618158</v>
      </c>
    </row>
    <row r="148" spans="2:5">
      <c r="B148" s="408">
        <f t="shared" si="0"/>
        <v>376</v>
      </c>
      <c r="C148" s="409">
        <f t="shared" si="1"/>
        <v>1658.1926488519712</v>
      </c>
      <c r="D148" s="409">
        <f t="shared" si="2"/>
        <v>546.08015045842808</v>
      </c>
      <c r="E148" s="22">
        <f t="shared" si="3"/>
        <v>386.23193837473553</v>
      </c>
    </row>
    <row r="149" spans="2:5">
      <c r="B149" s="408">
        <f t="shared" si="0"/>
        <v>411</v>
      </c>
      <c r="C149" s="409">
        <f t="shared" si="1"/>
        <v>1403.7160106057515</v>
      </c>
      <c r="D149" s="409">
        <f t="shared" si="2"/>
        <v>468.0967687421695</v>
      </c>
      <c r="E149" s="22">
        <f t="shared" si="3"/>
        <v>220.80150316132978</v>
      </c>
    </row>
    <row r="150" spans="2:5">
      <c r="B150" s="408">
        <f t="shared" si="0"/>
        <v>445</v>
      </c>
      <c r="C150" s="409">
        <f t="shared" si="1"/>
        <v>1504.4232044162698</v>
      </c>
      <c r="D150" s="409">
        <f t="shared" si="2"/>
        <v>430.81560109423884</v>
      </c>
      <c r="E150" s="22">
        <f t="shared" si="3"/>
        <v>240.50620620177895</v>
      </c>
    </row>
    <row r="151" spans="2:5">
      <c r="B151" s="408">
        <f t="shared" si="0"/>
        <v>455</v>
      </c>
      <c r="C151" s="409">
        <f t="shared" si="1"/>
        <v>1523.137734516182</v>
      </c>
      <c r="D151" s="409">
        <f t="shared" si="2"/>
        <v>393.35184585416226</v>
      </c>
      <c r="E151" s="22">
        <f t="shared" si="3"/>
        <v>249.74800769790417</v>
      </c>
    </row>
    <row r="152" spans="2:5">
      <c r="B152" s="408">
        <f t="shared" si="0"/>
        <v>484</v>
      </c>
      <c r="C152" s="409">
        <f t="shared" si="1"/>
        <v>1575.7277776147866</v>
      </c>
      <c r="D152" s="409">
        <f t="shared" si="2"/>
        <v>586.7683731846854</v>
      </c>
      <c r="E152" s="22">
        <f t="shared" si="3"/>
        <v>326.46757840692385</v>
      </c>
    </row>
    <row r="153" spans="2:5">
      <c r="B153" s="408">
        <f t="shared" si="0"/>
        <v>509</v>
      </c>
      <c r="C153" s="409">
        <f t="shared" si="1"/>
        <v>2634.0829673333747</v>
      </c>
      <c r="D153" s="409">
        <f t="shared" si="2"/>
        <v>816.8111369762313</v>
      </c>
      <c r="E153" s="22">
        <f t="shared" si="3"/>
        <v>533.58312538287191</v>
      </c>
    </row>
    <row r="154" spans="2:5">
      <c r="B154" s="408">
        <f t="shared" si="0"/>
        <v>556</v>
      </c>
      <c r="C154" s="409">
        <f t="shared" si="1"/>
        <v>1421.1207814930017</v>
      </c>
      <c r="D154" s="409">
        <f t="shared" si="2"/>
        <v>342.14618973561431</v>
      </c>
      <c r="E154" s="22">
        <f t="shared" si="3"/>
        <v>815.18599922239503</v>
      </c>
    </row>
    <row r="155" spans="2:5">
      <c r="B155" s="408">
        <f t="shared" si="0"/>
        <v>558</v>
      </c>
      <c r="C155" s="409">
        <f t="shared" si="1"/>
        <v>983.43362831858406</v>
      </c>
      <c r="D155" s="409">
        <f t="shared" si="2"/>
        <v>313.13818924438391</v>
      </c>
      <c r="E155" s="22">
        <f t="shared" si="3"/>
        <v>686.98426140231447</v>
      </c>
    </row>
    <row r="156" spans="2:5">
      <c r="B156" s="408">
        <f t="shared" si="0"/>
        <v>591</v>
      </c>
      <c r="C156" s="409">
        <f t="shared" si="1"/>
        <v>1232.7981188623901</v>
      </c>
      <c r="D156" s="409">
        <f t="shared" si="2"/>
        <v>438.71955107766865</v>
      </c>
      <c r="E156" s="22">
        <f t="shared" si="3"/>
        <v>460.71120902946052</v>
      </c>
    </row>
    <row r="157" spans="2:5">
      <c r="B157" s="408">
        <f t="shared" si="0"/>
        <v>623</v>
      </c>
      <c r="C157" s="409">
        <f t="shared" si="1"/>
        <v>949.74147339699869</v>
      </c>
      <c r="D157" s="409">
        <f t="shared" si="2"/>
        <v>472.03274215552523</v>
      </c>
      <c r="E157" s="22">
        <f t="shared" si="3"/>
        <v>1089.8367667121418</v>
      </c>
    </row>
    <row r="158" spans="2:5">
      <c r="B158" s="408">
        <f t="shared" ref="B158:B189" si="4">A43</f>
        <v>627</v>
      </c>
      <c r="C158" s="409">
        <f t="shared" ref="C158:C189" si="5">H43</f>
        <v>1139.0628605425984</v>
      </c>
      <c r="D158" s="409">
        <f t="shared" ref="D158:D189" si="6">M43</f>
        <v>404.56925273679201</v>
      </c>
      <c r="E158" s="22">
        <f t="shared" ref="E158:E189" si="7">O43</f>
        <v>1426.5898334126607</v>
      </c>
    </row>
    <row r="159" spans="2:5">
      <c r="B159" s="408">
        <f t="shared" si="4"/>
        <v>743</v>
      </c>
      <c r="C159" s="409">
        <f t="shared" si="5"/>
        <v>1653.4374161073827</v>
      </c>
      <c r="D159" s="409">
        <f t="shared" si="6"/>
        <v>677.85234899328862</v>
      </c>
      <c r="E159" s="22">
        <f t="shared" si="7"/>
        <v>1890.2419798657718</v>
      </c>
    </row>
    <row r="160" spans="2:5">
      <c r="B160" s="408">
        <f t="shared" si="4"/>
        <v>749</v>
      </c>
      <c r="C160" s="409">
        <f t="shared" si="5"/>
        <v>2073.2781710752483</v>
      </c>
      <c r="D160" s="409">
        <f t="shared" si="6"/>
        <v>555.05156608097786</v>
      </c>
      <c r="E160" s="22">
        <f t="shared" si="7"/>
        <v>249.71680182868602</v>
      </c>
    </row>
    <row r="161" spans="2:5">
      <c r="B161" s="408">
        <f t="shared" si="4"/>
        <v>758</v>
      </c>
      <c r="C161" s="409">
        <f t="shared" si="5"/>
        <v>1238.4586956521739</v>
      </c>
      <c r="D161" s="409">
        <f t="shared" si="6"/>
        <v>395.25691699604744</v>
      </c>
      <c r="E161" s="22">
        <f t="shared" si="7"/>
        <v>1174.3166403162054</v>
      </c>
    </row>
    <row r="162" spans="2:5">
      <c r="B162" s="408">
        <f t="shared" si="4"/>
        <v>762</v>
      </c>
      <c r="C162" s="409">
        <f t="shared" si="5"/>
        <v>1412.4894268250848</v>
      </c>
      <c r="D162" s="409">
        <f t="shared" si="6"/>
        <v>358.62413072629181</v>
      </c>
      <c r="E162" s="22">
        <f t="shared" si="7"/>
        <v>244.20953721894784</v>
      </c>
    </row>
    <row r="163" spans="2:5">
      <c r="B163" s="408">
        <f t="shared" si="4"/>
        <v>774</v>
      </c>
      <c r="C163" s="409">
        <f t="shared" si="5"/>
        <v>2276.2493824027074</v>
      </c>
      <c r="D163" s="409">
        <f t="shared" si="6"/>
        <v>617.59729272419622</v>
      </c>
      <c r="E163" s="22">
        <f t="shared" si="7"/>
        <v>1937.1834010152284</v>
      </c>
    </row>
    <row r="164" spans="2:5">
      <c r="B164" s="408">
        <f t="shared" si="4"/>
        <v>780</v>
      </c>
      <c r="C164" s="409">
        <f t="shared" si="5"/>
        <v>1074.5882894736842</v>
      </c>
      <c r="D164" s="409">
        <f t="shared" si="6"/>
        <v>241.2280701754386</v>
      </c>
      <c r="E164" s="22">
        <f t="shared" si="7"/>
        <v>540.65559210526317</v>
      </c>
    </row>
    <row r="165" spans="2:5">
      <c r="B165" s="408">
        <f t="shared" si="4"/>
        <v>790</v>
      </c>
      <c r="C165" s="409">
        <f t="shared" si="5"/>
        <v>1377.6989348752284</v>
      </c>
      <c r="D165" s="409">
        <f t="shared" si="6"/>
        <v>401.70419963481436</v>
      </c>
      <c r="E165" s="22">
        <f t="shared" si="7"/>
        <v>747.80211199026178</v>
      </c>
    </row>
    <row r="166" spans="2:5">
      <c r="B166" s="408">
        <f t="shared" si="4"/>
        <v>809</v>
      </c>
      <c r="C166" s="409">
        <f t="shared" si="5"/>
        <v>1026.6561074918566</v>
      </c>
      <c r="D166" s="409">
        <f t="shared" si="6"/>
        <v>390.87947882736154</v>
      </c>
      <c r="E166" s="22">
        <f t="shared" si="7"/>
        <v>2758.3109120521171</v>
      </c>
    </row>
    <row r="167" spans="2:5">
      <c r="B167" s="408">
        <f t="shared" si="4"/>
        <v>820</v>
      </c>
      <c r="C167" s="409">
        <f t="shared" si="5"/>
        <v>1437.4535996670829</v>
      </c>
      <c r="D167" s="409">
        <f t="shared" si="6"/>
        <v>174.78152309612983</v>
      </c>
      <c r="E167" s="22">
        <f t="shared" si="7"/>
        <v>424.7137494798169</v>
      </c>
    </row>
    <row r="168" spans="2:5">
      <c r="B168" s="408">
        <f t="shared" si="4"/>
        <v>829</v>
      </c>
      <c r="C168" s="409">
        <f t="shared" si="5"/>
        <v>1446.0077963860731</v>
      </c>
      <c r="D168" s="409">
        <f t="shared" si="6"/>
        <v>395.76906126046714</v>
      </c>
      <c r="E168" s="22">
        <f t="shared" si="7"/>
        <v>295.28426619656238</v>
      </c>
    </row>
    <row r="169" spans="2:5">
      <c r="B169" s="408">
        <f t="shared" si="4"/>
        <v>880</v>
      </c>
      <c r="C169" s="409">
        <f t="shared" si="5"/>
        <v>1334.7878402107112</v>
      </c>
      <c r="D169" s="409">
        <f t="shared" si="6"/>
        <v>442.05443371378402</v>
      </c>
      <c r="E169" s="22">
        <f t="shared" si="7"/>
        <v>654.57745390693583</v>
      </c>
    </row>
    <row r="170" spans="2:5">
      <c r="B170" s="408">
        <f t="shared" si="4"/>
        <v>881</v>
      </c>
      <c r="C170" s="409">
        <f t="shared" si="5"/>
        <v>1397.9669276345392</v>
      </c>
      <c r="D170" s="409">
        <f t="shared" si="6"/>
        <v>417.99184988583522</v>
      </c>
      <c r="E170" s="22">
        <f t="shared" si="7"/>
        <v>447.38542307628205</v>
      </c>
    </row>
    <row r="171" spans="2:5">
      <c r="B171" s="408">
        <f t="shared" si="4"/>
        <v>895</v>
      </c>
      <c r="C171" s="409">
        <f t="shared" si="5"/>
        <v>1023.1180884676147</v>
      </c>
      <c r="D171" s="409">
        <f t="shared" si="6"/>
        <v>631.91153238546599</v>
      </c>
      <c r="E171" s="22">
        <f t="shared" si="7"/>
        <v>1830.5840600315955</v>
      </c>
    </row>
    <row r="172" spans="2:5">
      <c r="B172" s="408">
        <f t="shared" si="4"/>
        <v>901</v>
      </c>
      <c r="C172" s="409">
        <f t="shared" si="5"/>
        <v>1186.0802580645161</v>
      </c>
      <c r="D172" s="409">
        <f t="shared" si="6"/>
        <v>344.08602150537632</v>
      </c>
      <c r="E172" s="22">
        <f t="shared" si="7"/>
        <v>888.64032258064515</v>
      </c>
    </row>
    <row r="173" spans="2:5">
      <c r="B173" s="408">
        <f t="shared" si="4"/>
        <v>923</v>
      </c>
      <c r="C173" s="409">
        <f t="shared" si="5"/>
        <v>1866.9416751348394</v>
      </c>
      <c r="D173" s="409">
        <f t="shared" si="6"/>
        <v>609.70843430000787</v>
      </c>
      <c r="E173" s="22">
        <f t="shared" si="7"/>
        <v>1618.6317165637458</v>
      </c>
    </row>
    <row r="174" spans="2:5">
      <c r="B174" s="408">
        <f t="shared" si="4"/>
        <v>941</v>
      </c>
      <c r="C174" s="409">
        <f t="shared" si="5"/>
        <v>1162.6157797731571</v>
      </c>
      <c r="D174" s="409">
        <f t="shared" si="6"/>
        <v>422.16209829867677</v>
      </c>
      <c r="E174" s="22">
        <f t="shared" si="7"/>
        <v>855.43587744171396</v>
      </c>
    </row>
    <row r="175" spans="2:5">
      <c r="B175" s="408">
        <f t="shared" si="4"/>
        <v>966</v>
      </c>
      <c r="C175" s="409">
        <f t="shared" si="5"/>
        <v>1300.4528096394545</v>
      </c>
      <c r="D175" s="409">
        <f t="shared" si="6"/>
        <v>259.48066504763682</v>
      </c>
      <c r="E175" s="22">
        <f t="shared" si="7"/>
        <v>425.64731552400525</v>
      </c>
    </row>
    <row r="176" spans="2:5">
      <c r="B176" s="408">
        <f t="shared" si="4"/>
        <v>979</v>
      </c>
      <c r="C176" s="409">
        <f t="shared" si="5"/>
        <v>1305.2479857819906</v>
      </c>
      <c r="D176" s="409">
        <f t="shared" si="6"/>
        <v>717.52007109004728</v>
      </c>
      <c r="E176" s="22">
        <f t="shared" si="7"/>
        <v>2741.6547867298582</v>
      </c>
    </row>
    <row r="177" spans="2:5">
      <c r="B177" s="408">
        <f t="shared" si="4"/>
        <v>992</v>
      </c>
      <c r="C177" s="409">
        <f t="shared" si="5"/>
        <v>1055.662342632527</v>
      </c>
      <c r="D177" s="409">
        <f t="shared" si="6"/>
        <v>411.63946061036194</v>
      </c>
      <c r="E177" s="22">
        <f t="shared" si="7"/>
        <v>128.37684828301579</v>
      </c>
    </row>
    <row r="178" spans="2:5">
      <c r="B178" s="408">
        <f t="shared" si="4"/>
        <v>994</v>
      </c>
      <c r="C178" s="409">
        <f t="shared" si="5"/>
        <v>1459.6625952837949</v>
      </c>
      <c r="D178" s="409">
        <f t="shared" si="6"/>
        <v>454.07183986838498</v>
      </c>
      <c r="E178" s="22">
        <f t="shared" si="7"/>
        <v>329.6381875514121</v>
      </c>
    </row>
    <row r="179" spans="2:5">
      <c r="B179" s="408">
        <f t="shared" si="4"/>
        <v>1003</v>
      </c>
      <c r="C179" s="409">
        <f t="shared" si="5"/>
        <v>1454.3997395833333</v>
      </c>
      <c r="D179" s="409">
        <f t="shared" si="6"/>
        <v>1078.125</v>
      </c>
      <c r="E179" s="22">
        <f t="shared" si="7"/>
        <v>3746.3406770833335</v>
      </c>
    </row>
    <row r="180" spans="2:5">
      <c r="B180" s="408">
        <f t="shared" si="4"/>
        <v>1007</v>
      </c>
      <c r="C180" s="409">
        <f t="shared" si="5"/>
        <v>1139.6242891715794</v>
      </c>
      <c r="D180" s="409">
        <f t="shared" si="6"/>
        <v>310.89047471300029</v>
      </c>
      <c r="E180" s="22">
        <f t="shared" si="7"/>
        <v>308.51938504498912</v>
      </c>
    </row>
    <row r="181" spans="2:5">
      <c r="B181" s="408">
        <f t="shared" si="4"/>
        <v>1040</v>
      </c>
      <c r="C181" s="409">
        <f t="shared" si="5"/>
        <v>886.05881787602118</v>
      </c>
      <c r="D181" s="409">
        <f t="shared" si="6"/>
        <v>377.15766458433444</v>
      </c>
      <c r="E181" s="22">
        <f t="shared" si="7"/>
        <v>1287.2253099471409</v>
      </c>
    </row>
    <row r="182" spans="2:5">
      <c r="B182" s="408">
        <f t="shared" si="4"/>
        <v>1058</v>
      </c>
      <c r="C182" s="409">
        <f t="shared" si="5"/>
        <v>1599.539534883721</v>
      </c>
      <c r="D182" s="409">
        <f t="shared" si="6"/>
        <v>465.11627906976742</v>
      </c>
      <c r="E182" s="22">
        <f t="shared" si="7"/>
        <v>5192.5240310077515</v>
      </c>
    </row>
    <row r="183" spans="2:5">
      <c r="B183" s="408">
        <f t="shared" si="4"/>
        <v>1060</v>
      </c>
      <c r="C183" s="409">
        <f t="shared" si="5"/>
        <v>2368.382265145271</v>
      </c>
      <c r="D183" s="409">
        <f t="shared" si="6"/>
        <v>617.32121640281298</v>
      </c>
      <c r="E183" s="22">
        <f t="shared" si="7"/>
        <v>345.49729952295831</v>
      </c>
    </row>
    <row r="184" spans="2:5">
      <c r="B184" s="408">
        <f t="shared" si="4"/>
        <v>1063</v>
      </c>
      <c r="C184" s="409">
        <f t="shared" si="5"/>
        <v>1063.6944358578053</v>
      </c>
      <c r="D184" s="409">
        <f t="shared" si="6"/>
        <v>418.08346213292117</v>
      </c>
      <c r="E184" s="22">
        <f t="shared" si="7"/>
        <v>1408.0261514683154</v>
      </c>
    </row>
    <row r="185" spans="2:5">
      <c r="B185" s="408">
        <f t="shared" si="4"/>
        <v>1065</v>
      </c>
      <c r="C185" s="409">
        <f t="shared" si="5"/>
        <v>2532.0765412070086</v>
      </c>
      <c r="D185" s="409">
        <f t="shared" si="6"/>
        <v>635.95068137573003</v>
      </c>
      <c r="E185" s="22">
        <f t="shared" si="7"/>
        <v>704.87656067488649</v>
      </c>
    </row>
    <row r="186" spans="2:5">
      <c r="B186" s="408">
        <f t="shared" si="4"/>
        <v>1079</v>
      </c>
      <c r="C186" s="409">
        <f t="shared" si="5"/>
        <v>1011.9967106625259</v>
      </c>
      <c r="D186" s="409">
        <f t="shared" si="6"/>
        <v>357.14285714285717</v>
      </c>
      <c r="E186" s="22">
        <f t="shared" si="7"/>
        <v>782.30642080745338</v>
      </c>
    </row>
    <row r="187" spans="2:5">
      <c r="B187" s="408">
        <f t="shared" si="4"/>
        <v>1093</v>
      </c>
      <c r="C187" s="409">
        <f t="shared" si="5"/>
        <v>1085.7464446260731</v>
      </c>
      <c r="D187" s="409">
        <f t="shared" si="6"/>
        <v>408.66366979975481</v>
      </c>
      <c r="E187" s="22">
        <f t="shared" si="7"/>
        <v>923.01169595422971</v>
      </c>
    </row>
    <row r="188" spans="2:5">
      <c r="B188" s="408">
        <f t="shared" si="4"/>
        <v>1097</v>
      </c>
      <c r="C188" s="409">
        <f t="shared" si="5"/>
        <v>1630.3745610085546</v>
      </c>
      <c r="D188" s="409">
        <f t="shared" si="6"/>
        <v>445.74515983791088</v>
      </c>
      <c r="E188" s="22">
        <f t="shared" si="7"/>
        <v>1109.7511886537595</v>
      </c>
    </row>
    <row r="189" spans="2:5">
      <c r="B189" s="408">
        <f t="shared" si="4"/>
        <v>1113</v>
      </c>
      <c r="C189" s="409">
        <f t="shared" si="5"/>
        <v>1424.866247139588</v>
      </c>
      <c r="D189" s="409">
        <f t="shared" si="6"/>
        <v>202.68061457992809</v>
      </c>
      <c r="E189" s="22">
        <f t="shared" si="7"/>
        <v>719.78117031709712</v>
      </c>
    </row>
    <row r="190" spans="2:5">
      <c r="B190" s="408">
        <f t="shared" ref="B190:B221" si="8">A75</f>
        <v>1131</v>
      </c>
      <c r="C190" s="409">
        <f t="shared" ref="C190:C221" si="9">H75</f>
        <v>1531.9881318681319</v>
      </c>
      <c r="D190" s="409">
        <f t="shared" ref="D190:D221" si="10">M75</f>
        <v>364.83516483516485</v>
      </c>
      <c r="E190" s="22">
        <f t="shared" ref="E190:E221" si="11">O75</f>
        <v>181.65934945054946</v>
      </c>
    </row>
    <row r="191" spans="2:5">
      <c r="B191" s="408">
        <f t="shared" si="8"/>
        <v>1142</v>
      </c>
      <c r="C191" s="409">
        <f t="shared" si="9"/>
        <v>3360.0721278317155</v>
      </c>
      <c r="D191" s="409">
        <f t="shared" si="10"/>
        <v>1351.1326860841425</v>
      </c>
      <c r="E191" s="22">
        <f t="shared" si="11"/>
        <v>9325.626982200647</v>
      </c>
    </row>
    <row r="192" spans="2:5">
      <c r="B192" s="408">
        <f t="shared" si="8"/>
        <v>1147</v>
      </c>
      <c r="C192" s="409">
        <f t="shared" si="9"/>
        <v>1823.957928388747</v>
      </c>
      <c r="D192" s="409">
        <f t="shared" si="10"/>
        <v>1445.0127877237851</v>
      </c>
      <c r="E192" s="22">
        <f t="shared" si="11"/>
        <v>2435.6882352941175</v>
      </c>
    </row>
    <row r="193" spans="2:5">
      <c r="B193" s="408">
        <f t="shared" si="8"/>
        <v>1159</v>
      </c>
      <c r="C193" s="409">
        <f t="shared" si="9"/>
        <v>1041.029283762241</v>
      </c>
      <c r="D193" s="409">
        <f t="shared" si="10"/>
        <v>212.93554998861308</v>
      </c>
      <c r="E193" s="22">
        <f t="shared" si="11"/>
        <v>216.45074470507856</v>
      </c>
    </row>
    <row r="194" spans="2:5">
      <c r="B194" s="408">
        <f t="shared" si="8"/>
        <v>1215</v>
      </c>
      <c r="C194" s="409">
        <f t="shared" si="9"/>
        <v>1264.3091652950857</v>
      </c>
      <c r="D194" s="409">
        <f t="shared" si="10"/>
        <v>330.35504349870678</v>
      </c>
      <c r="E194" s="22">
        <f t="shared" si="11"/>
        <v>572.52693628027271</v>
      </c>
    </row>
    <row r="195" spans="2:5">
      <c r="B195" s="408">
        <f t="shared" si="8"/>
        <v>1305</v>
      </c>
      <c r="C195" s="409">
        <f t="shared" si="9"/>
        <v>2141.9290680400118</v>
      </c>
      <c r="D195" s="409">
        <f t="shared" si="10"/>
        <v>559.96464296325644</v>
      </c>
      <c r="E195" s="22">
        <f t="shared" si="11"/>
        <v>716.10597009012588</v>
      </c>
    </row>
    <row r="196" spans="2:5">
      <c r="B196" s="408">
        <f t="shared" si="8"/>
        <v>1318</v>
      </c>
      <c r="C196" s="409">
        <f t="shared" si="9"/>
        <v>1421.0518440979959</v>
      </c>
      <c r="D196" s="409">
        <f t="shared" si="10"/>
        <v>503.34075723830733</v>
      </c>
      <c r="E196" s="22">
        <f t="shared" si="11"/>
        <v>980.0471314031181</v>
      </c>
    </row>
    <row r="197" spans="2:5">
      <c r="B197" s="408">
        <f t="shared" si="8"/>
        <v>1322</v>
      </c>
      <c r="C197" s="409">
        <f t="shared" si="9"/>
        <v>885.81163682864462</v>
      </c>
      <c r="D197" s="409">
        <f t="shared" si="10"/>
        <v>120.88549190110828</v>
      </c>
      <c r="E197" s="22">
        <f t="shared" si="11"/>
        <v>0</v>
      </c>
    </row>
    <row r="198" spans="2:5">
      <c r="B198" s="408">
        <f t="shared" si="8"/>
        <v>1328</v>
      </c>
      <c r="C198" s="409">
        <f t="shared" si="9"/>
        <v>1581.5023310810814</v>
      </c>
      <c r="D198" s="409">
        <f t="shared" si="10"/>
        <v>587.65566528066529</v>
      </c>
      <c r="E198" s="22">
        <f t="shared" si="11"/>
        <v>945.81884485446983</v>
      </c>
    </row>
    <row r="199" spans="2:5">
      <c r="B199" s="408">
        <f t="shared" si="8"/>
        <v>1331</v>
      </c>
      <c r="C199" s="409">
        <f t="shared" si="9"/>
        <v>1641.7283882783881</v>
      </c>
      <c r="D199" s="409">
        <f t="shared" si="10"/>
        <v>448.71794871794873</v>
      </c>
      <c r="E199" s="22">
        <f t="shared" si="11"/>
        <v>2660.4155677655676</v>
      </c>
    </row>
    <row r="200" spans="2:5">
      <c r="B200" s="408">
        <f t="shared" si="8"/>
        <v>1362</v>
      </c>
      <c r="C200" s="409">
        <f t="shared" si="9"/>
        <v>1086.4683198380567</v>
      </c>
      <c r="D200" s="409">
        <f t="shared" si="10"/>
        <v>366.39676113360326</v>
      </c>
      <c r="E200" s="22">
        <f t="shared" si="11"/>
        <v>1433.6734817813765</v>
      </c>
    </row>
    <row r="201" spans="2:5">
      <c r="B201" s="408">
        <f t="shared" si="8"/>
        <v>1384</v>
      </c>
      <c r="C201" s="409">
        <f t="shared" si="9"/>
        <v>1876.7263565185146</v>
      </c>
      <c r="D201" s="409">
        <f t="shared" si="10"/>
        <v>477.40211448853103</v>
      </c>
      <c r="E201" s="22">
        <f t="shared" si="11"/>
        <v>323.74410586427928</v>
      </c>
    </row>
    <row r="202" spans="2:5">
      <c r="B202" s="408">
        <f t="shared" si="8"/>
        <v>1386</v>
      </c>
      <c r="C202" s="409">
        <f t="shared" si="9"/>
        <v>1790.6360022477613</v>
      </c>
      <c r="D202" s="409">
        <f t="shared" si="10"/>
        <v>502.84595584236666</v>
      </c>
      <c r="E202" s="22">
        <f t="shared" si="11"/>
        <v>18.782373200884603</v>
      </c>
    </row>
    <row r="203" spans="2:5">
      <c r="B203" s="408">
        <f t="shared" si="8"/>
        <v>1395</v>
      </c>
      <c r="C203" s="409">
        <f t="shared" si="9"/>
        <v>1385.2274361022367</v>
      </c>
      <c r="D203" s="409">
        <f t="shared" si="10"/>
        <v>344.28740681576147</v>
      </c>
      <c r="E203" s="22">
        <f t="shared" si="11"/>
        <v>335.71727014554494</v>
      </c>
    </row>
    <row r="204" spans="2:5">
      <c r="B204" s="408">
        <f t="shared" si="8"/>
        <v>1401</v>
      </c>
      <c r="C204" s="409">
        <f t="shared" si="9"/>
        <v>1122.8089300911854</v>
      </c>
      <c r="D204" s="409">
        <f t="shared" si="10"/>
        <v>270.17899358324888</v>
      </c>
      <c r="E204" s="22">
        <f t="shared" si="11"/>
        <v>191.45997973657549</v>
      </c>
    </row>
    <row r="205" spans="2:5">
      <c r="B205" s="408">
        <f t="shared" si="8"/>
        <v>1423</v>
      </c>
      <c r="C205" s="409">
        <f t="shared" si="9"/>
        <v>1158.0113031293788</v>
      </c>
      <c r="D205" s="409">
        <f t="shared" si="10"/>
        <v>326.9500233535731</v>
      </c>
      <c r="E205" s="22">
        <f t="shared" si="11"/>
        <v>3.1308547407753387</v>
      </c>
    </row>
    <row r="206" spans="2:5">
      <c r="B206" s="408">
        <f t="shared" si="8"/>
        <v>1442</v>
      </c>
      <c r="C206" s="409">
        <f t="shared" si="9"/>
        <v>1697.074509803921</v>
      </c>
      <c r="D206" s="409">
        <f t="shared" si="10"/>
        <v>620.9150326797386</v>
      </c>
      <c r="E206" s="22">
        <f t="shared" si="11"/>
        <v>2559.293267973856</v>
      </c>
    </row>
    <row r="207" spans="2:5">
      <c r="B207" s="408">
        <f t="shared" si="8"/>
        <v>1448</v>
      </c>
      <c r="C207" s="409">
        <f t="shared" si="9"/>
        <v>1155.2668952007834</v>
      </c>
      <c r="D207" s="409">
        <f t="shared" si="10"/>
        <v>587.65915768854063</v>
      </c>
      <c r="E207" s="22">
        <f t="shared" si="11"/>
        <v>1187.7625367286973</v>
      </c>
    </row>
    <row r="208" spans="2:5">
      <c r="B208" s="408">
        <f t="shared" si="8"/>
        <v>1454</v>
      </c>
      <c r="C208" s="409">
        <f t="shared" si="9"/>
        <v>1171.5877810007253</v>
      </c>
      <c r="D208" s="409">
        <f t="shared" si="10"/>
        <v>353.51704133430025</v>
      </c>
      <c r="E208" s="22">
        <f t="shared" si="11"/>
        <v>509.87869651921687</v>
      </c>
    </row>
    <row r="209" spans="2:5">
      <c r="B209" s="408">
        <f t="shared" si="8"/>
        <v>1479</v>
      </c>
      <c r="C209" s="409">
        <f t="shared" si="9"/>
        <v>1818.1645346863397</v>
      </c>
      <c r="D209" s="409">
        <f t="shared" si="10"/>
        <v>517.17062433546607</v>
      </c>
      <c r="E209" s="22">
        <f t="shared" si="11"/>
        <v>459.70881307243189</v>
      </c>
    </row>
    <row r="210" spans="2:5">
      <c r="B210" s="408">
        <f t="shared" si="8"/>
        <v>1507</v>
      </c>
      <c r="C210" s="409">
        <f t="shared" si="9"/>
        <v>1397.1989247311831</v>
      </c>
      <c r="D210" s="409">
        <f t="shared" si="10"/>
        <v>223.53184449958644</v>
      </c>
      <c r="E210" s="22">
        <f t="shared" si="11"/>
        <v>622.1528825475599</v>
      </c>
    </row>
    <row r="211" spans="2:5">
      <c r="B211" s="408">
        <f t="shared" si="8"/>
        <v>1509</v>
      </c>
      <c r="C211" s="409">
        <f t="shared" si="9"/>
        <v>1294.898347032447</v>
      </c>
      <c r="D211" s="409">
        <f t="shared" si="10"/>
        <v>395.97621622166605</v>
      </c>
      <c r="E211" s="22">
        <f t="shared" si="11"/>
        <v>297.64643031599962</v>
      </c>
    </row>
    <row r="212" spans="2:5">
      <c r="B212" s="408">
        <f t="shared" si="8"/>
        <v>1519</v>
      </c>
      <c r="C212" s="409">
        <f t="shared" si="9"/>
        <v>1475.0031716331362</v>
      </c>
      <c r="D212" s="409">
        <f t="shared" si="10"/>
        <v>417.52362101226282</v>
      </c>
      <c r="E212" s="22">
        <f t="shared" si="11"/>
        <v>328.35167442435863</v>
      </c>
    </row>
    <row r="213" spans="2:5">
      <c r="B213" s="408">
        <f t="shared" si="8"/>
        <v>1520</v>
      </c>
      <c r="C213" s="409">
        <f t="shared" si="9"/>
        <v>1862.1987143170843</v>
      </c>
      <c r="D213" s="409">
        <f t="shared" si="10"/>
        <v>603.86473429951695</v>
      </c>
      <c r="E213" s="22">
        <f t="shared" si="11"/>
        <v>604.14439119455426</v>
      </c>
    </row>
    <row r="214" spans="2:5">
      <c r="B214" s="408">
        <f t="shared" si="8"/>
        <v>1529</v>
      </c>
      <c r="C214" s="409">
        <f t="shared" si="9"/>
        <v>1587.9137963215483</v>
      </c>
      <c r="D214" s="409">
        <f t="shared" si="10"/>
        <v>439.79451634937038</v>
      </c>
      <c r="E214" s="22">
        <f t="shared" si="11"/>
        <v>123.65174209803368</v>
      </c>
    </row>
    <row r="215" spans="2:5">
      <c r="B215" s="408">
        <f t="shared" si="8"/>
        <v>1535</v>
      </c>
      <c r="C215" s="409">
        <f t="shared" si="9"/>
        <v>2225.5073235003701</v>
      </c>
      <c r="D215" s="409">
        <f t="shared" si="10"/>
        <v>511.10836830412245</v>
      </c>
      <c r="E215" s="22">
        <f t="shared" si="11"/>
        <v>623.81794075536902</v>
      </c>
    </row>
    <row r="216" spans="2:5">
      <c r="B216" s="408">
        <f t="shared" si="8"/>
        <v>1542</v>
      </c>
      <c r="C216" s="409">
        <f t="shared" si="9"/>
        <v>947.83693335088287</v>
      </c>
      <c r="D216" s="409">
        <f t="shared" si="10"/>
        <v>341.87027633648069</v>
      </c>
      <c r="E216" s="22">
        <f t="shared" si="11"/>
        <v>136.23411238422477</v>
      </c>
    </row>
    <row r="217" spans="2:5">
      <c r="B217" s="408">
        <f t="shared" si="8"/>
        <v>1549</v>
      </c>
      <c r="C217" s="409">
        <f t="shared" si="9"/>
        <v>1746.9697122888149</v>
      </c>
      <c r="D217" s="409">
        <f t="shared" si="10"/>
        <v>514.98988412727613</v>
      </c>
      <c r="E217" s="22">
        <f t="shared" si="11"/>
        <v>358.82611130087497</v>
      </c>
    </row>
    <row r="218" spans="2:5">
      <c r="B218" s="408">
        <f t="shared" si="8"/>
        <v>1551</v>
      </c>
      <c r="C218" s="409">
        <f t="shared" si="9"/>
        <v>1482.6647980392429</v>
      </c>
      <c r="D218" s="409">
        <f t="shared" si="10"/>
        <v>429.26180816151322</v>
      </c>
      <c r="E218" s="22">
        <f t="shared" si="11"/>
        <v>159.5789898500353</v>
      </c>
    </row>
    <row r="219" spans="2:5">
      <c r="B219" s="408">
        <f t="shared" si="8"/>
        <v>1552</v>
      </c>
      <c r="C219" s="409">
        <f t="shared" si="9"/>
        <v>1150.5500615308883</v>
      </c>
      <c r="D219" s="409">
        <f t="shared" si="10"/>
        <v>311.34629584051191</v>
      </c>
      <c r="E219" s="22">
        <f t="shared" si="11"/>
        <v>529.61416441053416</v>
      </c>
    </row>
    <row r="220" spans="2:5">
      <c r="B220" s="408">
        <f t="shared" si="8"/>
        <v>1555</v>
      </c>
      <c r="C220" s="409">
        <f t="shared" si="9"/>
        <v>2740.0994704386676</v>
      </c>
      <c r="D220" s="409">
        <f t="shared" si="10"/>
        <v>916.10232467510139</v>
      </c>
      <c r="E220" s="22">
        <f t="shared" si="11"/>
        <v>489.70027361592145</v>
      </c>
    </row>
    <row r="221" spans="2:5">
      <c r="B221" s="408">
        <f t="shared" si="8"/>
        <v>1560</v>
      </c>
      <c r="C221" s="409">
        <f t="shared" si="9"/>
        <v>710.37421395626768</v>
      </c>
      <c r="D221" s="409">
        <f t="shared" si="10"/>
        <v>267.46031594868634</v>
      </c>
      <c r="E221" s="22">
        <f t="shared" si="11"/>
        <v>412.79158497189701</v>
      </c>
    </row>
    <row r="222" spans="2:5">
      <c r="B222" s="408">
        <f>A107</f>
        <v>1562</v>
      </c>
      <c r="C222" s="409">
        <f>H107</f>
        <v>2319.336159290629</v>
      </c>
      <c r="D222" s="409">
        <f>M107</f>
        <v>601.00709791209408</v>
      </c>
      <c r="E222" s="22">
        <f>O107</f>
        <v>95.903188059505169</v>
      </c>
    </row>
    <row r="223" spans="2:5">
      <c r="B223" s="408">
        <f>A108</f>
        <v>1563</v>
      </c>
      <c r="C223" s="409">
        <f>H108</f>
        <v>1478.6215084783496</v>
      </c>
      <c r="D223" s="409">
        <f>M108</f>
        <v>414.01061185113724</v>
      </c>
      <c r="E223" s="22">
        <f>O108</f>
        <v>693.43629345849877</v>
      </c>
    </row>
    <row r="224" spans="2:5">
      <c r="B224" s="408">
        <f>A109</f>
        <v>1564</v>
      </c>
      <c r="C224" s="409">
        <f>H109</f>
        <v>1393.8387873134327</v>
      </c>
      <c r="D224" s="409">
        <f>M109</f>
        <v>391.79104477611941</v>
      </c>
      <c r="E224" s="22">
        <f>O109</f>
        <v>657.42927798507469</v>
      </c>
    </row>
    <row r="225" spans="1:7">
      <c r="A225" s="282"/>
      <c r="B225" s="408" t="s">
        <v>129</v>
      </c>
      <c r="C225" s="409">
        <f>H110</f>
        <v>1915.6520340540053</v>
      </c>
      <c r="D225" s="409">
        <f>M110</f>
        <v>547.36768550824866</v>
      </c>
      <c r="E225" s="22">
        <f>O110</f>
        <v>287.99135331904307</v>
      </c>
    </row>
    <row r="226" spans="1:7">
      <c r="A226" s="282"/>
    </row>
    <row r="227" spans="1:7">
      <c r="A227" s="282"/>
    </row>
    <row r="228" spans="1:7" ht="16">
      <c r="B228" s="410" t="s">
        <v>130</v>
      </c>
      <c r="G228" s="410" t="s">
        <v>131</v>
      </c>
    </row>
    <row r="229" spans="1:7" ht="16">
      <c r="B229" s="410" t="s">
        <v>132</v>
      </c>
      <c r="G229" s="410" t="s">
        <v>133</v>
      </c>
    </row>
  </sheetData>
  <phoneticPr fontId="0" type="noConversion"/>
  <pageMargins left="0.78740157480314965" right="0.35" top="0.62" bottom="0.76" header="0.31" footer="0.26"/>
  <pageSetup paperSize="9" scale="80" pageOrder="overThenDown" orientation="portrait" horizontalDpi="4294967292" verticalDpi="4294967292"/>
  <headerFooter alignWithMargins="0">
    <oddHeader>&amp;L&amp;"Arial,Bold"&amp;14Données nécessaires à la surveillance AOS selon art. 31 OAMal</oddHeader>
    <oddFooter>&amp;L&amp;"Arial,Regular"Statistique de l'assurance-maladie, Office fédéral des assurances sociales - &amp;P / &amp;N</oddFooter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59EE-784A-FE49-9B7E-DB414E8888B8}">
  <dimension ref="A1:H16"/>
  <sheetViews>
    <sheetView zoomScale="75" workbookViewId="0">
      <selection activeCell="E13" sqref="E13"/>
    </sheetView>
  </sheetViews>
  <sheetFormatPr baseColWidth="10" defaultColWidth="11.3984375" defaultRowHeight="13"/>
  <cols>
    <col min="1" max="1" width="16.796875" style="7" customWidth="1"/>
    <col min="2" max="7" width="14.796875" style="7" customWidth="1"/>
    <col min="8" max="16384" width="11.3984375" style="7"/>
  </cols>
  <sheetData>
    <row r="1" spans="1:8" s="1" customFormat="1" ht="14" customHeight="1"/>
    <row r="2" spans="1:8" s="1" customFormat="1" ht="28" customHeight="1">
      <c r="A2" s="2" t="s">
        <v>134</v>
      </c>
    </row>
    <row r="3" spans="1:8" ht="24" customHeight="1">
      <c r="A3" s="41" t="s">
        <v>535</v>
      </c>
      <c r="B3" s="6" t="s">
        <v>817</v>
      </c>
      <c r="C3" s="42" t="s">
        <v>1183</v>
      </c>
      <c r="D3" s="6" t="s">
        <v>677</v>
      </c>
      <c r="E3" s="42" t="s">
        <v>135</v>
      </c>
      <c r="F3" s="6" t="s">
        <v>136</v>
      </c>
      <c r="G3" s="260" t="s">
        <v>522</v>
      </c>
    </row>
    <row r="4" spans="1:8" ht="15" customHeight="1">
      <c r="A4" s="43"/>
      <c r="B4" s="12" t="s">
        <v>740</v>
      </c>
      <c r="C4" s="44" t="s">
        <v>137</v>
      </c>
      <c r="D4" s="12" t="s">
        <v>740</v>
      </c>
      <c r="E4" s="44" t="s">
        <v>138</v>
      </c>
      <c r="F4" s="12" t="s">
        <v>139</v>
      </c>
      <c r="G4" s="61" t="s">
        <v>523</v>
      </c>
    </row>
    <row r="5" spans="1:8" ht="15" customHeight="1">
      <c r="A5" s="43"/>
      <c r="B5" s="12"/>
      <c r="C5" s="44" t="s">
        <v>140</v>
      </c>
      <c r="D5" s="12"/>
      <c r="E5" s="44" t="s">
        <v>140</v>
      </c>
      <c r="F5" s="12" t="s">
        <v>141</v>
      </c>
      <c r="G5" s="61" t="s">
        <v>524</v>
      </c>
    </row>
    <row r="6" spans="1:8" ht="24" customHeight="1" thickBot="1">
      <c r="A6" s="46"/>
      <c r="B6" s="16"/>
      <c r="C6" s="47" t="s">
        <v>142</v>
      </c>
      <c r="D6" s="16"/>
      <c r="E6" s="47" t="s">
        <v>142</v>
      </c>
      <c r="F6" s="16"/>
      <c r="G6" s="64"/>
    </row>
    <row r="7" spans="1:8" ht="30" customHeight="1" thickBot="1">
      <c r="A7" s="52">
        <f>[81]f!A7</f>
        <v>1994</v>
      </c>
      <c r="B7" s="53">
        <f>[81]f!B7</f>
        <v>1057650000</v>
      </c>
      <c r="C7" s="71">
        <f>[81]f!C7</f>
        <v>318.09835740161776</v>
      </c>
      <c r="D7" s="53">
        <f>[81]f!D7</f>
        <v>983235000</v>
      </c>
      <c r="E7" s="71">
        <f>[81]f!E7</f>
        <v>295.71733412733857</v>
      </c>
      <c r="F7" s="53">
        <f>[81]f!F7</f>
        <v>3324915</v>
      </c>
      <c r="G7" s="302">
        <f>[81]f!G7</f>
        <v>6.8528664295382902E-2</v>
      </c>
      <c r="H7" s="22"/>
    </row>
    <row r="8" spans="1:8" ht="20" customHeight="1" thickBot="1">
      <c r="A8" s="52">
        <f>[81]f!A8</f>
        <v>1995</v>
      </c>
      <c r="B8" s="53">
        <f>[81]f!B8</f>
        <v>1078822000</v>
      </c>
      <c r="C8" s="71">
        <f>[81]f!C8</f>
        <v>329.71181366833588</v>
      </c>
      <c r="D8" s="53">
        <f>[81]f!D8</f>
        <v>1017388000</v>
      </c>
      <c r="E8" s="71">
        <f>[81]f!E8</f>
        <v>310.93622737059582</v>
      </c>
      <c r="F8" s="53">
        <f>[81]f!F8</f>
        <v>3272015</v>
      </c>
      <c r="G8" s="302">
        <f>[81]f!G8</f>
        <v>-1.591018116252596E-2</v>
      </c>
    </row>
    <row r="9" spans="1:8" ht="20" customHeight="1" thickBot="1">
      <c r="A9" s="52">
        <f>[81]f!A9</f>
        <v>1996</v>
      </c>
      <c r="B9" s="53">
        <f>[81]f!B9</f>
        <v>834293460.30999994</v>
      </c>
      <c r="C9" s="71">
        <f>[81]f!C9</f>
        <v>376.29671172369871</v>
      </c>
      <c r="D9" s="53">
        <f>[81]f!D9</f>
        <v>872501911.04999995</v>
      </c>
      <c r="E9" s="71">
        <f>[81]f!E9</f>
        <v>393.53011346722496</v>
      </c>
      <c r="F9" s="53">
        <f>[81]f!F9</f>
        <v>2217116</v>
      </c>
      <c r="G9" s="302">
        <f>[81]f!G9</f>
        <v>-0.32240041686850457</v>
      </c>
    </row>
    <row r="10" spans="1:8" ht="20" customHeight="1" thickBot="1">
      <c r="A10" s="52">
        <f>[81]f!A10</f>
        <v>1997</v>
      </c>
      <c r="B10" s="53">
        <f>[81]f!B10</f>
        <v>560570162</v>
      </c>
      <c r="C10" s="71">
        <f>[81]f!C10</f>
        <v>392.67</v>
      </c>
      <c r="D10" s="53">
        <f>[81]f!D10</f>
        <v>621526120</v>
      </c>
      <c r="E10" s="71">
        <f>[81]f!E10</f>
        <v>435.36</v>
      </c>
      <c r="F10" s="53">
        <f>[81]f!F10</f>
        <v>1427603</v>
      </c>
      <c r="G10" s="302">
        <f>[81]f!G10</f>
        <v>-0.35609909449934057</v>
      </c>
    </row>
    <row r="11" spans="1:8" ht="20" customHeight="1" thickBot="1">
      <c r="A11" s="52">
        <f>[81]f!A11</f>
        <v>1998</v>
      </c>
      <c r="B11" s="53">
        <f>[81]f!B11</f>
        <v>511396331</v>
      </c>
      <c r="C11" s="71">
        <f>[81]f!C11</f>
        <v>426.81</v>
      </c>
      <c r="D11" s="53">
        <f>[81]f!D11</f>
        <v>456362591</v>
      </c>
      <c r="E11" s="71">
        <f>[81]f!E11</f>
        <v>380.88</v>
      </c>
      <c r="F11" s="53">
        <f>[81]f!F11</f>
        <v>1198191</v>
      </c>
      <c r="G11" s="302">
        <f>[81]f!G11</f>
        <v>-0.16069733672456557</v>
      </c>
    </row>
    <row r="12" spans="1:8" ht="20" customHeight="1" thickBot="1">
      <c r="A12" s="52">
        <f>[81]f!A12</f>
        <v>1999</v>
      </c>
      <c r="B12" s="53">
        <f>[81]f!B12</f>
        <v>464483007</v>
      </c>
      <c r="C12" s="71">
        <f>[81]f!C12</f>
        <v>435.18</v>
      </c>
      <c r="D12" s="53">
        <f>[81]f!D12</f>
        <v>412149153</v>
      </c>
      <c r="E12" s="71">
        <f>[81]f!E12</f>
        <v>386.14</v>
      </c>
      <c r="F12" s="53">
        <f>[81]f!F12</f>
        <v>1067344</v>
      </c>
      <c r="G12" s="302">
        <f>[81]f!G12</f>
        <v>-0.1092037913821753</v>
      </c>
    </row>
    <row r="13" spans="1:8" ht="20" customHeight="1" thickBot="1">
      <c r="A13" s="52">
        <f>[81]f!A13</f>
        <v>2000</v>
      </c>
      <c r="B13" s="53">
        <f>[81]f!B13</f>
        <v>439226020</v>
      </c>
      <c r="C13" s="71">
        <f>[81]f!C13</f>
        <v>461.5</v>
      </c>
      <c r="D13" s="53">
        <f>[81]f!D13</f>
        <v>381639920</v>
      </c>
      <c r="E13" s="71">
        <f>[81]f!E13</f>
        <v>400.99</v>
      </c>
      <c r="F13" s="53">
        <f>[81]f!F13</f>
        <v>951742</v>
      </c>
      <c r="G13" s="302">
        <f>[81]f!G13</f>
        <v>-0.10830809935690837</v>
      </c>
    </row>
    <row r="14" spans="1:8" ht="30" customHeight="1" thickBot="1">
      <c r="A14" s="411">
        <f>[81]f!A14</f>
        <v>2001</v>
      </c>
      <c r="B14" s="287">
        <f>[81]f!B14</f>
        <v>400711889.14999998</v>
      </c>
      <c r="C14" s="288">
        <f>[81]f!C14</f>
        <v>461.25</v>
      </c>
      <c r="D14" s="287">
        <f>[81]f!D14</f>
        <v>351971371</v>
      </c>
      <c r="E14" s="288">
        <f>[81]f!E14</f>
        <v>405.14</v>
      </c>
      <c r="F14" s="287">
        <f>[81]f!F14</f>
        <v>868760</v>
      </c>
      <c r="G14" s="304">
        <f>[81]f!G14</f>
        <v>-8.7189595499620701E-2</v>
      </c>
    </row>
    <row r="15" spans="1:8" ht="20" customHeight="1">
      <c r="A15" s="28" t="str">
        <f>[82]data!$D$2</f>
        <v>Datenstand: 27.09.2002</v>
      </c>
      <c r="B15" s="28"/>
      <c r="C15" s="28"/>
      <c r="D15" s="28"/>
      <c r="E15" s="28"/>
      <c r="F15" s="28"/>
      <c r="G15" s="28"/>
    </row>
    <row r="16" spans="1:8" ht="12.75" customHeight="1">
      <c r="A16" s="7" t="s">
        <v>143</v>
      </c>
    </row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&amp;L&amp;"Arial,Bold"&amp;14Freiwillige Taggeldversicherung KVG</oddHeader>
    <oddFooter>&amp;L&amp;"Arial,Regular"Statistik über die Krankenversicherung, Bundesamt für Sozialversicherung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4A058-C3A1-A544-B791-0D795E568665}">
  <dimension ref="A1:K16"/>
  <sheetViews>
    <sheetView zoomScale="75" workbookViewId="0">
      <selection activeCell="A12" sqref="A12:IV12"/>
    </sheetView>
  </sheetViews>
  <sheetFormatPr baseColWidth="10" defaultColWidth="11.3984375" defaultRowHeight="13"/>
  <cols>
    <col min="1" max="1" width="16.796875" style="7" customWidth="1"/>
    <col min="2" max="2" width="14.796875" style="7" customWidth="1"/>
    <col min="3" max="3" width="14.796875" style="116" customWidth="1"/>
    <col min="4" max="4" width="14.796875" style="7" customWidth="1"/>
    <col min="5" max="5" width="14.796875" style="116" customWidth="1"/>
    <col min="6" max="6" width="14.796875" style="7" customWidth="1"/>
    <col min="7" max="7" width="14.796875" style="116" customWidth="1"/>
    <col min="8" max="16384" width="11.3984375" style="7"/>
  </cols>
  <sheetData>
    <row r="1" spans="1:11" s="1" customFormat="1" ht="14" customHeight="1">
      <c r="C1" s="179"/>
      <c r="E1" s="179"/>
      <c r="G1" s="179"/>
    </row>
    <row r="2" spans="1:11" s="1" customFormat="1" ht="28" customHeight="1">
      <c r="A2" s="2" t="s">
        <v>144</v>
      </c>
      <c r="C2" s="179"/>
      <c r="E2" s="179"/>
      <c r="G2" s="179"/>
    </row>
    <row r="3" spans="1:11" ht="24" customHeight="1">
      <c r="A3" s="41" t="s">
        <v>640</v>
      </c>
      <c r="B3" s="6" t="s">
        <v>145</v>
      </c>
      <c r="C3" s="260" t="s">
        <v>522</v>
      </c>
      <c r="D3" s="6" t="s">
        <v>146</v>
      </c>
      <c r="E3" s="260" t="s">
        <v>522</v>
      </c>
      <c r="F3" s="6" t="s">
        <v>577</v>
      </c>
      <c r="G3" s="260" t="s">
        <v>522</v>
      </c>
    </row>
    <row r="4" spans="1:11" ht="15" customHeight="1">
      <c r="A4" s="43"/>
      <c r="B4" s="12" t="s">
        <v>577</v>
      </c>
      <c r="C4" s="61" t="s">
        <v>523</v>
      </c>
      <c r="D4" s="12" t="s">
        <v>147</v>
      </c>
      <c r="E4" s="61" t="s">
        <v>523</v>
      </c>
      <c r="F4" s="12" t="s">
        <v>148</v>
      </c>
      <c r="G4" s="61" t="s">
        <v>523</v>
      </c>
    </row>
    <row r="5" spans="1:11" ht="15" customHeight="1">
      <c r="A5" s="43"/>
      <c r="B5" s="12" t="s">
        <v>150</v>
      </c>
      <c r="C5" s="61" t="s">
        <v>524</v>
      </c>
      <c r="D5" s="12" t="s">
        <v>149</v>
      </c>
      <c r="E5" s="61" t="s">
        <v>524</v>
      </c>
      <c r="F5" s="12" t="s">
        <v>151</v>
      </c>
      <c r="G5" s="61" t="s">
        <v>524</v>
      </c>
    </row>
    <row r="6" spans="1:11" ht="24" customHeight="1" thickBot="1">
      <c r="A6" s="46"/>
      <c r="B6" s="16"/>
      <c r="C6" s="64"/>
      <c r="D6" s="16" t="s">
        <v>152</v>
      </c>
      <c r="E6" s="64"/>
      <c r="F6" s="16"/>
      <c r="G6" s="64"/>
    </row>
    <row r="7" spans="1:11" ht="30" customHeight="1" thickBot="1">
      <c r="A7" s="52">
        <f>[83]f!A7</f>
        <v>1994</v>
      </c>
      <c r="B7" s="26">
        <f>[83]f!B7</f>
        <v>1062816459</v>
      </c>
      <c r="C7" s="302" t="str">
        <f>[83]f!C7</f>
        <v>–</v>
      </c>
      <c r="D7" s="26">
        <f>[83]f!D7</f>
        <v>1094518000</v>
      </c>
      <c r="E7" s="302" t="str">
        <f>[83]f!E7</f>
        <v>–</v>
      </c>
      <c r="F7" s="26">
        <f>[83]f!F7</f>
        <v>-31701541</v>
      </c>
      <c r="G7" s="302" t="str">
        <f>[83]f!G7</f>
        <v>–</v>
      </c>
      <c r="H7" s="22"/>
    </row>
    <row r="8" spans="1:11" ht="20" customHeight="1" thickBot="1">
      <c r="A8" s="52">
        <f>[83]f!A8</f>
        <v>1995</v>
      </c>
      <c r="B8" s="26">
        <f>[83]f!B8</f>
        <v>1085790660</v>
      </c>
      <c r="C8" s="302">
        <f>[83]f!C8</f>
        <v>2.1616339119942065E-2</v>
      </c>
      <c r="D8" s="26">
        <f>[83]f!D8</f>
        <v>1112474000</v>
      </c>
      <c r="E8" s="302">
        <f>[83]f!E8</f>
        <v>1.6405394886150799E-2</v>
      </c>
      <c r="F8" s="26">
        <f>[83]f!F8</f>
        <v>-26683340</v>
      </c>
      <c r="G8" s="302">
        <f>[83]f!G8</f>
        <v>0.15829517561938078</v>
      </c>
    </row>
    <row r="9" spans="1:11" ht="20" customHeight="1" thickBot="1">
      <c r="A9" s="52">
        <f>[83]f!A9</f>
        <v>1996</v>
      </c>
      <c r="B9" s="26">
        <f>[83]f!B9</f>
        <v>842626041.5999999</v>
      </c>
      <c r="C9" s="302">
        <f>[83]f!C9</f>
        <v>-0.22395165786377283</v>
      </c>
      <c r="D9" s="26">
        <f>[83]f!D9</f>
        <v>918792074.10000002</v>
      </c>
      <c r="E9" s="302">
        <f>[83]f!E9</f>
        <v>-0.174100182026726</v>
      </c>
      <c r="F9" s="26">
        <f>[83]f!F9</f>
        <v>-76164233.309999987</v>
      </c>
      <c r="G9" s="302">
        <f>[83]f!G9</f>
        <v>-1.8543740517491432</v>
      </c>
      <c r="I9" s="27"/>
      <c r="J9" s="27"/>
      <c r="K9" s="27"/>
    </row>
    <row r="10" spans="1:11" ht="20" customHeight="1" thickBot="1">
      <c r="A10" s="52">
        <f>[83]f!A10</f>
        <v>1997</v>
      </c>
      <c r="B10" s="26">
        <f>[83]f!B10</f>
        <v>582586264.20000005</v>
      </c>
      <c r="C10" s="302">
        <f>[83]f!C10</f>
        <v>-0.30860638594343665</v>
      </c>
      <c r="D10" s="26">
        <f>[83]f!D10</f>
        <v>600844654.99000001</v>
      </c>
      <c r="E10" s="302">
        <f>[83]f!E10</f>
        <v>-0.34604937076916387</v>
      </c>
      <c r="F10" s="26">
        <f>[83]f!F10</f>
        <v>-18258290.829999998</v>
      </c>
      <c r="G10" s="302">
        <f>[83]f!G10</f>
        <v>0.76027736331716245</v>
      </c>
    </row>
    <row r="11" spans="1:11" ht="20" customHeight="1" thickBot="1">
      <c r="A11" s="52">
        <f>[83]f!A11</f>
        <v>1998</v>
      </c>
      <c r="B11" s="26">
        <f>[83]f!B11</f>
        <v>506597985.24000001</v>
      </c>
      <c r="C11" s="302">
        <f>[83]f!C11</f>
        <v>-0.13043266487641306</v>
      </c>
      <c r="D11" s="26">
        <f>[83]f!D11</f>
        <v>466707907.44999999</v>
      </c>
      <c r="E11" s="302">
        <f>[83]f!E11</f>
        <v>-0.22324696812395292</v>
      </c>
      <c r="F11" s="26">
        <f>[83]f!F11</f>
        <v>39890107.789999999</v>
      </c>
      <c r="G11" s="302">
        <f>[83]f!G11</f>
        <v>3.1847668087561076</v>
      </c>
    </row>
    <row r="12" spans="1:11" ht="20" customHeight="1" thickBot="1">
      <c r="A12" s="52">
        <f>[83]f!A12</f>
        <v>1999</v>
      </c>
      <c r="B12" s="26">
        <f>[83]f!B12</f>
        <v>464005598.98000002</v>
      </c>
      <c r="C12" s="302">
        <f>[83]f!C12</f>
        <v>-8.4075317117224449E-2</v>
      </c>
      <c r="D12" s="26">
        <f>[83]f!D12</f>
        <v>422158429.66000003</v>
      </c>
      <c r="E12" s="302">
        <f>[83]f!E12</f>
        <v>-9.5454731061681661E-2</v>
      </c>
      <c r="F12" s="26">
        <f>[83]f!F12</f>
        <v>41847169.719999999</v>
      </c>
      <c r="G12" s="302">
        <f>[83]f!G12</f>
        <v>4.9061334712427351E-2</v>
      </c>
    </row>
    <row r="13" spans="1:11" ht="20" customHeight="1" thickBot="1">
      <c r="A13" s="52">
        <f>[83]f!A13</f>
        <v>2000</v>
      </c>
      <c r="B13" s="26">
        <f>[83]f!B13</f>
        <v>458973777.85000002</v>
      </c>
      <c r="C13" s="302">
        <f>[83]f!C13</f>
        <v>-1.0844311234737667E-2</v>
      </c>
      <c r="D13" s="26">
        <f>[83]f!D13</f>
        <v>416527371.23000002</v>
      </c>
      <c r="E13" s="302">
        <f>[83]f!E13</f>
        <v>-1.3338732651945802E-2</v>
      </c>
      <c r="F13" s="26">
        <f>[83]f!F13</f>
        <v>42446406.640000001</v>
      </c>
      <c r="G13" s="302">
        <f>[83]f!G13</f>
        <v>1.4319652296905794E-2</v>
      </c>
    </row>
    <row r="14" spans="1:11" ht="30" customHeight="1" thickBot="1">
      <c r="A14" s="411">
        <f>[83]f!A14</f>
        <v>2001</v>
      </c>
      <c r="B14" s="184">
        <f>[83]f!B14</f>
        <v>405199384.91000003</v>
      </c>
      <c r="C14" s="304">
        <f>[83]f!C14</f>
        <v>-0.11716223351996011</v>
      </c>
      <c r="D14" s="184">
        <f>[83]f!D14</f>
        <v>389159829.98000002</v>
      </c>
      <c r="E14" s="304">
        <f>[83]f!E14</f>
        <v>-6.5704064463240439E-2</v>
      </c>
      <c r="F14" s="184">
        <f>[83]f!F14</f>
        <v>16039554.960000001</v>
      </c>
      <c r="G14" s="304">
        <f>[83]f!G14</f>
        <v>-0.62212219526529045</v>
      </c>
    </row>
    <row r="15" spans="1:11" ht="20" customHeight="1">
      <c r="A15" s="28" t="str">
        <f>[82]data!$D$2</f>
        <v>Datenstand: 27.09.2002</v>
      </c>
      <c r="B15" s="28"/>
      <c r="C15" s="268"/>
      <c r="D15" s="28"/>
      <c r="E15" s="268"/>
      <c r="F15" s="28"/>
      <c r="G15" s="268"/>
    </row>
    <row r="16" spans="1:11">
      <c r="A16" s="7" t="s">
        <v>735</v>
      </c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&amp;L&amp;"Arial,Bold"&amp;14Freiwillige Taggeldversicherung KVG</oddHeader>
    <oddFooter>&amp;L&amp;"Arial,Regular"Statistik über die Krankenversicherung, Bundesamt für Sozialversicherung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FF5AB-CD99-AF47-A49A-479C5F54BED5}">
  <dimension ref="A1:H31"/>
  <sheetViews>
    <sheetView zoomScale="75" workbookViewId="0">
      <selection sqref="A1:F32"/>
    </sheetView>
  </sheetViews>
  <sheetFormatPr baseColWidth="10" defaultColWidth="11.3984375" defaultRowHeight="13"/>
  <cols>
    <col min="1" max="1" width="33.796875" style="7" customWidth="1"/>
    <col min="2" max="3" width="17.59765625" style="7" customWidth="1"/>
    <col min="4" max="4" width="17.59765625" style="81" customWidth="1"/>
    <col min="5" max="5" width="17.59765625" style="425" customWidth="1"/>
    <col min="6" max="6" width="11.3984375" style="7"/>
    <col min="7" max="7" width="14.796875" style="7" hidden="1" customWidth="1"/>
    <col min="8" max="8" width="14.3984375" style="7" hidden="1" customWidth="1"/>
    <col min="9" max="16384" width="11.3984375" style="7"/>
  </cols>
  <sheetData>
    <row r="1" spans="1:8" s="1" customFormat="1" ht="14" customHeight="1">
      <c r="D1" s="159"/>
      <c r="E1" s="412"/>
    </row>
    <row r="2" spans="1:8" s="1" customFormat="1" ht="28" customHeight="1">
      <c r="A2" s="2" t="str">
        <f>"T 6.03 Versicherer, Versicherte, Prämien und Leistungen nach Einzel- und Kollektivverträgen 1) "&amp;[82]data!$B$2</f>
        <v>T 6.03 Versicherer, Versicherte, Prämien und Leistungen nach Einzel- und Kollektivverträgen 1) 2001</v>
      </c>
      <c r="D2" s="159"/>
      <c r="E2" s="412"/>
    </row>
    <row r="3" spans="1:8" ht="24" customHeight="1">
      <c r="A3" s="41" t="s">
        <v>153</v>
      </c>
      <c r="B3" s="6" t="s">
        <v>154</v>
      </c>
      <c r="C3" s="42" t="s">
        <v>155</v>
      </c>
      <c r="D3" s="194" t="s">
        <v>514</v>
      </c>
      <c r="E3" s="413" t="s">
        <v>522</v>
      </c>
    </row>
    <row r="4" spans="1:8" ht="15" customHeight="1">
      <c r="A4" s="43"/>
      <c r="B4" s="12" t="s">
        <v>156</v>
      </c>
      <c r="C4" s="44" t="s">
        <v>156</v>
      </c>
      <c r="D4" s="195"/>
      <c r="E4" s="414" t="s">
        <v>523</v>
      </c>
    </row>
    <row r="5" spans="1:8" ht="15" customHeight="1">
      <c r="A5" s="43"/>
      <c r="B5" s="12" t="s">
        <v>631</v>
      </c>
      <c r="C5" s="44" t="s">
        <v>631</v>
      </c>
      <c r="D5" s="195"/>
      <c r="E5" s="414" t="s">
        <v>524</v>
      </c>
    </row>
    <row r="6" spans="1:8" ht="24" customHeight="1">
      <c r="A6" s="46"/>
      <c r="B6" s="16"/>
      <c r="C6" s="47"/>
      <c r="D6" s="198"/>
      <c r="E6" s="415"/>
      <c r="G6" s="416" t="s">
        <v>157</v>
      </c>
      <c r="H6" s="416" t="s">
        <v>158</v>
      </c>
    </row>
    <row r="7" spans="1:8" ht="30" customHeight="1" thickBot="1">
      <c r="A7" s="417" t="s">
        <v>159</v>
      </c>
      <c r="B7" s="230">
        <f>[84]f!B7</f>
        <v>97</v>
      </c>
      <c r="C7" s="229">
        <f>[84]f!C7</f>
        <v>53</v>
      </c>
      <c r="D7" s="418">
        <f>[84]f!D7</f>
        <v>100</v>
      </c>
      <c r="E7" s="300">
        <f>[84]f!E7</f>
        <v>-1.9607843137254902E-2</v>
      </c>
      <c r="F7" s="22"/>
      <c r="G7" s="20">
        <v>109</v>
      </c>
      <c r="H7" s="20">
        <v>109</v>
      </c>
    </row>
    <row r="8" spans="1:8" ht="24" customHeight="1" thickBot="1">
      <c r="A8" s="419" t="s">
        <v>160</v>
      </c>
      <c r="B8" s="26"/>
      <c r="C8" s="54"/>
      <c r="D8" s="124"/>
      <c r="E8" s="302" t="str">
        <f>[84]f!E8</f>
        <v/>
      </c>
      <c r="G8" s="26"/>
      <c r="H8" s="26"/>
    </row>
    <row r="9" spans="1:8" ht="20" customHeight="1" thickBot="1">
      <c r="A9" s="71" t="s">
        <v>572</v>
      </c>
      <c r="B9" s="26">
        <f>[84]f!B9</f>
        <v>253199</v>
      </c>
      <c r="C9" s="54">
        <f>[84]f!C9</f>
        <v>192547</v>
      </c>
      <c r="D9" s="124">
        <f>[84]f!D9</f>
        <v>445746</v>
      </c>
      <c r="E9" s="302">
        <f>[84]f!E9</f>
        <v>-8.2031965962284195E-2</v>
      </c>
      <c r="G9" s="26">
        <v>747913</v>
      </c>
      <c r="H9" s="26">
        <v>541989</v>
      </c>
    </row>
    <row r="10" spans="1:8" ht="20" customHeight="1" thickBot="1">
      <c r="A10" s="71" t="s">
        <v>573</v>
      </c>
      <c r="B10" s="26">
        <f>[84]f!B10</f>
        <v>308649</v>
      </c>
      <c r="C10" s="54">
        <f>[84]f!C10</f>
        <v>114365</v>
      </c>
      <c r="D10" s="124">
        <f>[84]f!D10</f>
        <v>423014</v>
      </c>
      <c r="E10" s="302">
        <f>[84]f!E10</f>
        <v>-9.2562043748645864E-2</v>
      </c>
      <c r="G10" s="26">
        <v>671493</v>
      </c>
      <c r="H10" s="26">
        <v>525355</v>
      </c>
    </row>
    <row r="11" spans="1:8" ht="20" customHeight="1" thickBot="1">
      <c r="A11" s="71" t="s">
        <v>514</v>
      </c>
      <c r="B11" s="26">
        <f>[84]f!B11</f>
        <v>561848</v>
      </c>
      <c r="C11" s="54">
        <f>[84]f!C11</f>
        <v>306912</v>
      </c>
      <c r="D11" s="124">
        <f>[84]f!D11</f>
        <v>868760</v>
      </c>
      <c r="E11" s="302">
        <f>[84]f!E11</f>
        <v>-8.7189595499620701E-2</v>
      </c>
      <c r="G11" s="26">
        <v>1419406</v>
      </c>
      <c r="H11" s="26">
        <v>1067344</v>
      </c>
    </row>
    <row r="12" spans="1:8" ht="24" customHeight="1" thickBot="1">
      <c r="A12" s="420" t="s">
        <v>161</v>
      </c>
      <c r="B12" s="26"/>
      <c r="C12" s="54"/>
      <c r="D12" s="124"/>
      <c r="E12" s="302" t="str">
        <f>[84]f!E12</f>
        <v/>
      </c>
      <c r="G12" s="26"/>
      <c r="H12" s="26"/>
    </row>
    <row r="13" spans="1:8" ht="20" customHeight="1" thickBot="1">
      <c r="A13" s="71" t="s">
        <v>572</v>
      </c>
      <c r="B13" s="26">
        <f>[84]f!B13</f>
        <v>78140365</v>
      </c>
      <c r="C13" s="54">
        <f>[84]f!C13</f>
        <v>192028462</v>
      </c>
      <c r="D13" s="124">
        <f>[84]f!D13</f>
        <v>270168827</v>
      </c>
      <c r="E13" s="302">
        <f>[84]f!E13</f>
        <v>-0.1086091559398397</v>
      </c>
      <c r="G13" s="26">
        <v>346254879</v>
      </c>
      <c r="H13" s="26">
        <v>346254879</v>
      </c>
    </row>
    <row r="14" spans="1:8" ht="20" customHeight="1" thickBot="1">
      <c r="A14" s="71" t="s">
        <v>573</v>
      </c>
      <c r="B14" s="26">
        <f>[84]f!B14</f>
        <v>46582481</v>
      </c>
      <c r="C14" s="54">
        <f>[84]f!C14</f>
        <v>83960581.150000006</v>
      </c>
      <c r="D14" s="124">
        <f>[84]f!D14</f>
        <v>130543062.15000001</v>
      </c>
      <c r="E14" s="302">
        <f>[84]f!E14</f>
        <v>-4.1105914705470363E-2</v>
      </c>
      <c r="G14" s="26">
        <v>118228128</v>
      </c>
      <c r="H14" s="26">
        <v>118228128</v>
      </c>
    </row>
    <row r="15" spans="1:8" ht="20" customHeight="1" thickBot="1">
      <c r="A15" s="71" t="s">
        <v>514</v>
      </c>
      <c r="B15" s="26">
        <f>[84]f!B15</f>
        <v>124722846</v>
      </c>
      <c r="C15" s="54">
        <f>[84]f!C15</f>
        <v>275989043.14999998</v>
      </c>
      <c r="D15" s="124">
        <f>[84]f!D15</f>
        <v>400711889.14999998</v>
      </c>
      <c r="E15" s="302">
        <f>[84]f!E15</f>
        <v>-8.7686359860920868E-2</v>
      </c>
      <c r="G15" s="26">
        <v>464483007</v>
      </c>
      <c r="H15" s="26">
        <v>464483007</v>
      </c>
    </row>
    <row r="16" spans="1:8" ht="24" customHeight="1" thickBot="1">
      <c r="A16" s="420" t="s">
        <v>162</v>
      </c>
      <c r="B16" s="26"/>
      <c r="C16" s="54"/>
      <c r="D16" s="124"/>
      <c r="E16" s="302" t="str">
        <f>[84]f!E16</f>
        <v/>
      </c>
      <c r="G16" s="26"/>
      <c r="H16" s="26"/>
    </row>
    <row r="17" spans="1:8" ht="20" customHeight="1" thickBot="1">
      <c r="A17" s="71" t="s">
        <v>572</v>
      </c>
      <c r="B17" s="26">
        <f>[84]f!B17</f>
        <v>308.61</v>
      </c>
      <c r="C17" s="54">
        <f>[84]f!C17</f>
        <v>997.31</v>
      </c>
      <c r="D17" s="124">
        <f>[84]f!D17</f>
        <v>606.1</v>
      </c>
      <c r="E17" s="302">
        <f>[84]f!E17</f>
        <v>-2.8966003396456035E-2</v>
      </c>
      <c r="G17" s="26">
        <v>462.96</v>
      </c>
      <c r="H17" s="26">
        <v>638.86</v>
      </c>
    </row>
    <row r="18" spans="1:8" ht="20" customHeight="1" thickBot="1">
      <c r="A18" s="71" t="s">
        <v>573</v>
      </c>
      <c r="B18" s="26">
        <f>[84]f!B18</f>
        <v>150.91999999999999</v>
      </c>
      <c r="C18" s="54">
        <f>[84]f!C18</f>
        <v>734.15</v>
      </c>
      <c r="D18" s="124">
        <f>[84]f!D18</f>
        <v>308.60000000000002</v>
      </c>
      <c r="E18" s="302">
        <f>[84]f!E18</f>
        <v>5.6704561019038494E-2</v>
      </c>
      <c r="G18" s="26">
        <v>176.07</v>
      </c>
      <c r="H18" s="26">
        <v>225.04</v>
      </c>
    </row>
    <row r="19" spans="1:8" ht="20" customHeight="1" thickBot="1">
      <c r="A19" s="71" t="s">
        <v>514</v>
      </c>
      <c r="B19" s="26">
        <f>[84]f!B19</f>
        <v>221.99</v>
      </c>
      <c r="C19" s="54">
        <f>[84]f!C19</f>
        <v>899.24</v>
      </c>
      <c r="D19" s="124">
        <f>[84]f!D19</f>
        <v>461.25</v>
      </c>
      <c r="E19" s="302">
        <f>[84]f!E19</f>
        <v>-5.4171180931744309E-4</v>
      </c>
      <c r="G19" s="26">
        <v>327.24</v>
      </c>
      <c r="H19" s="26">
        <v>435.18</v>
      </c>
    </row>
    <row r="20" spans="1:8" ht="24" customHeight="1" thickBot="1">
      <c r="A20" s="420" t="s">
        <v>163</v>
      </c>
      <c r="B20" s="26"/>
      <c r="C20" s="54"/>
      <c r="D20" s="124"/>
      <c r="E20" s="302" t="str">
        <f>[84]f!E20</f>
        <v/>
      </c>
      <c r="G20" s="26"/>
      <c r="H20" s="26"/>
    </row>
    <row r="21" spans="1:8" ht="20" customHeight="1" thickBot="1">
      <c r="A21" s="71" t="s">
        <v>572</v>
      </c>
      <c r="B21" s="26">
        <f>[84]f!B21</f>
        <v>74157578</v>
      </c>
      <c r="C21" s="54">
        <f>[84]f!C21</f>
        <v>177890578</v>
      </c>
      <c r="D21" s="124">
        <f>[84]f!D21</f>
        <v>252048156</v>
      </c>
      <c r="E21" s="302">
        <f>[84]f!E21</f>
        <v>-2.4664373352897409E-2</v>
      </c>
      <c r="G21" s="26">
        <v>297772901</v>
      </c>
      <c r="H21" s="26">
        <v>297772901</v>
      </c>
    </row>
    <row r="22" spans="1:8" ht="20" customHeight="1" thickBot="1">
      <c r="A22" s="71" t="s">
        <v>573</v>
      </c>
      <c r="B22" s="26">
        <f>[84]f!B22</f>
        <v>36252828</v>
      </c>
      <c r="C22" s="54">
        <f>[84]f!C22</f>
        <v>63670387</v>
      </c>
      <c r="D22" s="124">
        <f>[84]f!D22</f>
        <v>99923215</v>
      </c>
      <c r="E22" s="302">
        <f>[84]f!E22</f>
        <v>-0.18905308340307697</v>
      </c>
      <c r="G22" s="26">
        <v>114376252</v>
      </c>
      <c r="H22" s="26">
        <v>114376252</v>
      </c>
    </row>
    <row r="23" spans="1:8" ht="20" customHeight="1" thickBot="1">
      <c r="A23" s="71" t="s">
        <v>514</v>
      </c>
      <c r="B23" s="26">
        <f>[84]f!B23</f>
        <v>110410406</v>
      </c>
      <c r="C23" s="54">
        <f>[84]f!C23</f>
        <v>241560965</v>
      </c>
      <c r="D23" s="124">
        <f>[84]f!D23</f>
        <v>351971371</v>
      </c>
      <c r="E23" s="302">
        <f>[84]f!E23</f>
        <v>-7.7739637404808173E-2</v>
      </c>
      <c r="G23" s="26">
        <v>412149153</v>
      </c>
      <c r="H23" s="26">
        <v>412149153</v>
      </c>
    </row>
    <row r="24" spans="1:8" ht="24" customHeight="1" thickBot="1">
      <c r="A24" s="75" t="s">
        <v>655</v>
      </c>
      <c r="B24" s="26">
        <f>[84]f!B24</f>
        <v>2831051</v>
      </c>
      <c r="C24" s="54">
        <f>[84]f!C24</f>
        <v>15776091</v>
      </c>
      <c r="D24" s="124">
        <f>[84]f!D24</f>
        <v>18607142</v>
      </c>
      <c r="E24" s="302">
        <f>[84]f!E24</f>
        <v>7.8128050882594526E-3</v>
      </c>
      <c r="G24" s="149">
        <v>21005933</v>
      </c>
      <c r="H24" s="149">
        <v>21005933</v>
      </c>
    </row>
    <row r="25" spans="1:8" ht="24" customHeight="1" thickBot="1">
      <c r="A25" s="420" t="s">
        <v>164</v>
      </c>
      <c r="B25" s="26"/>
      <c r="C25" s="54"/>
      <c r="D25" s="124"/>
      <c r="E25" s="302" t="str">
        <f>[84]f!E25</f>
        <v/>
      </c>
      <c r="G25" s="26"/>
      <c r="H25" s="26"/>
    </row>
    <row r="26" spans="1:8" ht="20" customHeight="1" thickBot="1">
      <c r="A26" s="71" t="s">
        <v>572</v>
      </c>
      <c r="B26" s="26">
        <f>[84]f!B26</f>
        <v>292.88</v>
      </c>
      <c r="C26" s="54">
        <f>[84]f!C26</f>
        <v>923.88</v>
      </c>
      <c r="D26" s="124">
        <f>[84]f!D26</f>
        <v>565.45000000000005</v>
      </c>
      <c r="E26" s="302">
        <f>[84]f!E26</f>
        <v>6.2496476822187542E-2</v>
      </c>
      <c r="G26" s="26">
        <v>398.14</v>
      </c>
      <c r="H26" s="26">
        <v>549.41</v>
      </c>
    </row>
    <row r="27" spans="1:8" ht="20" customHeight="1" thickBot="1">
      <c r="A27" s="71" t="s">
        <v>573</v>
      </c>
      <c r="B27" s="26">
        <f>[84]f!B27</f>
        <v>117.46</v>
      </c>
      <c r="C27" s="54">
        <f>[84]f!C27</f>
        <v>556.73</v>
      </c>
      <c r="D27" s="124">
        <f>[84]f!D27</f>
        <v>236.22</v>
      </c>
      <c r="E27" s="302">
        <f>[84]f!E27</f>
        <v>-0.10631053268765131</v>
      </c>
      <c r="G27" s="26">
        <v>170.33</v>
      </c>
      <c r="H27" s="26">
        <v>217.71</v>
      </c>
    </row>
    <row r="28" spans="1:8" ht="30" customHeight="1" thickBot="1">
      <c r="A28" s="421" t="s">
        <v>514</v>
      </c>
      <c r="B28" s="149">
        <f>[84]f!B28</f>
        <v>196.51</v>
      </c>
      <c r="C28" s="150">
        <f>[84]f!C28</f>
        <v>787.07</v>
      </c>
      <c r="D28" s="184">
        <f>[84]f!D28</f>
        <v>405.14</v>
      </c>
      <c r="E28" s="422">
        <f>[84]f!E28</f>
        <v>1.0349385271453097E-2</v>
      </c>
      <c r="G28" s="423">
        <v>290.37</v>
      </c>
      <c r="H28" s="423">
        <v>386.14</v>
      </c>
    </row>
    <row r="29" spans="1:8" ht="20" customHeight="1">
      <c r="A29" s="28" t="str">
        <f>[82]data!$D$2</f>
        <v>Datenstand: 27.09.2002</v>
      </c>
      <c r="B29" s="28"/>
      <c r="C29" s="28"/>
      <c r="D29" s="206"/>
      <c r="E29" s="424"/>
    </row>
    <row r="30" spans="1:8">
      <c r="A30" s="7" t="s">
        <v>165</v>
      </c>
    </row>
    <row r="31" spans="1:8">
      <c r="A31" s="7" t="s">
        <v>166</v>
      </c>
    </row>
  </sheetData>
  <phoneticPr fontId="0" type="noConversion"/>
  <pageMargins left="0.56999999999999995" right="0.47" top="1.47" bottom="0.49" header="0.94" footer="0.4921259845"/>
  <pageSetup paperSize="9" scale="80" orientation="portrait" horizontalDpi="4294967292" verticalDpi="4294967292"/>
  <headerFooter alignWithMargins="0">
    <oddHeader>&amp;L&amp;"Arial,Bold"&amp;14Freiwillige Taggeldversicherung KVG</oddHeader>
    <oddFooter>&amp;L&amp;"Arial,Regular"Statistik über die Krankenversicherung, Bundesamt für Sozialversicherung</oddFooter>
  </headerFooter>
  <legacy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50AB-7561-0A4E-9049-9C1694D797DE}">
  <dimension ref="A1:E31"/>
  <sheetViews>
    <sheetView zoomScale="75" workbookViewId="0">
      <selection activeCell="A32" sqref="A32"/>
    </sheetView>
  </sheetViews>
  <sheetFormatPr baseColWidth="10" defaultColWidth="11.3984375" defaultRowHeight="13"/>
  <cols>
    <col min="1" max="1" width="8.796875" style="7" customWidth="1"/>
    <col min="2" max="2" width="48.796875" style="116" customWidth="1"/>
    <col min="3" max="3" width="16.796875" style="7" customWidth="1"/>
    <col min="4" max="4" width="16.796875" style="22" customWidth="1"/>
    <col min="5" max="5" width="16.796875" style="429" customWidth="1"/>
    <col min="6" max="16384" width="11.3984375" style="7"/>
  </cols>
  <sheetData>
    <row r="1" spans="1:5" s="1" customFormat="1" ht="14" customHeight="1">
      <c r="B1" s="179"/>
      <c r="D1" s="180"/>
      <c r="E1" s="426"/>
    </row>
    <row r="2" spans="1:5" s="1" customFormat="1" ht="28" customHeight="1">
      <c r="A2" s="2" t="str">
        <f>"T 6.04  Betriebsrechnung der Einzel- und Kollektivversicherung insgesamt "&amp;[82]data!$B$2</f>
        <v>T 6.04  Betriebsrechnung der Einzel- und Kollektivversicherung insgesamt 2001</v>
      </c>
      <c r="B2" s="179"/>
      <c r="D2" s="180"/>
      <c r="E2" s="426"/>
    </row>
    <row r="3" spans="1:5" ht="39" customHeight="1">
      <c r="A3" s="427" t="s">
        <v>737</v>
      </c>
      <c r="B3" s="260"/>
      <c r="C3" s="6" t="s">
        <v>738</v>
      </c>
      <c r="D3" s="96" t="s">
        <v>739</v>
      </c>
      <c r="E3" s="181" t="s">
        <v>514</v>
      </c>
    </row>
    <row r="4" spans="1:5" ht="38" customHeight="1">
      <c r="A4" s="182"/>
      <c r="B4" s="97"/>
      <c r="C4" s="16" t="s">
        <v>740</v>
      </c>
      <c r="D4" s="48" t="s">
        <v>740</v>
      </c>
      <c r="E4" s="183" t="s">
        <v>740</v>
      </c>
    </row>
    <row r="5" spans="1:5" ht="30" customHeight="1" thickBot="1">
      <c r="A5" s="67">
        <v>60</v>
      </c>
      <c r="B5" s="67" t="s">
        <v>741</v>
      </c>
      <c r="C5" s="230">
        <f>[85]f!C5</f>
        <v>368885366.50999999</v>
      </c>
      <c r="D5" s="229">
        <f>[85]f!D5</f>
        <v>31826531.510000002</v>
      </c>
      <c r="E5" s="418">
        <f>[85]f!E5</f>
        <v>400711898.01999998</v>
      </c>
    </row>
    <row r="6" spans="1:5" ht="20" customHeight="1" thickBot="1">
      <c r="A6" s="70">
        <v>64</v>
      </c>
      <c r="B6" s="70" t="s">
        <v>742</v>
      </c>
      <c r="C6" s="26">
        <f>[85]f!C6</f>
        <v>-1996785.36</v>
      </c>
      <c r="D6" s="54">
        <f>[85]f!D6</f>
        <v>-95171.44</v>
      </c>
      <c r="E6" s="124">
        <f>[85]f!E6</f>
        <v>-2091956.8</v>
      </c>
    </row>
    <row r="7" spans="1:5" ht="20" customHeight="1" thickBot="1">
      <c r="A7" s="70">
        <v>65</v>
      </c>
      <c r="B7" s="70" t="s">
        <v>743</v>
      </c>
      <c r="C7" s="26">
        <f>[85]f!C7</f>
        <v>34927.980000000003</v>
      </c>
      <c r="D7" s="54">
        <f>[85]f!D7</f>
        <v>1216.6099999999999</v>
      </c>
      <c r="E7" s="124">
        <f>[85]f!E7</f>
        <v>36144.589999999997</v>
      </c>
    </row>
    <row r="8" spans="1:5" ht="27" customHeight="1" thickBot="1">
      <c r="A8" s="73" t="s">
        <v>744</v>
      </c>
      <c r="B8" s="73" t="s">
        <v>745</v>
      </c>
      <c r="C8" s="26">
        <f>[85]f!C8</f>
        <v>366924085.47000003</v>
      </c>
      <c r="D8" s="54">
        <f>[85]f!D8</f>
        <v>31732576.690000001</v>
      </c>
      <c r="E8" s="124">
        <f>[85]f!E8</f>
        <v>398656662.16000003</v>
      </c>
    </row>
    <row r="9" spans="1:5" ht="20" customHeight="1" thickBot="1">
      <c r="A9" s="70">
        <v>66</v>
      </c>
      <c r="B9" s="70" t="s">
        <v>746</v>
      </c>
      <c r="C9" s="26">
        <f>[85]f!C9</f>
        <v>-2084373.44</v>
      </c>
      <c r="D9" s="54">
        <f>[85]f!D9</f>
        <v>-163809.32999999999</v>
      </c>
      <c r="E9" s="124">
        <f>[85]f!E9</f>
        <v>-2248182.77</v>
      </c>
    </row>
    <row r="10" spans="1:5" ht="27" customHeight="1" thickBot="1">
      <c r="A10" s="73" t="s">
        <v>747</v>
      </c>
      <c r="B10" s="73" t="s">
        <v>748</v>
      </c>
      <c r="C10" s="26">
        <f>[85]f!C10</f>
        <v>364839712.02999997</v>
      </c>
      <c r="D10" s="54">
        <f>[85]f!D10</f>
        <v>31568767.359999999</v>
      </c>
      <c r="E10" s="124">
        <f>[85]f!E10</f>
        <v>396408479.38999999</v>
      </c>
    </row>
    <row r="11" spans="1:5" ht="20" customHeight="1" thickBot="1">
      <c r="A11" s="70">
        <v>67</v>
      </c>
      <c r="B11" s="70" t="s">
        <v>749</v>
      </c>
      <c r="C11" s="26">
        <f>[85]f!C11</f>
        <v>19109755.550000001</v>
      </c>
      <c r="D11" s="54">
        <f>[85]f!D11</f>
        <v>97095.4</v>
      </c>
      <c r="E11" s="124">
        <f>[85]f!E11</f>
        <v>19206850.949999999</v>
      </c>
    </row>
    <row r="12" spans="1:5" ht="20" customHeight="1" thickBot="1">
      <c r="A12" s="70">
        <v>68</v>
      </c>
      <c r="B12" s="70" t="s">
        <v>750</v>
      </c>
      <c r="C12" s="26">
        <f>[85]f!C12</f>
        <v>-18856100.699999999</v>
      </c>
      <c r="D12" s="54">
        <f>[85]f!D12</f>
        <v>-55787.9</v>
      </c>
      <c r="E12" s="124">
        <f>[85]f!E12</f>
        <v>-18911888.600000001</v>
      </c>
    </row>
    <row r="13" spans="1:5" ht="20" customHeight="1" thickBot="1">
      <c r="A13" s="70">
        <v>69</v>
      </c>
      <c r="B13" s="70" t="s">
        <v>751</v>
      </c>
      <c r="C13" s="26">
        <f>[85]f!C13</f>
        <v>6041481.8200000003</v>
      </c>
      <c r="D13" s="54">
        <f>[85]f!D13</f>
        <v>153909.17000000001</v>
      </c>
      <c r="E13" s="124">
        <f>[85]f!E13</f>
        <v>6195390.9900000002</v>
      </c>
    </row>
    <row r="14" spans="1:5" ht="27" customHeight="1" thickBot="1">
      <c r="A14" s="73">
        <v>6</v>
      </c>
      <c r="B14" s="73" t="s">
        <v>752</v>
      </c>
      <c r="C14" s="26">
        <f>[85]f!C14</f>
        <v>371134848.69999999</v>
      </c>
      <c r="D14" s="54">
        <f>[85]f!D14</f>
        <v>31763984.030000001</v>
      </c>
      <c r="E14" s="124">
        <f>[85]f!E14</f>
        <v>402898832.73000002</v>
      </c>
    </row>
    <row r="15" spans="1:5" ht="20" customHeight="1" thickBot="1">
      <c r="A15" s="70">
        <v>30</v>
      </c>
      <c r="B15" s="70" t="s">
        <v>677</v>
      </c>
      <c r="C15" s="26">
        <f>[85]f!C15</f>
        <v>323425904.62</v>
      </c>
      <c r="D15" s="54">
        <f>[85]f!D15</f>
        <v>28545480.109999999</v>
      </c>
      <c r="E15" s="124">
        <f>[85]f!E15</f>
        <v>351971384.73000002</v>
      </c>
    </row>
    <row r="16" spans="1:5" ht="20" customHeight="1" thickBot="1">
      <c r="A16" s="70">
        <v>32</v>
      </c>
      <c r="B16" s="70" t="s">
        <v>753</v>
      </c>
      <c r="C16" s="26">
        <f>[85]f!C16</f>
        <v>0</v>
      </c>
      <c r="D16" s="54">
        <f>[85]f!D16</f>
        <v>0</v>
      </c>
      <c r="E16" s="124">
        <f>[85]f!E16</f>
        <v>0</v>
      </c>
    </row>
    <row r="17" spans="1:5" ht="27" customHeight="1" thickBot="1">
      <c r="A17" s="73" t="s">
        <v>754</v>
      </c>
      <c r="B17" s="73" t="s">
        <v>755</v>
      </c>
      <c r="C17" s="26">
        <f>[85]f!C17</f>
        <v>323425904.62</v>
      </c>
      <c r="D17" s="54">
        <f>[85]f!D17</f>
        <v>28545480.109999999</v>
      </c>
      <c r="E17" s="124">
        <f>[85]f!E17</f>
        <v>351971384.73000002</v>
      </c>
    </row>
    <row r="18" spans="1:5" ht="20" customHeight="1" thickBot="1">
      <c r="A18" s="70">
        <v>34</v>
      </c>
      <c r="B18" s="70" t="s">
        <v>756</v>
      </c>
      <c r="C18" s="26">
        <f>[85]f!C18</f>
        <v>723293.63</v>
      </c>
      <c r="D18" s="54">
        <f>[85]f!D18</f>
        <v>23319.68</v>
      </c>
      <c r="E18" s="124">
        <f>[85]f!E18</f>
        <v>746613.31</v>
      </c>
    </row>
    <row r="19" spans="1:5" ht="20" customHeight="1" thickBot="1">
      <c r="A19" s="70">
        <v>35</v>
      </c>
      <c r="B19" s="70" t="s">
        <v>757</v>
      </c>
      <c r="C19" s="26">
        <f>[85]f!C19</f>
        <v>-600179.03</v>
      </c>
      <c r="D19" s="54">
        <f>[85]f!D19</f>
        <v>362414.22</v>
      </c>
      <c r="E19" s="124">
        <f>[85]f!E19</f>
        <v>-237764.81</v>
      </c>
    </row>
    <row r="20" spans="1:5" ht="27" customHeight="1" thickBot="1">
      <c r="A20" s="73" t="s">
        <v>758</v>
      </c>
      <c r="B20" s="73" t="s">
        <v>759</v>
      </c>
      <c r="C20" s="26">
        <f>[85]f!C20</f>
        <v>323549019.22000003</v>
      </c>
      <c r="D20" s="54">
        <f>[85]f!D20</f>
        <v>28931214</v>
      </c>
      <c r="E20" s="124">
        <f>[85]f!E20</f>
        <v>352480233.22000003</v>
      </c>
    </row>
    <row r="21" spans="1:5" ht="20" customHeight="1" thickBot="1">
      <c r="A21" s="70">
        <v>36</v>
      </c>
      <c r="B21" s="70" t="s">
        <v>760</v>
      </c>
      <c r="C21" s="26">
        <f>[85]f!C21</f>
        <v>-2857959.17</v>
      </c>
      <c r="D21" s="54">
        <f>[85]f!D21</f>
        <v>-53621.68</v>
      </c>
      <c r="E21" s="124">
        <f>[85]f!E21</f>
        <v>-2911580.85</v>
      </c>
    </row>
    <row r="22" spans="1:5" ht="20" customHeight="1" thickBot="1">
      <c r="A22" s="70">
        <v>37</v>
      </c>
      <c r="B22" s="70" t="s">
        <v>761</v>
      </c>
      <c r="C22" s="26">
        <f>[85]f!C22</f>
        <v>0</v>
      </c>
      <c r="D22" s="54">
        <f>[85]f!D22</f>
        <v>0</v>
      </c>
      <c r="E22" s="124">
        <f>[85]f!E22</f>
        <v>0</v>
      </c>
    </row>
    <row r="23" spans="1:5" ht="27" customHeight="1" thickBot="1">
      <c r="A23" s="73">
        <v>3</v>
      </c>
      <c r="B23" s="73" t="s">
        <v>762</v>
      </c>
      <c r="C23" s="26">
        <f>[85]f!C23</f>
        <v>320691060.05000001</v>
      </c>
      <c r="D23" s="54">
        <f>[85]f!D23</f>
        <v>28877592.32</v>
      </c>
      <c r="E23" s="124">
        <f>[85]f!E23</f>
        <v>349568652.37</v>
      </c>
    </row>
    <row r="24" spans="1:5" ht="20" customHeight="1" thickBot="1">
      <c r="A24" s="70" t="s">
        <v>763</v>
      </c>
      <c r="B24" s="70" t="s">
        <v>764</v>
      </c>
      <c r="C24" s="26">
        <f>[85]f!C24</f>
        <v>36251321.509999998</v>
      </c>
      <c r="D24" s="54">
        <f>[85]f!D24</f>
        <v>3320833.15</v>
      </c>
      <c r="E24" s="124">
        <f>[85]f!E24</f>
        <v>39572154.659999996</v>
      </c>
    </row>
    <row r="25" spans="1:5" ht="20" customHeight="1" thickBot="1">
      <c r="A25" s="70">
        <v>49</v>
      </c>
      <c r="B25" s="70" t="s">
        <v>765</v>
      </c>
      <c r="C25" s="26">
        <f>[85]f!C25</f>
        <v>17482.77</v>
      </c>
      <c r="D25" s="54">
        <f>[85]f!D25</f>
        <v>1540.17</v>
      </c>
      <c r="E25" s="124">
        <f>[85]f!E25</f>
        <v>19022.939999999999</v>
      </c>
    </row>
    <row r="26" spans="1:5" ht="27" customHeight="1" thickBot="1">
      <c r="A26" s="73">
        <v>4</v>
      </c>
      <c r="B26" s="73" t="s">
        <v>766</v>
      </c>
      <c r="C26" s="26">
        <f>[85]f!C26</f>
        <v>36268804.280000001</v>
      </c>
      <c r="D26" s="54">
        <f>[85]f!D26</f>
        <v>3322373.32</v>
      </c>
      <c r="E26" s="124">
        <f>[85]f!E26</f>
        <v>39591177.600000001</v>
      </c>
    </row>
    <row r="27" spans="1:5" ht="27" customHeight="1" thickBot="1">
      <c r="A27" s="73" t="s">
        <v>767</v>
      </c>
      <c r="B27" s="73" t="s">
        <v>768</v>
      </c>
      <c r="C27" s="26">
        <f>[85]f!C27</f>
        <v>356959864.32999998</v>
      </c>
      <c r="D27" s="54">
        <f>[85]f!D27</f>
        <v>32199965.649999999</v>
      </c>
      <c r="E27" s="124">
        <f>[85]f!E27</f>
        <v>389159829.98000002</v>
      </c>
    </row>
    <row r="28" spans="1:5" ht="27" customHeight="1" thickBot="1">
      <c r="A28" s="73"/>
      <c r="B28" s="73" t="s">
        <v>769</v>
      </c>
      <c r="C28" s="26">
        <f>[85]f!C28</f>
        <v>14174984.369999999</v>
      </c>
      <c r="D28" s="54">
        <f>[85]f!D28</f>
        <v>-435981.61</v>
      </c>
      <c r="E28" s="124">
        <f>[85]f!E28</f>
        <v>13739002.76</v>
      </c>
    </row>
    <row r="29" spans="1:5" ht="27" customHeight="1" thickBot="1">
      <c r="A29" s="73">
        <v>7</v>
      </c>
      <c r="B29" s="73" t="s">
        <v>770</v>
      </c>
      <c r="C29" s="26">
        <f>[85]f!C29</f>
        <v>2445972.63</v>
      </c>
      <c r="D29" s="54">
        <f>[85]f!D29</f>
        <v>-145420.45000000001</v>
      </c>
      <c r="E29" s="124">
        <f>[85]f!E29</f>
        <v>2300552.1800000002</v>
      </c>
    </row>
    <row r="30" spans="1:5" ht="34.5" customHeight="1" thickBot="1">
      <c r="A30" s="87"/>
      <c r="B30" s="87" t="s">
        <v>771</v>
      </c>
      <c r="C30" s="149">
        <f>[85]f!C30</f>
        <v>16620957.02</v>
      </c>
      <c r="D30" s="150">
        <f>[85]f!D30</f>
        <v>-581402.06000000006</v>
      </c>
      <c r="E30" s="184">
        <f>[85]f!E30</f>
        <v>16039554.960000001</v>
      </c>
    </row>
    <row r="31" spans="1:5" ht="19.5" customHeight="1">
      <c r="A31" s="28" t="str">
        <f>[82]data!$D$2</f>
        <v>Datenstand: 27.09.2002</v>
      </c>
      <c r="B31" s="268"/>
      <c r="C31" s="28"/>
      <c r="D31" s="132"/>
      <c r="E31" s="428"/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&amp;L&amp;"Arial,Bold"&amp;14Freiwillige Taggeldversicherung KVG</oddHeader>
    <oddFooter>&amp;L&amp;"Arial,Regular"Statistik über die Krankenversicherung, Bundesamt für Sozialversicherung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76A93-3A56-104E-B69D-F1AD79EE9D70}">
  <dimension ref="A1:E33"/>
  <sheetViews>
    <sheetView topLeftCell="A19" zoomScale="75" workbookViewId="0">
      <selection activeCell="A32" sqref="A32"/>
    </sheetView>
  </sheetViews>
  <sheetFormatPr baseColWidth="10" defaultColWidth="11.3984375" defaultRowHeight="13"/>
  <cols>
    <col min="1" max="1" width="8.796875" style="7" customWidth="1"/>
    <col min="2" max="2" width="48.796875" style="116" customWidth="1"/>
    <col min="3" max="3" width="16.796875" style="7" customWidth="1"/>
    <col min="4" max="4" width="16.796875" style="22" customWidth="1"/>
    <col min="5" max="5" width="16.796875" style="429" customWidth="1"/>
    <col min="6" max="16384" width="11.3984375" style="7"/>
  </cols>
  <sheetData>
    <row r="1" spans="1:5" s="1" customFormat="1" ht="14" customHeight="1">
      <c r="B1" s="179"/>
      <c r="D1" s="180"/>
      <c r="E1" s="426"/>
    </row>
    <row r="2" spans="1:5" s="1" customFormat="1" ht="28" customHeight="1">
      <c r="A2" s="2" t="str">
        <f>"T 6.05  Betriebsrechnung der Einzelversicherung 1)  "&amp;[82]data!$B$2</f>
        <v>T 6.05  Betriebsrechnung der Einzelversicherung 1)  2001</v>
      </c>
      <c r="B2" s="179"/>
      <c r="D2" s="180"/>
      <c r="E2" s="426"/>
    </row>
    <row r="3" spans="1:5" ht="39" customHeight="1">
      <c r="A3" s="427" t="s">
        <v>737</v>
      </c>
      <c r="B3" s="260"/>
      <c r="C3" s="6" t="s">
        <v>738</v>
      </c>
      <c r="D3" s="96" t="s">
        <v>739</v>
      </c>
      <c r="E3" s="181" t="s">
        <v>514</v>
      </c>
    </row>
    <row r="4" spans="1:5" ht="38" customHeight="1">
      <c r="A4" s="182"/>
      <c r="B4" s="97"/>
      <c r="C4" s="16" t="s">
        <v>740</v>
      </c>
      <c r="D4" s="48" t="s">
        <v>740</v>
      </c>
      <c r="E4" s="183" t="s">
        <v>740</v>
      </c>
    </row>
    <row r="5" spans="1:5" ht="30" customHeight="1" thickBot="1">
      <c r="A5" s="430">
        <v>60</v>
      </c>
      <c r="B5" s="430" t="s">
        <v>741</v>
      </c>
      <c r="C5" s="431">
        <f>[86]f!C5</f>
        <v>112217248.27</v>
      </c>
      <c r="D5" s="432">
        <f>[86]f!D5</f>
        <v>12505603.130000001</v>
      </c>
      <c r="E5" s="289">
        <f>[86]f!E5</f>
        <v>124722851.40000001</v>
      </c>
    </row>
    <row r="6" spans="1:5" ht="20" customHeight="1" thickBot="1">
      <c r="A6" s="73">
        <v>64</v>
      </c>
      <c r="B6" s="73" t="s">
        <v>742</v>
      </c>
      <c r="C6" s="149">
        <f>[86]f!C6</f>
        <v>-578911.81000000006</v>
      </c>
      <c r="D6" s="150">
        <f>[86]f!D6</f>
        <v>-28964.95</v>
      </c>
      <c r="E6" s="184">
        <f>[86]f!E6</f>
        <v>-607876.76</v>
      </c>
    </row>
    <row r="7" spans="1:5" ht="20" customHeight="1" thickBot="1">
      <c r="A7" s="73">
        <v>65</v>
      </c>
      <c r="B7" s="73" t="s">
        <v>743</v>
      </c>
      <c r="C7" s="149">
        <f>[86]f!C7</f>
        <v>13204.23</v>
      </c>
      <c r="D7" s="150">
        <f>[86]f!D7</f>
        <v>1146.58</v>
      </c>
      <c r="E7" s="184">
        <f>[86]f!E7</f>
        <v>14350.81</v>
      </c>
    </row>
    <row r="8" spans="1:5" ht="27" customHeight="1" thickBot="1">
      <c r="A8" s="73" t="s">
        <v>744</v>
      </c>
      <c r="B8" s="73" t="s">
        <v>745</v>
      </c>
      <c r="C8" s="149">
        <f>[86]f!C8</f>
        <v>111652117.03</v>
      </c>
      <c r="D8" s="150">
        <f>[86]f!D8</f>
        <v>12477784.76</v>
      </c>
      <c r="E8" s="184">
        <f>[86]f!E8</f>
        <v>124129901.79000001</v>
      </c>
    </row>
    <row r="9" spans="1:5" ht="20" customHeight="1" thickBot="1">
      <c r="A9" s="73">
        <v>66</v>
      </c>
      <c r="B9" s="73" t="s">
        <v>746</v>
      </c>
      <c r="C9" s="149">
        <f>[86]f!C9</f>
        <v>-888511.49</v>
      </c>
      <c r="D9" s="150">
        <f>[86]f!D9</f>
        <v>-154737.73000000001</v>
      </c>
      <c r="E9" s="184">
        <f>[86]f!E9</f>
        <v>-1043249.22</v>
      </c>
    </row>
    <row r="10" spans="1:5" ht="27" customHeight="1" thickBot="1">
      <c r="A10" s="73" t="s">
        <v>747</v>
      </c>
      <c r="B10" s="73" t="s">
        <v>748</v>
      </c>
      <c r="C10" s="149">
        <f>[86]f!C10</f>
        <v>110763605.54000001</v>
      </c>
      <c r="D10" s="150">
        <f>[86]f!D10</f>
        <v>12323047.029999999</v>
      </c>
      <c r="E10" s="184">
        <f>[86]f!E10</f>
        <v>123086652.56999999</v>
      </c>
    </row>
    <row r="11" spans="1:5" ht="20" customHeight="1" thickBot="1">
      <c r="A11" s="73">
        <v>67</v>
      </c>
      <c r="B11" s="73" t="s">
        <v>749</v>
      </c>
      <c r="C11" s="149">
        <f>[86]f!C11</f>
        <v>253654.85</v>
      </c>
      <c r="D11" s="150">
        <f>[86]f!D11</f>
        <v>41307.5</v>
      </c>
      <c r="E11" s="184">
        <f>[86]f!E11</f>
        <v>294962.34999999998</v>
      </c>
    </row>
    <row r="12" spans="1:5" ht="20" customHeight="1" thickBot="1">
      <c r="A12" s="73">
        <v>68</v>
      </c>
      <c r="B12" s="73" t="s">
        <v>750</v>
      </c>
      <c r="C12" s="149">
        <f>[86]f!C12</f>
        <v>0</v>
      </c>
      <c r="D12" s="150">
        <f>[86]f!D12</f>
        <v>0</v>
      </c>
      <c r="E12" s="184">
        <f>[86]f!E12</f>
        <v>0</v>
      </c>
    </row>
    <row r="13" spans="1:5" ht="20" customHeight="1" thickBot="1">
      <c r="A13" s="73">
        <v>69</v>
      </c>
      <c r="B13" s="73" t="s">
        <v>751</v>
      </c>
      <c r="C13" s="149">
        <f>[86]f!C13</f>
        <v>1912959.03</v>
      </c>
      <c r="D13" s="150">
        <f>[86]f!D13</f>
        <v>84279.69</v>
      </c>
      <c r="E13" s="184">
        <f>[86]f!E13</f>
        <v>1997238.72</v>
      </c>
    </row>
    <row r="14" spans="1:5" ht="27" customHeight="1" thickBot="1">
      <c r="A14" s="73">
        <v>6</v>
      </c>
      <c r="B14" s="73" t="s">
        <v>752</v>
      </c>
      <c r="C14" s="149">
        <f>[86]f!C14</f>
        <v>112930219.42</v>
      </c>
      <c r="D14" s="150">
        <f>[86]f!D14</f>
        <v>12448634.220000001</v>
      </c>
      <c r="E14" s="184">
        <f>[86]f!E14</f>
        <v>125378853.64</v>
      </c>
    </row>
    <row r="15" spans="1:5" ht="20" customHeight="1" thickBot="1">
      <c r="A15" s="73">
        <v>30</v>
      </c>
      <c r="B15" s="73" t="s">
        <v>677</v>
      </c>
      <c r="C15" s="149">
        <f>[86]f!C15</f>
        <v>99873670.010000005</v>
      </c>
      <c r="D15" s="150">
        <f>[86]f!D15</f>
        <v>10536746.24</v>
      </c>
      <c r="E15" s="184">
        <f>[86]f!E15</f>
        <v>110410416.25</v>
      </c>
    </row>
    <row r="16" spans="1:5" ht="20" customHeight="1" thickBot="1">
      <c r="A16" s="73">
        <v>32</v>
      </c>
      <c r="B16" s="73" t="s">
        <v>753</v>
      </c>
      <c r="C16" s="149">
        <f>[86]f!C16</f>
        <v>0</v>
      </c>
      <c r="D16" s="150">
        <f>[86]f!D16</f>
        <v>0</v>
      </c>
      <c r="E16" s="184">
        <f>[86]f!E16</f>
        <v>0</v>
      </c>
    </row>
    <row r="17" spans="1:5" ht="27" customHeight="1" thickBot="1">
      <c r="A17" s="73" t="s">
        <v>754</v>
      </c>
      <c r="B17" s="73" t="s">
        <v>755</v>
      </c>
      <c r="C17" s="149">
        <f>[86]f!C17</f>
        <v>99873670.010000005</v>
      </c>
      <c r="D17" s="150">
        <f>[86]f!D17</f>
        <v>10536746.24</v>
      </c>
      <c r="E17" s="184">
        <f>[86]f!E17</f>
        <v>110410416.25</v>
      </c>
    </row>
    <row r="18" spans="1:5" ht="20" customHeight="1" thickBot="1">
      <c r="A18" s="73">
        <v>34</v>
      </c>
      <c r="B18" s="73" t="s">
        <v>756</v>
      </c>
      <c r="C18" s="149">
        <f>[86]f!C18</f>
        <v>85261.09</v>
      </c>
      <c r="D18" s="150">
        <f>[86]f!D18</f>
        <v>7367.97</v>
      </c>
      <c r="E18" s="184">
        <f>[86]f!E18</f>
        <v>92629.06</v>
      </c>
    </row>
    <row r="19" spans="1:5" ht="20" customHeight="1" thickBot="1">
      <c r="A19" s="73">
        <v>35</v>
      </c>
      <c r="B19" s="73" t="s">
        <v>757</v>
      </c>
      <c r="C19" s="149">
        <f>[86]f!C19</f>
        <v>-6703729.5499999998</v>
      </c>
      <c r="D19" s="150">
        <f>[86]f!D19</f>
        <v>-653045.72</v>
      </c>
      <c r="E19" s="184">
        <f>[86]f!E19</f>
        <v>-7356775.2699999996</v>
      </c>
    </row>
    <row r="20" spans="1:5" ht="27" customHeight="1" thickBot="1">
      <c r="A20" s="73" t="s">
        <v>758</v>
      </c>
      <c r="B20" s="73" t="s">
        <v>759</v>
      </c>
      <c r="C20" s="149">
        <f>[86]f!C20</f>
        <v>93255201.560000002</v>
      </c>
      <c r="D20" s="150">
        <f>[86]f!D20</f>
        <v>9891068.4800000004</v>
      </c>
      <c r="E20" s="184">
        <f>[86]f!E20</f>
        <v>103146270.04000001</v>
      </c>
    </row>
    <row r="21" spans="1:5" ht="20" customHeight="1" thickBot="1">
      <c r="A21" s="73">
        <v>36</v>
      </c>
      <c r="B21" s="73" t="s">
        <v>760</v>
      </c>
      <c r="C21" s="149">
        <f>[86]f!C21</f>
        <v>-1145662.01</v>
      </c>
      <c r="D21" s="150">
        <f>[86]f!D21</f>
        <v>-50778.15</v>
      </c>
      <c r="E21" s="184">
        <f>[86]f!E21</f>
        <v>-1196440.1599999999</v>
      </c>
    </row>
    <row r="22" spans="1:5" ht="20" customHeight="1" thickBot="1">
      <c r="A22" s="73">
        <v>37</v>
      </c>
      <c r="B22" s="73" t="s">
        <v>761</v>
      </c>
      <c r="C22" s="149">
        <f>[86]f!C22</f>
        <v>0</v>
      </c>
      <c r="D22" s="150">
        <f>[86]f!D22</f>
        <v>0</v>
      </c>
      <c r="E22" s="184">
        <f>[86]f!E22</f>
        <v>0</v>
      </c>
    </row>
    <row r="23" spans="1:5" ht="27" customHeight="1" thickBot="1">
      <c r="A23" s="73">
        <v>3</v>
      </c>
      <c r="B23" s="73" t="s">
        <v>762</v>
      </c>
      <c r="C23" s="149">
        <f>[86]f!C23</f>
        <v>92109539.549999997</v>
      </c>
      <c r="D23" s="150">
        <f>[86]f!D23</f>
        <v>9840290.3300000001</v>
      </c>
      <c r="E23" s="184">
        <f>[86]f!E23</f>
        <v>101949829.88</v>
      </c>
    </row>
    <row r="24" spans="1:5" ht="20" customHeight="1" thickBot="1">
      <c r="A24" s="73" t="s">
        <v>763</v>
      </c>
      <c r="B24" s="73" t="s">
        <v>764</v>
      </c>
      <c r="C24" s="149">
        <f>[86]f!C24</f>
        <v>11357149.43</v>
      </c>
      <c r="D24" s="150">
        <f>[86]f!D24</f>
        <v>1296570.18</v>
      </c>
      <c r="E24" s="184">
        <f>[86]f!E24</f>
        <v>12653719.609999999</v>
      </c>
    </row>
    <row r="25" spans="1:5" ht="20" customHeight="1" thickBot="1">
      <c r="A25" s="73">
        <v>49</v>
      </c>
      <c r="B25" s="73" t="s">
        <v>765</v>
      </c>
      <c r="C25" s="149">
        <f>[86]f!C25</f>
        <v>9131.99</v>
      </c>
      <c r="D25" s="150">
        <f>[86]f!D25</f>
        <v>1520.67</v>
      </c>
      <c r="E25" s="184">
        <f>[86]f!E25</f>
        <v>10652.66</v>
      </c>
    </row>
    <row r="26" spans="1:5" ht="27" customHeight="1" thickBot="1">
      <c r="A26" s="73">
        <v>4</v>
      </c>
      <c r="B26" s="73" t="s">
        <v>766</v>
      </c>
      <c r="C26" s="149">
        <f>[86]f!C26</f>
        <v>11366281.42</v>
      </c>
      <c r="D26" s="150">
        <f>[86]f!D26</f>
        <v>1298090.8500000001</v>
      </c>
      <c r="E26" s="184">
        <f>[86]f!E26</f>
        <v>12664372.27</v>
      </c>
    </row>
    <row r="27" spans="1:5" ht="27" customHeight="1" thickBot="1">
      <c r="A27" s="73" t="s">
        <v>767</v>
      </c>
      <c r="B27" s="73" t="s">
        <v>768</v>
      </c>
      <c r="C27" s="149">
        <f>[86]f!C27</f>
        <v>103475820.97</v>
      </c>
      <c r="D27" s="150">
        <f>[86]f!D27</f>
        <v>11138381.18</v>
      </c>
      <c r="E27" s="184">
        <f>[86]f!E27</f>
        <v>114614202.15000001</v>
      </c>
    </row>
    <row r="28" spans="1:5" ht="27" customHeight="1" thickBot="1">
      <c r="A28" s="73"/>
      <c r="B28" s="73" t="s">
        <v>769</v>
      </c>
      <c r="C28" s="149">
        <f>[86]f!C28</f>
        <v>9454398.4499999993</v>
      </c>
      <c r="D28" s="150">
        <f>[86]f!D28</f>
        <v>1310253.05</v>
      </c>
      <c r="E28" s="184">
        <f>[86]f!E28</f>
        <v>10764651.5</v>
      </c>
    </row>
    <row r="29" spans="1:5" ht="27" customHeight="1" thickBot="1">
      <c r="A29" s="73">
        <v>7</v>
      </c>
      <c r="B29" s="73" t="s">
        <v>770</v>
      </c>
      <c r="C29" s="149">
        <f>[86]f!C29</f>
        <v>3450262.24</v>
      </c>
      <c r="D29" s="150">
        <f>[86]f!D29</f>
        <v>203162.25</v>
      </c>
      <c r="E29" s="184">
        <f>[86]f!E29</f>
        <v>3653424.49</v>
      </c>
    </row>
    <row r="30" spans="1:5" ht="34.5" customHeight="1" thickBot="1">
      <c r="A30" s="87"/>
      <c r="B30" s="87" t="s">
        <v>771</v>
      </c>
      <c r="C30" s="149">
        <f>[86]f!C30</f>
        <v>12904660.699999999</v>
      </c>
      <c r="D30" s="150">
        <f>[86]f!D30</f>
        <v>1513415.3</v>
      </c>
      <c r="E30" s="184">
        <f>[86]f!E30</f>
        <v>14418076</v>
      </c>
    </row>
    <row r="31" spans="1:5" ht="20" customHeight="1">
      <c r="A31" s="28" t="str">
        <f>[82]data!$D$2</f>
        <v>Datenstand: 27.09.2002</v>
      </c>
      <c r="B31" s="268"/>
      <c r="C31" s="28"/>
      <c r="D31" s="132"/>
      <c r="E31" s="428"/>
    </row>
    <row r="32" spans="1:5">
      <c r="A32" s="7" t="s">
        <v>165</v>
      </c>
    </row>
    <row r="33" spans="1:1">
      <c r="A33" s="7" t="s">
        <v>166</v>
      </c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&amp;L&amp;"Arial,Bold"&amp;14Freiwillige Taggeldversicherung KVG</oddHeader>
    <oddFooter>&amp;L&amp;"Arial,Regular"Statistik über die Krankenversicherung, Bundesamt für Sozialversicherung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7895-FE37-864C-B050-309D833A39E5}">
  <dimension ref="A1:E33"/>
  <sheetViews>
    <sheetView topLeftCell="A16" zoomScale="75" workbookViewId="0">
      <selection activeCell="A32" sqref="A32"/>
    </sheetView>
  </sheetViews>
  <sheetFormatPr baseColWidth="10" defaultColWidth="11.3984375" defaultRowHeight="13"/>
  <cols>
    <col min="1" max="1" width="8.796875" style="7" customWidth="1"/>
    <col min="2" max="2" width="48.796875" style="116" customWidth="1"/>
    <col min="3" max="3" width="16.796875" style="7" customWidth="1"/>
    <col min="4" max="4" width="16.796875" style="22" customWidth="1"/>
    <col min="5" max="5" width="16.796875" style="429" customWidth="1"/>
    <col min="6" max="16384" width="11.3984375" style="7"/>
  </cols>
  <sheetData>
    <row r="1" spans="1:5" s="1" customFormat="1" ht="14" customHeight="1">
      <c r="B1" s="179"/>
      <c r="D1" s="180"/>
      <c r="E1" s="426"/>
    </row>
    <row r="2" spans="1:5" s="1" customFormat="1" ht="28" customHeight="1">
      <c r="A2" s="2" t="str">
        <f>"T 6.06  Betriebsrechnung der Kollektivversicherung 1) "&amp;[82]data!$B$2</f>
        <v>T 6.06  Betriebsrechnung der Kollektivversicherung 1) 2001</v>
      </c>
      <c r="B2" s="179"/>
      <c r="D2" s="180"/>
      <c r="E2" s="426"/>
    </row>
    <row r="3" spans="1:5" ht="39" customHeight="1">
      <c r="A3" s="41" t="s">
        <v>737</v>
      </c>
      <c r="B3" s="260"/>
      <c r="C3" s="6" t="s">
        <v>738</v>
      </c>
      <c r="D3" s="96" t="s">
        <v>739</v>
      </c>
      <c r="E3" s="181" t="s">
        <v>514</v>
      </c>
    </row>
    <row r="4" spans="1:5" ht="38" customHeight="1">
      <c r="A4" s="182"/>
      <c r="B4" s="97"/>
      <c r="C4" s="16" t="s">
        <v>740</v>
      </c>
      <c r="D4" s="48" t="s">
        <v>740</v>
      </c>
      <c r="E4" s="183" t="s">
        <v>740</v>
      </c>
    </row>
    <row r="5" spans="1:5" ht="30" customHeight="1" thickBot="1">
      <c r="A5" s="430">
        <v>60</v>
      </c>
      <c r="B5" s="430" t="s">
        <v>741</v>
      </c>
      <c r="C5" s="431">
        <f>[87]f!C5</f>
        <v>256668118.24000001</v>
      </c>
      <c r="D5" s="432">
        <f>[87]f!D5</f>
        <v>19320928.379999999</v>
      </c>
      <c r="E5" s="289">
        <f>[87]f!E5</f>
        <v>275989046.62</v>
      </c>
    </row>
    <row r="6" spans="1:5" ht="20" customHeight="1" thickBot="1">
      <c r="A6" s="73">
        <v>64</v>
      </c>
      <c r="B6" s="73" t="s">
        <v>742</v>
      </c>
      <c r="C6" s="431">
        <f>[87]f!C6</f>
        <v>-1417873.55</v>
      </c>
      <c r="D6" s="432">
        <f>[87]f!D6</f>
        <v>-66206.490000000005</v>
      </c>
      <c r="E6" s="289">
        <f>[87]f!E6</f>
        <v>-1484080.04</v>
      </c>
    </row>
    <row r="7" spans="1:5" ht="20" customHeight="1" thickBot="1">
      <c r="A7" s="73">
        <v>65</v>
      </c>
      <c r="B7" s="73" t="s">
        <v>743</v>
      </c>
      <c r="C7" s="431">
        <f>[87]f!C7</f>
        <v>21723.75</v>
      </c>
      <c r="D7" s="432">
        <f>[87]f!D7</f>
        <v>70.03</v>
      </c>
      <c r="E7" s="289">
        <f>[87]f!E7</f>
        <v>21793.78</v>
      </c>
    </row>
    <row r="8" spans="1:5" ht="27" customHeight="1" thickBot="1">
      <c r="A8" s="73" t="s">
        <v>744</v>
      </c>
      <c r="B8" s="73" t="s">
        <v>745</v>
      </c>
      <c r="C8" s="431">
        <f>[87]f!C8</f>
        <v>255271968.44</v>
      </c>
      <c r="D8" s="432">
        <f>[87]f!D8</f>
        <v>19254791.93</v>
      </c>
      <c r="E8" s="289">
        <f>[87]f!E8</f>
        <v>274526760.37</v>
      </c>
    </row>
    <row r="9" spans="1:5" ht="20" customHeight="1" thickBot="1">
      <c r="A9" s="73">
        <v>66</v>
      </c>
      <c r="B9" s="73" t="s">
        <v>746</v>
      </c>
      <c r="C9" s="431">
        <f>[87]f!C9</f>
        <v>-1195861.95</v>
      </c>
      <c r="D9" s="432">
        <f>[87]f!D9</f>
        <v>-9071.6</v>
      </c>
      <c r="E9" s="289">
        <f>[87]f!E9</f>
        <v>-1204933.55</v>
      </c>
    </row>
    <row r="10" spans="1:5" ht="27" customHeight="1" thickBot="1">
      <c r="A10" s="73" t="s">
        <v>747</v>
      </c>
      <c r="B10" s="73" t="s">
        <v>748</v>
      </c>
      <c r="C10" s="431">
        <f>[87]f!C10</f>
        <v>254076106.49000001</v>
      </c>
      <c r="D10" s="432">
        <f>[87]f!D10</f>
        <v>19245720.329999998</v>
      </c>
      <c r="E10" s="289">
        <f>[87]f!E10</f>
        <v>273321826.81999999</v>
      </c>
    </row>
    <row r="11" spans="1:5" ht="20" customHeight="1" thickBot="1">
      <c r="A11" s="73">
        <v>67</v>
      </c>
      <c r="B11" s="73" t="s">
        <v>749</v>
      </c>
      <c r="C11" s="431">
        <f>[87]f!C11</f>
        <v>18856100.699999999</v>
      </c>
      <c r="D11" s="432">
        <f>[87]f!D11</f>
        <v>55787.9</v>
      </c>
      <c r="E11" s="289">
        <f>[87]f!E11</f>
        <v>18911888.600000001</v>
      </c>
    </row>
    <row r="12" spans="1:5" ht="20" customHeight="1" thickBot="1">
      <c r="A12" s="73">
        <v>68</v>
      </c>
      <c r="B12" s="73" t="s">
        <v>750</v>
      </c>
      <c r="C12" s="431">
        <f>[87]f!C12</f>
        <v>-18856100.699999999</v>
      </c>
      <c r="D12" s="432">
        <f>[87]f!D12</f>
        <v>-55787.9</v>
      </c>
      <c r="E12" s="289">
        <f>[87]f!E12</f>
        <v>-18911888.600000001</v>
      </c>
    </row>
    <row r="13" spans="1:5" ht="20" customHeight="1" thickBot="1">
      <c r="A13" s="73">
        <v>69</v>
      </c>
      <c r="B13" s="73" t="s">
        <v>751</v>
      </c>
      <c r="C13" s="431">
        <f>[87]f!C13</f>
        <v>4128522.79</v>
      </c>
      <c r="D13" s="432">
        <f>[87]f!D13</f>
        <v>69629.48</v>
      </c>
      <c r="E13" s="289">
        <f>[87]f!E13</f>
        <v>4198152.2699999996</v>
      </c>
    </row>
    <row r="14" spans="1:5" ht="27" customHeight="1" thickBot="1">
      <c r="A14" s="73">
        <v>6</v>
      </c>
      <c r="B14" s="73" t="s">
        <v>752</v>
      </c>
      <c r="C14" s="431">
        <f>[87]f!C14</f>
        <v>258204629.28</v>
      </c>
      <c r="D14" s="432">
        <f>[87]f!D14</f>
        <v>19315349.809999999</v>
      </c>
      <c r="E14" s="289">
        <f>[87]f!E14</f>
        <v>277519979.08999997</v>
      </c>
    </row>
    <row r="15" spans="1:5" ht="20" customHeight="1" thickBot="1">
      <c r="A15" s="73">
        <v>30</v>
      </c>
      <c r="B15" s="73" t="s">
        <v>677</v>
      </c>
      <c r="C15" s="431">
        <f>[87]f!C15</f>
        <v>223552234.61000001</v>
      </c>
      <c r="D15" s="432">
        <f>[87]f!D15</f>
        <v>18008733.870000001</v>
      </c>
      <c r="E15" s="289">
        <f>[87]f!E15</f>
        <v>241560968.47999999</v>
      </c>
    </row>
    <row r="16" spans="1:5" ht="20" customHeight="1" thickBot="1">
      <c r="A16" s="73">
        <v>32</v>
      </c>
      <c r="B16" s="73" t="s">
        <v>753</v>
      </c>
      <c r="C16" s="431">
        <f>[87]f!C16</f>
        <v>0</v>
      </c>
      <c r="D16" s="432">
        <f>[87]f!D16</f>
        <v>0</v>
      </c>
      <c r="E16" s="289">
        <f>[87]f!E16</f>
        <v>0</v>
      </c>
    </row>
    <row r="17" spans="1:5" ht="27" customHeight="1" thickBot="1">
      <c r="A17" s="73" t="s">
        <v>754</v>
      </c>
      <c r="B17" s="73" t="s">
        <v>755</v>
      </c>
      <c r="C17" s="431">
        <f>[87]f!C17</f>
        <v>223552234.61000001</v>
      </c>
      <c r="D17" s="432">
        <f>[87]f!D17</f>
        <v>18008733.870000001</v>
      </c>
      <c r="E17" s="289">
        <f>[87]f!E17</f>
        <v>241560968.47999999</v>
      </c>
    </row>
    <row r="18" spans="1:5" ht="20" customHeight="1" thickBot="1">
      <c r="A18" s="73">
        <v>34</v>
      </c>
      <c r="B18" s="73" t="s">
        <v>756</v>
      </c>
      <c r="C18" s="431">
        <f>[87]f!C18</f>
        <v>638032.54</v>
      </c>
      <c r="D18" s="432">
        <f>[87]f!D18</f>
        <v>15951.71</v>
      </c>
      <c r="E18" s="289">
        <f>[87]f!E18</f>
        <v>653984.25</v>
      </c>
    </row>
    <row r="19" spans="1:5" ht="20" customHeight="1" thickBot="1">
      <c r="A19" s="73">
        <v>35</v>
      </c>
      <c r="B19" s="73" t="s">
        <v>757</v>
      </c>
      <c r="C19" s="431">
        <f>[87]f!C19</f>
        <v>6103550.5199999996</v>
      </c>
      <c r="D19" s="432">
        <f>[87]f!D19</f>
        <v>1015459.94</v>
      </c>
      <c r="E19" s="289">
        <f>[87]f!E19</f>
        <v>7119010.46</v>
      </c>
    </row>
    <row r="20" spans="1:5" ht="27" customHeight="1" thickBot="1">
      <c r="A20" s="73" t="s">
        <v>758</v>
      </c>
      <c r="B20" s="73" t="s">
        <v>759</v>
      </c>
      <c r="C20" s="431">
        <f>[87]f!C20</f>
        <v>230293817.66</v>
      </c>
      <c r="D20" s="432">
        <f>[87]f!D20</f>
        <v>19040145.52</v>
      </c>
      <c r="E20" s="289">
        <f>[87]f!E20</f>
        <v>249333963.18000001</v>
      </c>
    </row>
    <row r="21" spans="1:5" ht="20" customHeight="1" thickBot="1">
      <c r="A21" s="73">
        <v>36</v>
      </c>
      <c r="B21" s="73" t="s">
        <v>760</v>
      </c>
      <c r="C21" s="431">
        <f>[87]f!C21</f>
        <v>-1712297.16</v>
      </c>
      <c r="D21" s="432">
        <f>[87]f!D21</f>
        <v>-2843.53</v>
      </c>
      <c r="E21" s="289">
        <f>[87]f!E21</f>
        <v>-1715140.69</v>
      </c>
    </row>
    <row r="22" spans="1:5" ht="20" customHeight="1" thickBot="1">
      <c r="A22" s="73">
        <v>37</v>
      </c>
      <c r="B22" s="73" t="s">
        <v>761</v>
      </c>
      <c r="C22" s="431">
        <f>[87]f!C22</f>
        <v>0</v>
      </c>
      <c r="D22" s="432">
        <f>[87]f!D22</f>
        <v>0</v>
      </c>
      <c r="E22" s="289">
        <f>[87]f!E22</f>
        <v>0</v>
      </c>
    </row>
    <row r="23" spans="1:5" ht="27" customHeight="1" thickBot="1">
      <c r="A23" s="73">
        <v>3</v>
      </c>
      <c r="B23" s="73" t="s">
        <v>762</v>
      </c>
      <c r="C23" s="431">
        <f>[87]f!C23</f>
        <v>228581520.5</v>
      </c>
      <c r="D23" s="432">
        <f>[87]f!D23</f>
        <v>19037301.989999998</v>
      </c>
      <c r="E23" s="289">
        <f>[87]f!E23</f>
        <v>247618822.49000001</v>
      </c>
    </row>
    <row r="24" spans="1:5" ht="20" customHeight="1" thickBot="1">
      <c r="A24" s="73" t="s">
        <v>763</v>
      </c>
      <c r="B24" s="73" t="s">
        <v>764</v>
      </c>
      <c r="C24" s="431">
        <f>[87]f!C24</f>
        <v>24894172.079999998</v>
      </c>
      <c r="D24" s="432">
        <f>[87]f!D24</f>
        <v>2024262.97</v>
      </c>
      <c r="E24" s="289">
        <f>[87]f!E24</f>
        <v>26918435.050000001</v>
      </c>
    </row>
    <row r="25" spans="1:5" ht="20" customHeight="1" thickBot="1">
      <c r="A25" s="73">
        <v>49</v>
      </c>
      <c r="B25" s="73" t="s">
        <v>765</v>
      </c>
      <c r="C25" s="431">
        <f>[87]f!C25</f>
        <v>8350.7800000000007</v>
      </c>
      <c r="D25" s="432">
        <f>[87]f!D25</f>
        <v>19.5</v>
      </c>
      <c r="E25" s="289">
        <f>[87]f!E25</f>
        <v>8370.2800000000007</v>
      </c>
    </row>
    <row r="26" spans="1:5" ht="27" customHeight="1" thickBot="1">
      <c r="A26" s="73">
        <v>4</v>
      </c>
      <c r="B26" s="73" t="s">
        <v>766</v>
      </c>
      <c r="C26" s="431">
        <f>[87]f!C26</f>
        <v>24902522.859999999</v>
      </c>
      <c r="D26" s="432">
        <f>[87]f!D26</f>
        <v>2024282.47</v>
      </c>
      <c r="E26" s="289">
        <f>[87]f!E26</f>
        <v>26926805.329999998</v>
      </c>
    </row>
    <row r="27" spans="1:5" ht="27" customHeight="1" thickBot="1">
      <c r="A27" s="73" t="s">
        <v>767</v>
      </c>
      <c r="B27" s="73" t="s">
        <v>768</v>
      </c>
      <c r="C27" s="431">
        <f>[87]f!C27</f>
        <v>253484043.36000001</v>
      </c>
      <c r="D27" s="432">
        <f>[87]f!D27</f>
        <v>21061584.469999999</v>
      </c>
      <c r="E27" s="289">
        <f>[87]f!E27</f>
        <v>274545627.82999998</v>
      </c>
    </row>
    <row r="28" spans="1:5" ht="27" customHeight="1" thickBot="1">
      <c r="A28" s="73"/>
      <c r="B28" s="73" t="s">
        <v>769</v>
      </c>
      <c r="C28" s="431">
        <f>[87]f!C28</f>
        <v>4720585.92</v>
      </c>
      <c r="D28" s="432">
        <f>[87]f!D28</f>
        <v>-1746234.66</v>
      </c>
      <c r="E28" s="289">
        <f>[87]f!E28</f>
        <v>2974351.26</v>
      </c>
    </row>
    <row r="29" spans="1:5" ht="27" customHeight="1" thickBot="1">
      <c r="A29" s="73">
        <v>7</v>
      </c>
      <c r="B29" s="73" t="s">
        <v>770</v>
      </c>
      <c r="C29" s="431">
        <f>[87]f!C29</f>
        <v>-1004289.61</v>
      </c>
      <c r="D29" s="432">
        <f>[87]f!D29</f>
        <v>-348582.7</v>
      </c>
      <c r="E29" s="289">
        <f>[87]f!E29</f>
        <v>-1352872.31</v>
      </c>
    </row>
    <row r="30" spans="1:5" ht="34.5" customHeight="1" thickBot="1">
      <c r="A30" s="87"/>
      <c r="B30" s="87" t="s">
        <v>771</v>
      </c>
      <c r="C30" s="431">
        <f>[87]f!C30</f>
        <v>3716296.32</v>
      </c>
      <c r="D30" s="432">
        <f>[87]f!D30</f>
        <v>-2094817.36</v>
      </c>
      <c r="E30" s="289">
        <f>[87]f!E30</f>
        <v>1621478.96</v>
      </c>
    </row>
    <row r="31" spans="1:5" ht="20" customHeight="1">
      <c r="A31" s="28" t="str">
        <f>[82]data!$D$2</f>
        <v>Datenstand: 27.09.2002</v>
      </c>
      <c r="B31" s="268"/>
      <c r="C31" s="28"/>
      <c r="D31" s="132"/>
      <c r="E31" s="428"/>
    </row>
    <row r="32" spans="1:5">
      <c r="A32" s="7" t="s">
        <v>165</v>
      </c>
    </row>
    <row r="33" spans="1:1">
      <c r="A33" s="7" t="s">
        <v>166</v>
      </c>
    </row>
  </sheetData>
  <phoneticPr fontId="0" type="noConversion"/>
  <pageMargins left="0.78740157480314965" right="0.78740157480314965" top="1.47" bottom="0.49" header="0.93" footer="0.4921259845"/>
  <pageSetup paperSize="9" scale="80" orientation="portrait" horizontalDpi="4294967292" verticalDpi="4294967292"/>
  <headerFooter alignWithMargins="0">
    <oddHeader>&amp;L&amp;"Arial,Bold"&amp;14Freiwillige Taggeldversicherung KVG</oddHeader>
    <oddFooter>&amp;L&amp;"Arial,Regular"Statistik über die Krankenversicherung, Bundesamt für Sozialversicherung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0CE2-3459-B646-A5AD-0400CAF2AF4A}">
  <dimension ref="A1:K20"/>
  <sheetViews>
    <sheetView zoomScale="75" workbookViewId="0">
      <selection activeCell="F3" sqref="F3"/>
    </sheetView>
  </sheetViews>
  <sheetFormatPr baseColWidth="10" defaultColWidth="11.3984375" defaultRowHeight="13"/>
  <cols>
    <col min="1" max="1" width="16.796875" style="7" customWidth="1"/>
    <col min="2" max="7" width="15" style="7" customWidth="1"/>
    <col min="8" max="16384" width="11.3984375" style="7"/>
  </cols>
  <sheetData>
    <row r="1" spans="1:11" s="1" customFormat="1" ht="14" customHeight="1"/>
    <row r="2" spans="1:11" s="1" customFormat="1" ht="28" customHeight="1">
      <c r="A2" s="2" t="s">
        <v>219</v>
      </c>
    </row>
    <row r="3" spans="1:11" ht="24" customHeight="1">
      <c r="A3" s="41" t="s">
        <v>515</v>
      </c>
      <c r="B3" s="6" t="s">
        <v>145</v>
      </c>
      <c r="C3" s="42" t="s">
        <v>522</v>
      </c>
      <c r="D3" s="6" t="s">
        <v>146</v>
      </c>
      <c r="E3" s="42" t="s">
        <v>522</v>
      </c>
      <c r="F3" s="6" t="s">
        <v>577</v>
      </c>
      <c r="G3" s="42" t="s">
        <v>522</v>
      </c>
    </row>
    <row r="4" spans="1:11" ht="15" customHeight="1">
      <c r="A4" s="43"/>
      <c r="B4" s="12" t="s">
        <v>577</v>
      </c>
      <c r="C4" s="44" t="s">
        <v>523</v>
      </c>
      <c r="D4" s="12" t="s">
        <v>147</v>
      </c>
      <c r="E4" s="44" t="s">
        <v>523</v>
      </c>
      <c r="F4" s="12" t="s">
        <v>148</v>
      </c>
      <c r="G4" s="44" t="s">
        <v>523</v>
      </c>
    </row>
    <row r="5" spans="1:11" ht="15" customHeight="1">
      <c r="A5" s="43"/>
      <c r="B5" s="12" t="s">
        <v>220</v>
      </c>
      <c r="C5" s="44" t="s">
        <v>524</v>
      </c>
      <c r="D5" s="12" t="s">
        <v>149</v>
      </c>
      <c r="E5" s="44" t="s">
        <v>524</v>
      </c>
      <c r="F5" s="12" t="s">
        <v>221</v>
      </c>
      <c r="G5" s="44" t="s">
        <v>524</v>
      </c>
    </row>
    <row r="6" spans="1:11" ht="24" customHeight="1">
      <c r="A6" s="46"/>
      <c r="B6" s="16"/>
      <c r="C6" s="47"/>
      <c r="D6" s="16" t="s">
        <v>167</v>
      </c>
      <c r="E6" s="47"/>
      <c r="F6" s="16"/>
      <c r="G6" s="47"/>
    </row>
    <row r="7" spans="1:11" ht="30" customHeight="1" thickBot="1">
      <c r="A7" s="228">
        <f>[88]f!A7</f>
        <v>1994</v>
      </c>
      <c r="B7" s="230">
        <f>[88]f!B7</f>
        <v>4198316767</v>
      </c>
      <c r="C7" s="231" t="str">
        <f>[88]f!C7</f>
        <v>–</v>
      </c>
      <c r="D7" s="230">
        <f>[88]f!D7</f>
        <v>3818641000</v>
      </c>
      <c r="E7" s="231" t="str">
        <f>[88]f!E7</f>
        <v>–</v>
      </c>
      <c r="F7" s="230">
        <f>[88]f!F7</f>
        <v>379675767</v>
      </c>
      <c r="G7" s="231" t="str">
        <f>[88]f!G7</f>
        <v>–</v>
      </c>
      <c r="H7" s="22"/>
    </row>
    <row r="8" spans="1:11" ht="20" customHeight="1" thickBot="1">
      <c r="A8" s="52">
        <f>[88]f!A8</f>
        <v>1995</v>
      </c>
      <c r="B8" s="26">
        <f>[88]f!B8</f>
        <v>4392004810</v>
      </c>
      <c r="C8" s="55">
        <f>[88]f!C8</f>
        <v>4.6134690103053863E-2</v>
      </c>
      <c r="D8" s="26">
        <f>[88]f!D8</f>
        <v>4165379000</v>
      </c>
      <c r="E8" s="55">
        <f>[88]f!E8</f>
        <v>9.0801413382404897E-2</v>
      </c>
      <c r="F8" s="26">
        <f>[88]f!F8</f>
        <v>226625810</v>
      </c>
      <c r="G8" s="55">
        <f>[88]f!G8</f>
        <v>-0.40310699365756469</v>
      </c>
    </row>
    <row r="9" spans="1:11" ht="20" customHeight="1" thickBot="1">
      <c r="A9" s="52">
        <f>[88]f!A9</f>
        <v>1996</v>
      </c>
      <c r="B9" s="26">
        <f>[88]f!B9</f>
        <v>4599022226.4899998</v>
      </c>
      <c r="C9" s="55">
        <f>[88]f!C9</f>
        <v>4.7135061423122571E-2</v>
      </c>
      <c r="D9" s="26">
        <f>[88]f!D9</f>
        <v>4507461189</v>
      </c>
      <c r="E9" s="55">
        <f>[88]f!E9</f>
        <v>8.2125105302542703E-2</v>
      </c>
      <c r="F9" s="26">
        <f>[88]f!F9</f>
        <v>91699445.469999999</v>
      </c>
      <c r="G9" s="55">
        <f>[88]f!G9</f>
        <v>-0.59537068849307151</v>
      </c>
      <c r="I9" s="27"/>
      <c r="J9" s="27"/>
      <c r="K9" s="27"/>
    </row>
    <row r="10" spans="1:11" ht="20" customHeight="1" thickBot="1">
      <c r="A10" s="52">
        <f>[88]f!A10</f>
        <v>1997</v>
      </c>
      <c r="B10" s="26">
        <f>[88]f!B10</f>
        <v>4851626656</v>
      </c>
      <c r="C10" s="55">
        <f>[88]f!C10</f>
        <v>5.4925681388321837E-2</v>
      </c>
      <c r="D10" s="26">
        <f>[88]f!D10</f>
        <v>4710142665.8999996</v>
      </c>
      <c r="E10" s="55">
        <f>[88]f!E10</f>
        <v>4.4965773059704457E-2</v>
      </c>
      <c r="F10" s="26">
        <f>[88]f!F10</f>
        <v>141483990.28999999</v>
      </c>
      <c r="G10" s="55">
        <f>[88]f!G10</f>
        <v>0.54290998778490207</v>
      </c>
    </row>
    <row r="11" spans="1:11" ht="20" customHeight="1" thickBot="1">
      <c r="A11" s="52">
        <f>[88]f!A11</f>
        <v>1998</v>
      </c>
      <c r="B11" s="26">
        <f>[88]f!B11</f>
        <v>4992640209.6999998</v>
      </c>
      <c r="C11" s="55">
        <f>[88]f!C11</f>
        <v>2.9065211257673453E-2</v>
      </c>
      <c r="D11" s="26">
        <f>[88]f!D11</f>
        <v>4882154897.6999998</v>
      </c>
      <c r="E11" s="55">
        <f>[88]f!E11</f>
        <v>3.6519537517476157E-2</v>
      </c>
      <c r="F11" s="26">
        <f>[88]f!F11</f>
        <v>110485312.03</v>
      </c>
      <c r="G11" s="55">
        <f>[88]f!G11</f>
        <v>-0.2190967203883771</v>
      </c>
    </row>
    <row r="12" spans="1:11" ht="20" customHeight="1" thickBot="1">
      <c r="A12" s="52">
        <f>[88]f!A12</f>
        <v>1999</v>
      </c>
      <c r="B12" s="26">
        <f>[88]f!B12</f>
        <v>4257016347.5999999</v>
      </c>
      <c r="C12" s="55">
        <f>[88]f!C12</f>
        <v>-0.14734165315393363</v>
      </c>
      <c r="D12" s="26">
        <f>[88]f!D12</f>
        <v>4120691131.5999999</v>
      </c>
      <c r="E12" s="55">
        <f>[88]f!E12</f>
        <v>-0.15596878469766048</v>
      </c>
      <c r="F12" s="26">
        <f>[88]f!F12</f>
        <v>136325216.02000001</v>
      </c>
      <c r="G12" s="55">
        <f>[88]f!G12</f>
        <v>0.23387637248092957</v>
      </c>
    </row>
    <row r="13" spans="1:11" ht="20" customHeight="1" thickBot="1">
      <c r="A13" s="52">
        <f>[88]f!A13</f>
        <v>2000</v>
      </c>
      <c r="B13" s="26">
        <f>[88]f!B13</f>
        <v>3297340718.6999998</v>
      </c>
      <c r="C13" s="55">
        <f>[88]f!C13</f>
        <v>-0.22543386037054836</v>
      </c>
      <c r="D13" s="26">
        <f>[88]f!D13</f>
        <v>3197872772.4000001</v>
      </c>
      <c r="E13" s="55">
        <f>[88]f!E13</f>
        <v>-0.22394747136548521</v>
      </c>
      <c r="F13" s="26">
        <f>[88]f!F13</f>
        <v>99467946.299999997</v>
      </c>
      <c r="G13" s="55">
        <f>[88]f!G13</f>
        <v>-0.27036281911772475</v>
      </c>
    </row>
    <row r="14" spans="1:11" ht="30" customHeight="1" thickBot="1">
      <c r="A14" s="411">
        <f>[88]f!A14</f>
        <v>2001</v>
      </c>
      <c r="B14" s="184">
        <f>[88]f!B14</f>
        <v>2297775177.9000001</v>
      </c>
      <c r="C14" s="58">
        <f>[88]f!C14</f>
        <v>-0.30314293428374778</v>
      </c>
      <c r="D14" s="184">
        <f>[88]f!D14</f>
        <v>2245296158.4000001</v>
      </c>
      <c r="E14" s="58">
        <f>[88]f!E14</f>
        <v>-0.29787820898362138</v>
      </c>
      <c r="F14" s="184">
        <f>[88]f!F14</f>
        <v>52479019.649999999</v>
      </c>
      <c r="G14" s="58">
        <f>[88]f!G14</f>
        <v>-0.4724027025578591</v>
      </c>
    </row>
    <row r="15" spans="1:11" ht="20" customHeight="1">
      <c r="A15" s="28" t="str">
        <f>'[89]data '!$D$2</f>
        <v>Datenstand: 27.09.2002</v>
      </c>
      <c r="B15" s="28"/>
      <c r="C15" s="28"/>
      <c r="D15" s="28"/>
      <c r="E15" s="28"/>
      <c r="F15" s="28"/>
      <c r="G15" s="28"/>
    </row>
    <row r="16" spans="1:11">
      <c r="A16" s="7" t="s">
        <v>168</v>
      </c>
    </row>
    <row r="17" spans="1:1">
      <c r="A17" s="7" t="s">
        <v>169</v>
      </c>
    </row>
    <row r="18" spans="1:1">
      <c r="A18" s="7" t="s">
        <v>216</v>
      </c>
    </row>
    <row r="19" spans="1:1">
      <c r="A19" s="7" t="s">
        <v>217</v>
      </c>
    </row>
    <row r="20" spans="1:1">
      <c r="A20" s="7" t="s">
        <v>218</v>
      </c>
    </row>
  </sheetData>
  <phoneticPr fontId="0" type="noConversion"/>
  <pageMargins left="0.78740157480314965" right="0.78740157480314965" top="1.47" bottom="0.49" header="0.95" footer="0.4921259845"/>
  <pageSetup paperSize="9" scale="80" orientation="portrait" horizontalDpi="4294967292" verticalDpi="4294967292"/>
  <headerFooter alignWithMargins="0">
    <oddHeader>&amp;L&amp;"Arial,Bold"&amp;14Zusatzversicherungen VVG der vom BSV anerkannten Krankenversicherer</oddHeader>
    <oddFooter>&amp;L&amp;"Arial,Regular"Statistik über die Krankenversicherung, Bundesamt für Sozialversicherung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A9F00-5ECE-DC45-A222-593BC160033F}">
  <dimension ref="A1:I19"/>
  <sheetViews>
    <sheetView zoomScale="75" workbookViewId="0">
      <selection activeCell="A19" sqref="A19"/>
    </sheetView>
  </sheetViews>
  <sheetFormatPr baseColWidth="10" defaultColWidth="11.3984375" defaultRowHeight="13"/>
  <cols>
    <col min="1" max="1" width="33.3984375" style="7" customWidth="1"/>
    <col min="2" max="4" width="14.59765625" style="7" customWidth="1"/>
    <col min="5" max="5" width="14.59765625" style="81" customWidth="1"/>
    <col min="6" max="6" width="14.59765625" style="7" customWidth="1"/>
    <col min="7" max="16384" width="11.3984375" style="7"/>
  </cols>
  <sheetData>
    <row r="1" spans="1:9" s="1" customFormat="1" ht="14" customHeight="1">
      <c r="E1" s="159"/>
    </row>
    <row r="2" spans="1:9" s="1" customFormat="1" ht="28" customHeight="1">
      <c r="A2" s="2" t="str">
        <f>"T 7.02  Indikatoren der Betriebsrechnung der Zusatzversicherungen nach Zweigen in Fr. "&amp;'[89]data '!$B$2</f>
        <v>T 7.02  Indikatoren der Betriebsrechnung der Zusatzversicherungen nach Zweigen in Fr. 2001</v>
      </c>
      <c r="E2" s="159"/>
    </row>
    <row r="3" spans="1:9" ht="24" customHeight="1">
      <c r="A3" s="427" t="s">
        <v>737</v>
      </c>
      <c r="B3" s="6" t="s">
        <v>222</v>
      </c>
      <c r="C3" s="42" t="s">
        <v>223</v>
      </c>
      <c r="D3" s="6" t="s">
        <v>223</v>
      </c>
      <c r="E3" s="144" t="s">
        <v>514</v>
      </c>
      <c r="F3" s="6" t="s">
        <v>522</v>
      </c>
    </row>
    <row r="4" spans="1:9" ht="15" customHeight="1">
      <c r="A4" s="43"/>
      <c r="B4" s="12" t="s">
        <v>224</v>
      </c>
      <c r="C4" s="44" t="s">
        <v>225</v>
      </c>
      <c r="D4" s="12" t="s">
        <v>225</v>
      </c>
      <c r="E4" s="196"/>
      <c r="F4" s="12" t="s">
        <v>523</v>
      </c>
    </row>
    <row r="5" spans="1:9" ht="15" customHeight="1">
      <c r="A5" s="43"/>
      <c r="B5" s="12" t="s">
        <v>226</v>
      </c>
      <c r="C5" s="44" t="s">
        <v>227</v>
      </c>
      <c r="D5" s="12" t="s">
        <v>227</v>
      </c>
      <c r="E5" s="196"/>
      <c r="F5" s="12" t="s">
        <v>524</v>
      </c>
    </row>
    <row r="6" spans="1:9" ht="15" customHeight="1">
      <c r="A6" s="43"/>
      <c r="B6" s="12" t="s">
        <v>627</v>
      </c>
      <c r="C6" s="44" t="s">
        <v>228</v>
      </c>
      <c r="D6" s="12" t="s">
        <v>229</v>
      </c>
      <c r="E6" s="196"/>
      <c r="F6" s="433" t="s">
        <v>230</v>
      </c>
    </row>
    <row r="7" spans="1:9" ht="15" customHeight="1">
      <c r="A7" s="43"/>
      <c r="B7" s="12" t="s">
        <v>231</v>
      </c>
      <c r="C7" s="44" t="s">
        <v>232</v>
      </c>
      <c r="D7" s="12" t="s">
        <v>233</v>
      </c>
      <c r="E7" s="196"/>
      <c r="F7" s="12"/>
    </row>
    <row r="8" spans="1:9" ht="24" customHeight="1">
      <c r="A8" s="46"/>
      <c r="B8" s="16"/>
      <c r="C8" s="47"/>
      <c r="D8" s="16" t="s">
        <v>234</v>
      </c>
      <c r="E8" s="434"/>
      <c r="F8" s="16"/>
    </row>
    <row r="9" spans="1:9" ht="30" customHeight="1" thickBot="1">
      <c r="A9" s="435" t="s">
        <v>235</v>
      </c>
      <c r="B9" s="431">
        <f>[90]f!B9</f>
        <v>2217571025.8000002</v>
      </c>
      <c r="C9" s="432">
        <f>[90]f!C9</f>
        <v>68900467.310000002</v>
      </c>
      <c r="D9" s="431">
        <f>[90]f!D9</f>
        <v>8512530.7899999991</v>
      </c>
      <c r="E9" s="290">
        <f>[90]f!E9</f>
        <v>2294984023.9000001</v>
      </c>
      <c r="F9" s="436">
        <f>[90]f!F9</f>
        <v>-0.30529410154143283</v>
      </c>
      <c r="G9" s="22"/>
    </row>
    <row r="10" spans="1:9" ht="20" customHeight="1" thickBot="1">
      <c r="A10" s="73" t="s">
        <v>236</v>
      </c>
      <c r="B10" s="149">
        <f>[90]f!B10</f>
        <v>2235376533.6999998</v>
      </c>
      <c r="C10" s="150">
        <f>[90]f!C10</f>
        <v>39935392.799999997</v>
      </c>
      <c r="D10" s="149">
        <f>[90]f!D10</f>
        <v>8524491.4100000001</v>
      </c>
      <c r="E10" s="151">
        <f>[90]f!E10</f>
        <v>2283836417.9000001</v>
      </c>
      <c r="F10" s="77">
        <f>[90]f!F10</f>
        <v>-0.30865780337776433</v>
      </c>
      <c r="H10" s="27"/>
      <c r="I10" s="27"/>
    </row>
    <row r="11" spans="1:9" ht="20" customHeight="1" thickBot="1">
      <c r="A11" s="52" t="s">
        <v>237</v>
      </c>
      <c r="B11" s="149">
        <f>[90]f!B11</f>
        <v>2286300.35</v>
      </c>
      <c r="C11" s="150">
        <f>[90]f!C11</f>
        <v>523940.94</v>
      </c>
      <c r="D11" s="149">
        <f>[90]f!D11</f>
        <v>-19087.330000000002</v>
      </c>
      <c r="E11" s="151">
        <f>[90]f!E11</f>
        <v>2791153.96</v>
      </c>
      <c r="F11" s="77">
        <f>[90]f!F11</f>
        <v>1.450730194636686</v>
      </c>
      <c r="H11" s="27"/>
      <c r="I11" s="27"/>
    </row>
    <row r="12" spans="1:9" ht="20" customHeight="1" thickBot="1">
      <c r="A12" s="52" t="s">
        <v>238</v>
      </c>
      <c r="B12" s="149">
        <f>[90]f!B12</f>
        <v>2219857326.1999998</v>
      </c>
      <c r="C12" s="150">
        <f>[90]f!C12</f>
        <v>69424408.25</v>
      </c>
      <c r="D12" s="149">
        <f>[90]f!D12</f>
        <v>8493443.4600000009</v>
      </c>
      <c r="E12" s="151">
        <f>[90]f!E12</f>
        <v>2297775177.9000001</v>
      </c>
      <c r="F12" s="77">
        <f>[90]f!F12</f>
        <v>-0.30314293428374778</v>
      </c>
      <c r="H12" s="27"/>
      <c r="I12" s="27"/>
    </row>
    <row r="13" spans="1:9" ht="20" customHeight="1" thickBot="1">
      <c r="A13" s="52" t="s">
        <v>239</v>
      </c>
      <c r="B13" s="149">
        <f>[90]f!B13</f>
        <v>1853356304.7</v>
      </c>
      <c r="C13" s="150">
        <f>[90]f!C13</f>
        <v>63677436.43</v>
      </c>
      <c r="D13" s="149">
        <f>[90]f!D13</f>
        <v>8439538.8800000008</v>
      </c>
      <c r="E13" s="151">
        <f>[90]f!E13</f>
        <v>1925473280</v>
      </c>
      <c r="F13" s="77">
        <f>[90]f!F13</f>
        <v>-0.29380335455277307</v>
      </c>
      <c r="H13" s="27"/>
      <c r="I13" s="27"/>
    </row>
    <row r="14" spans="1:9" ht="20" customHeight="1" thickBot="1">
      <c r="A14" s="73" t="s">
        <v>240</v>
      </c>
      <c r="B14" s="149">
        <f>[90]f!B14</f>
        <v>1864426093</v>
      </c>
      <c r="C14" s="150">
        <f>[90]f!C14</f>
        <v>63677436.43</v>
      </c>
      <c r="D14" s="149">
        <f>[90]f!D14</f>
        <v>8439538.8800000008</v>
      </c>
      <c r="E14" s="151">
        <f>[90]f!E14</f>
        <v>1936543068.3</v>
      </c>
      <c r="F14" s="77">
        <f>[90]f!F14</f>
        <v>-0.2916144121813809</v>
      </c>
      <c r="H14" s="27"/>
      <c r="I14" s="27"/>
    </row>
    <row r="15" spans="1:9" ht="20" customHeight="1" thickBot="1">
      <c r="A15" s="52" t="s">
        <v>241</v>
      </c>
      <c r="B15" s="149">
        <f>[90]f!B15</f>
        <v>312792441.88999999</v>
      </c>
      <c r="C15" s="150">
        <f>[90]f!C15</f>
        <v>5671320.4000000004</v>
      </c>
      <c r="D15" s="149">
        <f>[90]f!D15</f>
        <v>1359116.15</v>
      </c>
      <c r="E15" s="151">
        <f>[90]f!E15</f>
        <v>319822878.44</v>
      </c>
      <c r="F15" s="77">
        <f>[90]f!F15</f>
        <v>-0.32145019343569137</v>
      </c>
      <c r="H15" s="27"/>
      <c r="I15" s="27"/>
    </row>
    <row r="16" spans="1:9" ht="20" customHeight="1" thickBot="1">
      <c r="A16" s="52" t="s">
        <v>242</v>
      </c>
      <c r="B16" s="149">
        <f>[90]f!B16</f>
        <v>2166148746.5999999</v>
      </c>
      <c r="C16" s="150">
        <f>[90]f!C16</f>
        <v>69348756.829999998</v>
      </c>
      <c r="D16" s="149">
        <f>[90]f!D16</f>
        <v>9798655.0199999996</v>
      </c>
      <c r="E16" s="151">
        <f>[90]f!E16</f>
        <v>2245296158.4000001</v>
      </c>
      <c r="F16" s="77">
        <f>[90]f!F16</f>
        <v>-0.29787820898362138</v>
      </c>
      <c r="H16" s="27"/>
      <c r="I16" s="27"/>
    </row>
    <row r="17" spans="1:6" ht="30" customHeight="1" thickBot="1">
      <c r="A17" s="346" t="s">
        <v>771</v>
      </c>
      <c r="B17" s="149">
        <f>[90]f!B17</f>
        <v>53708579.789999999</v>
      </c>
      <c r="C17" s="150">
        <f>[90]f!C17</f>
        <v>75651.42</v>
      </c>
      <c r="D17" s="149">
        <f>[90]f!D17</f>
        <v>-1305211.56</v>
      </c>
      <c r="E17" s="151">
        <f>[90]f!E17</f>
        <v>52479019.649999999</v>
      </c>
      <c r="F17" s="77">
        <f>[90]f!F17</f>
        <v>-0.4724027025578591</v>
      </c>
    </row>
    <row r="18" spans="1:6" ht="20" customHeight="1">
      <c r="A18" s="28" t="str">
        <f>'[89]data '!$D$2</f>
        <v>Datenstand: 27.09.2002</v>
      </c>
      <c r="B18" s="28"/>
      <c r="C18" s="28"/>
      <c r="D18" s="28"/>
      <c r="E18" s="206"/>
      <c r="F18" s="28"/>
    </row>
    <row r="19" spans="1:6">
      <c r="A19" s="7" t="s">
        <v>243</v>
      </c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&amp;L&amp;"Arial,Bold"&amp;14Zusatzversicherungen VVG der vom BSV anerkannten Krankenversicherer</oddHeader>
    <oddFooter>&amp;L&amp;"Arial,Regular"Statistik über die Krankenversicherung, Bundesamt für Sozialversicherung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A179-7208-544F-A428-7F6DB06E5D99}">
  <dimension ref="A1:E32"/>
  <sheetViews>
    <sheetView zoomScale="75" workbookViewId="0">
      <selection activeCell="A3" sqref="A3"/>
    </sheetView>
  </sheetViews>
  <sheetFormatPr baseColWidth="10" defaultColWidth="11.3984375" defaultRowHeight="13"/>
  <cols>
    <col min="1" max="1" width="8.796875" style="7" customWidth="1"/>
    <col min="2" max="2" width="48.796875" style="116" customWidth="1"/>
    <col min="3" max="3" width="16.59765625" style="7" customWidth="1"/>
    <col min="4" max="4" width="16.59765625" style="22" customWidth="1"/>
    <col min="5" max="5" width="16.59765625" style="429" customWidth="1"/>
    <col min="6" max="16384" width="11.3984375" style="7"/>
  </cols>
  <sheetData>
    <row r="1" spans="1:5" s="1" customFormat="1" ht="14" customHeight="1">
      <c r="B1" s="179"/>
      <c r="D1" s="180"/>
      <c r="E1" s="426"/>
    </row>
    <row r="2" spans="1:5" s="1" customFormat="1" ht="28" customHeight="1">
      <c r="A2" s="2" t="str">
        <f>"T 7.03  Betriebsrechnung der Zusatzversicherungen und der weiteren Versicherungsarten 1) "&amp;'[89]data '!$B$2</f>
        <v>T 7.03  Betriebsrechnung der Zusatzversicherungen und der weiteren Versicherungsarten 1) 2001</v>
      </c>
      <c r="B2" s="179"/>
      <c r="D2" s="180"/>
      <c r="E2" s="426"/>
    </row>
    <row r="3" spans="1:5" ht="39" customHeight="1">
      <c r="A3" s="427" t="s">
        <v>737</v>
      </c>
      <c r="B3" s="260"/>
      <c r="C3" s="6" t="s">
        <v>738</v>
      </c>
      <c r="D3" s="96" t="s">
        <v>739</v>
      </c>
      <c r="E3" s="181" t="s">
        <v>514</v>
      </c>
    </row>
    <row r="4" spans="1:5" ht="38" customHeight="1">
      <c r="A4" s="182"/>
      <c r="B4" s="97"/>
      <c r="C4" s="16" t="s">
        <v>740</v>
      </c>
      <c r="D4" s="48" t="s">
        <v>740</v>
      </c>
      <c r="E4" s="183" t="s">
        <v>740</v>
      </c>
    </row>
    <row r="5" spans="1:5" ht="30" customHeight="1" thickBot="1">
      <c r="A5" s="67">
        <v>63</v>
      </c>
      <c r="B5" s="67" t="s">
        <v>741</v>
      </c>
      <c r="C5" s="230">
        <f>[91]f!C5</f>
        <v>2162884330</v>
      </c>
      <c r="D5" s="229">
        <f>[91]f!D5</f>
        <v>120823608.69</v>
      </c>
      <c r="E5" s="418">
        <f>[91]f!E5</f>
        <v>2283707938.6999998</v>
      </c>
    </row>
    <row r="6" spans="1:5" ht="20" customHeight="1" thickBot="1">
      <c r="A6" s="70">
        <v>64</v>
      </c>
      <c r="B6" s="70" t="s">
        <v>742</v>
      </c>
      <c r="C6" s="26">
        <f>[91]f!C6</f>
        <v>-47406000.689999998</v>
      </c>
      <c r="D6" s="54">
        <f>[91]f!D6</f>
        <v>-1811481.88</v>
      </c>
      <c r="E6" s="124">
        <f>[91]f!E6</f>
        <v>-49217482.57</v>
      </c>
    </row>
    <row r="7" spans="1:5" ht="20" customHeight="1" thickBot="1">
      <c r="A7" s="70">
        <v>65</v>
      </c>
      <c r="B7" s="70" t="s">
        <v>743</v>
      </c>
      <c r="C7" s="26">
        <f>[91]f!C7</f>
        <v>819827.46</v>
      </c>
      <c r="D7" s="54">
        <f>[91]f!D7</f>
        <v>66250.080000000002</v>
      </c>
      <c r="E7" s="124">
        <f>[91]f!E7</f>
        <v>886077.54</v>
      </c>
    </row>
    <row r="8" spans="1:5" ht="27" customHeight="1" thickBot="1">
      <c r="A8" s="73" t="s">
        <v>744</v>
      </c>
      <c r="B8" s="73" t="s">
        <v>745</v>
      </c>
      <c r="C8" s="26">
        <f>[91]f!C8</f>
        <v>2116298156.8</v>
      </c>
      <c r="D8" s="54">
        <f>[91]f!D8</f>
        <v>119078376.89</v>
      </c>
      <c r="E8" s="124">
        <f>[91]f!E8</f>
        <v>2235376533.6999998</v>
      </c>
    </row>
    <row r="9" spans="1:5" ht="20" customHeight="1" thickBot="1">
      <c r="A9" s="70">
        <v>66</v>
      </c>
      <c r="B9" s="70" t="s">
        <v>746</v>
      </c>
      <c r="C9" s="26">
        <f>[91]f!C9</f>
        <v>-23134361.010000002</v>
      </c>
      <c r="D9" s="54">
        <f>[91]f!D9</f>
        <v>-2181479.35</v>
      </c>
      <c r="E9" s="124">
        <f>[91]f!E9</f>
        <v>-25315840.359999999</v>
      </c>
    </row>
    <row r="10" spans="1:5" ht="27" customHeight="1" thickBot="1">
      <c r="A10" s="73" t="s">
        <v>747</v>
      </c>
      <c r="B10" s="73" t="s">
        <v>748</v>
      </c>
      <c r="C10" s="26">
        <f>[91]f!C10</f>
        <v>2093163795.8</v>
      </c>
      <c r="D10" s="54">
        <f>[91]f!D10</f>
        <v>116896897.54000001</v>
      </c>
      <c r="E10" s="124">
        <f>[91]f!E10</f>
        <v>2210060693.4000001</v>
      </c>
    </row>
    <row r="11" spans="1:5" ht="20" customHeight="1" thickBot="1">
      <c r="A11" s="70">
        <v>67</v>
      </c>
      <c r="B11" s="70" t="s">
        <v>749</v>
      </c>
      <c r="C11" s="26">
        <f>[91]f!C11</f>
        <v>34537397.159999996</v>
      </c>
      <c r="D11" s="54">
        <f>[91]f!D11</f>
        <v>2158395.19</v>
      </c>
      <c r="E11" s="124">
        <f>[91]f!E11</f>
        <v>36695792.350000001</v>
      </c>
    </row>
    <row r="12" spans="1:5" ht="20" customHeight="1" thickBot="1">
      <c r="A12" s="70">
        <v>68</v>
      </c>
      <c r="B12" s="70" t="s">
        <v>750</v>
      </c>
      <c r="C12" s="26">
        <f>[91]f!C12</f>
        <v>-35638741.399999999</v>
      </c>
      <c r="D12" s="54">
        <f>[91]f!D12</f>
        <v>-2267783.35</v>
      </c>
      <c r="E12" s="124">
        <f>[91]f!E12</f>
        <v>-37906524.75</v>
      </c>
    </row>
    <row r="13" spans="1:5" ht="20" customHeight="1" thickBot="1">
      <c r="A13" s="70">
        <v>69</v>
      </c>
      <c r="B13" s="70" t="s">
        <v>751</v>
      </c>
      <c r="C13" s="26">
        <f>[91]f!C13</f>
        <v>8578661.2300000004</v>
      </c>
      <c r="D13" s="54">
        <f>[91]f!D13</f>
        <v>142403.65</v>
      </c>
      <c r="E13" s="124">
        <f>[91]f!E13</f>
        <v>8721064.8800000008</v>
      </c>
    </row>
    <row r="14" spans="1:5" ht="27" customHeight="1" thickBot="1">
      <c r="A14" s="73">
        <v>6</v>
      </c>
      <c r="B14" s="73" t="s">
        <v>752</v>
      </c>
      <c r="C14" s="26">
        <f>[91]f!C14</f>
        <v>2100641112.8</v>
      </c>
      <c r="D14" s="54">
        <f>[91]f!D14</f>
        <v>116929913.03</v>
      </c>
      <c r="E14" s="124">
        <f>[91]f!E14</f>
        <v>2217571025.8000002</v>
      </c>
    </row>
    <row r="15" spans="1:5" ht="20" customHeight="1" thickBot="1">
      <c r="A15" s="70">
        <v>33</v>
      </c>
      <c r="B15" s="70" t="s">
        <v>677</v>
      </c>
      <c r="C15" s="26">
        <f>[91]f!C15</f>
        <v>1739234467.5999999</v>
      </c>
      <c r="D15" s="54">
        <f>[91]f!D15</f>
        <v>67355362.390000001</v>
      </c>
      <c r="E15" s="124">
        <f>[91]f!E15</f>
        <v>1806589830</v>
      </c>
    </row>
    <row r="16" spans="1:5" ht="20" customHeight="1" thickBot="1">
      <c r="A16" s="70">
        <v>32</v>
      </c>
      <c r="B16" s="70" t="s">
        <v>753</v>
      </c>
      <c r="C16" s="26">
        <f>[91]f!C16</f>
        <v>-26938113.510000002</v>
      </c>
      <c r="D16" s="54">
        <f>[91]f!D16</f>
        <v>-1127109.1200000001</v>
      </c>
      <c r="E16" s="124">
        <f>[91]f!E16</f>
        <v>-28065222.629999999</v>
      </c>
    </row>
    <row r="17" spans="1:5" ht="27" customHeight="1" thickBot="1">
      <c r="A17" s="73" t="s">
        <v>754</v>
      </c>
      <c r="B17" s="73" t="s">
        <v>755</v>
      </c>
      <c r="C17" s="26">
        <f>[91]f!C17</f>
        <v>1712296354.0999999</v>
      </c>
      <c r="D17" s="54">
        <f>[91]f!D17</f>
        <v>66228253.270000003</v>
      </c>
      <c r="E17" s="124">
        <f>[91]f!E17</f>
        <v>1778524607.3</v>
      </c>
    </row>
    <row r="18" spans="1:5" ht="20" customHeight="1" thickBot="1">
      <c r="A18" s="70">
        <v>34</v>
      </c>
      <c r="B18" s="70" t="s">
        <v>756</v>
      </c>
      <c r="C18" s="26">
        <f>[91]f!C18</f>
        <v>9628354.3800000008</v>
      </c>
      <c r="D18" s="54">
        <f>[91]f!D18</f>
        <v>321507.67</v>
      </c>
      <c r="E18" s="124">
        <f>[91]f!E18</f>
        <v>9949862.0500000007</v>
      </c>
    </row>
    <row r="19" spans="1:5" ht="20" customHeight="1" thickBot="1">
      <c r="A19" s="70">
        <v>35</v>
      </c>
      <c r="B19" s="70" t="s">
        <v>757</v>
      </c>
      <c r="C19" s="26">
        <f>[91]f!C19</f>
        <v>69634744.840000004</v>
      </c>
      <c r="D19" s="54">
        <f>[91]f!D19</f>
        <v>6316878.8300000001</v>
      </c>
      <c r="E19" s="124">
        <f>[91]f!E19</f>
        <v>75951623.670000002</v>
      </c>
    </row>
    <row r="20" spans="1:5" ht="27" customHeight="1" thickBot="1">
      <c r="A20" s="73" t="s">
        <v>758</v>
      </c>
      <c r="B20" s="73" t="s">
        <v>759</v>
      </c>
      <c r="C20" s="26">
        <f>[91]f!C20</f>
        <v>1791559453.3</v>
      </c>
      <c r="D20" s="54">
        <f>[91]f!D20</f>
        <v>72866639.760000005</v>
      </c>
      <c r="E20" s="124">
        <f>[91]f!E20</f>
        <v>1864426093</v>
      </c>
    </row>
    <row r="21" spans="1:5" ht="20" customHeight="1" thickBot="1">
      <c r="A21" s="70">
        <v>36</v>
      </c>
      <c r="B21" s="70" t="s">
        <v>760</v>
      </c>
      <c r="C21" s="26">
        <f>[91]f!C21</f>
        <v>-10798569.41</v>
      </c>
      <c r="D21" s="54">
        <f>[91]f!D21</f>
        <v>-271218.94</v>
      </c>
      <c r="E21" s="124">
        <f>[91]f!E21</f>
        <v>-11069788.35</v>
      </c>
    </row>
    <row r="22" spans="1:5" ht="20" customHeight="1" thickBot="1">
      <c r="A22" s="70">
        <v>37</v>
      </c>
      <c r="B22" s="70" t="s">
        <v>761</v>
      </c>
      <c r="C22" s="26">
        <f>[91]f!C22</f>
        <v>0</v>
      </c>
      <c r="D22" s="54">
        <f>[91]f!D22</f>
        <v>0</v>
      </c>
      <c r="E22" s="124">
        <f>[91]f!E22</f>
        <v>0</v>
      </c>
    </row>
    <row r="23" spans="1:5" ht="26.25" customHeight="1" thickBot="1">
      <c r="A23" s="73">
        <v>3</v>
      </c>
      <c r="B23" s="73" t="s">
        <v>762</v>
      </c>
      <c r="C23" s="26">
        <f>[91]f!C23</f>
        <v>1780760883.9000001</v>
      </c>
      <c r="D23" s="54">
        <f>[91]f!D23</f>
        <v>72595420.819999993</v>
      </c>
      <c r="E23" s="124">
        <f>[91]f!E23</f>
        <v>1853356304.7</v>
      </c>
    </row>
    <row r="24" spans="1:5" ht="20" customHeight="1" thickBot="1">
      <c r="A24" s="70" t="s">
        <v>763</v>
      </c>
      <c r="B24" s="70" t="s">
        <v>764</v>
      </c>
      <c r="C24" s="26">
        <f>[91]f!C24</f>
        <v>292591331.26999998</v>
      </c>
      <c r="D24" s="54">
        <f>[91]f!D24</f>
        <v>17726442.710000001</v>
      </c>
      <c r="E24" s="124">
        <f>[91]f!E24</f>
        <v>310317773.98000002</v>
      </c>
    </row>
    <row r="25" spans="1:5" ht="20" customHeight="1" thickBot="1">
      <c r="A25" s="70">
        <v>49</v>
      </c>
      <c r="B25" s="70" t="s">
        <v>765</v>
      </c>
      <c r="C25" s="26">
        <f>[91]f!C25</f>
        <v>2324062.56</v>
      </c>
      <c r="D25" s="54">
        <f>[91]f!D25</f>
        <v>150605.35</v>
      </c>
      <c r="E25" s="124">
        <f>[91]f!E25</f>
        <v>2474667.91</v>
      </c>
    </row>
    <row r="26" spans="1:5" ht="27" customHeight="1" thickBot="1">
      <c r="A26" s="73">
        <v>4</v>
      </c>
      <c r="B26" s="73" t="s">
        <v>766</v>
      </c>
      <c r="C26" s="26">
        <f>[91]f!C26</f>
        <v>294915393.81999999</v>
      </c>
      <c r="D26" s="54">
        <f>[91]f!D26</f>
        <v>17877048.07</v>
      </c>
      <c r="E26" s="124">
        <f>[91]f!E26</f>
        <v>312792441.88999999</v>
      </c>
    </row>
    <row r="27" spans="1:5" ht="27" customHeight="1" thickBot="1">
      <c r="A27" s="73" t="s">
        <v>767</v>
      </c>
      <c r="B27" s="73" t="s">
        <v>768</v>
      </c>
      <c r="C27" s="26">
        <f>[91]f!C27</f>
        <v>2075676277.7</v>
      </c>
      <c r="D27" s="54">
        <f>[91]f!D27</f>
        <v>90472468.890000001</v>
      </c>
      <c r="E27" s="124">
        <f>[91]f!E27</f>
        <v>2166148746.5999999</v>
      </c>
    </row>
    <row r="28" spans="1:5" ht="27" customHeight="1" thickBot="1">
      <c r="A28" s="73"/>
      <c r="B28" s="73" t="s">
        <v>769</v>
      </c>
      <c r="C28" s="26">
        <f>[91]f!C28</f>
        <v>24964099.510000002</v>
      </c>
      <c r="D28" s="54">
        <f>[91]f!D28</f>
        <v>26457444.140000001</v>
      </c>
      <c r="E28" s="124">
        <f>[91]f!E28</f>
        <v>51421543.649999999</v>
      </c>
    </row>
    <row r="29" spans="1:5" ht="27" customHeight="1" thickBot="1">
      <c r="A29" s="73">
        <v>7</v>
      </c>
      <c r="B29" s="73" t="s">
        <v>770</v>
      </c>
      <c r="C29" s="26">
        <f>[91]f!C29</f>
        <v>1784916.59</v>
      </c>
      <c r="D29" s="54">
        <f>[91]f!D29</f>
        <v>501383.76</v>
      </c>
      <c r="E29" s="124">
        <f>[91]f!E29</f>
        <v>2286300.35</v>
      </c>
    </row>
    <row r="30" spans="1:5" ht="28.5" customHeight="1" thickBot="1">
      <c r="A30" s="87"/>
      <c r="B30" s="87" t="s">
        <v>771</v>
      </c>
      <c r="C30" s="26">
        <f>[91]f!C30</f>
        <v>26749751.710000001</v>
      </c>
      <c r="D30" s="54">
        <f>[91]f!D30</f>
        <v>26958828.079999998</v>
      </c>
      <c r="E30" s="124">
        <f>[91]f!E30</f>
        <v>53708579.789999999</v>
      </c>
    </row>
    <row r="31" spans="1:5" ht="20" customHeight="1">
      <c r="A31" s="28" t="str">
        <f>'[89]data '!$D$2</f>
        <v>Datenstand: 27.09.2002</v>
      </c>
      <c r="B31" s="268"/>
      <c r="C31" s="28"/>
      <c r="D31" s="132"/>
      <c r="E31" s="428"/>
    </row>
    <row r="32" spans="1:5">
      <c r="A32" s="7" t="s">
        <v>244</v>
      </c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&amp;L&amp;"Arial,Bold"&amp;14Zusatzversicherungen VVG der vom BSV anerkannten Krankenversicherer</oddHeader>
    <oddFooter>&amp;L&amp;"Arial,Regular"Statistik über die Krankenversicherung, Bundesamt für Sozialversicherung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FB370-2366-5C4C-9721-67029BBD9FCB}">
  <dimension ref="A1:E31"/>
  <sheetViews>
    <sheetView zoomScale="75" workbookViewId="0">
      <selection activeCell="G9" sqref="G9"/>
    </sheetView>
  </sheetViews>
  <sheetFormatPr baseColWidth="10" defaultColWidth="11.3984375" defaultRowHeight="13"/>
  <cols>
    <col min="1" max="1" width="8.796875" style="7" customWidth="1"/>
    <col min="2" max="2" width="48.796875" style="116" customWidth="1"/>
    <col min="3" max="3" width="16.796875" style="7" customWidth="1"/>
    <col min="4" max="4" width="16.796875" style="22" customWidth="1"/>
    <col min="5" max="5" width="16.796875" style="429" customWidth="1"/>
    <col min="6" max="16384" width="11.3984375" style="7"/>
  </cols>
  <sheetData>
    <row r="1" spans="1:5" s="1" customFormat="1" ht="14" customHeight="1">
      <c r="B1" s="179"/>
      <c r="D1" s="180"/>
      <c r="E1" s="426"/>
    </row>
    <row r="2" spans="1:5" s="1" customFormat="1" ht="28" customHeight="1">
      <c r="A2" s="2" t="str">
        <f>"T 7.04  Betriebsrechnung der Krankenpflegeversicherung «Liechtenstein» "&amp;'[89]data '!$B$2</f>
        <v>T 7.04  Betriebsrechnung der Krankenpflegeversicherung «Liechtenstein» 2001</v>
      </c>
      <c r="B2" s="179"/>
      <c r="D2" s="180"/>
      <c r="E2" s="426"/>
    </row>
    <row r="3" spans="1:5" ht="39" customHeight="1">
      <c r="A3" s="427" t="s">
        <v>737</v>
      </c>
      <c r="B3" s="260"/>
      <c r="C3" s="6" t="s">
        <v>738</v>
      </c>
      <c r="D3" s="96" t="s">
        <v>739</v>
      </c>
      <c r="E3" s="181" t="s">
        <v>514</v>
      </c>
    </row>
    <row r="4" spans="1:5" ht="38" customHeight="1">
      <c r="A4" s="182"/>
      <c r="B4" s="97"/>
      <c r="C4" s="16" t="s">
        <v>740</v>
      </c>
      <c r="D4" s="48" t="s">
        <v>740</v>
      </c>
      <c r="E4" s="183" t="s">
        <v>740</v>
      </c>
    </row>
    <row r="5" spans="1:5" ht="30" customHeight="1" thickBot="1">
      <c r="A5" s="67">
        <v>63</v>
      </c>
      <c r="B5" s="67" t="s">
        <v>741</v>
      </c>
      <c r="C5" s="230">
        <f>[92]f!C5</f>
        <v>38958718.979999997</v>
      </c>
      <c r="D5" s="229">
        <f>[92]f!D5</f>
        <v>1029064.72</v>
      </c>
      <c r="E5" s="418">
        <f>[92]f!E5</f>
        <v>39987783.700000003</v>
      </c>
    </row>
    <row r="6" spans="1:5" ht="20" customHeight="1" thickBot="1">
      <c r="A6" s="70">
        <v>64</v>
      </c>
      <c r="B6" s="70" t="s">
        <v>742</v>
      </c>
      <c r="C6" s="26">
        <f>[92]f!C6</f>
        <v>-51066.64</v>
      </c>
      <c r="D6" s="54">
        <f>[92]f!D6</f>
        <v>-1324.26</v>
      </c>
      <c r="E6" s="124">
        <f>[92]f!E6</f>
        <v>-52390.9</v>
      </c>
    </row>
    <row r="7" spans="1:5" ht="20" customHeight="1" thickBot="1">
      <c r="A7" s="70">
        <v>65</v>
      </c>
      <c r="B7" s="70" t="s">
        <v>743</v>
      </c>
      <c r="C7" s="26">
        <f>[92]f!C7</f>
        <v>0</v>
      </c>
      <c r="D7" s="54">
        <f>[92]f!D7</f>
        <v>0</v>
      </c>
      <c r="E7" s="124">
        <f>[92]f!E7</f>
        <v>0</v>
      </c>
    </row>
    <row r="8" spans="1:5" ht="27" customHeight="1" thickBot="1">
      <c r="A8" s="73" t="s">
        <v>744</v>
      </c>
      <c r="B8" s="73" t="s">
        <v>745</v>
      </c>
      <c r="C8" s="26">
        <f>[92]f!C8</f>
        <v>38907652.340000004</v>
      </c>
      <c r="D8" s="54">
        <f>[92]f!D8</f>
        <v>1027740.46</v>
      </c>
      <c r="E8" s="124">
        <f>[92]f!E8</f>
        <v>39935392.799999997</v>
      </c>
    </row>
    <row r="9" spans="1:5" ht="21" customHeight="1" thickBot="1">
      <c r="A9" s="70">
        <v>66</v>
      </c>
      <c r="B9" s="70" t="s">
        <v>746</v>
      </c>
      <c r="C9" s="26">
        <f>[92]f!C9</f>
        <v>0</v>
      </c>
      <c r="D9" s="54">
        <f>[92]f!D9</f>
        <v>0</v>
      </c>
      <c r="E9" s="124">
        <f>[92]f!E9</f>
        <v>0</v>
      </c>
    </row>
    <row r="10" spans="1:5" ht="27" customHeight="1" thickBot="1">
      <c r="A10" s="73" t="s">
        <v>747</v>
      </c>
      <c r="B10" s="73" t="s">
        <v>748</v>
      </c>
      <c r="C10" s="26">
        <f>[92]f!C10</f>
        <v>38907652.340000004</v>
      </c>
      <c r="D10" s="54">
        <f>[92]f!D10</f>
        <v>1027740.46</v>
      </c>
      <c r="E10" s="124">
        <f>[92]f!E10</f>
        <v>39935392.799999997</v>
      </c>
    </row>
    <row r="11" spans="1:5" ht="20" customHeight="1" thickBot="1">
      <c r="A11" s="70">
        <v>67</v>
      </c>
      <c r="B11" s="70" t="s">
        <v>749</v>
      </c>
      <c r="C11" s="26">
        <f>[92]f!C11</f>
        <v>28216408.82</v>
      </c>
      <c r="D11" s="54">
        <f>[92]f!D11</f>
        <v>743306.59</v>
      </c>
      <c r="E11" s="124">
        <f>[92]f!E11</f>
        <v>28959715.41</v>
      </c>
    </row>
    <row r="12" spans="1:5" ht="20" customHeight="1" thickBot="1">
      <c r="A12" s="70">
        <v>68</v>
      </c>
      <c r="B12" s="70" t="s">
        <v>750</v>
      </c>
      <c r="C12" s="26">
        <f>[92]f!C12</f>
        <v>0</v>
      </c>
      <c r="D12" s="54">
        <f>[92]f!D12</f>
        <v>0</v>
      </c>
      <c r="E12" s="124">
        <f>[92]f!E12</f>
        <v>0</v>
      </c>
    </row>
    <row r="13" spans="1:5" ht="20" customHeight="1" thickBot="1">
      <c r="A13" s="70">
        <v>69</v>
      </c>
      <c r="B13" s="70" t="s">
        <v>751</v>
      </c>
      <c r="C13" s="26">
        <f>[92]f!C13</f>
        <v>5223.46</v>
      </c>
      <c r="D13" s="54">
        <f>[92]f!D13</f>
        <v>135.63999999999999</v>
      </c>
      <c r="E13" s="124">
        <f>[92]f!E13</f>
        <v>5359.1</v>
      </c>
    </row>
    <row r="14" spans="1:5" ht="27" customHeight="1" thickBot="1">
      <c r="A14" s="73">
        <v>6</v>
      </c>
      <c r="B14" s="73" t="s">
        <v>752</v>
      </c>
      <c r="C14" s="26">
        <f>[92]f!C14</f>
        <v>67129284.620000005</v>
      </c>
      <c r="D14" s="54">
        <f>[92]f!D14</f>
        <v>1771182.69</v>
      </c>
      <c r="E14" s="124">
        <f>[92]f!E14</f>
        <v>68900467.310000002</v>
      </c>
    </row>
    <row r="15" spans="1:5" ht="20" customHeight="1" thickBot="1">
      <c r="A15" s="70">
        <v>33</v>
      </c>
      <c r="B15" s="70" t="s">
        <v>677</v>
      </c>
      <c r="C15" s="26">
        <f>[92]f!C15</f>
        <v>64748126.100000001</v>
      </c>
      <c r="D15" s="54">
        <f>[92]f!D15</f>
        <v>1725241.2</v>
      </c>
      <c r="E15" s="124">
        <f>[92]f!E15</f>
        <v>66473367.299999997</v>
      </c>
    </row>
    <row r="16" spans="1:5" ht="20" customHeight="1" thickBot="1">
      <c r="A16" s="70">
        <v>32</v>
      </c>
      <c r="B16" s="70" t="s">
        <v>753</v>
      </c>
      <c r="C16" s="26">
        <f>[92]f!C16</f>
        <v>-3981142.72</v>
      </c>
      <c r="D16" s="54">
        <f>[92]f!D16</f>
        <v>-45259.13</v>
      </c>
      <c r="E16" s="124">
        <f>[92]f!E16</f>
        <v>-4026401.85</v>
      </c>
    </row>
    <row r="17" spans="1:5" ht="27" customHeight="1" thickBot="1">
      <c r="A17" s="73" t="s">
        <v>754</v>
      </c>
      <c r="B17" s="73" t="s">
        <v>755</v>
      </c>
      <c r="C17" s="26">
        <f>[92]f!C17</f>
        <v>60766983.380000003</v>
      </c>
      <c r="D17" s="54">
        <f>[92]f!D17</f>
        <v>1679982.07</v>
      </c>
      <c r="E17" s="124">
        <f>[92]f!E17</f>
        <v>62446965.450000003</v>
      </c>
    </row>
    <row r="18" spans="1:5" ht="20" customHeight="1" thickBot="1">
      <c r="A18" s="70">
        <v>34</v>
      </c>
      <c r="B18" s="70" t="s">
        <v>756</v>
      </c>
      <c r="C18" s="26">
        <f>[92]f!C18</f>
        <v>22482.47</v>
      </c>
      <c r="D18" s="54">
        <f>[92]f!D18</f>
        <v>583.26</v>
      </c>
      <c r="E18" s="124">
        <f>[92]f!E18</f>
        <v>23065.73</v>
      </c>
    </row>
    <row r="19" spans="1:5" ht="20" customHeight="1" thickBot="1">
      <c r="A19" s="70">
        <v>35</v>
      </c>
      <c r="B19" s="70" t="s">
        <v>757</v>
      </c>
      <c r="C19" s="26">
        <f>[92]f!C19</f>
        <v>1176803.08</v>
      </c>
      <c r="D19" s="54">
        <f>[92]f!D19</f>
        <v>30602.17</v>
      </c>
      <c r="E19" s="124">
        <f>[92]f!E19</f>
        <v>1207405.25</v>
      </c>
    </row>
    <row r="20" spans="1:5" ht="27" customHeight="1" thickBot="1">
      <c r="A20" s="73" t="s">
        <v>758</v>
      </c>
      <c r="B20" s="73" t="s">
        <v>759</v>
      </c>
      <c r="C20" s="26">
        <f>[92]f!C20</f>
        <v>61966268.93</v>
      </c>
      <c r="D20" s="54">
        <f>[92]f!D20</f>
        <v>1711167.5</v>
      </c>
      <c r="E20" s="124">
        <f>[92]f!E20</f>
        <v>63677436.43</v>
      </c>
    </row>
    <row r="21" spans="1:5" ht="20" customHeight="1" thickBot="1">
      <c r="A21" s="70">
        <v>36</v>
      </c>
      <c r="B21" s="70" t="s">
        <v>760</v>
      </c>
      <c r="C21" s="26">
        <f>[92]f!C21</f>
        <v>0</v>
      </c>
      <c r="D21" s="54">
        <f>[92]f!D21</f>
        <v>0</v>
      </c>
      <c r="E21" s="124">
        <f>[92]f!E21</f>
        <v>0</v>
      </c>
    </row>
    <row r="22" spans="1:5" ht="20" customHeight="1" thickBot="1">
      <c r="A22" s="70">
        <v>37</v>
      </c>
      <c r="B22" s="70" t="s">
        <v>761</v>
      </c>
      <c r="C22" s="26">
        <f>[92]f!C22</f>
        <v>0</v>
      </c>
      <c r="D22" s="54">
        <f>[92]f!D22</f>
        <v>0</v>
      </c>
      <c r="E22" s="124">
        <f>[92]f!E22</f>
        <v>0</v>
      </c>
    </row>
    <row r="23" spans="1:5" ht="27" customHeight="1" thickBot="1">
      <c r="A23" s="73">
        <v>3</v>
      </c>
      <c r="B23" s="73" t="s">
        <v>762</v>
      </c>
      <c r="C23" s="26">
        <f>[92]f!C23</f>
        <v>61966268.93</v>
      </c>
      <c r="D23" s="54">
        <f>[92]f!D23</f>
        <v>1711167.5</v>
      </c>
      <c r="E23" s="124">
        <f>[92]f!E23</f>
        <v>63677436.43</v>
      </c>
    </row>
    <row r="24" spans="1:5" ht="20" customHeight="1" thickBot="1">
      <c r="A24" s="70" t="s">
        <v>763</v>
      </c>
      <c r="B24" s="70" t="s">
        <v>764</v>
      </c>
      <c r="C24" s="26">
        <f>[92]f!C24</f>
        <v>5485092.5700000003</v>
      </c>
      <c r="D24" s="54">
        <f>[92]f!D24</f>
        <v>146339.51999999999</v>
      </c>
      <c r="E24" s="124">
        <f>[92]f!E24</f>
        <v>5631432.0899999999</v>
      </c>
    </row>
    <row r="25" spans="1:5" ht="20" customHeight="1" thickBot="1">
      <c r="A25" s="70">
        <v>49</v>
      </c>
      <c r="B25" s="70" t="s">
        <v>765</v>
      </c>
      <c r="C25" s="26">
        <f>[92]f!C25</f>
        <v>38879.5</v>
      </c>
      <c r="D25" s="54">
        <f>[92]f!D25</f>
        <v>1008.81</v>
      </c>
      <c r="E25" s="124">
        <f>[92]f!E25</f>
        <v>39888.31</v>
      </c>
    </row>
    <row r="26" spans="1:5" ht="27" customHeight="1" thickBot="1">
      <c r="A26" s="73">
        <v>4</v>
      </c>
      <c r="B26" s="73" t="s">
        <v>766</v>
      </c>
      <c r="C26" s="26">
        <f>[92]f!C26</f>
        <v>5523972.0700000003</v>
      </c>
      <c r="D26" s="54">
        <f>[92]f!D26</f>
        <v>147348.32999999999</v>
      </c>
      <c r="E26" s="124">
        <f>[92]f!E26</f>
        <v>5671320.4000000004</v>
      </c>
    </row>
    <row r="27" spans="1:5" ht="27" customHeight="1" thickBot="1">
      <c r="A27" s="73" t="s">
        <v>767</v>
      </c>
      <c r="B27" s="73" t="s">
        <v>768</v>
      </c>
      <c r="C27" s="26">
        <f>[92]f!C27</f>
        <v>67490241</v>
      </c>
      <c r="D27" s="54">
        <f>[92]f!D27</f>
        <v>1858515.83</v>
      </c>
      <c r="E27" s="124">
        <f>[92]f!E27</f>
        <v>69348756.829999998</v>
      </c>
    </row>
    <row r="28" spans="1:5" ht="27" customHeight="1" thickBot="1">
      <c r="A28" s="73"/>
      <c r="B28" s="73" t="s">
        <v>769</v>
      </c>
      <c r="C28" s="26">
        <f>[92]f!C28</f>
        <v>-360956.38</v>
      </c>
      <c r="D28" s="54">
        <f>[92]f!D28</f>
        <v>-87333.14</v>
      </c>
      <c r="E28" s="124">
        <f>[92]f!E28</f>
        <v>-448289.52</v>
      </c>
    </row>
    <row r="29" spans="1:5" ht="27" customHeight="1" thickBot="1">
      <c r="A29" s="73">
        <v>7</v>
      </c>
      <c r="B29" s="73" t="s">
        <v>770</v>
      </c>
      <c r="C29" s="26">
        <f>[92]f!C29</f>
        <v>510448.65</v>
      </c>
      <c r="D29" s="54">
        <f>[92]f!D29</f>
        <v>13492.29</v>
      </c>
      <c r="E29" s="124">
        <f>[92]f!E29</f>
        <v>523940.94</v>
      </c>
    </row>
    <row r="30" spans="1:5" ht="26.25" customHeight="1" thickBot="1">
      <c r="A30" s="87"/>
      <c r="B30" s="87" t="s">
        <v>771</v>
      </c>
      <c r="C30" s="26">
        <f>[92]f!C30</f>
        <v>149492.26999999999</v>
      </c>
      <c r="D30" s="54">
        <f>[92]f!D30</f>
        <v>-73840.850000000006</v>
      </c>
      <c r="E30" s="124">
        <f>[92]f!E30</f>
        <v>75651.42</v>
      </c>
    </row>
    <row r="31" spans="1:5" ht="20.25" customHeight="1">
      <c r="A31" s="28" t="str">
        <f>'[89]data '!$D$2</f>
        <v>Datenstand: 27.09.2002</v>
      </c>
      <c r="B31" s="268"/>
      <c r="C31" s="28"/>
      <c r="D31" s="132"/>
      <c r="E31" s="428"/>
    </row>
  </sheetData>
  <phoneticPr fontId="0" type="noConversion"/>
  <pageMargins left="0.78740157480314965" right="0.78740157480314965" top="1.47" bottom="0.49" header="0.95" footer="0.4921259845"/>
  <pageSetup paperSize="9" scale="80" orientation="portrait" horizontalDpi="4294967292" verticalDpi="4294967292"/>
  <headerFooter alignWithMargins="0">
    <oddHeader>&amp;L&amp;"Arial,Bold"&amp;14Zusatzversicherungen VVG der vom BSV anerkannten Krankenversicherer</oddHeader>
    <oddFooter>&amp;L&amp;"Arial,Regular"Statistik über die Krankenversicherung, Bundesamt für Sozialversicherung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64C5F-2944-0543-B0D3-5C6D1C217632}">
  <dimension ref="A1:E31"/>
  <sheetViews>
    <sheetView topLeftCell="A16" zoomScale="75" workbookViewId="0">
      <selection activeCell="C4" sqref="C4:E4"/>
    </sheetView>
  </sheetViews>
  <sheetFormatPr baseColWidth="10" defaultColWidth="11.3984375" defaultRowHeight="13"/>
  <cols>
    <col min="1" max="1" width="8.796875" style="7" customWidth="1"/>
    <col min="2" max="2" width="48.796875" style="116" customWidth="1"/>
    <col min="3" max="3" width="16.796875" style="7" customWidth="1"/>
    <col min="4" max="4" width="16.796875" style="22" customWidth="1"/>
    <col min="5" max="5" width="16.796875" style="429" customWidth="1"/>
    <col min="6" max="16384" width="11.3984375" style="7"/>
  </cols>
  <sheetData>
    <row r="1" spans="1:5" s="1" customFormat="1" ht="14" customHeight="1">
      <c r="B1" s="179"/>
      <c r="D1" s="180"/>
      <c r="E1" s="426"/>
    </row>
    <row r="2" spans="1:5" s="1" customFormat="1" ht="28" customHeight="1">
      <c r="A2" s="2" t="str">
        <f>"T 7.05  Betriebsrechnung der Krankenpflegeversicherung «Versicherte wohnhaft im Ausland» "&amp;'[89]data '!$B$2</f>
        <v>T 7.05  Betriebsrechnung der Krankenpflegeversicherung «Versicherte wohnhaft im Ausland» 2001</v>
      </c>
      <c r="B2" s="179"/>
      <c r="D2" s="180"/>
      <c r="E2" s="426"/>
    </row>
    <row r="3" spans="1:5" ht="39" customHeight="1">
      <c r="A3" s="427" t="s">
        <v>737</v>
      </c>
      <c r="B3" s="260"/>
      <c r="C3" s="6" t="s">
        <v>738</v>
      </c>
      <c r="D3" s="96" t="s">
        <v>739</v>
      </c>
      <c r="E3" s="181" t="s">
        <v>514</v>
      </c>
    </row>
    <row r="4" spans="1:5" ht="38" customHeight="1">
      <c r="A4" s="182"/>
      <c r="B4" s="97"/>
      <c r="C4" s="16" t="s">
        <v>740</v>
      </c>
      <c r="D4" s="48" t="s">
        <v>740</v>
      </c>
      <c r="E4" s="183" t="s">
        <v>740</v>
      </c>
    </row>
    <row r="5" spans="1:5" ht="30" customHeight="1" thickBot="1">
      <c r="A5" s="67">
        <v>63</v>
      </c>
      <c r="B5" s="67" t="s">
        <v>741</v>
      </c>
      <c r="C5" s="230">
        <f>[93]f!C5</f>
        <v>8594755.3200000003</v>
      </c>
      <c r="D5" s="229">
        <f>[93]f!D5</f>
        <v>31154.1</v>
      </c>
      <c r="E5" s="418">
        <f>[93]f!E5</f>
        <v>8625909.4199999999</v>
      </c>
    </row>
    <row r="6" spans="1:5" ht="20" customHeight="1" thickBot="1">
      <c r="A6" s="70">
        <v>64</v>
      </c>
      <c r="B6" s="70" t="s">
        <v>742</v>
      </c>
      <c r="C6" s="26">
        <f>[93]f!C6</f>
        <v>-101380.97</v>
      </c>
      <c r="D6" s="54">
        <f>[93]f!D6</f>
        <v>-37.700000000000003</v>
      </c>
      <c r="E6" s="124">
        <f>[93]f!E6</f>
        <v>-101418.67</v>
      </c>
    </row>
    <row r="7" spans="1:5" ht="20" customHeight="1" thickBot="1">
      <c r="A7" s="70">
        <v>65</v>
      </c>
      <c r="B7" s="70" t="s">
        <v>743</v>
      </c>
      <c r="C7" s="26">
        <f>[93]f!C7</f>
        <v>0.66</v>
      </c>
      <c r="D7" s="54">
        <f>[93]f!D7</f>
        <v>0</v>
      </c>
      <c r="E7" s="124">
        <f>[93]f!E7</f>
        <v>0.66</v>
      </c>
    </row>
    <row r="8" spans="1:5" ht="27" customHeight="1" thickBot="1">
      <c r="A8" s="73" t="s">
        <v>744</v>
      </c>
      <c r="B8" s="73" t="s">
        <v>745</v>
      </c>
      <c r="C8" s="26">
        <f>[93]f!C8</f>
        <v>8493375.0099999998</v>
      </c>
      <c r="D8" s="54">
        <f>[93]f!D8</f>
        <v>31116.400000000001</v>
      </c>
      <c r="E8" s="124">
        <f>[93]f!E8</f>
        <v>8524491.4100000001</v>
      </c>
    </row>
    <row r="9" spans="1:5" ht="20" customHeight="1" thickBot="1">
      <c r="A9" s="70">
        <v>66</v>
      </c>
      <c r="B9" s="70" t="s">
        <v>746</v>
      </c>
      <c r="C9" s="26">
        <f>[93]f!C9</f>
        <v>-11271.58</v>
      </c>
      <c r="D9" s="54">
        <f>[93]f!D9</f>
        <v>-743.84</v>
      </c>
      <c r="E9" s="124">
        <f>[93]f!E9</f>
        <v>-12015.42</v>
      </c>
    </row>
    <row r="10" spans="1:5" ht="27" customHeight="1" thickBot="1">
      <c r="A10" s="73" t="s">
        <v>747</v>
      </c>
      <c r="B10" s="73" t="s">
        <v>748</v>
      </c>
      <c r="C10" s="26">
        <f>[93]f!C10</f>
        <v>8482103.4299999997</v>
      </c>
      <c r="D10" s="54">
        <f>[93]f!D10</f>
        <v>30372.560000000001</v>
      </c>
      <c r="E10" s="124">
        <f>[93]f!E10</f>
        <v>8512475.9900000002</v>
      </c>
    </row>
    <row r="11" spans="1:5" ht="21" customHeight="1" thickBot="1">
      <c r="A11" s="70">
        <v>67</v>
      </c>
      <c r="B11" s="70" t="s">
        <v>749</v>
      </c>
      <c r="C11" s="26">
        <f>[93]f!C11</f>
        <v>0</v>
      </c>
      <c r="D11" s="54">
        <f>[93]f!D11</f>
        <v>0</v>
      </c>
      <c r="E11" s="124">
        <f>[93]f!E11</f>
        <v>0</v>
      </c>
    </row>
    <row r="12" spans="1:5" ht="21" customHeight="1" thickBot="1">
      <c r="A12" s="70">
        <v>68</v>
      </c>
      <c r="B12" s="70" t="s">
        <v>750</v>
      </c>
      <c r="C12" s="26">
        <f>[93]f!C12</f>
        <v>0</v>
      </c>
      <c r="D12" s="54">
        <f>[93]f!D12</f>
        <v>0</v>
      </c>
      <c r="E12" s="124">
        <f>[93]f!E12</f>
        <v>0</v>
      </c>
    </row>
    <row r="13" spans="1:5" ht="21" customHeight="1" thickBot="1">
      <c r="A13" s="70">
        <v>69</v>
      </c>
      <c r="B13" s="70" t="s">
        <v>751</v>
      </c>
      <c r="C13" s="26">
        <f>[93]f!C13</f>
        <v>54.8</v>
      </c>
      <c r="D13" s="54">
        <f>[93]f!D13</f>
        <v>0</v>
      </c>
      <c r="E13" s="124">
        <f>[93]f!E13</f>
        <v>54.8</v>
      </c>
    </row>
    <row r="14" spans="1:5" ht="27" customHeight="1" thickBot="1">
      <c r="A14" s="73">
        <v>6</v>
      </c>
      <c r="B14" s="73" t="s">
        <v>752</v>
      </c>
      <c r="C14" s="26">
        <f>[93]f!C14</f>
        <v>8482158.2300000004</v>
      </c>
      <c r="D14" s="54">
        <f>[93]f!D14</f>
        <v>30372.560000000001</v>
      </c>
      <c r="E14" s="124">
        <f>[93]f!E14</f>
        <v>8512530.7899999991</v>
      </c>
    </row>
    <row r="15" spans="1:5" ht="20" customHeight="1" thickBot="1">
      <c r="A15" s="70">
        <v>33</v>
      </c>
      <c r="B15" s="70" t="s">
        <v>677</v>
      </c>
      <c r="C15" s="26">
        <f>[93]f!C15</f>
        <v>8217668.1500000004</v>
      </c>
      <c r="D15" s="54">
        <f>[93]f!D15</f>
        <v>257117.5</v>
      </c>
      <c r="E15" s="124">
        <f>[93]f!E15</f>
        <v>8474785.6500000004</v>
      </c>
    </row>
    <row r="16" spans="1:5" ht="20" customHeight="1" thickBot="1">
      <c r="A16" s="70">
        <v>32</v>
      </c>
      <c r="B16" s="70" t="s">
        <v>753</v>
      </c>
      <c r="C16" s="26">
        <f>[93]f!C16</f>
        <v>-186390.53</v>
      </c>
      <c r="D16" s="54">
        <f>[93]f!D16</f>
        <v>-8449.09</v>
      </c>
      <c r="E16" s="124">
        <f>[93]f!E16</f>
        <v>-194839.62</v>
      </c>
    </row>
    <row r="17" spans="1:5" ht="27" customHeight="1" thickBot="1">
      <c r="A17" s="73" t="s">
        <v>754</v>
      </c>
      <c r="B17" s="73" t="s">
        <v>755</v>
      </c>
      <c r="C17" s="26">
        <f>[93]f!C17</f>
        <v>8031277.6200000001</v>
      </c>
      <c r="D17" s="54">
        <f>[93]f!D17</f>
        <v>248668.41</v>
      </c>
      <c r="E17" s="124">
        <f>[93]f!E17</f>
        <v>8279946.0300000003</v>
      </c>
    </row>
    <row r="18" spans="1:5" ht="20" customHeight="1" thickBot="1">
      <c r="A18" s="70">
        <v>34</v>
      </c>
      <c r="B18" s="70" t="s">
        <v>756</v>
      </c>
      <c r="C18" s="26">
        <f>[93]f!C18</f>
        <v>6311.83</v>
      </c>
      <c r="D18" s="54">
        <f>[93]f!D18</f>
        <v>223.56</v>
      </c>
      <c r="E18" s="124">
        <f>[93]f!E18</f>
        <v>6535.39</v>
      </c>
    </row>
    <row r="19" spans="1:5" ht="20" customHeight="1" thickBot="1">
      <c r="A19" s="70">
        <v>35</v>
      </c>
      <c r="B19" s="70" t="s">
        <v>757</v>
      </c>
      <c r="C19" s="26">
        <f>[93]f!C19</f>
        <v>139600.32999999999</v>
      </c>
      <c r="D19" s="54">
        <f>[93]f!D19</f>
        <v>13457.13</v>
      </c>
      <c r="E19" s="124">
        <f>[93]f!E19</f>
        <v>153057.46</v>
      </c>
    </row>
    <row r="20" spans="1:5" ht="27" customHeight="1" thickBot="1">
      <c r="A20" s="73" t="s">
        <v>758</v>
      </c>
      <c r="B20" s="73" t="s">
        <v>759</v>
      </c>
      <c r="C20" s="26">
        <f>[93]f!C20</f>
        <v>8177189.7800000003</v>
      </c>
      <c r="D20" s="54">
        <f>[93]f!D20</f>
        <v>262349.09999999998</v>
      </c>
      <c r="E20" s="124">
        <f>[93]f!E20</f>
        <v>8439538.8800000008</v>
      </c>
    </row>
    <row r="21" spans="1:5" ht="20" customHeight="1" thickBot="1">
      <c r="A21" s="70">
        <v>36</v>
      </c>
      <c r="B21" s="70" t="s">
        <v>760</v>
      </c>
      <c r="C21" s="26">
        <f>[93]f!C21</f>
        <v>0</v>
      </c>
      <c r="D21" s="54">
        <f>[93]f!D21</f>
        <v>0</v>
      </c>
      <c r="E21" s="124">
        <f>[93]f!E21</f>
        <v>0</v>
      </c>
    </row>
    <row r="22" spans="1:5" ht="20" customHeight="1" thickBot="1">
      <c r="A22" s="70">
        <v>37</v>
      </c>
      <c r="B22" s="70" t="s">
        <v>761</v>
      </c>
      <c r="C22" s="26">
        <f>[93]f!C22</f>
        <v>0</v>
      </c>
      <c r="D22" s="54">
        <f>[93]f!D22</f>
        <v>0</v>
      </c>
      <c r="E22" s="124">
        <f>[93]f!E22</f>
        <v>0</v>
      </c>
    </row>
    <row r="23" spans="1:5" ht="27" customHeight="1" thickBot="1">
      <c r="A23" s="73">
        <v>3</v>
      </c>
      <c r="B23" s="73" t="s">
        <v>762</v>
      </c>
      <c r="C23" s="26">
        <f>[93]f!C23</f>
        <v>8177189.7800000003</v>
      </c>
      <c r="D23" s="54">
        <f>[93]f!D23</f>
        <v>262349.09999999998</v>
      </c>
      <c r="E23" s="124">
        <f>[93]f!E23</f>
        <v>8439538.8800000008</v>
      </c>
    </row>
    <row r="24" spans="1:5" ht="20" customHeight="1" thickBot="1">
      <c r="A24" s="70" t="s">
        <v>763</v>
      </c>
      <c r="B24" s="70" t="s">
        <v>764</v>
      </c>
      <c r="C24" s="26">
        <f>[93]f!C24</f>
        <v>1310762.96</v>
      </c>
      <c r="D24" s="54">
        <f>[93]f!D24</f>
        <v>40523.480000000003</v>
      </c>
      <c r="E24" s="124">
        <f>[93]f!E24</f>
        <v>1351286.44</v>
      </c>
    </row>
    <row r="25" spans="1:5" ht="20" customHeight="1" thickBot="1">
      <c r="A25" s="70">
        <v>49</v>
      </c>
      <c r="B25" s="70" t="s">
        <v>765</v>
      </c>
      <c r="C25" s="26">
        <f>[93]f!C25</f>
        <v>7600.11</v>
      </c>
      <c r="D25" s="54">
        <f>[93]f!D25</f>
        <v>229.6</v>
      </c>
      <c r="E25" s="124">
        <f>[93]f!E25</f>
        <v>7829.71</v>
      </c>
    </row>
    <row r="26" spans="1:5" ht="27" customHeight="1" thickBot="1">
      <c r="A26" s="73">
        <v>4</v>
      </c>
      <c r="B26" s="73" t="s">
        <v>766</v>
      </c>
      <c r="C26" s="26">
        <f>[93]f!C26</f>
        <v>1318363.07</v>
      </c>
      <c r="D26" s="54">
        <f>[93]f!D26</f>
        <v>40753.08</v>
      </c>
      <c r="E26" s="124">
        <f>[93]f!E26</f>
        <v>1359116.15</v>
      </c>
    </row>
    <row r="27" spans="1:5" ht="27" customHeight="1" thickBot="1">
      <c r="A27" s="73" t="s">
        <v>767</v>
      </c>
      <c r="B27" s="73" t="s">
        <v>768</v>
      </c>
      <c r="C27" s="26">
        <f>[93]f!C27</f>
        <v>9495552.8399999999</v>
      </c>
      <c r="D27" s="54">
        <f>[93]f!D27</f>
        <v>303102.18</v>
      </c>
      <c r="E27" s="124">
        <f>[93]f!E27</f>
        <v>9798655.0199999996</v>
      </c>
    </row>
    <row r="28" spans="1:5" ht="27" customHeight="1" thickBot="1">
      <c r="A28" s="73"/>
      <c r="B28" s="73" t="s">
        <v>769</v>
      </c>
      <c r="C28" s="26">
        <f>[93]f!C28</f>
        <v>-1013394.61</v>
      </c>
      <c r="D28" s="54">
        <f>[93]f!D28</f>
        <v>-272729.62</v>
      </c>
      <c r="E28" s="124">
        <f>[93]f!E28</f>
        <v>-1286124.23</v>
      </c>
    </row>
    <row r="29" spans="1:5" ht="27" customHeight="1" thickBot="1">
      <c r="A29" s="73">
        <v>7</v>
      </c>
      <c r="B29" s="73" t="s">
        <v>770</v>
      </c>
      <c r="C29" s="26">
        <f>[93]f!C29</f>
        <v>-18830.93</v>
      </c>
      <c r="D29" s="54">
        <f>[93]f!D29</f>
        <v>-256.39999999999998</v>
      </c>
      <c r="E29" s="124">
        <f>[93]f!E29</f>
        <v>-19087.330000000002</v>
      </c>
    </row>
    <row r="30" spans="1:5" ht="27.75" customHeight="1" thickBot="1">
      <c r="A30" s="87"/>
      <c r="B30" s="87" t="s">
        <v>771</v>
      </c>
      <c r="C30" s="26">
        <f>[93]f!C30</f>
        <v>-1032225.54</v>
      </c>
      <c r="D30" s="54">
        <f>[93]f!D30</f>
        <v>-272986.02</v>
      </c>
      <c r="E30" s="124">
        <f>[93]f!E30</f>
        <v>-1305211.56</v>
      </c>
    </row>
    <row r="31" spans="1:5" ht="19.5" customHeight="1">
      <c r="A31" s="28" t="str">
        <f>'[89]data '!$D$2</f>
        <v>Datenstand: 27.09.2002</v>
      </c>
      <c r="B31" s="268"/>
      <c r="C31" s="28"/>
      <c r="D31" s="132"/>
      <c r="E31" s="428"/>
    </row>
  </sheetData>
  <phoneticPr fontId="0" type="noConversion"/>
  <pageMargins left="0.78740157480314965" right="0.78740157480314965" top="1.47" bottom="0.49" header="0.93" footer="0.4921259845"/>
  <pageSetup paperSize="9" scale="80" orientation="portrait" horizontalDpi="4294967292" verticalDpi="4294967292"/>
  <headerFooter alignWithMargins="0">
    <oddHeader>&amp;L&amp;"Arial,Bold"&amp;14Zusatzversicherungen VVG der vom BSV anerkannten Krankenversicherer</oddHeader>
    <oddFooter>&amp;L&amp;"Arial,Regular"Statistik über die Krankenversicherung, Bundesamt für Sozialversicherung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F0105-6250-AD43-8246-2DB8AAB0F9C1}">
  <dimension ref="A1:F48"/>
  <sheetViews>
    <sheetView topLeftCell="A23" zoomScale="75" workbookViewId="0">
      <selection activeCell="F4" sqref="F4"/>
    </sheetView>
  </sheetViews>
  <sheetFormatPr baseColWidth="10" defaultColWidth="11.3984375" defaultRowHeight="13"/>
  <cols>
    <col min="1" max="1" width="12.796875" style="7" customWidth="1"/>
    <col min="2" max="2" width="13.19921875" style="116" customWidth="1"/>
    <col min="3" max="4" width="13.19921875" style="7" customWidth="1"/>
    <col min="5" max="6" width="13.19921875" style="116" customWidth="1"/>
    <col min="7" max="16384" width="11.3984375" style="7"/>
  </cols>
  <sheetData>
    <row r="1" spans="1:6" s="1" customFormat="1" ht="14" customHeight="1">
      <c r="B1" s="179"/>
      <c r="E1" s="179"/>
      <c r="F1" s="179"/>
    </row>
    <row r="2" spans="1:6" s="1" customFormat="1" ht="28" customHeight="1">
      <c r="A2" s="2" t="s">
        <v>245</v>
      </c>
      <c r="B2" s="179"/>
      <c r="C2" s="2"/>
      <c r="D2" s="2"/>
      <c r="E2" s="179"/>
      <c r="F2" s="179"/>
    </row>
    <row r="3" spans="1:6" ht="24" customHeight="1">
      <c r="A3" s="41" t="s">
        <v>640</v>
      </c>
      <c r="B3" s="298"/>
      <c r="C3" s="41"/>
      <c r="D3" s="261"/>
      <c r="E3" s="41" t="s">
        <v>254</v>
      </c>
      <c r="F3" s="298"/>
    </row>
    <row r="4" spans="1:6" ht="15" customHeight="1">
      <c r="A4" s="43"/>
      <c r="B4" s="335" t="s">
        <v>246</v>
      </c>
      <c r="C4" s="44" t="s">
        <v>247</v>
      </c>
      <c r="D4" s="12" t="s">
        <v>248</v>
      </c>
      <c r="E4" s="61" t="s">
        <v>223</v>
      </c>
      <c r="F4" s="62" t="s">
        <v>249</v>
      </c>
    </row>
    <row r="5" spans="1:6" ht="15" customHeight="1">
      <c r="A5" s="43"/>
      <c r="B5" s="335" t="s">
        <v>250</v>
      </c>
      <c r="C5" s="44"/>
      <c r="D5" s="12"/>
      <c r="E5" s="61" t="s">
        <v>251</v>
      </c>
      <c r="F5" s="62"/>
    </row>
    <row r="6" spans="1:6" ht="24" customHeight="1">
      <c r="A6" s="46"/>
      <c r="B6" s="16"/>
      <c r="C6" s="47"/>
      <c r="D6" s="16"/>
      <c r="E6" s="64"/>
      <c r="F6" s="65"/>
    </row>
    <row r="7" spans="1:6" ht="21.75" customHeight="1" thickBot="1">
      <c r="A7" s="200">
        <f>[94]f!A7</f>
        <v>1945</v>
      </c>
      <c r="B7" s="437">
        <f>[94]f!B7</f>
        <v>1151</v>
      </c>
      <c r="C7" s="438" t="str">
        <f>[94]f!C7</f>
        <v>-</v>
      </c>
      <c r="D7" s="439" t="str">
        <f>[94]f!D7</f>
        <v>-</v>
      </c>
      <c r="E7" s="438" t="str">
        <f>[94]f!E7</f>
        <v>-</v>
      </c>
      <c r="F7" s="439" t="str">
        <f>[94]f!F7</f>
        <v>-</v>
      </c>
    </row>
    <row r="8" spans="1:6" ht="15" customHeight="1" thickBot="1">
      <c r="A8" s="70">
        <f>[94]f!A8</f>
        <v>1950</v>
      </c>
      <c r="B8" s="149">
        <f>[94]f!B8</f>
        <v>1154</v>
      </c>
      <c r="C8" s="438" t="str">
        <f>[94]f!C8</f>
        <v>-</v>
      </c>
      <c r="D8" s="439" t="str">
        <f>[94]f!D8</f>
        <v>-</v>
      </c>
      <c r="E8" s="438" t="str">
        <f>[94]f!E8</f>
        <v>-</v>
      </c>
      <c r="F8" s="439" t="str">
        <f>[94]f!F8</f>
        <v>-</v>
      </c>
    </row>
    <row r="9" spans="1:6" ht="15" customHeight="1" thickBot="1">
      <c r="A9" s="70">
        <f>[94]f!A9</f>
        <v>1955</v>
      </c>
      <c r="B9" s="149">
        <f>[94]f!B9</f>
        <v>1135</v>
      </c>
      <c r="C9" s="438" t="str">
        <f>[94]f!C9</f>
        <v>-</v>
      </c>
      <c r="D9" s="439" t="str">
        <f>[94]f!D9</f>
        <v>-</v>
      </c>
      <c r="E9" s="438" t="str">
        <f>[94]f!E9</f>
        <v>-</v>
      </c>
      <c r="F9" s="439" t="str">
        <f>[94]f!F9</f>
        <v>-</v>
      </c>
    </row>
    <row r="10" spans="1:6" ht="15" customHeight="1" thickBot="1">
      <c r="A10" s="70">
        <f>[94]f!A10</f>
        <v>1960</v>
      </c>
      <c r="B10" s="149">
        <f>[94]f!B10</f>
        <v>1088</v>
      </c>
      <c r="C10" s="438" t="str">
        <f>[94]f!C10</f>
        <v>-</v>
      </c>
      <c r="D10" s="439" t="str">
        <f>[94]f!D10</f>
        <v>-</v>
      </c>
      <c r="E10" s="438" t="str">
        <f>[94]f!E10</f>
        <v>-</v>
      </c>
      <c r="F10" s="439" t="str">
        <f>[94]f!F10</f>
        <v>-</v>
      </c>
    </row>
    <row r="11" spans="1:6" ht="15" customHeight="1" thickBot="1">
      <c r="A11" s="70">
        <f>[94]f!A11</f>
        <v>1965</v>
      </c>
      <c r="B11" s="149">
        <f>[94]f!B11</f>
        <v>984</v>
      </c>
      <c r="C11" s="438" t="str">
        <f>[94]f!C11</f>
        <v>-</v>
      </c>
      <c r="D11" s="439" t="str">
        <f>[94]f!D11</f>
        <v>-</v>
      </c>
      <c r="E11" s="438" t="str">
        <f>[94]f!E11</f>
        <v>-</v>
      </c>
      <c r="F11" s="439" t="str">
        <f>[94]f!F11</f>
        <v>-</v>
      </c>
    </row>
    <row r="12" spans="1:6" ht="18.75" customHeight="1">
      <c r="A12" s="440">
        <f>[94]f!A12</f>
        <v>1970</v>
      </c>
      <c r="B12" s="441">
        <f>[94]f!B12</f>
        <v>815</v>
      </c>
      <c r="C12" s="442">
        <f>[94]f!C12</f>
        <v>1</v>
      </c>
      <c r="D12" s="441">
        <f>[94]f!D12</f>
        <v>26</v>
      </c>
      <c r="E12" s="443" t="str">
        <f>[94]f!E12</f>
        <v>-</v>
      </c>
      <c r="F12" s="444" t="str">
        <f>[94]f!F12</f>
        <v>-</v>
      </c>
    </row>
    <row r="13" spans="1:6" ht="15" customHeight="1" thickBot="1">
      <c r="A13" s="200">
        <f>[94]f!A13</f>
        <v>1971</v>
      </c>
      <c r="B13" s="431">
        <f>[94]f!B13</f>
        <v>793</v>
      </c>
      <c r="C13" s="432">
        <f>[94]f!C13</f>
        <v>0</v>
      </c>
      <c r="D13" s="431">
        <f>[94]f!D13</f>
        <v>22</v>
      </c>
      <c r="E13" s="445" t="str">
        <f>[94]f!E13</f>
        <v>-</v>
      </c>
      <c r="F13" s="446" t="str">
        <f>[94]f!F13</f>
        <v>-</v>
      </c>
    </row>
    <row r="14" spans="1:6" ht="15" customHeight="1" thickBot="1">
      <c r="A14" s="70">
        <f>[94]f!A14</f>
        <v>1972</v>
      </c>
      <c r="B14" s="149">
        <f>[94]f!B14</f>
        <v>763</v>
      </c>
      <c r="C14" s="150">
        <f>[94]f!C14</f>
        <v>1</v>
      </c>
      <c r="D14" s="149">
        <f>[94]f!D14</f>
        <v>31</v>
      </c>
      <c r="E14" s="438" t="str">
        <f>[94]f!E14</f>
        <v>-</v>
      </c>
      <c r="F14" s="439" t="str">
        <f>[94]f!F14</f>
        <v>-</v>
      </c>
    </row>
    <row r="15" spans="1:6" ht="15" customHeight="1" thickBot="1">
      <c r="A15" s="70">
        <f>[94]f!A15</f>
        <v>1973</v>
      </c>
      <c r="B15" s="149">
        <f>[94]f!B15</f>
        <v>735</v>
      </c>
      <c r="C15" s="150">
        <f>[94]f!C15</f>
        <v>0</v>
      </c>
      <c r="D15" s="149">
        <f>[94]f!D15</f>
        <v>28</v>
      </c>
      <c r="E15" s="438" t="str">
        <f>[94]f!E15</f>
        <v>-</v>
      </c>
      <c r="F15" s="439" t="str">
        <f>[94]f!F15</f>
        <v>-</v>
      </c>
    </row>
    <row r="16" spans="1:6" ht="15" customHeight="1" thickBot="1">
      <c r="A16" s="70">
        <f>[94]f!A16</f>
        <v>1974</v>
      </c>
      <c r="B16" s="149">
        <f>[94]f!B16</f>
        <v>707</v>
      </c>
      <c r="C16" s="150">
        <f>[94]f!C16</f>
        <v>3</v>
      </c>
      <c r="D16" s="149">
        <f>[94]f!D16</f>
        <v>31</v>
      </c>
      <c r="E16" s="438" t="str">
        <f>[94]f!E16</f>
        <v>-</v>
      </c>
      <c r="F16" s="439" t="str">
        <f>[94]f!F16</f>
        <v>-</v>
      </c>
    </row>
    <row r="17" spans="1:6" ht="20" customHeight="1">
      <c r="A17" s="440">
        <f>[94]f!A17</f>
        <v>1975</v>
      </c>
      <c r="B17" s="441">
        <f>[94]f!B17</f>
        <v>662</v>
      </c>
      <c r="C17" s="442">
        <f>[94]f!C17</f>
        <v>1</v>
      </c>
      <c r="D17" s="441">
        <f>[94]f!D17</f>
        <v>46</v>
      </c>
      <c r="E17" s="443" t="str">
        <f>[94]f!E17</f>
        <v>-</v>
      </c>
      <c r="F17" s="444" t="str">
        <f>[94]f!F17</f>
        <v>-</v>
      </c>
    </row>
    <row r="18" spans="1:6" ht="15" customHeight="1" thickBot="1">
      <c r="A18" s="200">
        <f>[94]f!A18</f>
        <v>1976</v>
      </c>
      <c r="B18" s="431">
        <f>[94]f!B18</f>
        <v>634</v>
      </c>
      <c r="C18" s="432">
        <f>[94]f!C18</f>
        <v>0</v>
      </c>
      <c r="D18" s="431">
        <f>[94]f!D18</f>
        <v>28</v>
      </c>
      <c r="E18" s="445" t="str">
        <f>[94]f!E18</f>
        <v>-</v>
      </c>
      <c r="F18" s="446" t="str">
        <f>[94]f!F18</f>
        <v>-</v>
      </c>
    </row>
    <row r="19" spans="1:6" ht="15" customHeight="1" thickBot="1">
      <c r="A19" s="70">
        <f>[94]f!A19</f>
        <v>1977</v>
      </c>
      <c r="B19" s="149">
        <f>[94]f!B19</f>
        <v>615</v>
      </c>
      <c r="C19" s="150">
        <f>[94]f!C19</f>
        <v>0</v>
      </c>
      <c r="D19" s="149">
        <f>[94]f!D19</f>
        <v>19</v>
      </c>
      <c r="E19" s="438" t="str">
        <f>[94]f!E19</f>
        <v>-</v>
      </c>
      <c r="F19" s="439" t="str">
        <f>[94]f!F19</f>
        <v>-</v>
      </c>
    </row>
    <row r="20" spans="1:6" ht="15" customHeight="1" thickBot="1">
      <c r="A20" s="70">
        <f>[94]f!A20</f>
        <v>1978</v>
      </c>
      <c r="B20" s="149">
        <f>[94]f!B20</f>
        <v>598</v>
      </c>
      <c r="C20" s="150">
        <f>[94]f!C20</f>
        <v>1</v>
      </c>
      <c r="D20" s="149">
        <f>[94]f!D20</f>
        <v>18</v>
      </c>
      <c r="E20" s="438" t="str">
        <f>[94]f!E20</f>
        <v>-</v>
      </c>
      <c r="F20" s="439" t="str">
        <f>[94]f!F20</f>
        <v>-</v>
      </c>
    </row>
    <row r="21" spans="1:6" ht="15" customHeight="1" thickBot="1">
      <c r="A21" s="70">
        <f>[94]f!A21</f>
        <v>1979</v>
      </c>
      <c r="B21" s="149">
        <f>[94]f!B21</f>
        <v>577</v>
      </c>
      <c r="C21" s="150">
        <f>[94]f!C21</f>
        <v>2</v>
      </c>
      <c r="D21" s="149">
        <f>[94]f!D21</f>
        <v>23</v>
      </c>
      <c r="E21" s="438" t="str">
        <f>[94]f!E21</f>
        <v>-</v>
      </c>
      <c r="F21" s="439" t="str">
        <f>[94]f!F21</f>
        <v>-</v>
      </c>
    </row>
    <row r="22" spans="1:6" ht="20" customHeight="1">
      <c r="A22" s="440">
        <f>[94]f!A22</f>
        <v>1980</v>
      </c>
      <c r="B22" s="441">
        <f>[94]f!B22</f>
        <v>555</v>
      </c>
      <c r="C22" s="442">
        <f>[94]f!C22</f>
        <v>2</v>
      </c>
      <c r="D22" s="441">
        <f>[94]f!D22</f>
        <v>24</v>
      </c>
      <c r="E22" s="443" t="str">
        <f>[94]f!E22</f>
        <v>-</v>
      </c>
      <c r="F22" s="444" t="str">
        <f>[94]f!F22</f>
        <v>-</v>
      </c>
    </row>
    <row r="23" spans="1:6" ht="13.5" customHeight="1" thickBot="1">
      <c r="A23" s="200">
        <f>[94]f!A23</f>
        <v>1981</v>
      </c>
      <c r="B23" s="431">
        <f>[94]f!B23</f>
        <v>537</v>
      </c>
      <c r="C23" s="432">
        <f>[94]f!C23</f>
        <v>0</v>
      </c>
      <c r="D23" s="431">
        <f>[94]f!D23</f>
        <v>18</v>
      </c>
      <c r="E23" s="445" t="str">
        <f>[94]f!E23</f>
        <v>-</v>
      </c>
      <c r="F23" s="446" t="str">
        <f>[94]f!F23</f>
        <v>-</v>
      </c>
    </row>
    <row r="24" spans="1:6" ht="13.5" customHeight="1" thickBot="1">
      <c r="A24" s="70">
        <f>[94]f!A24</f>
        <v>1982</v>
      </c>
      <c r="B24" s="149">
        <f>[94]f!B24</f>
        <v>514</v>
      </c>
      <c r="C24" s="150">
        <f>[94]f!C24</f>
        <v>1</v>
      </c>
      <c r="D24" s="149">
        <f>[94]f!D24</f>
        <v>24</v>
      </c>
      <c r="E24" s="438" t="str">
        <f>[94]f!E24</f>
        <v>-</v>
      </c>
      <c r="F24" s="439" t="str">
        <f>[94]f!F24</f>
        <v>-</v>
      </c>
    </row>
    <row r="25" spans="1:6" ht="13.5" customHeight="1" thickBot="1">
      <c r="A25" s="70">
        <f>[94]f!A25</f>
        <v>1983</v>
      </c>
      <c r="B25" s="149">
        <f>[94]f!B25</f>
        <v>492</v>
      </c>
      <c r="C25" s="150">
        <f>[94]f!C25</f>
        <v>2</v>
      </c>
      <c r="D25" s="149">
        <f>[94]f!D25</f>
        <v>24</v>
      </c>
      <c r="E25" s="438" t="str">
        <f>[94]f!E25</f>
        <v>-</v>
      </c>
      <c r="F25" s="439" t="str">
        <f>[94]f!F25</f>
        <v>-</v>
      </c>
    </row>
    <row r="26" spans="1:6" ht="13.5" customHeight="1" thickBot="1">
      <c r="A26" s="70">
        <f>[94]f!A26</f>
        <v>1984</v>
      </c>
      <c r="B26" s="149">
        <f>[94]f!B26</f>
        <v>461</v>
      </c>
      <c r="C26" s="150">
        <f>[94]f!C26</f>
        <v>1</v>
      </c>
      <c r="D26" s="149">
        <f>[94]f!D26</f>
        <v>32</v>
      </c>
      <c r="E26" s="438" t="str">
        <f>[94]f!E26</f>
        <v>-</v>
      </c>
      <c r="F26" s="439" t="str">
        <f>[94]f!F26</f>
        <v>-</v>
      </c>
    </row>
    <row r="27" spans="1:6" ht="20" customHeight="1">
      <c r="A27" s="440">
        <f>[94]f!A27</f>
        <v>1985</v>
      </c>
      <c r="B27" s="441">
        <f>[94]f!B27</f>
        <v>449</v>
      </c>
      <c r="C27" s="442">
        <f>[94]f!C27</f>
        <v>0</v>
      </c>
      <c r="D27" s="441">
        <f>[94]f!D27</f>
        <v>12</v>
      </c>
      <c r="E27" s="443" t="str">
        <f>[94]f!E27</f>
        <v>-</v>
      </c>
      <c r="F27" s="444" t="str">
        <f>[94]f!F27</f>
        <v>-</v>
      </c>
    </row>
    <row r="28" spans="1:6" ht="15" customHeight="1" thickBot="1">
      <c r="A28" s="200">
        <f>[94]f!A28</f>
        <v>1986</v>
      </c>
      <c r="B28" s="431">
        <f>[94]f!B28</f>
        <v>432</v>
      </c>
      <c r="C28" s="432">
        <f>[94]f!C28</f>
        <v>1</v>
      </c>
      <c r="D28" s="431">
        <f>[94]f!D28</f>
        <v>18</v>
      </c>
      <c r="E28" s="445" t="str">
        <f>[94]f!E28</f>
        <v>-</v>
      </c>
      <c r="F28" s="446" t="str">
        <f>[94]f!F28</f>
        <v>-</v>
      </c>
    </row>
    <row r="29" spans="1:6" ht="15" customHeight="1" thickBot="1">
      <c r="A29" s="70">
        <f>[94]f!A29</f>
        <v>1987</v>
      </c>
      <c r="B29" s="149">
        <f>[94]f!B29</f>
        <v>385</v>
      </c>
      <c r="C29" s="150">
        <f>[94]f!C29</f>
        <v>2</v>
      </c>
      <c r="D29" s="149">
        <f>[94]f!D29</f>
        <v>49</v>
      </c>
      <c r="E29" s="438" t="str">
        <f>[94]f!E29</f>
        <v>-</v>
      </c>
      <c r="F29" s="439" t="str">
        <f>[94]f!F29</f>
        <v>-</v>
      </c>
    </row>
    <row r="30" spans="1:6" ht="15" customHeight="1" thickBot="1">
      <c r="A30" s="70">
        <f>[94]f!A30</f>
        <v>1988</v>
      </c>
      <c r="B30" s="149">
        <f>[94]f!B30</f>
        <v>370</v>
      </c>
      <c r="C30" s="150">
        <f>[94]f!C30</f>
        <v>1</v>
      </c>
      <c r="D30" s="149">
        <f>[94]f!D30</f>
        <v>16</v>
      </c>
      <c r="E30" s="438" t="str">
        <f>[94]f!E30</f>
        <v>-</v>
      </c>
      <c r="F30" s="439" t="str">
        <f>[94]f!F30</f>
        <v>-</v>
      </c>
    </row>
    <row r="31" spans="1:6" ht="15" customHeight="1" thickBot="1">
      <c r="A31" s="70">
        <f>[94]f!A31</f>
        <v>1989</v>
      </c>
      <c r="B31" s="149">
        <f>[94]f!B31</f>
        <v>269</v>
      </c>
      <c r="C31" s="150">
        <f>[94]f!C31</f>
        <v>4</v>
      </c>
      <c r="D31" s="149">
        <f>[94]f!D31</f>
        <v>105</v>
      </c>
      <c r="E31" s="438" t="str">
        <f>[94]f!E31</f>
        <v>-</v>
      </c>
      <c r="F31" s="439" t="str">
        <f>[94]f!F31</f>
        <v>-</v>
      </c>
    </row>
    <row r="32" spans="1:6" ht="20" customHeight="1">
      <c r="A32" s="440">
        <f>[94]f!A32</f>
        <v>1990</v>
      </c>
      <c r="B32" s="441">
        <f>[94]f!B32</f>
        <v>246</v>
      </c>
      <c r="C32" s="442">
        <f>[94]f!C32</f>
        <v>1</v>
      </c>
      <c r="D32" s="441">
        <f>[94]f!D32</f>
        <v>24</v>
      </c>
      <c r="E32" s="443" t="str">
        <f>[94]f!E32</f>
        <v>-</v>
      </c>
      <c r="F32" s="444" t="str">
        <f>[94]f!F32</f>
        <v>-</v>
      </c>
    </row>
    <row r="33" spans="1:6" ht="15" customHeight="1" thickBot="1">
      <c r="A33" s="200">
        <f>[94]f!A33</f>
        <v>1991</v>
      </c>
      <c r="B33" s="431">
        <f>[94]f!B33</f>
        <v>228</v>
      </c>
      <c r="C33" s="432">
        <f>[94]f!C33</f>
        <v>0</v>
      </c>
      <c r="D33" s="431">
        <f>[94]f!D33</f>
        <v>18</v>
      </c>
      <c r="E33" s="445" t="str">
        <f>[94]f!E33</f>
        <v>-</v>
      </c>
      <c r="F33" s="446" t="str">
        <f>[94]f!F33</f>
        <v>-</v>
      </c>
    </row>
    <row r="34" spans="1:6" ht="15" customHeight="1" thickBot="1">
      <c r="A34" s="70">
        <f>[94]f!A34</f>
        <v>1992</v>
      </c>
      <c r="B34" s="149">
        <f>[94]f!B34</f>
        <v>213</v>
      </c>
      <c r="C34" s="150">
        <f>[94]f!C34</f>
        <v>2</v>
      </c>
      <c r="D34" s="149">
        <f>[94]f!D34</f>
        <v>17</v>
      </c>
      <c r="E34" s="438" t="str">
        <f>[94]f!E34</f>
        <v>-</v>
      </c>
      <c r="F34" s="439" t="str">
        <f>[94]f!F34</f>
        <v>-</v>
      </c>
    </row>
    <row r="35" spans="1:6" ht="15" customHeight="1" thickBot="1">
      <c r="A35" s="70">
        <f>[94]f!A35</f>
        <v>1993</v>
      </c>
      <c r="B35" s="149">
        <f>[94]f!B35</f>
        <v>207</v>
      </c>
      <c r="C35" s="150">
        <f>[94]f!C35</f>
        <v>0</v>
      </c>
      <c r="D35" s="149">
        <f>[94]f!D35</f>
        <v>6</v>
      </c>
      <c r="E35" s="438" t="str">
        <f>[94]f!E35</f>
        <v>-</v>
      </c>
      <c r="F35" s="439" t="str">
        <f>[94]f!F35</f>
        <v>-</v>
      </c>
    </row>
    <row r="36" spans="1:6" ht="15" customHeight="1" thickBot="1">
      <c r="A36" s="70">
        <f>[94]f!A36</f>
        <v>1994</v>
      </c>
      <c r="B36" s="149">
        <f>[94]f!B36</f>
        <v>198</v>
      </c>
      <c r="C36" s="150">
        <f>[94]f!C36</f>
        <v>0</v>
      </c>
      <c r="D36" s="149">
        <f>[94]f!D36</f>
        <v>9</v>
      </c>
      <c r="E36" s="150">
        <f>[94]f!E36</f>
        <v>178</v>
      </c>
      <c r="F36" s="149">
        <f>[94]f!F36</f>
        <v>186</v>
      </c>
    </row>
    <row r="37" spans="1:6" ht="20" customHeight="1">
      <c r="A37" s="440">
        <f>[94]f!A37</f>
        <v>1995</v>
      </c>
      <c r="B37" s="441">
        <f>[94]f!B37</f>
        <v>184</v>
      </c>
      <c r="C37" s="442">
        <f>[94]f!C37</f>
        <v>0</v>
      </c>
      <c r="D37" s="441">
        <f>[94]f!D37</f>
        <v>14</v>
      </c>
      <c r="E37" s="442">
        <f>[94]f!E37</f>
        <v>166</v>
      </c>
      <c r="F37" s="441">
        <f>[94]f!F37</f>
        <v>174</v>
      </c>
    </row>
    <row r="38" spans="1:6" ht="15" customHeight="1" thickBot="1">
      <c r="A38" s="200">
        <f>[94]f!A38</f>
        <v>1996</v>
      </c>
      <c r="B38" s="431">
        <f>[94]f!B38</f>
        <v>159</v>
      </c>
      <c r="C38" s="432">
        <f>[94]f!C38</f>
        <v>0</v>
      </c>
      <c r="D38" s="431">
        <f>[94]f!D38</f>
        <v>25</v>
      </c>
      <c r="E38" s="432">
        <f>[94]f!E38</f>
        <v>145</v>
      </c>
      <c r="F38" s="431">
        <f>[94]f!F38</f>
        <v>150</v>
      </c>
    </row>
    <row r="39" spans="1:6" ht="15" customHeight="1" thickBot="1">
      <c r="A39" s="70">
        <f>[94]f!A39</f>
        <v>1997</v>
      </c>
      <c r="B39" s="149">
        <f>[94]f!B39</f>
        <v>142</v>
      </c>
      <c r="C39" s="150">
        <f>[94]f!C39</f>
        <v>1</v>
      </c>
      <c r="D39" s="149">
        <f>[94]f!D39</f>
        <v>18</v>
      </c>
      <c r="E39" s="150">
        <f>[94]f!E39</f>
        <v>129</v>
      </c>
      <c r="F39" s="149">
        <f>[94]f!F39</f>
        <v>134</v>
      </c>
    </row>
    <row r="40" spans="1:6" ht="15" customHeight="1" thickBot="1">
      <c r="A40" s="70">
        <f>[94]f!A40</f>
        <v>1998</v>
      </c>
      <c r="B40" s="149">
        <f>[94]f!B40</f>
        <v>127</v>
      </c>
      <c r="C40" s="150">
        <f>[94]f!C40</f>
        <v>0</v>
      </c>
      <c r="D40" s="149">
        <f>[94]f!D40</f>
        <v>15</v>
      </c>
      <c r="E40" s="150">
        <f>[94]f!E40</f>
        <v>118</v>
      </c>
      <c r="F40" s="149">
        <f>[94]f!F40</f>
        <v>115</v>
      </c>
    </row>
    <row r="41" spans="1:6" ht="15" customHeight="1" thickBot="1">
      <c r="A41" s="70">
        <f>[94]f!A41</f>
        <v>1999</v>
      </c>
      <c r="B41" s="149">
        <f>[94]f!B41</f>
        <v>119</v>
      </c>
      <c r="C41" s="150">
        <f>[94]f!C41</f>
        <v>2</v>
      </c>
      <c r="D41" s="149">
        <f>[94]f!D41</f>
        <v>10</v>
      </c>
      <c r="E41" s="150">
        <f>[94]f!E41</f>
        <v>109</v>
      </c>
      <c r="F41" s="149">
        <f>[94]f!F41</f>
        <v>109</v>
      </c>
    </row>
    <row r="42" spans="1:6" ht="15" customHeight="1">
      <c r="A42" s="440">
        <f>[94]f!A42</f>
        <v>2000</v>
      </c>
      <c r="B42" s="441">
        <f>[94]f!B42</f>
        <v>110</v>
      </c>
      <c r="C42" s="442">
        <f>[94]f!C42</f>
        <v>0</v>
      </c>
      <c r="D42" s="441">
        <f>[94]f!D42</f>
        <v>9</v>
      </c>
      <c r="E42" s="442">
        <f>[94]f!E42</f>
        <v>101</v>
      </c>
      <c r="F42" s="441">
        <f>[94]f!F42</f>
        <v>102</v>
      </c>
    </row>
    <row r="43" spans="1:6" ht="23.25" customHeight="1" thickBot="1">
      <c r="A43" s="78" t="s">
        <v>255</v>
      </c>
      <c r="B43" s="39">
        <f>[94]f!B43</f>
        <v>108</v>
      </c>
      <c r="C43" s="432">
        <f>[94]f!C43</f>
        <v>0</v>
      </c>
      <c r="D43" s="39">
        <f>[94]f!D43</f>
        <v>2</v>
      </c>
      <c r="E43" s="57">
        <f>[94]f!E43</f>
        <v>99</v>
      </c>
      <c r="F43" s="39">
        <f>[94]f!F43</f>
        <v>100</v>
      </c>
    </row>
    <row r="44" spans="1:6" ht="20" customHeight="1">
      <c r="A44" s="28" t="str">
        <f>'[95]data '!$D$2</f>
        <v>Datenstand: 27.09.2002</v>
      </c>
      <c r="B44" s="268"/>
      <c r="C44" s="28"/>
      <c r="D44" s="28"/>
      <c r="E44" s="268"/>
      <c r="F44" s="268"/>
    </row>
    <row r="45" spans="1:6" ht="12" customHeight="1">
      <c r="A45" s="7" t="s">
        <v>252</v>
      </c>
    </row>
    <row r="46" spans="1:6" ht="12" customHeight="1">
      <c r="A46" s="218" t="s">
        <v>253</v>
      </c>
    </row>
    <row r="47" spans="1:6" ht="12" customHeight="1"/>
    <row r="48" spans="1:6" ht="12" customHeight="1"/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&amp;L&amp;"Arial,Bold"&amp;14Gesamtgeschäft der vom BSV anerkannten Krankenversicherer</oddHeader>
    <oddFooter>&amp;L&amp;"Arial,Regular"Statistik über die Krankenversicherung, Bundesamt für Sozialversicherung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3BC6D-A2B5-7C44-BFE2-CF80ECB7745C}">
  <dimension ref="A1:G49"/>
  <sheetViews>
    <sheetView topLeftCell="A22" zoomScale="75" workbookViewId="0">
      <selection activeCell="I50" sqref="I50"/>
    </sheetView>
  </sheetViews>
  <sheetFormatPr baseColWidth="10" defaultColWidth="11.3984375" defaultRowHeight="13"/>
  <cols>
    <col min="1" max="1" width="12.796875" style="7" customWidth="1"/>
    <col min="2" max="5" width="13.19921875" style="116" customWidth="1"/>
    <col min="6" max="6" width="13.19921875" style="22" customWidth="1"/>
    <col min="7" max="7" width="14" style="83" customWidth="1"/>
    <col min="8" max="16384" width="11.3984375" style="7"/>
  </cols>
  <sheetData>
    <row r="1" spans="1:7" s="1" customFormat="1" ht="14" customHeight="1">
      <c r="B1" s="179"/>
      <c r="C1" s="179"/>
      <c r="D1" s="179"/>
      <c r="E1" s="179"/>
      <c r="F1" s="180"/>
      <c r="G1" s="59"/>
    </row>
    <row r="2" spans="1:7" s="1" customFormat="1" ht="28" customHeight="1">
      <c r="A2" s="2" t="s">
        <v>256</v>
      </c>
      <c r="B2" s="179"/>
      <c r="C2" s="179"/>
      <c r="D2" s="179"/>
      <c r="E2" s="179"/>
      <c r="F2" s="180"/>
      <c r="G2" s="59"/>
    </row>
    <row r="3" spans="1:7" ht="35.25" customHeight="1">
      <c r="A3" s="41" t="s">
        <v>640</v>
      </c>
      <c r="B3" s="447" t="s">
        <v>257</v>
      </c>
      <c r="C3" s="41"/>
      <c r="D3" s="447" t="s">
        <v>257</v>
      </c>
      <c r="E3" s="260"/>
      <c r="F3" s="352"/>
      <c r="G3" s="413" t="s">
        <v>627</v>
      </c>
    </row>
    <row r="4" spans="1:7" ht="15" customHeight="1">
      <c r="A4" s="43"/>
      <c r="B4" s="62" t="s">
        <v>223</v>
      </c>
      <c r="C4" s="414" t="s">
        <v>522</v>
      </c>
      <c r="D4" s="62" t="s">
        <v>223</v>
      </c>
      <c r="E4" s="414" t="s">
        <v>522</v>
      </c>
      <c r="F4" s="271" t="s">
        <v>1181</v>
      </c>
      <c r="G4" s="414" t="s">
        <v>258</v>
      </c>
    </row>
    <row r="5" spans="1:7" ht="15" customHeight="1">
      <c r="A5" s="43"/>
      <c r="B5" s="62" t="s">
        <v>225</v>
      </c>
      <c r="C5" s="414" t="s">
        <v>523</v>
      </c>
      <c r="D5" s="62" t="s">
        <v>259</v>
      </c>
      <c r="E5" s="414" t="s">
        <v>523</v>
      </c>
      <c r="F5" s="271" t="s">
        <v>1184</v>
      </c>
      <c r="G5" s="414" t="s">
        <v>223</v>
      </c>
    </row>
    <row r="6" spans="1:7" ht="15" customHeight="1">
      <c r="A6" s="43"/>
      <c r="B6" s="448" t="s">
        <v>260</v>
      </c>
      <c r="C6" s="414" t="s">
        <v>524</v>
      </c>
      <c r="D6" s="448" t="s">
        <v>260</v>
      </c>
      <c r="E6" s="414" t="s">
        <v>524</v>
      </c>
      <c r="F6" s="271" t="s">
        <v>1189</v>
      </c>
      <c r="G6" s="414" t="s">
        <v>225</v>
      </c>
    </row>
    <row r="7" spans="1:7" ht="24" customHeight="1">
      <c r="A7" s="46"/>
      <c r="B7" s="16"/>
      <c r="C7" s="47"/>
      <c r="D7" s="16"/>
      <c r="E7" s="47"/>
      <c r="F7" s="272"/>
      <c r="G7" s="415" t="s">
        <v>261</v>
      </c>
    </row>
    <row r="8" spans="1:7" ht="24" customHeight="1" thickBot="1">
      <c r="A8" s="449">
        <f>[96]f!A8</f>
        <v>1945</v>
      </c>
      <c r="B8" s="431">
        <f>[96]f!B8</f>
        <v>2122028</v>
      </c>
      <c r="C8" s="450" t="str">
        <f>[96]f!C8</f>
        <v>-</v>
      </c>
      <c r="D8" s="431">
        <f>[96]f!D8</f>
        <v>1318379</v>
      </c>
      <c r="E8" s="450" t="str">
        <f>[96]f!E8</f>
        <v>-</v>
      </c>
      <c r="F8" s="431">
        <f>[96]f!F8</f>
        <v>4412000</v>
      </c>
      <c r="G8" s="450">
        <f>[96]f!G8</f>
        <v>0.48100000000000004</v>
      </c>
    </row>
    <row r="9" spans="1:7" ht="15" customHeight="1" thickBot="1">
      <c r="A9" s="73">
        <f>[96]f!A9</f>
        <v>1950</v>
      </c>
      <c r="B9" s="149">
        <f>[96]f!B9</f>
        <v>2574399</v>
      </c>
      <c r="C9" s="348">
        <f>[96]f!C9</f>
        <v>0.21317861969776075</v>
      </c>
      <c r="D9" s="149">
        <f>[96]f!D9</f>
        <v>1698199</v>
      </c>
      <c r="E9" s="348">
        <f>[96]f!E9</f>
        <v>0.28809621512478589</v>
      </c>
      <c r="F9" s="149">
        <f>[96]f!F9</f>
        <v>4694000</v>
      </c>
      <c r="G9" s="348">
        <f>[96]f!G9</f>
        <v>0.54799999999999993</v>
      </c>
    </row>
    <row r="10" spans="1:7" ht="15" customHeight="1" thickBot="1">
      <c r="A10" s="73">
        <f>[96]f!A10</f>
        <v>1955</v>
      </c>
      <c r="B10" s="149">
        <f>[96]f!B10</f>
        <v>3158227</v>
      </c>
      <c r="C10" s="348">
        <f>[96]f!C10</f>
        <v>0.22678225092536164</v>
      </c>
      <c r="D10" s="149">
        <f>[96]f!D10</f>
        <v>2079143</v>
      </c>
      <c r="E10" s="348">
        <f>[96]f!E10</f>
        <v>0.2243223556249887</v>
      </c>
      <c r="F10" s="149">
        <f>[96]f!F10</f>
        <v>4980000</v>
      </c>
      <c r="G10" s="348">
        <f>[96]f!G10</f>
        <v>0.63400000000000001</v>
      </c>
    </row>
    <row r="11" spans="1:7" ht="15" customHeight="1" thickBot="1">
      <c r="A11" s="73">
        <f>[96]f!A11</f>
        <v>1960</v>
      </c>
      <c r="B11" s="149">
        <f>[96]f!B11</f>
        <v>3888386</v>
      </c>
      <c r="C11" s="348">
        <f>[96]f!C11</f>
        <v>0.2311926913423259</v>
      </c>
      <c r="D11" s="149">
        <f>[96]f!D11</f>
        <v>2517206</v>
      </c>
      <c r="E11" s="348">
        <f>[96]f!E11</f>
        <v>0.2106940215271389</v>
      </c>
      <c r="F11" s="149">
        <f>[96]f!F11</f>
        <v>5362000</v>
      </c>
      <c r="G11" s="348">
        <f>[96]f!G11</f>
        <v>0.7251745617306975</v>
      </c>
    </row>
    <row r="12" spans="1:7" ht="15" customHeight="1" thickBot="1">
      <c r="A12" s="73">
        <f>[96]f!A12</f>
        <v>1965</v>
      </c>
      <c r="B12" s="149">
        <f>[96]f!B12</f>
        <v>4893312</v>
      </c>
      <c r="C12" s="348">
        <f>[96]f!C12</f>
        <v>0.25844296322433014</v>
      </c>
      <c r="D12" s="149">
        <f>[96]f!D12</f>
        <v>3097656</v>
      </c>
      <c r="E12" s="348">
        <f>[96]f!E12</f>
        <v>0.23059296696416576</v>
      </c>
      <c r="F12" s="149">
        <f>[96]f!F12</f>
        <v>5943000</v>
      </c>
      <c r="G12" s="348">
        <f>[96]f!G12</f>
        <v>0.82059717314487624</v>
      </c>
    </row>
    <row r="13" spans="1:7" ht="20" customHeight="1">
      <c r="A13" s="451">
        <f>[96]f!A13</f>
        <v>1970</v>
      </c>
      <c r="B13" s="441">
        <f>[96]f!B13</f>
        <v>5603263</v>
      </c>
      <c r="C13" s="452">
        <f>[96]f!C13</f>
        <v>0.14508598675089601</v>
      </c>
      <c r="D13" s="441">
        <f>[96]f!D13</f>
        <v>3425013</v>
      </c>
      <c r="E13" s="452">
        <f>[96]f!E13</f>
        <v>0.10567893917207072</v>
      </c>
      <c r="F13" s="441">
        <f>[96]f!F13</f>
        <v>6267000</v>
      </c>
      <c r="G13" s="452">
        <f>[96]f!G13</f>
        <v>0.88868677198021384</v>
      </c>
    </row>
    <row r="14" spans="1:7" ht="15" customHeight="1" thickBot="1">
      <c r="A14" s="449">
        <f>[96]f!A14</f>
        <v>1971</v>
      </c>
      <c r="B14" s="431">
        <f>[96]f!B14</f>
        <v>5732252</v>
      </c>
      <c r="C14" s="450">
        <f>[96]f!C14</f>
        <v>2.3020336543189135E-2</v>
      </c>
      <c r="D14" s="431">
        <f>[96]f!D14</f>
        <v>3520597</v>
      </c>
      <c r="E14" s="450">
        <f>[96]f!E14</f>
        <v>2.790763129950169E-2</v>
      </c>
      <c r="F14" s="431">
        <f>[96]f!F14</f>
        <v>6343300</v>
      </c>
      <c r="G14" s="450">
        <f>[96]f!G14</f>
        <v>0.89822615988523324</v>
      </c>
    </row>
    <row r="15" spans="1:7" ht="15" customHeight="1" thickBot="1">
      <c r="A15" s="73">
        <f>[96]f!A15</f>
        <v>1972</v>
      </c>
      <c r="B15" s="149">
        <f>[96]f!B15</f>
        <v>5868657</v>
      </c>
      <c r="C15" s="348">
        <f>[96]f!C15</f>
        <v>2.3796057814625016E-2</v>
      </c>
      <c r="D15" s="149">
        <f>[96]f!D15</f>
        <v>3603527</v>
      </c>
      <c r="E15" s="348">
        <f>[96]f!E15</f>
        <v>2.3555663996759568E-2</v>
      </c>
      <c r="F15" s="149">
        <f>[96]f!F15</f>
        <v>6401400</v>
      </c>
      <c r="G15" s="348">
        <f>[96]f!G15</f>
        <v>0.9108196644484019</v>
      </c>
    </row>
    <row r="16" spans="1:7" ht="15" customHeight="1" thickBot="1">
      <c r="A16" s="73">
        <f>[96]f!A16</f>
        <v>1973</v>
      </c>
      <c r="B16" s="149">
        <f>[96]f!B16</f>
        <v>5987857</v>
      </c>
      <c r="C16" s="348">
        <f>[96]f!C16</f>
        <v>2.0311290981906094E-2</v>
      </c>
      <c r="D16" s="149">
        <f>[96]f!D16</f>
        <v>3686319</v>
      </c>
      <c r="E16" s="348">
        <f>[96]f!E16</f>
        <v>2.2975268396767889E-2</v>
      </c>
      <c r="F16" s="149">
        <f>[96]f!F16</f>
        <v>6441100</v>
      </c>
      <c r="G16" s="348">
        <f>[96]f!G16</f>
        <v>0.9235768735153933</v>
      </c>
    </row>
    <row r="17" spans="1:7" ht="15" customHeight="1" thickBot="1">
      <c r="A17" s="73">
        <f>[96]f!A17</f>
        <v>1974</v>
      </c>
      <c r="B17" s="149">
        <f>[96]f!B17</f>
        <v>6066165</v>
      </c>
      <c r="C17" s="348">
        <f>[96]f!C17</f>
        <v>1.3077800622159241E-2</v>
      </c>
      <c r="D17" s="149">
        <f>[96]f!D17</f>
        <v>3717245</v>
      </c>
      <c r="E17" s="348">
        <f>[96]f!E17</f>
        <v>8.3893987470970988E-3</v>
      </c>
      <c r="F17" s="149">
        <f>[96]f!F17</f>
        <v>6460000</v>
      </c>
      <c r="G17" s="348">
        <f>[96]f!G17</f>
        <v>0.93341532507739933</v>
      </c>
    </row>
    <row r="18" spans="1:7" ht="20" customHeight="1">
      <c r="A18" s="451">
        <f>[96]f!A18</f>
        <v>1975</v>
      </c>
      <c r="B18" s="441">
        <f>[96]f!B18</f>
        <v>6057210</v>
      </c>
      <c r="C18" s="452">
        <f>[96]f!C18</f>
        <v>-1.4762209732178677E-3</v>
      </c>
      <c r="D18" s="441">
        <f>[96]f!D18</f>
        <v>3695253</v>
      </c>
      <c r="E18" s="452">
        <f>[96]f!E18</f>
        <v>-5.9162094508163898E-3</v>
      </c>
      <c r="F18" s="441">
        <f>[96]f!F18</f>
        <v>6403500</v>
      </c>
      <c r="G18" s="452">
        <f>[96]f!G18</f>
        <v>0.93983493402045748</v>
      </c>
    </row>
    <row r="19" spans="1:7" ht="15" customHeight="1" thickBot="1">
      <c r="A19" s="449">
        <f>[96]f!A19</f>
        <v>1976</v>
      </c>
      <c r="B19" s="431">
        <f>[96]f!B19</f>
        <v>6027653</v>
      </c>
      <c r="C19" s="450">
        <f>[96]f!C19</f>
        <v>-4.8796393058850862E-3</v>
      </c>
      <c r="D19" s="431">
        <f>[96]f!D19</f>
        <v>3659141</v>
      </c>
      <c r="E19" s="450">
        <f>[96]f!E19</f>
        <v>-9.7725379020056069E-3</v>
      </c>
      <c r="F19" s="431">
        <f>[96]f!F19</f>
        <v>6333300</v>
      </c>
      <c r="G19" s="450">
        <f>[96]f!G19</f>
        <v>0.94580645161290322</v>
      </c>
    </row>
    <row r="20" spans="1:7" ht="15" customHeight="1" thickBot="1">
      <c r="A20" s="73">
        <f>[96]f!A20</f>
        <v>1977</v>
      </c>
      <c r="B20" s="149">
        <f>[96]f!B20</f>
        <v>6041206</v>
      </c>
      <c r="C20" s="348">
        <f>[96]f!C20</f>
        <v>2.2484705075092037E-3</v>
      </c>
      <c r="D20" s="149">
        <f>[96]f!D20</f>
        <v>3656189</v>
      </c>
      <c r="E20" s="348">
        <f>[96]f!E20</f>
        <v>-8.0674672006353365E-4</v>
      </c>
      <c r="F20" s="149">
        <f>[96]f!F20</f>
        <v>6316400</v>
      </c>
      <c r="G20" s="348">
        <f>[96]f!G20</f>
        <v>0.94998511810524977</v>
      </c>
    </row>
    <row r="21" spans="1:7" ht="15" customHeight="1" thickBot="1">
      <c r="A21" s="73">
        <f>[96]f!A21</f>
        <v>1978</v>
      </c>
      <c r="B21" s="149">
        <f>[96]f!B21</f>
        <v>6088290</v>
      </c>
      <c r="C21" s="348">
        <f>[96]f!C21</f>
        <v>7.7938080575301605E-3</v>
      </c>
      <c r="D21" s="149">
        <f>[96]f!D21</f>
        <v>3695499</v>
      </c>
      <c r="E21" s="348">
        <f>[96]f!E21</f>
        <v>1.0751632369114361E-2</v>
      </c>
      <c r="F21" s="149">
        <f>[96]f!F21</f>
        <v>6332600</v>
      </c>
      <c r="G21" s="348">
        <f>[96]f!G21</f>
        <v>0.95417648359283702</v>
      </c>
    </row>
    <row r="22" spans="1:7" ht="15" customHeight="1" thickBot="1">
      <c r="A22" s="73">
        <f>[96]f!A22</f>
        <v>1979</v>
      </c>
      <c r="B22" s="149">
        <f>[96]f!B22</f>
        <v>6144808</v>
      </c>
      <c r="C22" s="348">
        <f>[96]f!C22</f>
        <v>9.2830663453942197E-3</v>
      </c>
      <c r="D22" s="149">
        <f>[96]f!D22</f>
        <v>3748233</v>
      </c>
      <c r="E22" s="348">
        <f>[96]f!E22</f>
        <v>1.426979144088536E-2</v>
      </c>
      <c r="F22" s="149">
        <f>[96]f!F22</f>
        <v>6350800</v>
      </c>
      <c r="G22" s="348">
        <f>[96]f!G22</f>
        <v>0.95995921773634818</v>
      </c>
    </row>
    <row r="23" spans="1:7" ht="20" customHeight="1">
      <c r="A23" s="451">
        <f>[96]f!A23</f>
        <v>1980</v>
      </c>
      <c r="B23" s="441">
        <f>[96]f!B23</f>
        <v>6206832</v>
      </c>
      <c r="C23" s="452">
        <f>[96]f!C23</f>
        <v>1.0093724653398528E-2</v>
      </c>
      <c r="D23" s="441">
        <f>[96]f!D23</f>
        <v>3774704</v>
      </c>
      <c r="E23" s="452">
        <f>[96]f!E23</f>
        <v>7.062261070749809E-3</v>
      </c>
      <c r="F23" s="441">
        <f>[96]f!F23</f>
        <v>6385200</v>
      </c>
      <c r="G23" s="452">
        <f>[96]f!G23</f>
        <v>0.96536365344859987</v>
      </c>
    </row>
    <row r="24" spans="1:7" ht="13.5" customHeight="1" thickBot="1">
      <c r="A24" s="449">
        <f>[96]f!A24</f>
        <v>1981</v>
      </c>
      <c r="B24" s="431">
        <f>[96]f!B24</f>
        <v>6283653</v>
      </c>
      <c r="C24" s="450">
        <f>[96]f!C24</f>
        <v>1.2376845385858593E-2</v>
      </c>
      <c r="D24" s="431">
        <f>[96]f!D24</f>
        <v>3802759</v>
      </c>
      <c r="E24" s="450">
        <f>[96]f!E24</f>
        <v>7.4323708560988244E-3</v>
      </c>
      <c r="F24" s="431">
        <f>[96]f!F24</f>
        <v>6429200</v>
      </c>
      <c r="G24" s="450">
        <f>[96]f!G24</f>
        <v>0.97038869532756811</v>
      </c>
    </row>
    <row r="25" spans="1:7" ht="13.5" customHeight="1" thickBot="1">
      <c r="A25" s="73">
        <f>[96]f!A25</f>
        <v>1982</v>
      </c>
      <c r="B25" s="149">
        <f>[96]f!B25</f>
        <v>6344114</v>
      </c>
      <c r="C25" s="348">
        <f>[96]f!C25</f>
        <v>9.621950798365253E-3</v>
      </c>
      <c r="D25" s="149">
        <f>[96]f!D25</f>
        <v>3828481</v>
      </c>
      <c r="E25" s="348">
        <f>[96]f!E25</f>
        <v>6.7640363220493605E-3</v>
      </c>
      <c r="F25" s="149">
        <f>[96]f!F25</f>
        <v>6467200</v>
      </c>
      <c r="G25" s="348">
        <f>[96]f!G25</f>
        <v>0.97375726744186042</v>
      </c>
    </row>
    <row r="26" spans="1:7" ht="13.5" customHeight="1" thickBot="1">
      <c r="A26" s="73">
        <f>[96]f!A26</f>
        <v>1983</v>
      </c>
      <c r="B26" s="149">
        <f>[96]f!B26</f>
        <v>6380457</v>
      </c>
      <c r="C26" s="348">
        <f>[96]f!C26</f>
        <v>5.7286171087089777E-3</v>
      </c>
      <c r="D26" s="149">
        <f>[96]f!D26</f>
        <v>3828883</v>
      </c>
      <c r="E26" s="348">
        <f>[96]f!E26</f>
        <v>1.0500248009592816E-4</v>
      </c>
      <c r="F26" s="149">
        <f>[96]f!F26</f>
        <v>6482000</v>
      </c>
      <c r="G26" s="348">
        <f>[96]f!G26</f>
        <v>0.97709966059858067</v>
      </c>
    </row>
    <row r="27" spans="1:7" ht="13.5" customHeight="1" thickBot="1">
      <c r="A27" s="73">
        <f>[96]f!A27</f>
        <v>1984</v>
      </c>
      <c r="B27" s="149">
        <f>[96]f!B27</f>
        <v>6408942</v>
      </c>
      <c r="C27" s="348">
        <f>[96]f!C27</f>
        <v>4.4644137559426422E-3</v>
      </c>
      <c r="D27" s="149">
        <f>[96]f!D27</f>
        <v>3811388</v>
      </c>
      <c r="E27" s="348">
        <f>[96]f!E27</f>
        <v>-4.5692177065739248E-3</v>
      </c>
      <c r="F27" s="149">
        <f>[96]f!F27</f>
        <v>6505100</v>
      </c>
      <c r="G27" s="348">
        <f>[96]f!G27</f>
        <v>0.97801632565218055</v>
      </c>
    </row>
    <row r="28" spans="1:7" ht="20" customHeight="1">
      <c r="A28" s="451">
        <f>[96]f!A28</f>
        <v>1985</v>
      </c>
      <c r="B28" s="441">
        <f>[96]f!B28</f>
        <v>6453517</v>
      </c>
      <c r="C28" s="452">
        <f>[96]f!C28</f>
        <v>6.9551261347036153E-3</v>
      </c>
      <c r="D28" s="441">
        <f>[96]f!D28</f>
        <v>3790416</v>
      </c>
      <c r="E28" s="452">
        <f>[96]f!E28</f>
        <v>-5.5024573724847814E-3</v>
      </c>
      <c r="F28" s="441">
        <f>[96]f!F28</f>
        <v>6533300</v>
      </c>
      <c r="G28" s="452">
        <f>[96]f!G28</f>
        <v>0.98021489905560744</v>
      </c>
    </row>
    <row r="29" spans="1:7" ht="15" customHeight="1" thickBot="1">
      <c r="A29" s="449">
        <f>[96]f!A29</f>
        <v>1986</v>
      </c>
      <c r="B29" s="431">
        <f>[96]f!B29</f>
        <v>6514603</v>
      </c>
      <c r="C29" s="450">
        <f>[96]f!C29</f>
        <v>9.4655363889177835E-3</v>
      </c>
      <c r="D29" s="431">
        <f>[96]f!D29</f>
        <v>3775843</v>
      </c>
      <c r="E29" s="450">
        <f>[96]f!E29</f>
        <v>-3.8446967298576551E-3</v>
      </c>
      <c r="F29" s="431">
        <f>[96]f!F29</f>
        <v>6572900</v>
      </c>
      <c r="G29" s="450">
        <f>[96]f!G29</f>
        <v>0.98302119308067981</v>
      </c>
    </row>
    <row r="30" spans="1:7" ht="15" customHeight="1" thickBot="1">
      <c r="A30" s="73">
        <f>[96]f!A30</f>
        <v>1987</v>
      </c>
      <c r="B30" s="149">
        <f>[96]f!B30</f>
        <v>6590780</v>
      </c>
      <c r="C30" s="348">
        <f>[96]f!C30</f>
        <v>1.169326818533678E-2</v>
      </c>
      <c r="D30" s="149">
        <f>[96]f!D30</f>
        <v>3728037</v>
      </c>
      <c r="E30" s="348">
        <f>[96]f!E30</f>
        <v>-1.2661013712699343E-2</v>
      </c>
      <c r="F30" s="149">
        <f>[96]f!F30</f>
        <v>6619000</v>
      </c>
      <c r="G30" s="348">
        <f>[96]f!G30</f>
        <v>0.98743631968575318</v>
      </c>
    </row>
    <row r="31" spans="1:7" ht="15" customHeight="1" thickBot="1">
      <c r="A31" s="73">
        <f>[96]f!A31</f>
        <v>1988</v>
      </c>
      <c r="B31" s="149">
        <f>[96]f!B31</f>
        <v>6674553</v>
      </c>
      <c r="C31" s="348">
        <f>[96]f!C31</f>
        <v>1.2710635160026573E-2</v>
      </c>
      <c r="D31" s="149">
        <f>[96]f!D31</f>
        <v>3702895</v>
      </c>
      <c r="E31" s="348">
        <f>[96]f!E31</f>
        <v>-6.7440317786545689E-3</v>
      </c>
      <c r="F31" s="149">
        <f>[96]f!F31</f>
        <v>6671500</v>
      </c>
      <c r="G31" s="348">
        <f>[96]f!G31</f>
        <v>0.99262354792775243</v>
      </c>
    </row>
    <row r="32" spans="1:7" ht="15" customHeight="1" thickBot="1">
      <c r="A32" s="73">
        <f>[96]f!A32</f>
        <v>1989</v>
      </c>
      <c r="B32" s="149">
        <f>[96]f!B32</f>
        <v>6772464</v>
      </c>
      <c r="C32" s="348">
        <f>[96]f!C32</f>
        <v>1.4669296955166944E-2</v>
      </c>
      <c r="D32" s="149">
        <f>[96]f!D32</f>
        <v>3662088</v>
      </c>
      <c r="E32" s="348">
        <f>[96]f!E32</f>
        <v>-1.1020296281693098E-2</v>
      </c>
      <c r="F32" s="149">
        <f>[96]f!F32</f>
        <v>6723000</v>
      </c>
      <c r="G32" s="348">
        <f>[96]f!G32</f>
        <v>0.99807095046854089</v>
      </c>
    </row>
    <row r="33" spans="1:7" ht="20" customHeight="1">
      <c r="A33" s="451">
        <f>[96]f!A33</f>
        <v>1990</v>
      </c>
      <c r="B33" s="441">
        <f>[96]f!B33</f>
        <v>6874241</v>
      </c>
      <c r="C33" s="452">
        <f>[96]f!C33</f>
        <v>1.5028060688104139E-2</v>
      </c>
      <c r="D33" s="441">
        <f>[96]f!D33</f>
        <v>3596686</v>
      </c>
      <c r="E33" s="452">
        <f>[96]f!E33</f>
        <v>-1.7859210373972423E-2</v>
      </c>
      <c r="F33" s="441">
        <f>[96]f!F33</f>
        <v>6796300</v>
      </c>
      <c r="G33" s="452">
        <f>[96]f!G33</f>
        <v>1.0026901402233568</v>
      </c>
    </row>
    <row r="34" spans="1:7" ht="15" customHeight="1" thickBot="1">
      <c r="A34" s="449">
        <f>[96]f!A34</f>
        <v>1991</v>
      </c>
      <c r="B34" s="431">
        <f>[96]f!B34</f>
        <v>6966976</v>
      </c>
      <c r="C34" s="450">
        <f>[96]f!C34</f>
        <v>1.3490216592639159E-2</v>
      </c>
      <c r="D34" s="431">
        <f>[96]f!D34</f>
        <v>3509250</v>
      </c>
      <c r="E34" s="450">
        <f>[96]f!E34</f>
        <v>-2.4310156627517676E-2</v>
      </c>
      <c r="F34" s="431">
        <f>[96]f!F34</f>
        <v>6880100</v>
      </c>
      <c r="G34" s="450">
        <f>[96]f!G34</f>
        <v>1.0042370023691516</v>
      </c>
    </row>
    <row r="35" spans="1:7" ht="15" customHeight="1" thickBot="1">
      <c r="A35" s="73">
        <f>[96]f!A35</f>
        <v>1992</v>
      </c>
      <c r="B35" s="149">
        <f>[96]f!B35</f>
        <v>7016711</v>
      </c>
      <c r="C35" s="348">
        <f>[96]f!C35</f>
        <v>7.13867824433434E-3</v>
      </c>
      <c r="D35" s="149">
        <f>[96]f!D35</f>
        <v>3366134</v>
      </c>
      <c r="E35" s="348">
        <f>[96]f!E35</f>
        <v>-4.0782503383913982E-2</v>
      </c>
      <c r="F35" s="149">
        <f>[96]f!F35</f>
        <v>6943100</v>
      </c>
      <c r="G35" s="348">
        <f>[96]f!G35</f>
        <v>1.0015536287825324</v>
      </c>
    </row>
    <row r="36" spans="1:7" ht="15" customHeight="1" thickBot="1">
      <c r="A36" s="73">
        <f>[96]f!A36</f>
        <v>1993</v>
      </c>
      <c r="B36" s="149">
        <f>[96]f!B36</f>
        <v>7056750</v>
      </c>
      <c r="C36" s="348">
        <f>[96]f!C36</f>
        <v>5.7062347302032634E-3</v>
      </c>
      <c r="D36" s="149">
        <f>[96]f!D36</f>
        <v>3111676</v>
      </c>
      <c r="E36" s="348">
        <f>[96]f!E36</f>
        <v>-7.5593544404352286E-2</v>
      </c>
      <c r="F36" s="149">
        <f>[96]f!F36</f>
        <v>6988900</v>
      </c>
      <c r="G36" s="348">
        <f>[96]f!G36</f>
        <v>0.99930904720342251</v>
      </c>
    </row>
    <row r="37" spans="1:7" ht="15" customHeight="1" thickBot="1">
      <c r="A37" s="73">
        <f>[96]f!A37</f>
        <v>1994</v>
      </c>
      <c r="B37" s="149">
        <f>[96]f!B37</f>
        <v>7131653</v>
      </c>
      <c r="C37" s="348">
        <f>[96]f!C37</f>
        <v>1.0614376306373297E-2</v>
      </c>
      <c r="D37" s="149">
        <f>[96]f!D37</f>
        <v>3324915</v>
      </c>
      <c r="E37" s="348">
        <f>[96]f!E37</f>
        <v>6.8528664295382846E-2</v>
      </c>
      <c r="F37" s="149">
        <f>[96]f!F37</f>
        <v>7036851.9999999898</v>
      </c>
      <c r="G37" s="348">
        <f>[96]f!G37</f>
        <v>1.0058592961739157</v>
      </c>
    </row>
    <row r="38" spans="1:7" ht="20" customHeight="1">
      <c r="A38" s="451">
        <f>[96]f!A38</f>
        <v>1995</v>
      </c>
      <c r="B38" s="441">
        <f>[96]f!B38</f>
        <v>7166317</v>
      </c>
      <c r="C38" s="452">
        <f>[96]f!C38</f>
        <v>4.8605842151883127E-3</v>
      </c>
      <c r="D38" s="441">
        <f>[96]f!D38</f>
        <v>3272015</v>
      </c>
      <c r="E38" s="452">
        <f>[96]f!E38</f>
        <v>-1.591018116252596E-2</v>
      </c>
      <c r="F38" s="441">
        <f>[96]f!F38</f>
        <v>7080948</v>
      </c>
      <c r="G38" s="452">
        <f>[96]f!G38</f>
        <v>1.0041696394324602</v>
      </c>
    </row>
    <row r="39" spans="1:7" ht="15" customHeight="1" thickBot="1">
      <c r="A39" s="449">
        <f>[96]f!A39</f>
        <v>1996</v>
      </c>
      <c r="B39" s="431">
        <f>[96]f!B39</f>
        <v>7194754</v>
      </c>
      <c r="C39" s="450">
        <f>[96]f!C39</f>
        <v>3.9681470970374111E-3</v>
      </c>
      <c r="D39" s="431">
        <f>[96]f!D39</f>
        <v>2217116</v>
      </c>
      <c r="E39" s="450">
        <f>[96]f!E39</f>
        <v>-0.32240041686850462</v>
      </c>
      <c r="F39" s="431">
        <f>[96]f!F39</f>
        <v>7105446</v>
      </c>
      <c r="G39" s="450">
        <f>[96]f!G39</f>
        <v>1.0070044864178829</v>
      </c>
    </row>
    <row r="40" spans="1:7" ht="15" customHeight="1" thickBot="1">
      <c r="A40" s="73">
        <f>[96]f!A40</f>
        <v>1997</v>
      </c>
      <c r="B40" s="149">
        <f>[96]f!B40</f>
        <v>7214805</v>
      </c>
      <c r="C40" s="348">
        <f>[96]f!C40</f>
        <v>2.7868916713482683E-3</v>
      </c>
      <c r="D40" s="149">
        <f>[96]f!D40</f>
        <v>1427603</v>
      </c>
      <c r="E40" s="348">
        <f>[96]f!E40</f>
        <v>-0.35609909449934063</v>
      </c>
      <c r="F40" s="149">
        <f>[96]f!F40</f>
        <v>7113565</v>
      </c>
      <c r="G40" s="348">
        <f>[96]f!G40</f>
        <v>1.0109999999999999</v>
      </c>
    </row>
    <row r="41" spans="1:7" ht="15" customHeight="1" thickBot="1">
      <c r="A41" s="73">
        <f>[96]f!A41</f>
        <v>1998</v>
      </c>
      <c r="B41" s="149">
        <f>[96]f!B41</f>
        <v>7248603</v>
      </c>
      <c r="C41" s="348">
        <f>[96]f!C41</f>
        <v>4.6845340934369428E-3</v>
      </c>
      <c r="D41" s="149">
        <f>[96]f!D41</f>
        <v>1198191</v>
      </c>
      <c r="E41" s="348">
        <f>[96]f!E41</f>
        <v>-0.16069733672456554</v>
      </c>
      <c r="F41" s="149">
        <f>[96]f!F41</f>
        <v>7131888</v>
      </c>
      <c r="G41" s="348">
        <f>[96]f!G41</f>
        <v>1.014</v>
      </c>
    </row>
    <row r="42" spans="1:7" ht="15" customHeight="1" thickBot="1">
      <c r="A42" s="73">
        <f>[96]f!A42</f>
        <v>1999</v>
      </c>
      <c r="B42" s="149">
        <f>[96]f!B42</f>
        <v>7266534</v>
      </c>
      <c r="C42" s="348">
        <f>[96]f!C42</f>
        <v>2.473718039186279E-3</v>
      </c>
      <c r="D42" s="149">
        <f>[96]f!D42</f>
        <v>1067344</v>
      </c>
      <c r="E42" s="348">
        <f>[96]f!E42</f>
        <v>-0.10920379138217529</v>
      </c>
      <c r="F42" s="149">
        <f>[96]f!F42</f>
        <v>7166738</v>
      </c>
      <c r="G42" s="348">
        <f>[96]f!G42</f>
        <v>1.012</v>
      </c>
    </row>
    <row r="43" spans="1:7" ht="15" customHeight="1">
      <c r="A43" s="451">
        <f>[96]f!A43</f>
        <v>2000</v>
      </c>
      <c r="B43" s="441">
        <f>[96]f!B43</f>
        <v>7268111</v>
      </c>
      <c r="C43" s="452">
        <f>[96]f!C43</f>
        <v>2.1702231077425083E-4</v>
      </c>
      <c r="D43" s="441">
        <f>[96]f!D43</f>
        <v>951742</v>
      </c>
      <c r="E43" s="452">
        <f>[96]f!E43</f>
        <v>-0.10830809935690833</v>
      </c>
      <c r="F43" s="441">
        <f>[96]f!F43</f>
        <v>7209042</v>
      </c>
      <c r="G43" s="452">
        <f>[96]f!G43</f>
        <v>1.006</v>
      </c>
    </row>
    <row r="44" spans="1:7" ht="23.25" customHeight="1" thickBot="1">
      <c r="A44" s="453">
        <f>[96]f!A44</f>
        <v>2001</v>
      </c>
      <c r="B44" s="289">
        <f>[96]f!B44</f>
        <v>7321287</v>
      </c>
      <c r="C44" s="291">
        <f>[96]f!C44</f>
        <v>7.3163439578729506E-3</v>
      </c>
      <c r="D44" s="289">
        <f>[96]f!D44</f>
        <v>868760</v>
      </c>
      <c r="E44" s="291">
        <f>[96]f!E44</f>
        <v>-8.7189595499620687E-2</v>
      </c>
      <c r="F44" s="289">
        <f>[96]f!F44</f>
        <v>7260339</v>
      </c>
      <c r="G44" s="291">
        <f>[96]f!G44</f>
        <v>1.0052558151898967</v>
      </c>
    </row>
    <row r="45" spans="1:7" ht="20" customHeight="1">
      <c r="A45" s="28" t="str">
        <f>'[95]data '!$D$2</f>
        <v>Datenstand: 27.09.2002</v>
      </c>
      <c r="B45" s="268"/>
      <c r="C45" s="268"/>
      <c r="D45" s="268"/>
      <c r="E45" s="268"/>
      <c r="F45" s="132"/>
      <c r="G45" s="82"/>
    </row>
    <row r="46" spans="1:7" ht="12" customHeight="1">
      <c r="A46" s="7" t="s">
        <v>262</v>
      </c>
    </row>
    <row r="47" spans="1:7" ht="12" customHeight="1">
      <c r="A47" s="7" t="s">
        <v>263</v>
      </c>
    </row>
    <row r="48" spans="1:7" ht="12" customHeight="1">
      <c r="A48" s="7" t="s">
        <v>264</v>
      </c>
    </row>
    <row r="49" spans="1:1">
      <c r="A49" s="7" t="s">
        <v>265</v>
      </c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1200" verticalDpi="1200"/>
  <headerFooter alignWithMargins="0">
    <oddHeader>&amp;L&amp;"Arial,Bold"&amp;14Gesamtgeschäft der vom BSV anerkannten Krankenversicherer</oddHeader>
    <oddFooter>&amp;L&amp;"Arial,Regular"Statistik über die Krankenversicherung,
Bundesamt für Sozialversicherung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B838-BA6A-924A-BAA8-7F76DE28CBBC}">
  <dimension ref="A1:L16"/>
  <sheetViews>
    <sheetView zoomScale="75" workbookViewId="0">
      <selection activeCell="F19" sqref="F19"/>
    </sheetView>
  </sheetViews>
  <sheetFormatPr baseColWidth="10" defaultColWidth="11.3984375" defaultRowHeight="13"/>
  <cols>
    <col min="1" max="1" width="14.59765625" style="7" customWidth="1"/>
    <col min="2" max="7" width="12.796875" style="7" customWidth="1"/>
    <col min="8" max="8" width="12.796875" style="425" customWidth="1"/>
    <col min="9" max="16384" width="11.3984375" style="7"/>
  </cols>
  <sheetData>
    <row r="1" spans="1:12" s="1" customFormat="1" ht="14" customHeight="1">
      <c r="H1" s="412"/>
    </row>
    <row r="2" spans="1:12" s="1" customFormat="1" ht="28" customHeight="1">
      <c r="A2" s="2" t="s">
        <v>266</v>
      </c>
      <c r="B2" s="2"/>
      <c r="H2" s="412"/>
    </row>
    <row r="3" spans="1:12" ht="24" customHeight="1">
      <c r="A3" s="41" t="s">
        <v>640</v>
      </c>
      <c r="B3" s="261" t="s">
        <v>267</v>
      </c>
      <c r="C3" s="42"/>
      <c r="D3" s="261" t="s">
        <v>268</v>
      </c>
      <c r="E3" s="42"/>
      <c r="F3" s="298" t="s">
        <v>269</v>
      </c>
      <c r="G3" s="42"/>
      <c r="H3" s="454" t="s">
        <v>522</v>
      </c>
    </row>
    <row r="4" spans="1:12" ht="15" customHeight="1">
      <c r="A4" s="43"/>
      <c r="B4" s="62" t="s">
        <v>270</v>
      </c>
      <c r="C4" s="61" t="s">
        <v>1088</v>
      </c>
      <c r="D4" s="62" t="s">
        <v>270</v>
      </c>
      <c r="E4" s="61" t="s">
        <v>1088</v>
      </c>
      <c r="F4" s="62" t="s">
        <v>270</v>
      </c>
      <c r="G4" s="61" t="s">
        <v>1088</v>
      </c>
      <c r="H4" s="455" t="s">
        <v>523</v>
      </c>
    </row>
    <row r="5" spans="1:12" ht="15" customHeight="1">
      <c r="A5" s="43"/>
      <c r="B5" s="335"/>
      <c r="C5" s="44"/>
      <c r="D5" s="12"/>
      <c r="E5" s="44"/>
      <c r="F5" s="12"/>
      <c r="G5" s="44"/>
      <c r="H5" s="455" t="s">
        <v>524</v>
      </c>
    </row>
    <row r="6" spans="1:12" ht="24" customHeight="1">
      <c r="A6" s="46"/>
      <c r="B6" s="456"/>
      <c r="C6" s="47"/>
      <c r="D6" s="16"/>
      <c r="E6" s="47"/>
      <c r="F6" s="16"/>
      <c r="G6" s="47"/>
      <c r="H6" s="457"/>
    </row>
    <row r="7" spans="1:12" ht="30" customHeight="1" thickBot="1">
      <c r="A7" s="228">
        <f>[97]f!A7</f>
        <v>1994</v>
      </c>
      <c r="B7" s="458">
        <f>[97]f!B7</f>
        <v>7432</v>
      </c>
      <c r="C7" s="229">
        <f>[97]f!C7</f>
        <v>8360</v>
      </c>
      <c r="D7" s="230">
        <f>[97]f!D7</f>
        <v>1890</v>
      </c>
      <c r="E7" s="229">
        <f>[97]f!E7</f>
        <v>4483</v>
      </c>
      <c r="F7" s="230">
        <f>[97]f!F7</f>
        <v>9322</v>
      </c>
      <c r="G7" s="229">
        <f>[97]f!G7</f>
        <v>12843</v>
      </c>
      <c r="H7" s="299">
        <f>[97]f!H7</f>
        <v>-9.98738435660219E-2</v>
      </c>
      <c r="I7" s="22"/>
    </row>
    <row r="8" spans="1:12" ht="20" customHeight="1" thickBot="1">
      <c r="A8" s="52">
        <f>[97]f!A8</f>
        <v>1995</v>
      </c>
      <c r="B8" s="459">
        <f>[97]f!B8</f>
        <v>7879</v>
      </c>
      <c r="C8" s="54">
        <f>[97]f!C8</f>
        <v>8650</v>
      </c>
      <c r="D8" s="26">
        <f>[97]f!D8</f>
        <v>2188</v>
      </c>
      <c r="E8" s="54">
        <f>[97]f!E8</f>
        <v>3968</v>
      </c>
      <c r="F8" s="26">
        <f>[97]f!F8</f>
        <v>10067</v>
      </c>
      <c r="G8" s="54">
        <f>[97]f!G8</f>
        <v>12618</v>
      </c>
      <c r="H8" s="301">
        <f>[97]f!H8</f>
        <v>-1.751927119831815E-2</v>
      </c>
    </row>
    <row r="9" spans="1:12" ht="20" customHeight="1" thickBot="1">
      <c r="A9" s="52">
        <f>[97]f!A9</f>
        <v>1996</v>
      </c>
      <c r="B9" s="459">
        <f>[97]f!B9</f>
        <v>9308</v>
      </c>
      <c r="C9" s="54">
        <f>[97]f!C9</f>
        <v>10220</v>
      </c>
      <c r="D9" s="26">
        <f>[97]f!D9</f>
        <v>1567</v>
      </c>
      <c r="E9" s="54">
        <f>[97]f!E9</f>
        <v>3269</v>
      </c>
      <c r="F9" s="26">
        <f>[97]f!F9</f>
        <v>10875</v>
      </c>
      <c r="G9" s="54">
        <f>[97]f!G9</f>
        <v>13489</v>
      </c>
      <c r="H9" s="301">
        <f>[97]f!H9</f>
        <v>6.9028372166745913E-2</v>
      </c>
      <c r="J9" s="27"/>
      <c r="K9" s="27"/>
      <c r="L9" s="27"/>
    </row>
    <row r="10" spans="1:12" ht="20" customHeight="1" thickBot="1">
      <c r="A10" s="52">
        <f>[97]f!A10</f>
        <v>1997</v>
      </c>
      <c r="B10" s="459">
        <f>[97]f!B10</f>
        <v>8951</v>
      </c>
      <c r="C10" s="54">
        <f>[97]f!C10</f>
        <v>10373</v>
      </c>
      <c r="D10" s="26">
        <f>[97]f!D10</f>
        <v>1382</v>
      </c>
      <c r="E10" s="54">
        <f>[97]f!E10</f>
        <v>2676</v>
      </c>
      <c r="F10" s="26">
        <f>[97]f!F10</f>
        <v>10333</v>
      </c>
      <c r="G10" s="54">
        <f>[97]f!G10</f>
        <v>13049</v>
      </c>
      <c r="H10" s="301">
        <f>[97]f!H10</f>
        <v>-3.2619171176514195E-2</v>
      </c>
    </row>
    <row r="11" spans="1:12" ht="20" customHeight="1" thickBot="1">
      <c r="A11" s="52">
        <f>[97]f!A11</f>
        <v>1998</v>
      </c>
      <c r="B11" s="459">
        <f>[97]f!B11</f>
        <v>9177</v>
      </c>
      <c r="C11" s="54">
        <f>[97]f!C11</f>
        <v>10523</v>
      </c>
      <c r="D11" s="26">
        <f>[97]f!D11</f>
        <v>1115</v>
      </c>
      <c r="E11" s="54">
        <f>[97]f!E11</f>
        <v>2089</v>
      </c>
      <c r="F11" s="26">
        <f>[97]f!F11</f>
        <v>10292</v>
      </c>
      <c r="G11" s="54">
        <f>[97]f!G11</f>
        <v>12612</v>
      </c>
      <c r="H11" s="301">
        <f>[97]f!H11</f>
        <v>-3.348915625718446E-2</v>
      </c>
    </row>
    <row r="12" spans="1:12" ht="20" customHeight="1" thickBot="1">
      <c r="A12" s="52">
        <f>[97]f!A12</f>
        <v>1999</v>
      </c>
      <c r="B12" s="459">
        <f>[97]f!B12</f>
        <v>8744</v>
      </c>
      <c r="C12" s="54">
        <f>[97]f!C12</f>
        <v>10138</v>
      </c>
      <c r="D12" s="26">
        <f>[97]f!D12</f>
        <v>985</v>
      </c>
      <c r="E12" s="54">
        <f>[97]f!E12</f>
        <v>1782</v>
      </c>
      <c r="F12" s="26">
        <f>[97]f!F12</f>
        <v>9729</v>
      </c>
      <c r="G12" s="54">
        <f>[97]f!G12</f>
        <v>11920</v>
      </c>
      <c r="H12" s="301">
        <f>[97]f!H12</f>
        <v>-5.4868379321281323E-2</v>
      </c>
    </row>
    <row r="13" spans="1:12" ht="20" customHeight="1" thickBot="1">
      <c r="A13" s="52">
        <f>[97]f!A13</f>
        <v>2000</v>
      </c>
      <c r="B13" s="459">
        <f>[97]f!B13</f>
        <v>9412</v>
      </c>
      <c r="C13" s="54">
        <f>[97]f!C13</f>
        <v>10697</v>
      </c>
      <c r="D13" s="26">
        <f>[97]f!D13</f>
        <v>792</v>
      </c>
      <c r="E13" s="54">
        <f>[97]f!E13</f>
        <v>1395</v>
      </c>
      <c r="F13" s="26">
        <f>[97]f!F13</f>
        <v>10204</v>
      </c>
      <c r="G13" s="54">
        <f>[97]f!G13</f>
        <v>12092</v>
      </c>
      <c r="H13" s="301">
        <f>[97]f!H13</f>
        <v>1.4429530201342283E-2</v>
      </c>
    </row>
    <row r="14" spans="1:12" ht="26.25" customHeight="1" thickBot="1">
      <c r="A14" s="258" t="str">
        <f>[97]f!A14</f>
        <v>2001 1)</v>
      </c>
      <c r="B14" s="460">
        <f>[97]f!B14</f>
        <v>7729</v>
      </c>
      <c r="C14" s="147">
        <f>[97]f!C14</f>
        <v>8784</v>
      </c>
      <c r="D14" s="124">
        <f>[97]f!D14</f>
        <v>583</v>
      </c>
      <c r="E14" s="147">
        <f>[97]f!E14</f>
        <v>894</v>
      </c>
      <c r="F14" s="124">
        <f>[97]f!F14</f>
        <v>8312</v>
      </c>
      <c r="G14" s="147">
        <f>[97]f!G14</f>
        <v>9678</v>
      </c>
      <c r="H14" s="461">
        <f>[97]f!H14</f>
        <v>-0.19963612305656633</v>
      </c>
    </row>
    <row r="15" spans="1:12" ht="20.25" customHeight="1">
      <c r="A15" s="28" t="str">
        <f>'[95]data '!$D$2</f>
        <v>Datenstand: 27.09.2002</v>
      </c>
      <c r="B15" s="28"/>
      <c r="C15" s="28"/>
      <c r="D15" s="28"/>
      <c r="E15" s="28"/>
      <c r="F15" s="28"/>
      <c r="G15" s="28"/>
      <c r="H15" s="424"/>
    </row>
    <row r="16" spans="1:12">
      <c r="A16" s="7" t="s">
        <v>271</v>
      </c>
    </row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&amp;L&amp;"Arial,Bold"&amp;14Gesamtgeschäft der vom BSV anerkannten Krankenversicherer</oddHeader>
    <oddFooter>&amp;L&amp;"Arial,Regular"Statistik über die Krankenversicherung, Bundesamt für Sozialversicherung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F8222-2773-B544-AEE2-81BCF31DB3D3}">
  <dimension ref="A1:K19"/>
  <sheetViews>
    <sheetView zoomScale="75" workbookViewId="0">
      <selection activeCell="A2" sqref="A2"/>
    </sheetView>
  </sheetViews>
  <sheetFormatPr baseColWidth="10" defaultColWidth="11.3984375" defaultRowHeight="13"/>
  <cols>
    <col min="1" max="1" width="15.796875" style="7" customWidth="1"/>
    <col min="2" max="2" width="16.796875" style="7" customWidth="1"/>
    <col min="3" max="3" width="12.796875" style="425" customWidth="1"/>
    <col min="4" max="4" width="16.796875" style="7" customWidth="1"/>
    <col min="5" max="5" width="12.796875" style="425" customWidth="1"/>
    <col min="6" max="6" width="16.796875" style="7" customWidth="1"/>
    <col min="7" max="7" width="12.796875" style="425" customWidth="1"/>
    <col min="8" max="16384" width="11.3984375" style="7"/>
  </cols>
  <sheetData>
    <row r="1" spans="1:11" s="1" customFormat="1" ht="14" customHeight="1">
      <c r="C1" s="412"/>
      <c r="E1" s="412"/>
      <c r="G1" s="412"/>
    </row>
    <row r="2" spans="1:11" s="1" customFormat="1" ht="28" customHeight="1">
      <c r="A2" s="2" t="s">
        <v>276</v>
      </c>
      <c r="C2" s="412"/>
      <c r="E2" s="412"/>
      <c r="G2" s="412"/>
    </row>
    <row r="3" spans="1:11" ht="24" customHeight="1">
      <c r="A3" s="41" t="s">
        <v>535</v>
      </c>
      <c r="B3" s="6" t="s">
        <v>145</v>
      </c>
      <c r="C3" s="413" t="s">
        <v>522</v>
      </c>
      <c r="D3" s="6" t="s">
        <v>146</v>
      </c>
      <c r="E3" s="413" t="s">
        <v>522</v>
      </c>
      <c r="F3" s="6" t="s">
        <v>577</v>
      </c>
      <c r="G3" s="413" t="s">
        <v>522</v>
      </c>
    </row>
    <row r="4" spans="1:11" ht="15" customHeight="1">
      <c r="A4" s="43"/>
      <c r="B4" s="12" t="s">
        <v>577</v>
      </c>
      <c r="C4" s="414" t="s">
        <v>523</v>
      </c>
      <c r="D4" s="12" t="s">
        <v>147</v>
      </c>
      <c r="E4" s="414" t="s">
        <v>523</v>
      </c>
      <c r="F4" s="12" t="s">
        <v>148</v>
      </c>
      <c r="G4" s="414" t="s">
        <v>523</v>
      </c>
    </row>
    <row r="5" spans="1:11" ht="15" customHeight="1">
      <c r="A5" s="43"/>
      <c r="B5" s="12" t="s">
        <v>277</v>
      </c>
      <c r="C5" s="414" t="s">
        <v>524</v>
      </c>
      <c r="D5" s="12" t="s">
        <v>149</v>
      </c>
      <c r="E5" s="414" t="s">
        <v>524</v>
      </c>
      <c r="F5" s="12" t="s">
        <v>278</v>
      </c>
      <c r="G5" s="414" t="s">
        <v>524</v>
      </c>
    </row>
    <row r="6" spans="1:11" ht="24" customHeight="1">
      <c r="A6" s="46"/>
      <c r="B6" s="16"/>
      <c r="C6" s="415"/>
      <c r="D6" s="16" t="s">
        <v>167</v>
      </c>
      <c r="E6" s="415"/>
      <c r="F6" s="16"/>
      <c r="G6" s="415"/>
    </row>
    <row r="7" spans="1:11" ht="30" customHeight="1" thickBot="1">
      <c r="A7" s="228">
        <f>[98]f!A7</f>
        <v>1994</v>
      </c>
      <c r="B7" s="230">
        <f>[98]f!B7</f>
        <v>15937194000</v>
      </c>
      <c r="C7" s="300" t="str">
        <f>[98]f!C7</f>
        <v>–</v>
      </c>
      <c r="D7" s="230">
        <f>[98]f!D7</f>
        <v>15313505000</v>
      </c>
      <c r="E7" s="300" t="str">
        <f>[98]f!E7</f>
        <v>–</v>
      </c>
      <c r="F7" s="230">
        <f>[98]f!F7</f>
        <v>623688000</v>
      </c>
      <c r="G7" s="300" t="str">
        <f>[98]f!G7</f>
        <v>–</v>
      </c>
      <c r="H7" s="22"/>
    </row>
    <row r="8" spans="1:11" ht="20" customHeight="1" thickBot="1">
      <c r="A8" s="52">
        <f>[98]f!A8</f>
        <v>1995</v>
      </c>
      <c r="B8" s="26">
        <f>[98]f!B8</f>
        <v>16355832000</v>
      </c>
      <c r="C8" s="302">
        <f>[98]f!C8</f>
        <v>2.6267986698285783E-2</v>
      </c>
      <c r="D8" s="26">
        <f>[98]f!D8</f>
        <v>16098947000</v>
      </c>
      <c r="E8" s="302">
        <f>[98]f!E8</f>
        <v>5.1290805076956582E-2</v>
      </c>
      <c r="F8" s="26">
        <f>[98]f!F8</f>
        <v>256926000</v>
      </c>
      <c r="G8" s="302">
        <f>[98]f!G8</f>
        <v>-0.58805364220571821</v>
      </c>
    </row>
    <row r="9" spans="1:11" ht="20" customHeight="1" thickBot="1">
      <c r="A9" s="52">
        <f>[98]f!A9</f>
        <v>1996</v>
      </c>
      <c r="B9" s="26">
        <f>[98]f!B9</f>
        <v>16879057940.52</v>
      </c>
      <c r="C9" s="302">
        <f>[98]f!C9</f>
        <v>3.1990175768496547E-2</v>
      </c>
      <c r="D9" s="26">
        <f>[98]f!D9</f>
        <v>17192470827.740002</v>
      </c>
      <c r="E9" s="302">
        <f>[98]f!E9</f>
        <v>6.792517720196245E-2</v>
      </c>
      <c r="F9" s="26">
        <f>[98]f!F9</f>
        <v>-313412887.24000007</v>
      </c>
      <c r="G9" s="302">
        <f>[98]f!G9</f>
        <v>-2.2198566405891191</v>
      </c>
      <c r="I9" s="27"/>
      <c r="J9" s="27"/>
      <c r="K9" s="27"/>
    </row>
    <row r="10" spans="1:11" ht="20" customHeight="1" thickBot="1">
      <c r="A10" s="52">
        <f>[98]f!A10</f>
        <v>1997</v>
      </c>
      <c r="B10" s="26">
        <f>[98]f!B10</f>
        <v>17865032287.75</v>
      </c>
      <c r="C10" s="302">
        <f>[98]f!C10</f>
        <v>5.8414062603758338E-2</v>
      </c>
      <c r="D10" s="26">
        <f>[98]f!D10</f>
        <v>17672056997.619999</v>
      </c>
      <c r="E10" s="302">
        <f>[98]f!E10</f>
        <v>2.7895127738485754E-2</v>
      </c>
      <c r="F10" s="26">
        <f>[98]f!F10</f>
        <v>192975290.09999996</v>
      </c>
      <c r="G10" s="302">
        <f>[98]f!G10</f>
        <v>1.6157222563481461</v>
      </c>
    </row>
    <row r="11" spans="1:11" ht="20" customHeight="1" thickBot="1">
      <c r="A11" s="52">
        <f>[98]f!A11</f>
        <v>1998</v>
      </c>
      <c r="B11" s="26">
        <f>[98]f!B11</f>
        <v>18556339847.599998</v>
      </c>
      <c r="C11" s="302">
        <f>[98]f!C11</f>
        <v>3.8696127088671761E-2</v>
      </c>
      <c r="D11" s="26">
        <f>[98]f!D11</f>
        <v>18402610160.25</v>
      </c>
      <c r="E11" s="302">
        <f>[98]f!E11</f>
        <v>4.1339452601832881E-2</v>
      </c>
      <c r="F11" s="26">
        <f>[98]f!F11</f>
        <v>153728761.16999999</v>
      </c>
      <c r="G11" s="302">
        <f>[98]f!G11</f>
        <v>-0.20337592916514022</v>
      </c>
    </row>
    <row r="12" spans="1:11" ht="19.5" customHeight="1" thickBot="1">
      <c r="A12" s="52">
        <f>[98]f!A12</f>
        <v>1999</v>
      </c>
      <c r="B12" s="26">
        <f>[98]f!B12</f>
        <v>18130009685.380001</v>
      </c>
      <c r="C12" s="302">
        <f>[98]f!C12</f>
        <v>-2.2974905920099174E-2</v>
      </c>
      <c r="D12" s="26">
        <f>[98]f!D12</f>
        <v>18002606410.59</v>
      </c>
      <c r="E12" s="302">
        <f>[98]f!E12</f>
        <v>-2.1736250791423915E-2</v>
      </c>
      <c r="F12" s="26">
        <f>[98]f!F12</f>
        <v>127403274.93000001</v>
      </c>
      <c r="G12" s="302">
        <f>[98]f!G12</f>
        <v>-0.17124633048260959</v>
      </c>
    </row>
    <row r="13" spans="1:11" ht="19.5" customHeight="1" thickBot="1">
      <c r="A13" s="52">
        <f>[98]f!A13</f>
        <v>2000</v>
      </c>
      <c r="B13" s="26">
        <f>[98]f!B13</f>
        <v>17664531028.940002</v>
      </c>
      <c r="C13" s="302">
        <f>[98]f!C13</f>
        <v>-2.5674484708927629E-2</v>
      </c>
      <c r="D13" s="26">
        <f>[98]f!D13</f>
        <v>17831851511.68</v>
      </c>
      <c r="E13" s="302">
        <f>[98]f!E13</f>
        <v>-9.4850098377729126E-3</v>
      </c>
      <c r="F13" s="26">
        <f>[98]f!F13</f>
        <v>-167299750.25</v>
      </c>
      <c r="G13" s="302">
        <f>[98]f!G13</f>
        <v>-2.3131510971120686</v>
      </c>
    </row>
    <row r="14" spans="1:11" ht="26.25" customHeight="1" thickBot="1">
      <c r="A14" s="258">
        <f>[98]f!A14</f>
        <v>2001</v>
      </c>
      <c r="B14" s="124">
        <f>[98]f!B14</f>
        <v>16854501683</v>
      </c>
      <c r="C14" s="462">
        <f>[98]f!C14</f>
        <v>-4.5856261035909875E-2</v>
      </c>
      <c r="D14" s="124">
        <f>[98]f!D14</f>
        <v>17581378780</v>
      </c>
      <c r="E14" s="462">
        <f>[98]f!E14</f>
        <v>-1.4046367059300529E-2</v>
      </c>
      <c r="F14" s="124">
        <f>[98]f!F14</f>
        <v>-724676858.32999992</v>
      </c>
      <c r="G14" s="462">
        <f>[98]f!G14</f>
        <v>-3.3316075322712559</v>
      </c>
      <c r="I14" s="22"/>
    </row>
    <row r="15" spans="1:11" ht="20" customHeight="1">
      <c r="A15" s="28" t="str">
        <f>'[95]data '!$D$2</f>
        <v>Datenstand: 27.09.2002</v>
      </c>
      <c r="B15" s="28"/>
      <c r="C15" s="424"/>
      <c r="D15" s="28"/>
      <c r="E15" s="424"/>
      <c r="F15" s="28"/>
      <c r="G15" s="424"/>
    </row>
    <row r="16" spans="1:11">
      <c r="A16" s="7" t="s">
        <v>279</v>
      </c>
    </row>
    <row r="17" spans="1:1">
      <c r="A17" s="7" t="s">
        <v>217</v>
      </c>
    </row>
    <row r="18" spans="1:1">
      <c r="A18" s="7" t="s">
        <v>281</v>
      </c>
    </row>
    <row r="19" spans="1:1">
      <c r="A19" s="7" t="s">
        <v>280</v>
      </c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&amp;L&amp;"Arial,Bold"&amp;14Gesamtgeschäft der vom BSV anerkannten Krankenversicherer</oddHeader>
    <oddFooter>&amp;L&amp;"Arial,Regular"Statistik über die Krankenversicherung, Bundesamt für Sozialversicherung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CB03-DCDC-C646-8048-0CAD4FD2BC4C}">
  <dimension ref="A1:D39"/>
  <sheetViews>
    <sheetView topLeftCell="A19" zoomScale="75" workbookViewId="0">
      <selection activeCell="A39" sqref="A39"/>
    </sheetView>
  </sheetViews>
  <sheetFormatPr baseColWidth="10" defaultColWidth="11.3984375" defaultRowHeight="13"/>
  <cols>
    <col min="1" max="1" width="10.796875" style="7" customWidth="1"/>
    <col min="2" max="2" width="60.3984375" style="116" customWidth="1"/>
    <col min="3" max="3" width="17" style="22" customWidth="1"/>
    <col min="4" max="4" width="17" style="425" customWidth="1"/>
    <col min="5" max="16384" width="11.3984375" style="7"/>
  </cols>
  <sheetData>
    <row r="1" spans="1:4" s="1" customFormat="1" ht="14" customHeight="1">
      <c r="B1" s="179"/>
      <c r="C1" s="180"/>
      <c r="D1" s="412"/>
    </row>
    <row r="2" spans="1:4" s="1" customFormat="1" ht="28" customHeight="1">
      <c r="A2" s="2" t="str">
        <f>"T 8.05 Gesamtbetriebsrechnung: Ertrag der Versicherer "&amp;'[95]data '!$B$2</f>
        <v>T 8.05 Gesamtbetriebsrechnung: Ertrag der Versicherer 2001</v>
      </c>
      <c r="B2" s="179"/>
      <c r="C2" s="180"/>
      <c r="D2" s="412"/>
    </row>
    <row r="3" spans="1:4" ht="39" customHeight="1">
      <c r="A3" s="41" t="s">
        <v>737</v>
      </c>
      <c r="B3" s="260"/>
      <c r="C3" s="115" t="s">
        <v>282</v>
      </c>
      <c r="D3" s="413" t="s">
        <v>283</v>
      </c>
    </row>
    <row r="4" spans="1:4" ht="38" customHeight="1">
      <c r="A4" s="182"/>
      <c r="B4" s="97"/>
      <c r="C4" s="189" t="s">
        <v>740</v>
      </c>
      <c r="D4" s="415" t="s">
        <v>1059</v>
      </c>
    </row>
    <row r="5" spans="1:4" ht="30" customHeight="1" thickBot="1">
      <c r="A5" s="67">
        <v>60</v>
      </c>
      <c r="B5" s="67" t="s">
        <v>284</v>
      </c>
      <c r="C5" s="230">
        <f>[99]f!C5</f>
        <v>400711897.55000001</v>
      </c>
      <c r="D5" s="300">
        <f>[99]f!D5</f>
        <v>2.3774769796615886E-2</v>
      </c>
    </row>
    <row r="6" spans="1:4" ht="16" customHeight="1" thickBot="1">
      <c r="A6" s="70">
        <v>600</v>
      </c>
      <c r="B6" s="70" t="s">
        <v>285</v>
      </c>
      <c r="C6" s="26">
        <f>[99]f!C6</f>
        <v>411457429.19</v>
      </c>
      <c r="D6" s="302">
        <f>[99]f!D6</f>
        <v>2.441231647952009E-2</v>
      </c>
    </row>
    <row r="7" spans="1:4" ht="16" customHeight="1" thickBot="1">
      <c r="A7" s="70">
        <v>601</v>
      </c>
      <c r="B7" s="70" t="s">
        <v>309</v>
      </c>
      <c r="C7" s="26">
        <f>[99]f!C7</f>
        <v>-10745531.640000001</v>
      </c>
      <c r="D7" s="302">
        <f>[99]f!D7</f>
        <v>-6.3754668290420563E-4</v>
      </c>
    </row>
    <row r="8" spans="1:4" ht="16" customHeight="1" thickBot="1">
      <c r="A8" s="70">
        <v>61</v>
      </c>
      <c r="B8" s="70" t="s">
        <v>310</v>
      </c>
      <c r="C8" s="26">
        <f>[99]f!C8</f>
        <v>13997312395</v>
      </c>
      <c r="D8" s="302">
        <f>[99]f!D8</f>
        <v>0.83047915970830188</v>
      </c>
    </row>
    <row r="9" spans="1:4" ht="16" customHeight="1" thickBot="1">
      <c r="A9" s="70">
        <v>63</v>
      </c>
      <c r="B9" s="70" t="s">
        <v>311</v>
      </c>
      <c r="C9" s="26">
        <f>[99]f!C9</f>
        <v>2332321631.9000001</v>
      </c>
      <c r="D9" s="302">
        <f>[99]f!D9</f>
        <v>0.13837974422301999</v>
      </c>
    </row>
    <row r="10" spans="1:4" ht="21.75" customHeight="1" thickBot="1">
      <c r="A10" s="73" t="s">
        <v>312</v>
      </c>
      <c r="B10" s="73" t="s">
        <v>817</v>
      </c>
      <c r="C10" s="26">
        <f>[99]f!C10</f>
        <v>16730345925</v>
      </c>
      <c r="D10" s="302">
        <f>[99]f!D10</f>
        <v>0.99263367376056999</v>
      </c>
    </row>
    <row r="11" spans="1:4" ht="16" customHeight="1" thickBot="1">
      <c r="A11" s="70">
        <v>64</v>
      </c>
      <c r="B11" s="70" t="s">
        <v>313</v>
      </c>
      <c r="C11" s="26">
        <f>[99]f!C11</f>
        <v>-96029190.379999995</v>
      </c>
      <c r="D11" s="302">
        <f>[99]f!D11</f>
        <v>-5.6975395764360193E-3</v>
      </c>
    </row>
    <row r="12" spans="1:4" ht="16" customHeight="1" thickBot="1">
      <c r="A12" s="70">
        <v>65</v>
      </c>
      <c r="B12" s="70" t="s">
        <v>314</v>
      </c>
      <c r="C12" s="26">
        <f>[99]f!C12</f>
        <v>2903580.09</v>
      </c>
      <c r="D12" s="302">
        <f>[99]f!D12</f>
        <v>1.7227326827043752E-4</v>
      </c>
    </row>
    <row r="13" spans="1:4" ht="21.75" customHeight="1" thickBot="1">
      <c r="A13" s="73" t="s">
        <v>315</v>
      </c>
      <c r="B13" s="73" t="s">
        <v>745</v>
      </c>
      <c r="C13" s="26">
        <f>[99]f!C13</f>
        <v>16637220314</v>
      </c>
      <c r="D13" s="302">
        <f>[99]f!D13</f>
        <v>0.98710840741027917</v>
      </c>
    </row>
    <row r="14" spans="1:4" ht="16" customHeight="1" thickBot="1">
      <c r="A14" s="70">
        <v>66</v>
      </c>
      <c r="B14" s="70" t="s">
        <v>316</v>
      </c>
      <c r="C14" s="26">
        <f>[99]f!C14</f>
        <v>-44017703.369999997</v>
      </c>
      <c r="D14" s="302">
        <f>[99]f!D14</f>
        <v>-2.6116288809889697E-3</v>
      </c>
    </row>
    <row r="15" spans="1:4" ht="21.75" customHeight="1" thickBot="1">
      <c r="A15" s="73" t="s">
        <v>317</v>
      </c>
      <c r="B15" s="73" t="s">
        <v>748</v>
      </c>
      <c r="C15" s="26">
        <f>[99]f!C15</f>
        <v>16593202611</v>
      </c>
      <c r="D15" s="302">
        <f>[99]f!D15</f>
        <v>0.98449677855124285</v>
      </c>
    </row>
    <row r="16" spans="1:4" ht="16" customHeight="1" thickBot="1">
      <c r="A16" s="70">
        <v>67</v>
      </c>
      <c r="B16" s="70" t="s">
        <v>318</v>
      </c>
      <c r="C16" s="26">
        <f>[99]f!C16</f>
        <v>1461740326.4700003</v>
      </c>
      <c r="D16" s="302">
        <f>[99]f!D16</f>
        <v>8.6726997567917366E-2</v>
      </c>
    </row>
    <row r="17" spans="1:4" ht="16" customHeight="1" thickBot="1">
      <c r="A17" s="70">
        <v>670</v>
      </c>
      <c r="B17" s="70" t="s">
        <v>319</v>
      </c>
      <c r="C17" s="26">
        <f>[99]f!C17</f>
        <v>1258775120.2</v>
      </c>
      <c r="D17" s="302">
        <f>[99]f!D17</f>
        <v>7.4684801952325991E-2</v>
      </c>
    </row>
    <row r="18" spans="1:4" ht="16" customHeight="1" thickBot="1">
      <c r="A18" s="70">
        <v>672</v>
      </c>
      <c r="B18" s="70" t="s">
        <v>320</v>
      </c>
      <c r="C18" s="26">
        <f>[99]f!C18</f>
        <v>174037336.66</v>
      </c>
      <c r="D18" s="302">
        <f>[99]f!D18</f>
        <v>1.0325866639862733E-2</v>
      </c>
    </row>
    <row r="19" spans="1:4" ht="16" customHeight="1" thickBot="1">
      <c r="A19" s="70">
        <v>673</v>
      </c>
      <c r="B19" s="70" t="s">
        <v>321</v>
      </c>
      <c r="C19" s="26">
        <f>[99]f!C19</f>
        <v>36028344.960000001</v>
      </c>
      <c r="D19" s="302">
        <f>[99]f!D19</f>
        <v>2.1376096213119944E-3</v>
      </c>
    </row>
    <row r="20" spans="1:4" ht="16" customHeight="1" thickBot="1">
      <c r="A20" s="70">
        <v>675</v>
      </c>
      <c r="B20" s="70" t="s">
        <v>322</v>
      </c>
      <c r="C20" s="26">
        <f>[99]f!C20</f>
        <v>-7100475.3499999996</v>
      </c>
      <c r="D20" s="302">
        <f>[99]f!D20</f>
        <v>-4.2128064558335598E-4</v>
      </c>
    </row>
    <row r="21" spans="1:4" ht="16" customHeight="1" thickBot="1">
      <c r="A21" s="70">
        <v>68</v>
      </c>
      <c r="B21" s="70" t="s">
        <v>323</v>
      </c>
      <c r="C21" s="26">
        <f>[99]f!C21</f>
        <v>-1404859771</v>
      </c>
      <c r="D21" s="302">
        <f>[99]f!D21</f>
        <v>-8.3352198565264463E-2</v>
      </c>
    </row>
    <row r="22" spans="1:4" ht="21.75" customHeight="1" thickBot="1">
      <c r="A22" s="73" t="s">
        <v>324</v>
      </c>
      <c r="B22" s="73" t="s">
        <v>325</v>
      </c>
      <c r="C22" s="26">
        <f>[99]f!C22</f>
        <v>56880555.75</v>
      </c>
      <c r="D22" s="302">
        <f>[99]f!D22</f>
        <v>3.374799019265671E-3</v>
      </c>
    </row>
    <row r="23" spans="1:4" ht="16" customHeight="1" thickBot="1">
      <c r="A23" s="70">
        <v>69</v>
      </c>
      <c r="B23" s="70" t="s">
        <v>751</v>
      </c>
      <c r="C23" s="26">
        <f>[99]f!C23</f>
        <v>79808629.459999993</v>
      </c>
      <c r="D23" s="302">
        <f>[99]f!D23</f>
        <v>4.7351521249956374E-3</v>
      </c>
    </row>
    <row r="24" spans="1:4" ht="21.75" customHeight="1" thickBot="1">
      <c r="A24" s="73">
        <v>6</v>
      </c>
      <c r="B24" s="73" t="s">
        <v>752</v>
      </c>
      <c r="C24" s="26">
        <f>[99]f!C24</f>
        <v>16729891796</v>
      </c>
      <c r="D24" s="302">
        <f>[99]f!D24</f>
        <v>0.99260672968304453</v>
      </c>
    </row>
    <row r="25" spans="1:4" ht="16" customHeight="1" thickBot="1">
      <c r="A25" s="70">
        <v>70</v>
      </c>
      <c r="B25" s="70" t="s">
        <v>326</v>
      </c>
      <c r="C25" s="26">
        <f>[99]f!C25</f>
        <v>12492628.34</v>
      </c>
      <c r="D25" s="302">
        <f>[99]f!D25</f>
        <v>7.4120425361495388E-4</v>
      </c>
    </row>
    <row r="26" spans="1:4" ht="16" customHeight="1" thickBot="1">
      <c r="A26" s="70">
        <v>701</v>
      </c>
      <c r="B26" s="70" t="s">
        <v>327</v>
      </c>
      <c r="C26" s="26">
        <f>[99]f!C26</f>
        <v>12492628.34</v>
      </c>
      <c r="D26" s="302">
        <f>[99]f!D26</f>
        <v>7.4120425361495388E-4</v>
      </c>
    </row>
    <row r="27" spans="1:4" ht="16" customHeight="1" thickBot="1">
      <c r="A27" s="70">
        <v>72</v>
      </c>
      <c r="B27" s="70" t="s">
        <v>328</v>
      </c>
      <c r="C27" s="26">
        <f>[99]f!C27</f>
        <v>118085280.11999996</v>
      </c>
      <c r="D27" s="302">
        <f>[99]f!D27</f>
        <v>7.0061567135565111E-3</v>
      </c>
    </row>
    <row r="28" spans="1:4" ht="16" customHeight="1" thickBot="1">
      <c r="A28" s="70">
        <v>720</v>
      </c>
      <c r="B28" s="70" t="s">
        <v>329</v>
      </c>
      <c r="C28" s="26">
        <f>[99]f!C28</f>
        <v>369263022.33999997</v>
      </c>
      <c r="D28" s="302">
        <f>[99]f!D28</f>
        <v>2.1908866205902173E-2</v>
      </c>
    </row>
    <row r="29" spans="1:4" ht="16" customHeight="1" thickBot="1">
      <c r="A29" s="70">
        <v>721</v>
      </c>
      <c r="B29" s="70" t="s">
        <v>330</v>
      </c>
      <c r="C29" s="26">
        <f>[99]f!C29</f>
        <v>-180631179.40000001</v>
      </c>
      <c r="D29" s="302">
        <f>[99]f!D29</f>
        <v>-1.0717088098913688E-2</v>
      </c>
    </row>
    <row r="30" spans="1:4" ht="16" customHeight="1" thickBot="1">
      <c r="A30" s="70">
        <v>722</v>
      </c>
      <c r="B30" s="70" t="s">
        <v>345</v>
      </c>
      <c r="C30" s="26">
        <f>[99]f!C30</f>
        <v>-70608061.650000006</v>
      </c>
      <c r="D30" s="302">
        <f>[99]f!D30</f>
        <v>-4.1892702008044297E-3</v>
      </c>
    </row>
    <row r="31" spans="1:4" ht="16" customHeight="1" thickBot="1">
      <c r="A31" s="70">
        <v>724</v>
      </c>
      <c r="B31" s="70" t="s">
        <v>346</v>
      </c>
      <c r="C31" s="26">
        <f>[99]f!C31</f>
        <v>61498.83</v>
      </c>
      <c r="D31" s="302">
        <f>[99]f!D31</f>
        <v>3.6488073724558542E-6</v>
      </c>
    </row>
    <row r="32" spans="1:4" ht="16" customHeight="1" thickBot="1">
      <c r="A32" s="70">
        <v>76</v>
      </c>
      <c r="B32" s="70" t="s">
        <v>347</v>
      </c>
      <c r="C32" s="26">
        <f>[99]f!C32</f>
        <v>-5968021.8200000003</v>
      </c>
      <c r="D32" s="302">
        <f>[99]f!D32</f>
        <v>-3.540906715752707E-4</v>
      </c>
    </row>
    <row r="33" spans="1:4" ht="21.75" customHeight="1" thickBot="1">
      <c r="A33" s="73">
        <v>7</v>
      </c>
      <c r="B33" s="73" t="s">
        <v>348</v>
      </c>
      <c r="C33" s="26">
        <f>[99]f!C33</f>
        <v>124609886.52</v>
      </c>
      <c r="D33" s="302">
        <f>[99]f!D33</f>
        <v>7.3932702884764367E-3</v>
      </c>
    </row>
    <row r="34" spans="1:4" s="81" customFormat="1" ht="21.75" customHeight="1" thickBot="1">
      <c r="A34" s="463" t="s">
        <v>349</v>
      </c>
      <c r="B34" s="463" t="s">
        <v>350</v>
      </c>
      <c r="C34" s="124">
        <f>[99]f!C34</f>
        <v>16854501683</v>
      </c>
      <c r="D34" s="462">
        <f>[99]f!D34</f>
        <v>1</v>
      </c>
    </row>
    <row r="35" spans="1:4" ht="21.75" customHeight="1" thickBot="1">
      <c r="A35" s="73" t="s">
        <v>351</v>
      </c>
      <c r="B35" s="73" t="s">
        <v>352</v>
      </c>
      <c r="C35" s="26">
        <f>[99]f!C35</f>
        <v>741031846.30999994</v>
      </c>
      <c r="D35" s="302" t="str">
        <f>[99]f!D35</f>
        <v>–</v>
      </c>
    </row>
    <row r="36" spans="1:4" ht="35.25" customHeight="1" thickBot="1">
      <c r="A36" s="87"/>
      <c r="B36" s="87" t="s">
        <v>353</v>
      </c>
      <c r="C36" s="26">
        <f>[99]f!C36</f>
        <v>17595533529</v>
      </c>
      <c r="D36" s="302" t="str">
        <f>[99]f!D36</f>
        <v>–</v>
      </c>
    </row>
    <row r="37" spans="1:4" ht="20" customHeight="1">
      <c r="A37" s="28" t="str">
        <f>'[95]data '!$D$2</f>
        <v>Datenstand: 27.09.2002</v>
      </c>
      <c r="B37" s="268"/>
      <c r="C37" s="132"/>
      <c r="D37" s="424"/>
    </row>
    <row r="38" spans="1:4">
      <c r="A38" s="7" t="s">
        <v>354</v>
      </c>
    </row>
    <row r="39" spans="1:4">
      <c r="A39" s="7" t="s">
        <v>355</v>
      </c>
    </row>
  </sheetData>
  <phoneticPr fontId="0" type="noConversion"/>
  <pageMargins left="0.78740157480314965" right="0.78740157480314965" top="1.47" bottom="0.49" header="0.95" footer="0.4921259845"/>
  <pageSetup paperSize="9" scale="80" orientation="portrait" horizontalDpi="4294967292" verticalDpi="4294967292"/>
  <headerFooter alignWithMargins="0">
    <oddHeader>&amp;L&amp;"Arial,Bold"&amp;14Gesamtgeschäft der vom BSV anerkannten Krankenversicherer</oddHeader>
    <oddFooter>&amp;L&amp;"Arial,Regular"Statistik über die Krankenversicherung, Bundesamt für Sozialversicherung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11F30-3B8E-F746-8A97-89062DE2A284}">
  <dimension ref="A1:D33"/>
  <sheetViews>
    <sheetView topLeftCell="A19" zoomScale="75" workbookViewId="0">
      <selection activeCell="B9" sqref="B9"/>
    </sheetView>
  </sheetViews>
  <sheetFormatPr baseColWidth="10" defaultColWidth="11.3984375" defaultRowHeight="13"/>
  <cols>
    <col min="1" max="1" width="10.59765625" style="7" customWidth="1"/>
    <col min="2" max="2" width="60.796875" style="116" customWidth="1"/>
    <col min="3" max="3" width="17" style="22" customWidth="1"/>
    <col min="4" max="4" width="17" style="409" customWidth="1"/>
    <col min="5" max="16384" width="11.3984375" style="7"/>
  </cols>
  <sheetData>
    <row r="1" spans="1:4" s="1" customFormat="1" ht="14" customHeight="1">
      <c r="B1" s="179"/>
      <c r="C1" s="180"/>
      <c r="D1" s="464"/>
    </row>
    <row r="2" spans="1:4" s="1" customFormat="1" ht="28" customHeight="1">
      <c r="A2" s="2" t="str">
        <f>"T 8.06  Gesamtbetriebsrechnung: Aufwand der Versicherer "&amp;'[95]data '!$B$2</f>
        <v>T 8.06  Gesamtbetriebsrechnung: Aufwand der Versicherer 2001</v>
      </c>
      <c r="B2" s="179"/>
      <c r="C2" s="180"/>
      <c r="D2" s="464"/>
    </row>
    <row r="3" spans="1:4" ht="39" customHeight="1">
      <c r="A3" s="41" t="s">
        <v>737</v>
      </c>
      <c r="B3" s="260"/>
      <c r="C3" s="115" t="s">
        <v>282</v>
      </c>
      <c r="D3" s="465" t="s">
        <v>283</v>
      </c>
    </row>
    <row r="4" spans="1:4" ht="38" customHeight="1">
      <c r="A4" s="182"/>
      <c r="B4" s="97"/>
      <c r="C4" s="189" t="s">
        <v>740</v>
      </c>
      <c r="D4" s="273" t="s">
        <v>1059</v>
      </c>
    </row>
    <row r="5" spans="1:4" ht="30" customHeight="1" thickBot="1">
      <c r="A5" s="67">
        <v>30</v>
      </c>
      <c r="B5" s="67" t="s">
        <v>284</v>
      </c>
      <c r="C5" s="230">
        <f>[100]f!C5</f>
        <v>351971384.35000002</v>
      </c>
      <c r="D5" s="300">
        <f>[100]f!D5</f>
        <v>2.0019555278018988E-2</v>
      </c>
    </row>
    <row r="6" spans="1:4" ht="16" customHeight="1" thickBot="1">
      <c r="A6" s="70">
        <v>31</v>
      </c>
      <c r="B6" s="70" t="s">
        <v>310</v>
      </c>
      <c r="C6" s="230">
        <f>[100]f!C6</f>
        <v>16386460812</v>
      </c>
      <c r="D6" s="300">
        <f>[100]f!D6</f>
        <v>0.93203502507099734</v>
      </c>
    </row>
    <row r="7" spans="1:4" ht="16" customHeight="1" thickBot="1">
      <c r="A7" s="70">
        <v>32</v>
      </c>
      <c r="B7" s="70" t="s">
        <v>356</v>
      </c>
      <c r="C7" s="230">
        <f>[100]f!C7</f>
        <v>-2432475993</v>
      </c>
      <c r="D7" s="300">
        <f>[100]f!D7</f>
        <v>-0.13835524639097729</v>
      </c>
    </row>
    <row r="8" spans="1:4" ht="16" customHeight="1" thickBot="1">
      <c r="A8" s="70">
        <v>33</v>
      </c>
      <c r="B8" s="70" t="s">
        <v>311</v>
      </c>
      <c r="C8" s="230">
        <f>[100]f!C8</f>
        <v>1881537982.9000001</v>
      </c>
      <c r="D8" s="300">
        <f>[100]f!D8</f>
        <v>0.10701879564988248</v>
      </c>
    </row>
    <row r="9" spans="1:4" ht="21.75" customHeight="1" thickBot="1">
      <c r="A9" s="73" t="s">
        <v>368</v>
      </c>
      <c r="B9" s="73" t="s">
        <v>755</v>
      </c>
      <c r="C9" s="230">
        <f>[100]f!C9</f>
        <v>16187494186</v>
      </c>
      <c r="D9" s="300">
        <f>[100]f!D9</f>
        <v>0.92071812959370192</v>
      </c>
    </row>
    <row r="10" spans="1:4" ht="16" customHeight="1" thickBot="1">
      <c r="A10" s="70">
        <v>34</v>
      </c>
      <c r="B10" s="70" t="s">
        <v>756</v>
      </c>
      <c r="C10" s="230">
        <f>[100]f!C10</f>
        <v>41260319.18</v>
      </c>
      <c r="D10" s="300">
        <f>[100]f!D10</f>
        <v>2.3468193078768308E-3</v>
      </c>
    </row>
    <row r="11" spans="1:4" ht="39" customHeight="1" thickBot="1">
      <c r="A11" s="466">
        <v>35</v>
      </c>
      <c r="B11" s="466" t="s">
        <v>369</v>
      </c>
      <c r="C11" s="230">
        <f>[100]f!C11</f>
        <v>118870461.75</v>
      </c>
      <c r="D11" s="300">
        <f>[100]f!D11</f>
        <v>6.7611569739469543E-3</v>
      </c>
    </row>
    <row r="12" spans="1:4" ht="21.75" customHeight="1" thickBot="1">
      <c r="A12" s="73" t="s">
        <v>370</v>
      </c>
      <c r="B12" s="73" t="s">
        <v>759</v>
      </c>
      <c r="C12" s="230">
        <f>[100]f!C12</f>
        <v>16347624967</v>
      </c>
      <c r="D12" s="300">
        <f>[100]f!D12</f>
        <v>0.92982610587950709</v>
      </c>
    </row>
    <row r="13" spans="1:4" ht="16" customHeight="1" thickBot="1">
      <c r="A13" s="70">
        <v>36</v>
      </c>
      <c r="B13" s="70" t="s">
        <v>371</v>
      </c>
      <c r="C13" s="230">
        <f>[100]f!C13</f>
        <v>-29953188.350000001</v>
      </c>
      <c r="D13" s="300">
        <f>[100]f!D13</f>
        <v>-1.703688244523448E-3</v>
      </c>
    </row>
    <row r="14" spans="1:4" ht="16" customHeight="1" thickBot="1">
      <c r="A14" s="73">
        <v>37</v>
      </c>
      <c r="B14" s="73" t="s">
        <v>761</v>
      </c>
      <c r="C14" s="230">
        <f>[100]f!C14</f>
        <v>-7666950.9800000004</v>
      </c>
      <c r="D14" s="300">
        <f>[100]f!D14</f>
        <v>-4.3608360162979213E-4</v>
      </c>
    </row>
    <row r="15" spans="1:4" ht="21.75" customHeight="1" thickBot="1">
      <c r="A15" s="73">
        <v>3</v>
      </c>
      <c r="B15" s="73" t="s">
        <v>762</v>
      </c>
      <c r="C15" s="230">
        <f>[100]f!C15</f>
        <v>16310004828</v>
      </c>
      <c r="D15" s="300">
        <f>[100]f!D15</f>
        <v>0.92768633405212375</v>
      </c>
    </row>
    <row r="16" spans="1:4" ht="16" customHeight="1" thickBot="1">
      <c r="A16" s="70">
        <v>400</v>
      </c>
      <c r="B16" s="70" t="s">
        <v>372</v>
      </c>
      <c r="C16" s="230">
        <f>[100]f!C16</f>
        <v>862416471.03999996</v>
      </c>
      <c r="D16" s="300">
        <f>[100]f!D16</f>
        <v>4.9052834924474563E-2</v>
      </c>
    </row>
    <row r="17" spans="1:4" ht="16" customHeight="1" thickBot="1">
      <c r="A17" s="70">
        <v>410</v>
      </c>
      <c r="B17" s="70" t="s">
        <v>373</v>
      </c>
      <c r="C17" s="230">
        <f>[100]f!C17</f>
        <v>88228199.159999996</v>
      </c>
      <c r="D17" s="300">
        <f>[100]f!D17</f>
        <v>5.0182753164026879E-3</v>
      </c>
    </row>
    <row r="18" spans="1:4" ht="16" customHeight="1" thickBot="1">
      <c r="A18" s="70">
        <v>420</v>
      </c>
      <c r="B18" s="70" t="s">
        <v>374</v>
      </c>
      <c r="C18" s="230">
        <f>[100]f!C18</f>
        <v>140727816.47999999</v>
      </c>
      <c r="D18" s="300">
        <f>[100]f!D18</f>
        <v>8.004367475438692E-3</v>
      </c>
    </row>
    <row r="19" spans="1:4" ht="16" customHeight="1" thickBot="1">
      <c r="A19" s="70">
        <v>430</v>
      </c>
      <c r="B19" s="70" t="s">
        <v>375</v>
      </c>
      <c r="C19" s="230">
        <f>[100]f!C19</f>
        <v>38902221.530000001</v>
      </c>
      <c r="D19" s="300">
        <f>[100]f!D19</f>
        <v>2.2126945796909791E-3</v>
      </c>
    </row>
    <row r="20" spans="1:4" ht="16" customHeight="1" thickBot="1">
      <c r="A20" s="73">
        <v>450</v>
      </c>
      <c r="B20" s="73" t="s">
        <v>376</v>
      </c>
      <c r="C20" s="230">
        <f>[100]f!C20</f>
        <v>100470737.8</v>
      </c>
      <c r="D20" s="300">
        <f>[100]f!D20</f>
        <v>5.7146108423698954E-3</v>
      </c>
    </row>
    <row r="21" spans="1:4" ht="16" customHeight="1" thickBot="1">
      <c r="A21" s="70">
        <v>453</v>
      </c>
      <c r="B21" s="70" t="s">
        <v>377</v>
      </c>
      <c r="C21" s="230">
        <f>[100]f!C21</f>
        <v>22604391.02</v>
      </c>
      <c r="D21" s="300">
        <f>[100]f!D21</f>
        <v>1.2857007008866684E-3</v>
      </c>
    </row>
    <row r="22" spans="1:4" ht="16" customHeight="1" thickBot="1">
      <c r="A22" s="73">
        <v>460</v>
      </c>
      <c r="B22" s="73" t="s">
        <v>378</v>
      </c>
      <c r="C22" s="230">
        <f>[100]f!C22</f>
        <v>362697630.19999999</v>
      </c>
      <c r="D22" s="300">
        <f>[100]f!D22</f>
        <v>2.0629646556081991E-2</v>
      </c>
    </row>
    <row r="23" spans="1:4" ht="16" customHeight="1" thickBot="1">
      <c r="A23" s="70">
        <v>470</v>
      </c>
      <c r="B23" s="70" t="s">
        <v>379</v>
      </c>
      <c r="C23" s="230">
        <f>[100]f!C23</f>
        <v>-439555383.89999998</v>
      </c>
      <c r="D23" s="300">
        <f>[100]f!D23</f>
        <v>-2.5001189576782441E-2</v>
      </c>
    </row>
    <row r="24" spans="1:4" ht="21.75" customHeight="1" thickBot="1">
      <c r="A24" s="73" t="s">
        <v>380</v>
      </c>
      <c r="B24" s="73" t="s">
        <v>381</v>
      </c>
      <c r="C24" s="230">
        <f>[100]f!C24</f>
        <v>1176491983.3</v>
      </c>
      <c r="D24" s="300">
        <f>[100]f!D24</f>
        <v>6.6916935129020638E-2</v>
      </c>
    </row>
    <row r="25" spans="1:4" ht="16" customHeight="1" thickBot="1">
      <c r="A25" s="70">
        <v>48</v>
      </c>
      <c r="B25" s="70" t="s">
        <v>382</v>
      </c>
      <c r="C25" s="230">
        <f>[100]f!C25</f>
        <v>89890508.480000004</v>
      </c>
      <c r="D25" s="300">
        <f>[100]f!D25</f>
        <v>5.1128247451363998E-3</v>
      </c>
    </row>
    <row r="26" spans="1:4" ht="16" customHeight="1" thickBot="1">
      <c r="A26" s="70">
        <v>49</v>
      </c>
      <c r="B26" s="70" t="s">
        <v>765</v>
      </c>
      <c r="C26" s="230">
        <f>[100]f!C26</f>
        <v>4991460.53</v>
      </c>
      <c r="D26" s="300">
        <f>[100]f!D26</f>
        <v>2.8390609135149983E-4</v>
      </c>
    </row>
    <row r="27" spans="1:4" ht="21.75" customHeight="1" thickBot="1">
      <c r="A27" s="73">
        <v>4</v>
      </c>
      <c r="B27" s="73" t="s">
        <v>766</v>
      </c>
      <c r="C27" s="230">
        <f>[100]f!C27</f>
        <v>1271373952.3</v>
      </c>
      <c r="D27" s="300">
        <f>[100]f!D27</f>
        <v>7.2313665964939752E-2</v>
      </c>
    </row>
    <row r="28" spans="1:4" s="81" customFormat="1" ht="21.75" customHeight="1" thickBot="1">
      <c r="A28" s="463" t="s">
        <v>383</v>
      </c>
      <c r="B28" s="463" t="s">
        <v>768</v>
      </c>
      <c r="C28" s="418">
        <f>[100]f!C28</f>
        <v>17581378780</v>
      </c>
      <c r="D28" s="467">
        <f>[100]f!D28</f>
        <v>1</v>
      </c>
    </row>
    <row r="29" spans="1:4" ht="21.75" customHeight="1" thickBot="1">
      <c r="A29" s="73" t="s">
        <v>351</v>
      </c>
      <c r="B29" s="73" t="s">
        <v>384</v>
      </c>
      <c r="C29" s="431">
        <f>[100]f!C29</f>
        <v>16354987.98</v>
      </c>
      <c r="D29" s="468" t="s">
        <v>845</v>
      </c>
    </row>
    <row r="30" spans="1:4" ht="35.25" customHeight="1" thickBot="1">
      <c r="A30" s="87"/>
      <c r="B30" s="87" t="s">
        <v>353</v>
      </c>
      <c r="C30" s="431">
        <f>[100]f!C30</f>
        <v>17597733768</v>
      </c>
      <c r="D30" s="469" t="s">
        <v>845</v>
      </c>
    </row>
    <row r="31" spans="1:4" ht="20" customHeight="1">
      <c r="A31" s="28" t="str">
        <f>'[95]data '!$D$2</f>
        <v>Datenstand: 27.09.2002</v>
      </c>
      <c r="B31" s="268"/>
      <c r="C31" s="132"/>
      <c r="D31" s="470"/>
    </row>
    <row r="32" spans="1:4">
      <c r="A32" s="7" t="s">
        <v>354</v>
      </c>
    </row>
    <row r="33" spans="1:1">
      <c r="A33" s="7" t="s">
        <v>355</v>
      </c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&amp;L&amp;"Arial,Bold"&amp;14Gesamtgeschäft der vom BSV anerkannten Krankenversicherer</oddHeader>
    <oddFooter>&amp;L&amp;"Arial,Regular"Statistik über die Krankenversicherung, Bundesamt für Sozialversicherung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9737-FE4D-AE4A-8F6C-5DD63B645DA6}">
  <dimension ref="A1:K18"/>
  <sheetViews>
    <sheetView zoomScale="75" workbookViewId="0">
      <selection activeCell="J13" sqref="J13"/>
    </sheetView>
  </sheetViews>
  <sheetFormatPr baseColWidth="10" defaultColWidth="11.3984375" defaultRowHeight="13"/>
  <cols>
    <col min="1" max="1" width="13.796875" style="7" customWidth="1"/>
    <col min="2" max="6" width="15.796875" style="7" customWidth="1"/>
    <col min="7" max="7" width="11.796875" style="425" customWidth="1"/>
    <col min="8" max="16384" width="11.3984375" style="7"/>
  </cols>
  <sheetData>
    <row r="1" spans="1:11" s="1" customFormat="1" ht="14" customHeight="1">
      <c r="G1" s="412"/>
    </row>
    <row r="2" spans="1:11" s="1" customFormat="1" ht="28" customHeight="1">
      <c r="A2" s="2" t="s">
        <v>385</v>
      </c>
      <c r="G2" s="412"/>
    </row>
    <row r="3" spans="1:11" ht="24" customHeight="1">
      <c r="A3" s="41" t="s">
        <v>535</v>
      </c>
      <c r="B3" s="6" t="s">
        <v>386</v>
      </c>
      <c r="C3" s="42"/>
      <c r="D3" s="6" t="s">
        <v>387</v>
      </c>
      <c r="E3" s="42"/>
      <c r="F3" s="6" t="s">
        <v>388</v>
      </c>
      <c r="G3" s="413" t="s">
        <v>522</v>
      </c>
    </row>
    <row r="4" spans="1:11" ht="15" customHeight="1">
      <c r="A4" s="43"/>
      <c r="B4" s="12" t="s">
        <v>389</v>
      </c>
      <c r="C4" s="44" t="s">
        <v>390</v>
      </c>
      <c r="D4" s="12" t="s">
        <v>391</v>
      </c>
      <c r="E4" s="44" t="s">
        <v>392</v>
      </c>
      <c r="F4" s="12" t="s">
        <v>393</v>
      </c>
      <c r="G4" s="414" t="s">
        <v>523</v>
      </c>
    </row>
    <row r="5" spans="1:11" ht="15" customHeight="1">
      <c r="A5" s="43"/>
      <c r="B5" s="12" t="s">
        <v>394</v>
      </c>
      <c r="C5" s="44" t="s">
        <v>394</v>
      </c>
      <c r="D5" s="12" t="s">
        <v>395</v>
      </c>
      <c r="E5" s="44" t="s">
        <v>775</v>
      </c>
      <c r="F5" s="12"/>
      <c r="G5" s="414" t="s">
        <v>524</v>
      </c>
    </row>
    <row r="6" spans="1:11" ht="24" customHeight="1">
      <c r="A6" s="46"/>
      <c r="B6" s="16"/>
      <c r="C6" s="47"/>
      <c r="D6" s="16"/>
      <c r="E6" s="47"/>
      <c r="F6" s="16"/>
      <c r="G6" s="415"/>
    </row>
    <row r="7" spans="1:11" ht="30" customHeight="1" thickBot="1">
      <c r="A7" s="228">
        <f>[101]f!A7</f>
        <v>1994</v>
      </c>
      <c r="B7" s="230">
        <f>[101]f!B7</f>
        <v>4424721000</v>
      </c>
      <c r="C7" s="229">
        <f>[101]f!C7</f>
        <v>7733883000</v>
      </c>
      <c r="D7" s="230">
        <f>[101]f!D7</f>
        <v>7245197000</v>
      </c>
      <c r="E7" s="229">
        <f>[101]f!E7</f>
        <v>4913392000</v>
      </c>
      <c r="F7" s="230">
        <f>[101]f!F7</f>
        <v>12158596000</v>
      </c>
      <c r="G7" s="300" t="str">
        <f>[101]f!G7</f>
        <v>–</v>
      </c>
      <c r="H7" s="22"/>
    </row>
    <row r="8" spans="1:11" ht="20" customHeight="1" thickBot="1">
      <c r="A8" s="52">
        <f>[101]f!A8</f>
        <v>1995</v>
      </c>
      <c r="B8" s="26">
        <f>[101]f!B8</f>
        <v>4866523000</v>
      </c>
      <c r="C8" s="54">
        <f>[101]f!C8</f>
        <v>8051465000</v>
      </c>
      <c r="D8" s="26">
        <f>[101]f!D8</f>
        <v>7671754000</v>
      </c>
      <c r="E8" s="54">
        <f>[101]f!E8</f>
        <v>5246769000</v>
      </c>
      <c r="F8" s="26">
        <f>[101]f!F8</f>
        <v>12918536000</v>
      </c>
      <c r="G8" s="302">
        <f>[101]f!G8</f>
        <v>6.2502282335888129E-2</v>
      </c>
    </row>
    <row r="9" spans="1:11" ht="20" customHeight="1" thickBot="1">
      <c r="A9" s="52">
        <f>[101]f!A9</f>
        <v>1996</v>
      </c>
      <c r="B9" s="26">
        <f>[101]f!B9</f>
        <v>4170906498.3500004</v>
      </c>
      <c r="C9" s="54">
        <f>[101]f!C9</f>
        <v>8662528518.7900009</v>
      </c>
      <c r="D9" s="26">
        <f>[101]f!D9</f>
        <v>8044141952.3000002</v>
      </c>
      <c r="E9" s="54">
        <f>[101]f!E9</f>
        <v>4789293064.8400002</v>
      </c>
      <c r="F9" s="26">
        <f>[101]f!F9</f>
        <v>12833435017.170002</v>
      </c>
      <c r="G9" s="302">
        <f>[101]f!G9</f>
        <v>-6.5875098254165963E-3</v>
      </c>
      <c r="I9" s="27"/>
      <c r="J9" s="27"/>
      <c r="K9" s="27"/>
    </row>
    <row r="10" spans="1:11" ht="20" customHeight="1" thickBot="1">
      <c r="A10" s="52">
        <f>[101]f!A10</f>
        <v>1997</v>
      </c>
      <c r="B10" s="26">
        <f>[101]f!B10</f>
        <v>4394709847.7299995</v>
      </c>
      <c r="C10" s="54">
        <f>[101]f!C10</f>
        <v>9362350997.4099998</v>
      </c>
      <c r="D10" s="26">
        <f>[101]f!D10</f>
        <v>9077911654.8700008</v>
      </c>
      <c r="E10" s="54">
        <f>[101]f!E10</f>
        <v>4679149190.2700005</v>
      </c>
      <c r="F10" s="26">
        <f>[101]f!F10</f>
        <v>13757060845.139999</v>
      </c>
      <c r="G10" s="302">
        <f>[101]f!G10</f>
        <v>7.1970273487516612E-2</v>
      </c>
    </row>
    <row r="11" spans="1:11" ht="20" customHeight="1" thickBot="1">
      <c r="A11" s="52">
        <f>[101]f!A11</f>
        <v>1998</v>
      </c>
      <c r="B11" s="26">
        <f>[101]f!B11</f>
        <v>4492004206.21</v>
      </c>
      <c r="C11" s="54">
        <f>[101]f!C11</f>
        <v>10278585833.719999</v>
      </c>
      <c r="D11" s="26">
        <f>[101]f!D11</f>
        <v>9968547987.1800003</v>
      </c>
      <c r="E11" s="54">
        <f>[101]f!E11</f>
        <v>4802042053.0199995</v>
      </c>
      <c r="F11" s="26">
        <f>[101]f!F11</f>
        <v>14770590039.959999</v>
      </c>
      <c r="G11" s="302">
        <f>[101]f!G11</f>
        <v>7.367338170769612E-2</v>
      </c>
    </row>
    <row r="12" spans="1:11" ht="20" customHeight="1" thickBot="1">
      <c r="A12" s="52">
        <f>[101]f!A12</f>
        <v>1999</v>
      </c>
      <c r="B12" s="26">
        <f>[101]f!B12</f>
        <v>4039072052.96</v>
      </c>
      <c r="C12" s="54">
        <f>[101]f!C12</f>
        <v>10698624229.800001</v>
      </c>
      <c r="D12" s="26">
        <f>[101]f!D12</f>
        <v>9829333068.8500004</v>
      </c>
      <c r="E12" s="54">
        <f>[101]f!E12</f>
        <v>4908363213.9400005</v>
      </c>
      <c r="F12" s="26">
        <f>[101]f!F12</f>
        <v>14737696282.75</v>
      </c>
      <c r="G12" s="302">
        <f>[101]f!G12</f>
        <v>-2.2269765203021073E-3</v>
      </c>
    </row>
    <row r="13" spans="1:11" ht="20" customHeight="1" thickBot="1">
      <c r="A13" s="52">
        <f>[101]f!A13</f>
        <v>2000</v>
      </c>
      <c r="B13" s="26">
        <f>[101]f!B13</f>
        <v>4332012500.6399994</v>
      </c>
      <c r="C13" s="54">
        <f>[101]f!C13</f>
        <v>10499430512.299999</v>
      </c>
      <c r="D13" s="26">
        <f>[101]f!D13</f>
        <v>10459056308.799999</v>
      </c>
      <c r="E13" s="54">
        <f>[101]f!E13</f>
        <v>4372386704.1300001</v>
      </c>
      <c r="F13" s="26">
        <f>[101]f!F13</f>
        <v>14831443012.869999</v>
      </c>
      <c r="G13" s="302">
        <f>[101]f!G13</f>
        <v>6.3610165606226036E-3</v>
      </c>
    </row>
    <row r="14" spans="1:11" ht="24.75" customHeight="1" thickBot="1">
      <c r="A14" s="258">
        <f>[101]f!A14</f>
        <v>2001</v>
      </c>
      <c r="B14" s="124">
        <f>[101]f!B14</f>
        <v>4480221295.5</v>
      </c>
      <c r="C14" s="147">
        <f>[101]f!C14</f>
        <v>9101419286.2999992</v>
      </c>
      <c r="D14" s="124">
        <f>[101]f!D14</f>
        <v>10583525388</v>
      </c>
      <c r="E14" s="147">
        <f>[101]f!E14</f>
        <v>2998115193.5</v>
      </c>
      <c r="F14" s="124">
        <f>[101]f!F14</f>
        <v>13581640582</v>
      </c>
      <c r="G14" s="462">
        <f>[101]f!G14</f>
        <v>-8.4267082426536757E-2</v>
      </c>
    </row>
    <row r="15" spans="1:11" ht="20" customHeight="1">
      <c r="A15" s="28" t="str">
        <f>'[95]data '!$D$2</f>
        <v>Datenstand: 27.09.2002</v>
      </c>
      <c r="B15" s="28"/>
      <c r="C15" s="28"/>
      <c r="D15" s="28"/>
      <c r="E15" s="28"/>
      <c r="F15" s="28"/>
      <c r="G15" s="424"/>
    </row>
    <row r="16" spans="1:11">
      <c r="A16" s="7" t="s">
        <v>396</v>
      </c>
    </row>
    <row r="17" spans="1:1">
      <c r="A17" s="7" t="s">
        <v>414</v>
      </c>
    </row>
    <row r="18" spans="1:1">
      <c r="A18" s="7" t="s">
        <v>415</v>
      </c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&amp;L&amp;"Arial,Bold"&amp;14Gesamtgeschäft der vom BSV anerkannten Krankenversicherer</oddHeader>
    <oddFooter>&amp;L&amp;"Arial,Regular"Statistik über die Krankenversicherung, Bundesamt für Sozialversicherung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9569-4F4A-1248-AC8A-36E21A84375A}">
  <dimension ref="A1:I17"/>
  <sheetViews>
    <sheetView zoomScale="75" workbookViewId="0">
      <selection sqref="A1:H18"/>
    </sheetView>
  </sheetViews>
  <sheetFormatPr baseColWidth="10" defaultColWidth="11.3984375" defaultRowHeight="13"/>
  <cols>
    <col min="1" max="1" width="12.59765625" style="7" customWidth="1"/>
    <col min="2" max="2" width="17.19921875" style="7" customWidth="1"/>
    <col min="3" max="5" width="15.59765625" style="425" customWidth="1"/>
    <col min="6" max="16384" width="11.3984375" style="7"/>
  </cols>
  <sheetData>
    <row r="1" spans="1:9" s="1" customFormat="1" ht="14" customHeight="1">
      <c r="C1" s="412"/>
      <c r="D1" s="412"/>
      <c r="E1" s="412"/>
    </row>
    <row r="2" spans="1:9" s="1" customFormat="1" ht="28" customHeight="1">
      <c r="A2" s="2" t="s">
        <v>416</v>
      </c>
      <c r="C2" s="412"/>
      <c r="D2" s="412"/>
      <c r="E2" s="412"/>
    </row>
    <row r="3" spans="1:9" ht="24" customHeight="1">
      <c r="A3" s="41" t="s">
        <v>620</v>
      </c>
      <c r="B3" s="6" t="s">
        <v>417</v>
      </c>
      <c r="C3" s="413" t="s">
        <v>522</v>
      </c>
      <c r="D3" s="454" t="s">
        <v>418</v>
      </c>
      <c r="E3" s="413" t="s">
        <v>522</v>
      </c>
    </row>
    <row r="4" spans="1:9" ht="15" customHeight="1">
      <c r="A4" s="43"/>
      <c r="B4" s="12" t="s">
        <v>740</v>
      </c>
      <c r="C4" s="414" t="s">
        <v>523</v>
      </c>
      <c r="D4" s="455" t="s">
        <v>421</v>
      </c>
      <c r="E4" s="414" t="s">
        <v>523</v>
      </c>
    </row>
    <row r="5" spans="1:9" ht="15" customHeight="1">
      <c r="A5" s="43"/>
      <c r="B5" s="12"/>
      <c r="C5" s="414" t="s">
        <v>524</v>
      </c>
      <c r="D5" s="455"/>
      <c r="E5" s="414" t="s">
        <v>524</v>
      </c>
    </row>
    <row r="6" spans="1:9" ht="24" customHeight="1">
      <c r="A6" s="46"/>
      <c r="B6" s="16"/>
      <c r="C6" s="415"/>
      <c r="D6" s="457"/>
      <c r="E6" s="415"/>
    </row>
    <row r="7" spans="1:9" ht="30" customHeight="1" thickBot="1">
      <c r="A7" s="228">
        <f>[102]f!A7</f>
        <v>1994</v>
      </c>
      <c r="B7" s="230">
        <f>[102]f!B7</f>
        <v>3986037000</v>
      </c>
      <c r="C7" s="300" t="str">
        <f>[102]f!C7</f>
        <v>–</v>
      </c>
      <c r="D7" s="299">
        <f>[102]f!D7</f>
        <v>0.27871248612656102</v>
      </c>
      <c r="E7" s="300" t="str">
        <f>[102]f!E7</f>
        <v>–</v>
      </c>
      <c r="F7" s="22"/>
    </row>
    <row r="8" spans="1:9" ht="20" customHeight="1" thickBot="1">
      <c r="A8" s="52">
        <f>[102]f!A8</f>
        <v>1995</v>
      </c>
      <c r="B8" s="26">
        <f>[102]f!B8</f>
        <v>4079950000</v>
      </c>
      <c r="C8" s="302">
        <f>[102]f!C8</f>
        <v>2.3560493793710394E-2</v>
      </c>
      <c r="D8" s="301">
        <f>[102]f!D8</f>
        <v>0.27928113796958481</v>
      </c>
      <c r="E8" s="302">
        <f>[102]f!E8</f>
        <v>2.040281190579933E-3</v>
      </c>
    </row>
    <row r="9" spans="1:9" ht="20" customHeight="1" thickBot="1">
      <c r="A9" s="52">
        <f>[102]f!A9</f>
        <v>1996</v>
      </c>
      <c r="B9" s="26">
        <f>[102]f!B9</f>
        <v>4007836659.5999999</v>
      </c>
      <c r="C9" s="302">
        <f>[102]f!C9</f>
        <v>-1.767505493939879E-2</v>
      </c>
      <c r="D9" s="301">
        <f>[102]f!D9</f>
        <v>0.24196501185861982</v>
      </c>
      <c r="E9" s="302">
        <f>[102]f!E9</f>
        <v>-0.13361491714857204</v>
      </c>
      <c r="G9" s="27"/>
      <c r="H9" s="27"/>
      <c r="I9" s="27"/>
    </row>
    <row r="10" spans="1:9" ht="20" customHeight="1" thickBot="1">
      <c r="A10" s="52">
        <f>[102]f!A10</f>
        <v>1997</v>
      </c>
      <c r="B10" s="26">
        <f>[102]f!B10</f>
        <v>4017395607.9000001</v>
      </c>
      <c r="C10" s="302">
        <f>[102]f!C10</f>
        <v>2.3850643406595857E-3</v>
      </c>
      <c r="D10" s="301">
        <f>[102]f!D10</f>
        <v>0.22399999999999998</v>
      </c>
      <c r="E10" s="302">
        <f>[102]f!E10</f>
        <v>-7.42463206586116E-2</v>
      </c>
    </row>
    <row r="11" spans="1:9" ht="20" customHeight="1" thickBot="1">
      <c r="A11" s="52">
        <f>[102]f!A11</f>
        <v>1998</v>
      </c>
      <c r="B11" s="26">
        <f>[102]f!B11</f>
        <v>4117666794.6999998</v>
      </c>
      <c r="C11" s="302">
        <f>[102]f!C11</f>
        <v>2.4959251362455224E-2</v>
      </c>
      <c r="D11" s="301">
        <f>[102]f!D11</f>
        <v>0.22</v>
      </c>
      <c r="E11" s="302">
        <f>[102]f!E11</f>
        <v>-1.7857142857142752E-2</v>
      </c>
    </row>
    <row r="12" spans="1:9" ht="20" customHeight="1" thickBot="1">
      <c r="A12" s="52">
        <f>[102]f!A12</f>
        <v>1999</v>
      </c>
      <c r="B12" s="26">
        <f>[102]f!B12</f>
        <v>4531003557.1000004</v>
      </c>
      <c r="C12" s="302">
        <f>[102]f!C12</f>
        <v>0.10038130402683906</v>
      </c>
      <c r="D12" s="301">
        <f>[102]f!D12</f>
        <v>0.248</v>
      </c>
      <c r="E12" s="302">
        <f>[102]f!E12</f>
        <v>0.12727272727272726</v>
      </c>
    </row>
    <row r="13" spans="1:9" ht="20" customHeight="1" thickBot="1">
      <c r="A13" s="52">
        <f>[102]f!A13</f>
        <v>2000</v>
      </c>
      <c r="B13" s="26">
        <f>[102]f!B13</f>
        <v>4046317342.6999998</v>
      </c>
      <c r="C13" s="302">
        <f>[102]f!C13</f>
        <v>-0.10697105139997211</v>
      </c>
      <c r="D13" s="301">
        <f>[102]f!D13</f>
        <v>0.22899999999999998</v>
      </c>
      <c r="E13" s="302">
        <f>[102]f!E13</f>
        <v>-7.6612903225806522E-2</v>
      </c>
    </row>
    <row r="14" spans="1:9" ht="23.25" customHeight="1" thickBot="1">
      <c r="A14" s="258">
        <f>[102]f!A14</f>
        <v>2001</v>
      </c>
      <c r="B14" s="124">
        <f>[102]f!B14</f>
        <v>2721453787.0999999</v>
      </c>
      <c r="C14" s="462">
        <f>[102]f!C14</f>
        <v>-0.32742453035479263</v>
      </c>
      <c r="D14" s="461">
        <f>[102]f!D14</f>
        <v>0.16266572127677031</v>
      </c>
      <c r="E14" s="462">
        <f>[102]f!E14</f>
        <v>-0.28966933940274964</v>
      </c>
    </row>
    <row r="15" spans="1:9" ht="20" customHeight="1">
      <c r="A15" s="28" t="str">
        <f>'[95]data '!$D$2</f>
        <v>Datenstand: 27.09.2002</v>
      </c>
      <c r="B15" s="28"/>
      <c r="C15" s="424"/>
      <c r="D15" s="424"/>
      <c r="E15" s="424"/>
    </row>
    <row r="16" spans="1:9">
      <c r="A16" s="7" t="s">
        <v>419</v>
      </c>
    </row>
    <row r="17" spans="1:1">
      <c r="A17" s="7" t="s">
        <v>420</v>
      </c>
    </row>
  </sheetData>
  <phoneticPr fontId="0" type="noConversion"/>
  <pageMargins left="0.78740157480314965" right="0.44" top="1.47" bottom="0.49" header="0.93" footer="0.4921259845"/>
  <pageSetup paperSize="9" scale="80" orientation="portrait" horizontalDpi="4294967292" verticalDpi="4294967292"/>
  <headerFooter alignWithMargins="0">
    <oddHeader>&amp;L&amp;"Arial,Bold"&amp;14Gesamtgeschäft der vom BSV anerkannten Krankenversicherer</oddHeader>
    <oddFooter>&amp;L&amp;"Arial,Regular"Statistik über die Krankenversicherung, Bundesamt für Sozialversicherung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2843-3F8D-5245-BA8A-520791080129}">
  <dimension ref="A1:D28"/>
  <sheetViews>
    <sheetView topLeftCell="A16" zoomScale="75" workbookViewId="0">
      <selection activeCell="B24" sqref="B24"/>
    </sheetView>
  </sheetViews>
  <sheetFormatPr baseColWidth="10" defaultColWidth="11.3984375" defaultRowHeight="13"/>
  <cols>
    <col min="1" max="1" width="10.59765625" style="7" customWidth="1"/>
    <col min="2" max="2" width="60.796875" style="116" customWidth="1"/>
    <col min="3" max="3" width="17" style="22" customWidth="1"/>
    <col min="4" max="4" width="17" style="425" customWidth="1"/>
    <col min="5" max="16384" width="11.3984375" style="7"/>
  </cols>
  <sheetData>
    <row r="1" spans="1:4" s="1" customFormat="1" ht="14" customHeight="1">
      <c r="B1" s="179"/>
      <c r="C1" s="180"/>
      <c r="D1" s="412"/>
    </row>
    <row r="2" spans="1:4" s="1" customFormat="1" ht="28" customHeight="1">
      <c r="A2" s="2" t="str">
        <f>"T 8.09  Bilanz: Aktiven der Versicherer per 31.12."&amp;'[95]data '!$B$2</f>
        <v>T 8.09  Bilanz: Aktiven der Versicherer per 31.12.2001</v>
      </c>
      <c r="B2" s="179"/>
      <c r="C2" s="180"/>
      <c r="D2" s="412"/>
    </row>
    <row r="3" spans="1:4" ht="39" customHeight="1">
      <c r="A3" s="41" t="s">
        <v>737</v>
      </c>
      <c r="B3" s="260"/>
      <c r="C3" s="115" t="s">
        <v>282</v>
      </c>
      <c r="D3" s="413" t="s">
        <v>283</v>
      </c>
    </row>
    <row r="4" spans="1:4" ht="38" customHeight="1">
      <c r="A4" s="182"/>
      <c r="B4" s="97"/>
      <c r="C4" s="189" t="s">
        <v>740</v>
      </c>
      <c r="D4" s="415" t="s">
        <v>1059</v>
      </c>
    </row>
    <row r="5" spans="1:4" ht="30" customHeight="1" thickBot="1">
      <c r="A5" s="67"/>
      <c r="B5" s="67" t="s">
        <v>422</v>
      </c>
      <c r="C5" s="230">
        <f>[103]f!C5</f>
        <v>4480221295.5</v>
      </c>
      <c r="D5" s="300">
        <f>[103]f!D5</f>
        <v>0.32987335134149554</v>
      </c>
    </row>
    <row r="6" spans="1:4" ht="21.75" customHeight="1" thickBot="1">
      <c r="A6" s="70">
        <v>10</v>
      </c>
      <c r="B6" s="70" t="s">
        <v>423</v>
      </c>
      <c r="C6" s="230">
        <f>[103]f!C6</f>
        <v>914598496.67999995</v>
      </c>
      <c r="D6" s="302">
        <f>[103]f!D6</f>
        <v>6.7340796655459598E-2</v>
      </c>
    </row>
    <row r="7" spans="1:4" ht="21.75" customHeight="1" thickBot="1">
      <c r="A7" s="70">
        <v>11</v>
      </c>
      <c r="B7" s="70" t="s">
        <v>424</v>
      </c>
      <c r="C7" s="230">
        <f>[103]f!C7</f>
        <v>2463299797.6999998</v>
      </c>
      <c r="D7" s="302">
        <f>[103]f!D7</f>
        <v>0.18136982662938797</v>
      </c>
    </row>
    <row r="8" spans="1:4" ht="18.75" customHeight="1" thickBot="1">
      <c r="A8" s="70"/>
      <c r="B8" s="70" t="s">
        <v>425</v>
      </c>
      <c r="C8" s="230">
        <f>[103]f!C8</f>
        <v>2621466606.8000002</v>
      </c>
      <c r="D8" s="302">
        <f>[103]f!D8</f>
        <v>0.19301546017012691</v>
      </c>
    </row>
    <row r="9" spans="1:4" ht="18.75" customHeight="1" thickBot="1">
      <c r="A9" s="70"/>
      <c r="B9" s="70" t="s">
        <v>426</v>
      </c>
      <c r="C9" s="230">
        <f>[103]f!C9</f>
        <v>-158245222.30000001</v>
      </c>
      <c r="D9" s="302">
        <f>[103]f!D9</f>
        <v>-1.1651407011147485E-2</v>
      </c>
    </row>
    <row r="10" spans="1:4" ht="21.75" customHeight="1" thickBot="1">
      <c r="A10" s="70">
        <v>12</v>
      </c>
      <c r="B10" s="70" t="s">
        <v>427</v>
      </c>
      <c r="C10" s="230">
        <f>[103]f!C10</f>
        <v>273742077.01999998</v>
      </c>
      <c r="D10" s="302">
        <f>[103]f!D10</f>
        <v>2.0155302694638777E-2</v>
      </c>
    </row>
    <row r="11" spans="1:4" ht="18.75" customHeight="1" thickBot="1">
      <c r="A11" s="70"/>
      <c r="B11" s="70" t="s">
        <v>428</v>
      </c>
      <c r="C11" s="230">
        <f>[103]f!C11</f>
        <v>292929898.74000001</v>
      </c>
      <c r="D11" s="302">
        <f>[103]f!D11</f>
        <v>2.1568079126480892E-2</v>
      </c>
    </row>
    <row r="12" spans="1:4" ht="18.75" customHeight="1" thickBot="1">
      <c r="A12" s="70"/>
      <c r="B12" s="70" t="s">
        <v>426</v>
      </c>
      <c r="C12" s="230">
        <f>[103]f!C12</f>
        <v>-19187821.719999999</v>
      </c>
      <c r="D12" s="302">
        <f>[103]f!D12</f>
        <v>-1.412776431842113E-3</v>
      </c>
    </row>
    <row r="13" spans="1:4" ht="24" customHeight="1" thickBot="1">
      <c r="A13" s="70">
        <v>13</v>
      </c>
      <c r="B13" s="70" t="s">
        <v>429</v>
      </c>
      <c r="C13" s="230">
        <f>[103]f!C13</f>
        <v>28948037.850000001</v>
      </c>
      <c r="D13" s="302">
        <f>[103]f!D13</f>
        <v>2.1314095064748932E-3</v>
      </c>
    </row>
    <row r="14" spans="1:4" ht="28.5" customHeight="1" thickBot="1">
      <c r="A14" s="70">
        <v>14</v>
      </c>
      <c r="B14" s="471" t="s">
        <v>430</v>
      </c>
      <c r="C14" s="230">
        <f>[103]f!C14</f>
        <v>316673700.51999998</v>
      </c>
      <c r="D14" s="302">
        <f>[103]f!D14</f>
        <v>2.3316306937152607E-2</v>
      </c>
    </row>
    <row r="15" spans="1:4" ht="30.75" customHeight="1" thickBot="1">
      <c r="A15" s="70">
        <v>15</v>
      </c>
      <c r="B15" s="471" t="s">
        <v>431</v>
      </c>
      <c r="C15" s="230">
        <f>[103]f!C15</f>
        <v>11209650.1</v>
      </c>
      <c r="D15" s="302">
        <f>[103]f!D15</f>
        <v>8.2535316939960526E-4</v>
      </c>
    </row>
    <row r="16" spans="1:4" ht="21.75" customHeight="1" thickBot="1">
      <c r="A16" s="70">
        <v>16</v>
      </c>
      <c r="B16" s="70" t="s">
        <v>432</v>
      </c>
      <c r="C16" s="230">
        <f>[103]f!C16</f>
        <v>471749535.64999998</v>
      </c>
      <c r="D16" s="302">
        <f>[103]f!D16</f>
        <v>3.4734355750454651E-2</v>
      </c>
    </row>
    <row r="17" spans="1:4" ht="30" customHeight="1" thickBot="1">
      <c r="A17" s="70"/>
      <c r="B17" s="70" t="s">
        <v>433</v>
      </c>
      <c r="C17" s="230">
        <f>[103]f!C17</f>
        <v>9101419286.2999992</v>
      </c>
      <c r="D17" s="302">
        <f>[103]f!D17</f>
        <v>0.67012664864377869</v>
      </c>
    </row>
    <row r="18" spans="1:4" ht="21.75" customHeight="1" thickBot="1">
      <c r="A18" s="70">
        <v>17</v>
      </c>
      <c r="B18" s="70" t="s">
        <v>434</v>
      </c>
      <c r="C18" s="230">
        <f>[103]f!C18</f>
        <v>7961457487</v>
      </c>
      <c r="D18" s="302">
        <f>[103]f!D18</f>
        <v>0.58619262076125522</v>
      </c>
    </row>
    <row r="19" spans="1:4" ht="18.75" customHeight="1" thickBot="1">
      <c r="A19" s="70"/>
      <c r="B19" s="70" t="s">
        <v>435</v>
      </c>
      <c r="C19" s="230">
        <f>[103]f!C19</f>
        <v>8396976720</v>
      </c>
      <c r="D19" s="302">
        <f>[103]f!D19</f>
        <v>0.61825938253208301</v>
      </c>
    </row>
    <row r="20" spans="1:4" ht="18.75" customHeight="1" thickBot="1">
      <c r="A20" s="73"/>
      <c r="B20" s="73" t="s">
        <v>436</v>
      </c>
      <c r="C20" s="230">
        <f>[103]f!C20</f>
        <v>-435519233</v>
      </c>
      <c r="D20" s="302">
        <f>[103]f!D20</f>
        <v>-3.2066761770827727E-2</v>
      </c>
    </row>
    <row r="21" spans="1:4" ht="21.75" customHeight="1" thickBot="1">
      <c r="A21" s="70">
        <v>18</v>
      </c>
      <c r="B21" s="70" t="s">
        <v>437</v>
      </c>
      <c r="C21" s="230">
        <f>[103]f!C21</f>
        <v>954931609.32000005</v>
      </c>
      <c r="D21" s="302">
        <f>[103]f!D21</f>
        <v>7.0310475642065551E-2</v>
      </c>
    </row>
    <row r="22" spans="1:4" ht="18.75" customHeight="1" thickBot="1">
      <c r="A22" s="73"/>
      <c r="B22" s="73" t="s">
        <v>438</v>
      </c>
      <c r="C22" s="230">
        <f>[103]f!C22</f>
        <v>1366213680.9000001</v>
      </c>
      <c r="D22" s="302">
        <f>[103]f!D22</f>
        <v>0.10059268412025779</v>
      </c>
    </row>
    <row r="23" spans="1:4" ht="18.75" customHeight="1" thickBot="1">
      <c r="A23" s="70"/>
      <c r="B23" s="70" t="s">
        <v>436</v>
      </c>
      <c r="C23" s="230">
        <f>[103]f!C23</f>
        <v>-411282071.60000002</v>
      </c>
      <c r="D23" s="302">
        <f>[103]f!D23</f>
        <v>-3.0282208479664802E-2</v>
      </c>
    </row>
    <row r="24" spans="1:4" ht="21.75" customHeight="1" thickBot="1">
      <c r="A24" s="70">
        <v>19</v>
      </c>
      <c r="B24" s="70" t="s">
        <v>439</v>
      </c>
      <c r="C24" s="230">
        <f>[103]f!C24</f>
        <v>185030189.91</v>
      </c>
      <c r="D24" s="302">
        <f>[103]f!D24</f>
        <v>1.3623552235303881E-2</v>
      </c>
    </row>
    <row r="25" spans="1:4" ht="18.75" customHeight="1" thickBot="1">
      <c r="A25" s="70"/>
      <c r="B25" s="70" t="s">
        <v>440</v>
      </c>
      <c r="C25" s="230">
        <f>[103]f!C25</f>
        <v>566562024.00999999</v>
      </c>
      <c r="D25" s="302">
        <f>[103]f!D25</f>
        <v>4.1715286204884197E-2</v>
      </c>
    </row>
    <row r="26" spans="1:4" ht="18.75" customHeight="1" thickBot="1">
      <c r="A26" s="70"/>
      <c r="B26" s="70" t="s">
        <v>436</v>
      </c>
      <c r="C26" s="230">
        <f>[103]f!C26</f>
        <v>-381531834.10000002</v>
      </c>
      <c r="D26" s="302">
        <f>[103]f!D26</f>
        <v>-2.8091733969580319E-2</v>
      </c>
    </row>
    <row r="27" spans="1:4" s="276" customFormat="1" ht="36" customHeight="1" thickBot="1">
      <c r="A27" s="78">
        <v>1</v>
      </c>
      <c r="B27" s="78" t="s">
        <v>441</v>
      </c>
      <c r="C27" s="289">
        <f>[103]f!C27</f>
        <v>13581640582</v>
      </c>
      <c r="D27" s="304">
        <f>[103]f!D27</f>
        <v>1</v>
      </c>
    </row>
    <row r="28" spans="1:4" ht="18.75" customHeight="1">
      <c r="A28" s="28" t="str">
        <f>'[95]data '!$D$2</f>
        <v>Datenstand: 27.09.2002</v>
      </c>
      <c r="B28" s="268"/>
      <c r="C28" s="132"/>
      <c r="D28" s="424"/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&amp;L&amp;"Arial,Bold"&amp;14Gesamtgeschäft der vom BSV anerkannten Krankenversicherer</oddHeader>
    <oddFooter>&amp;L&amp;"Arial,Regular"Statistik über die Krankenversicherung, Bundesamt für Sozialversicherung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421E-846F-3E43-BF70-76AB2CC1A3DC}">
  <dimension ref="A1:D35"/>
  <sheetViews>
    <sheetView topLeftCell="A34" zoomScale="75" workbookViewId="0">
      <selection activeCell="B19" sqref="B19"/>
    </sheetView>
  </sheetViews>
  <sheetFormatPr baseColWidth="10" defaultColWidth="11.3984375" defaultRowHeight="13"/>
  <cols>
    <col min="1" max="1" width="10.59765625" style="7" customWidth="1"/>
    <col min="2" max="2" width="60.796875" style="116" customWidth="1"/>
    <col min="3" max="3" width="16.796875" style="22" customWidth="1"/>
    <col min="4" max="4" width="16.796875" style="425" customWidth="1"/>
    <col min="5" max="16384" width="11.3984375" style="7"/>
  </cols>
  <sheetData>
    <row r="1" spans="1:4" s="1" customFormat="1" ht="14" customHeight="1">
      <c r="B1" s="179"/>
      <c r="C1" s="180"/>
      <c r="D1" s="412"/>
    </row>
    <row r="2" spans="1:4" s="1" customFormat="1" ht="28" customHeight="1">
      <c r="A2" s="2" t="str">
        <f>"T 8.10  Bilanz: Passiven der Versicherer per 31.12."&amp;'[95]data '!$B$2</f>
        <v>T 8.10  Bilanz: Passiven der Versicherer per 31.12.2001</v>
      </c>
      <c r="B2" s="179"/>
      <c r="C2" s="180"/>
      <c r="D2" s="412"/>
    </row>
    <row r="3" spans="1:4" ht="39" customHeight="1">
      <c r="A3" s="41" t="s">
        <v>737</v>
      </c>
      <c r="B3" s="260"/>
      <c r="C3" s="115" t="s">
        <v>282</v>
      </c>
      <c r="D3" s="413" t="s">
        <v>283</v>
      </c>
    </row>
    <row r="4" spans="1:4" ht="38" customHeight="1">
      <c r="A4" s="182"/>
      <c r="B4" s="97"/>
      <c r="C4" s="189" t="s">
        <v>740</v>
      </c>
      <c r="D4" s="415" t="s">
        <v>1059</v>
      </c>
    </row>
    <row r="5" spans="1:4" ht="30" customHeight="1" thickBot="1">
      <c r="A5" s="67"/>
      <c r="B5" s="67" t="s">
        <v>442</v>
      </c>
      <c r="C5" s="230">
        <f>[104]f!C5</f>
        <v>10583525388</v>
      </c>
      <c r="D5" s="300">
        <f>[104]f!D5</f>
        <v>0.77925235350628719</v>
      </c>
    </row>
    <row r="6" spans="1:4" ht="21.75" customHeight="1" thickBot="1">
      <c r="A6" s="70">
        <v>20</v>
      </c>
      <c r="B6" s="70" t="s">
        <v>443</v>
      </c>
      <c r="C6" s="230">
        <f>[104]f!C6</f>
        <v>569705175.32000005</v>
      </c>
      <c r="D6" s="300">
        <f>[104]f!D6</f>
        <v>4.1946712687644001E-2</v>
      </c>
    </row>
    <row r="7" spans="1:4" ht="21.75" customHeight="1" thickBot="1">
      <c r="A7" s="70">
        <v>21</v>
      </c>
      <c r="B7" s="70" t="s">
        <v>444</v>
      </c>
      <c r="C7" s="230">
        <f>[104]f!C7</f>
        <v>2490870573.1999998</v>
      </c>
      <c r="D7" s="300">
        <f>[104]f!D7</f>
        <v>0.18339982995141227</v>
      </c>
    </row>
    <row r="8" spans="1:4" ht="21.75" customHeight="1" thickBot="1">
      <c r="A8" s="70">
        <v>22</v>
      </c>
      <c r="B8" s="70" t="s">
        <v>445</v>
      </c>
      <c r="C8" s="230">
        <f>[104]f!C8</f>
        <v>269390212.12</v>
      </c>
      <c r="D8" s="300">
        <f>[104]f!D8</f>
        <v>1.9834880071633455E-2</v>
      </c>
    </row>
    <row r="9" spans="1:4" ht="21.75" customHeight="1" thickBot="1">
      <c r="A9" s="70">
        <v>23</v>
      </c>
      <c r="B9" s="70" t="s">
        <v>446</v>
      </c>
      <c r="C9" s="230">
        <f>[104]f!C9</f>
        <v>42513746.509999998</v>
      </c>
      <c r="D9" s="300">
        <f>[104]f!D9</f>
        <v>3.1302364580567867E-3</v>
      </c>
    </row>
    <row r="10" spans="1:4" ht="21.75" customHeight="1" thickBot="1">
      <c r="A10" s="70">
        <v>24</v>
      </c>
      <c r="B10" s="70" t="s">
        <v>447</v>
      </c>
      <c r="C10" s="230">
        <f>[104]f!C10</f>
        <v>11475654.1</v>
      </c>
      <c r="D10" s="300">
        <f>[104]f!D10</f>
        <v>8.4493872671088769E-4</v>
      </c>
    </row>
    <row r="11" spans="1:4" ht="21.75" customHeight="1" thickBot="1">
      <c r="A11" s="70">
        <v>25</v>
      </c>
      <c r="B11" s="70" t="s">
        <v>448</v>
      </c>
      <c r="C11" s="230">
        <f>[104]f!C11</f>
        <v>31255235.899999999</v>
      </c>
      <c r="D11" s="300">
        <f>[104]f!D11</f>
        <v>2.3012857475718466E-3</v>
      </c>
    </row>
    <row r="12" spans="1:4" ht="21.75" customHeight="1" thickBot="1">
      <c r="A12" s="70">
        <v>26</v>
      </c>
      <c r="B12" s="70" t="s">
        <v>449</v>
      </c>
      <c r="C12" s="230">
        <f>[104]f!C12</f>
        <v>883477486.74000001</v>
      </c>
      <c r="D12" s="300">
        <f>[104]f!D12</f>
        <v>6.5049393805258635E-2</v>
      </c>
    </row>
    <row r="13" spans="1:4" s="472" customFormat="1" ht="47.25" customHeight="1" thickBot="1">
      <c r="A13" s="471">
        <v>27</v>
      </c>
      <c r="B13" s="471" t="s">
        <v>450</v>
      </c>
      <c r="C13" s="230">
        <f>[104]f!C13</f>
        <v>6284837304.3999996</v>
      </c>
      <c r="D13" s="300">
        <f>[104]f!D13</f>
        <v>0.46274507607935161</v>
      </c>
    </row>
    <row r="14" spans="1:4" s="472" customFormat="1" ht="21" customHeight="1" thickBot="1">
      <c r="A14" s="471">
        <v>270</v>
      </c>
      <c r="B14" s="471" t="s">
        <v>451</v>
      </c>
      <c r="C14" s="230">
        <f>[104]f!C14</f>
        <v>3996358840.3000002</v>
      </c>
      <c r="D14" s="300">
        <f>[104]f!D14</f>
        <v>0.29424713576918304</v>
      </c>
    </row>
    <row r="15" spans="1:4" ht="18.75" customHeight="1" thickBot="1">
      <c r="A15" s="70">
        <v>270.10000000000002</v>
      </c>
      <c r="B15" s="70" t="s">
        <v>452</v>
      </c>
      <c r="C15" s="230">
        <f>[104]f!C15</f>
        <v>150686837.15000001</v>
      </c>
      <c r="D15" s="300">
        <f>[104]f!D15</f>
        <v>1.1094892125897373E-2</v>
      </c>
    </row>
    <row r="16" spans="1:4" ht="18.75" customHeight="1" thickBot="1">
      <c r="A16" s="70">
        <v>271</v>
      </c>
      <c r="B16" s="70" t="s">
        <v>453</v>
      </c>
      <c r="C16" s="230">
        <f>[104]f!C16</f>
        <v>102562631.03</v>
      </c>
      <c r="D16" s="300">
        <f>[104]f!D16</f>
        <v>7.5515642172071726E-3</v>
      </c>
    </row>
    <row r="17" spans="1:4" ht="18.75" customHeight="1" thickBot="1">
      <c r="A17" s="70">
        <v>272</v>
      </c>
      <c r="B17" s="70" t="s">
        <v>454</v>
      </c>
      <c r="C17" s="230">
        <f>[104]f!C17</f>
        <v>1830000</v>
      </c>
      <c r="D17" s="300">
        <f>[104]f!D17</f>
        <v>1.3474071773224015E-4</v>
      </c>
    </row>
    <row r="18" spans="1:4" ht="18.75" customHeight="1" thickBot="1">
      <c r="A18" s="70">
        <v>273</v>
      </c>
      <c r="B18" s="70" t="s">
        <v>455</v>
      </c>
      <c r="C18" s="230">
        <f>[104]f!C18</f>
        <v>1249113100.3</v>
      </c>
      <c r="D18" s="300">
        <f>[104]f!D18</f>
        <v>9.1970708012658844E-2</v>
      </c>
    </row>
    <row r="19" spans="1:4" ht="18.75" customHeight="1" thickBot="1">
      <c r="A19" s="70">
        <v>273.10000000000002</v>
      </c>
      <c r="B19" s="70" t="s">
        <v>456</v>
      </c>
      <c r="C19" s="230">
        <f>[104]f!C19</f>
        <v>175192487.65000001</v>
      </c>
      <c r="D19" s="300">
        <f>[104]f!D19</f>
        <v>1.2899213949321104E-2</v>
      </c>
    </row>
    <row r="20" spans="1:4" ht="18.75" customHeight="1" thickBot="1">
      <c r="A20" s="70">
        <v>274</v>
      </c>
      <c r="B20" s="70" t="s">
        <v>457</v>
      </c>
      <c r="C20" s="230">
        <f>[104]f!C20</f>
        <v>158169317.31</v>
      </c>
      <c r="D20" s="300">
        <f>[104]f!D20</f>
        <v>1.1645818217250185E-2</v>
      </c>
    </row>
    <row r="21" spans="1:4" ht="18.75" customHeight="1" thickBot="1">
      <c r="A21" s="70">
        <v>279</v>
      </c>
      <c r="B21" s="70" t="s">
        <v>458</v>
      </c>
      <c r="C21" s="230">
        <f>[104]f!C21</f>
        <v>450924090.68000001</v>
      </c>
      <c r="D21" s="300">
        <f>[104]f!D21</f>
        <v>3.3201003071574288E-2</v>
      </c>
    </row>
    <row r="22" spans="1:4" ht="21.75" customHeight="1" thickBot="1">
      <c r="A22" s="70"/>
      <c r="B22" s="70" t="s">
        <v>459</v>
      </c>
      <c r="C22" s="230">
        <f>[104]f!C22</f>
        <v>2998115193.5</v>
      </c>
      <c r="D22" s="300">
        <f>[104]f!D22</f>
        <v>0.2207476464568984</v>
      </c>
    </row>
    <row r="23" spans="1:4" ht="21.75" customHeight="1" thickBot="1">
      <c r="A23" s="70">
        <v>28</v>
      </c>
      <c r="B23" s="70" t="s">
        <v>460</v>
      </c>
      <c r="C23" s="230">
        <f>[104]f!C23</f>
        <v>276661406.35000002</v>
      </c>
      <c r="D23" s="300">
        <f>[104]f!D23</f>
        <v>2.0370249431918005E-2</v>
      </c>
    </row>
    <row r="24" spans="1:4" ht="18.75" customHeight="1" thickBot="1">
      <c r="A24" s="70">
        <v>280</v>
      </c>
      <c r="B24" s="70" t="s">
        <v>461</v>
      </c>
      <c r="C24" s="230">
        <f>[104]f!C24</f>
        <v>146061798.41999999</v>
      </c>
      <c r="D24" s="300">
        <f>[104]f!D24</f>
        <v>1.0754356039547858E-2</v>
      </c>
    </row>
    <row r="25" spans="1:4" ht="18.75" customHeight="1" thickBot="1">
      <c r="A25" s="70">
        <v>281</v>
      </c>
      <c r="B25" s="70" t="s">
        <v>462</v>
      </c>
      <c r="C25" s="230">
        <f>[104]f!C25</f>
        <v>82644496.549999997</v>
      </c>
      <c r="D25" s="300">
        <f>[104]f!D25</f>
        <v>6.085015727741336E-3</v>
      </c>
    </row>
    <row r="26" spans="1:4" ht="18.75" customHeight="1" thickBot="1">
      <c r="A26" s="70">
        <v>282</v>
      </c>
      <c r="B26" s="70" t="s">
        <v>463</v>
      </c>
      <c r="C26" s="230">
        <f>[104]f!C26</f>
        <v>47955111.380000003</v>
      </c>
      <c r="D26" s="300">
        <f>[104]f!D26</f>
        <v>3.5308776646288077E-3</v>
      </c>
    </row>
    <row r="27" spans="1:4" ht="21.75" customHeight="1" thickBot="1">
      <c r="A27" s="70">
        <v>29</v>
      </c>
      <c r="B27" s="70" t="s">
        <v>417</v>
      </c>
      <c r="C27" s="230">
        <f>[104]f!C27</f>
        <v>2721453787.0999999</v>
      </c>
      <c r="D27" s="300">
        <f>[104]f!D27</f>
        <v>0.20037739702129898</v>
      </c>
    </row>
    <row r="28" spans="1:4" ht="18.75" customHeight="1" thickBot="1">
      <c r="A28" s="70">
        <v>290</v>
      </c>
      <c r="B28" s="70" t="s">
        <v>464</v>
      </c>
      <c r="C28" s="230">
        <f>[104]f!C28</f>
        <v>2010488270.2</v>
      </c>
      <c r="D28" s="300">
        <f>[104]f!D28</f>
        <v>0.14802985383551803</v>
      </c>
    </row>
    <row r="29" spans="1:4" ht="18.75" customHeight="1" thickBot="1">
      <c r="A29" s="70">
        <v>290.89999999999998</v>
      </c>
      <c r="B29" s="70" t="s">
        <v>465</v>
      </c>
      <c r="C29" s="230">
        <f>[104]f!C29</f>
        <v>92151000</v>
      </c>
      <c r="D29" s="300">
        <f>[104]f!D29</f>
        <v>6.784968240297084E-3</v>
      </c>
    </row>
    <row r="30" spans="1:4" ht="18.75" customHeight="1" thickBot="1">
      <c r="A30" s="70">
        <v>291</v>
      </c>
      <c r="B30" s="70" t="s">
        <v>466</v>
      </c>
      <c r="C30" s="230">
        <f>[104]f!C30</f>
        <v>249734199.63</v>
      </c>
      <c r="D30" s="300">
        <f>[104]f!D30</f>
        <v>1.8387631311711884E-2</v>
      </c>
    </row>
    <row r="31" spans="1:4" ht="18.75" customHeight="1" thickBot="1">
      <c r="A31" s="70">
        <v>292</v>
      </c>
      <c r="B31" s="70" t="s">
        <v>467</v>
      </c>
      <c r="C31" s="230">
        <f>[104]f!C31</f>
        <v>-1242406.99</v>
      </c>
      <c r="D31" s="300">
        <f>[104]f!D31</f>
        <v>-9.1476945108279848E-5</v>
      </c>
    </row>
    <row r="32" spans="1:4" ht="18.75" customHeight="1" thickBot="1">
      <c r="A32" s="70">
        <v>293</v>
      </c>
      <c r="B32" s="70" t="s">
        <v>468</v>
      </c>
      <c r="C32" s="230">
        <f>[104]f!C32</f>
        <v>370084608.94999999</v>
      </c>
      <c r="D32" s="300">
        <f>[104]f!D32</f>
        <v>2.7248888432556517E-2</v>
      </c>
    </row>
    <row r="33" spans="1:4" ht="18.75" customHeight="1" thickBot="1">
      <c r="A33" s="70">
        <v>299</v>
      </c>
      <c r="B33" s="70" t="s">
        <v>469</v>
      </c>
      <c r="C33" s="230">
        <f>[104]f!C33</f>
        <v>238115.4</v>
      </c>
      <c r="D33" s="300">
        <f>[104]f!D33</f>
        <v>1.7532152950327572E-5</v>
      </c>
    </row>
    <row r="34" spans="1:4" s="276" customFormat="1" ht="35.25" customHeight="1" thickBot="1">
      <c r="A34" s="78">
        <v>2</v>
      </c>
      <c r="B34" s="78" t="s">
        <v>470</v>
      </c>
      <c r="C34" s="289">
        <f>[104]f!C34</f>
        <v>13581640582</v>
      </c>
      <c r="D34" s="305">
        <f>[104]f!D34</f>
        <v>1</v>
      </c>
    </row>
    <row r="35" spans="1:4" ht="19.5" customHeight="1">
      <c r="A35" s="28" t="str">
        <f>'[95]data '!$D$2</f>
        <v>Datenstand: 27.09.2002</v>
      </c>
      <c r="B35" s="268"/>
      <c r="C35" s="132"/>
      <c r="D35" s="424"/>
    </row>
  </sheetData>
  <phoneticPr fontId="0" type="noConversion"/>
  <pageMargins left="0.78740157480314965" right="0.78740157480314965" top="1.47" bottom="0.49" header="0.94" footer="0.4921259845"/>
  <pageSetup paperSize="9" scale="80" orientation="portrait" horizontalDpi="4294967292" verticalDpi="4294967292"/>
  <headerFooter alignWithMargins="0">
    <oddHeader>&amp;L&amp;"Arial,Bold"&amp;14Gesamtgeschäft der vom BSV anerkannten Krankenversicherer</oddHeader>
    <oddFooter>&amp;L&amp;"Arial,Regular"Statistik über die Krankenversicherung, Bundesamt für Sozialversicherung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28B9E-7B4B-F54F-BE3C-8705D4A48F7E}">
  <dimension ref="A1:AS32"/>
  <sheetViews>
    <sheetView zoomScale="75" workbookViewId="0">
      <selection activeCell="B5" sqref="B5"/>
    </sheetView>
  </sheetViews>
  <sheetFormatPr baseColWidth="10" defaultColWidth="11.3984375" defaultRowHeight="13"/>
  <cols>
    <col min="1" max="1" width="19" style="7" customWidth="1"/>
    <col min="2" max="2" width="9.796875" style="227" customWidth="1"/>
    <col min="3" max="11" width="9.796875" style="227" hidden="1" customWidth="1"/>
    <col min="12" max="12" width="9.796875" style="227" customWidth="1"/>
    <col min="13" max="21" width="9.796875" style="227" hidden="1" customWidth="1"/>
    <col min="22" max="22" width="9.796875" style="7" customWidth="1"/>
    <col min="23" max="26" width="9.796875" style="7" hidden="1" customWidth="1"/>
    <col min="27" max="27" width="9.19921875" style="7" customWidth="1"/>
    <col min="28" max="31" width="9.796875" style="7" hidden="1" customWidth="1"/>
    <col min="32" max="32" width="9.796875" style="7" customWidth="1"/>
    <col min="33" max="36" width="10.796875" style="7" hidden="1" customWidth="1"/>
    <col min="37" max="37" width="9.796875" style="7" customWidth="1"/>
    <col min="38" max="38" width="9.19921875" style="7" customWidth="1"/>
    <col min="39" max="40" width="9.796875" style="7" customWidth="1"/>
    <col min="41" max="41" width="10.19921875" style="7" customWidth="1"/>
    <col min="42" max="42" width="10.796875" style="7" customWidth="1"/>
    <col min="43" max="16384" width="11.3984375" style="7"/>
  </cols>
  <sheetData>
    <row r="1" spans="1:42" s="1" customFormat="1" ht="13.5" customHeight="1">
      <c r="A1" s="163"/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</row>
    <row r="2" spans="1:42" s="1" customFormat="1" ht="27" customHeight="1">
      <c r="A2" s="164" t="s">
        <v>471</v>
      </c>
      <c r="B2" s="220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</row>
    <row r="3" spans="1:42" ht="78" customHeight="1">
      <c r="A3" s="473" t="s">
        <v>472</v>
      </c>
      <c r="B3" s="474">
        <v>1960</v>
      </c>
      <c r="C3" s="474">
        <v>1961</v>
      </c>
      <c r="D3" s="474">
        <v>1962</v>
      </c>
      <c r="E3" s="474">
        <v>1963</v>
      </c>
      <c r="F3" s="474">
        <v>1964</v>
      </c>
      <c r="G3" s="474">
        <v>1965</v>
      </c>
      <c r="H3" s="474">
        <v>1966</v>
      </c>
      <c r="I3" s="474">
        <v>1967</v>
      </c>
      <c r="J3" s="474">
        <v>1968</v>
      </c>
      <c r="K3" s="474">
        <v>1969</v>
      </c>
      <c r="L3" s="475">
        <v>1970</v>
      </c>
      <c r="M3" s="475">
        <v>1971</v>
      </c>
      <c r="N3" s="475">
        <v>1972</v>
      </c>
      <c r="O3" s="475">
        <v>1973</v>
      </c>
      <c r="P3" s="475">
        <v>1974</v>
      </c>
      <c r="Q3" s="475">
        <v>1975</v>
      </c>
      <c r="R3" s="475">
        <v>1976</v>
      </c>
      <c r="S3" s="475">
        <v>1977</v>
      </c>
      <c r="T3" s="475">
        <v>1978</v>
      </c>
      <c r="U3" s="475">
        <v>1979</v>
      </c>
      <c r="V3" s="476">
        <v>1980</v>
      </c>
      <c r="W3" s="476">
        <v>1981</v>
      </c>
      <c r="X3" s="476">
        <v>1982</v>
      </c>
      <c r="Y3" s="476">
        <v>1983</v>
      </c>
      <c r="Z3" s="476">
        <v>1984</v>
      </c>
      <c r="AA3" s="475">
        <v>1985</v>
      </c>
      <c r="AB3" s="475">
        <v>1986</v>
      </c>
      <c r="AC3" s="475">
        <v>1987</v>
      </c>
      <c r="AD3" s="475">
        <v>1988</v>
      </c>
      <c r="AE3" s="475">
        <v>1989</v>
      </c>
      <c r="AF3" s="476">
        <v>1990</v>
      </c>
      <c r="AG3" s="476">
        <v>1991</v>
      </c>
      <c r="AH3" s="476">
        <v>1992</v>
      </c>
      <c r="AI3" s="476">
        <v>1993</v>
      </c>
      <c r="AJ3" s="476">
        <v>1994</v>
      </c>
      <c r="AK3" s="475">
        <v>1995</v>
      </c>
      <c r="AL3" s="476">
        <v>1996</v>
      </c>
      <c r="AM3" s="475">
        <v>1997</v>
      </c>
      <c r="AN3" s="476">
        <v>1998</v>
      </c>
      <c r="AO3" s="475">
        <v>1999</v>
      </c>
      <c r="AP3" s="476">
        <v>2000</v>
      </c>
    </row>
    <row r="4" spans="1:42" ht="30" customHeight="1" thickBot="1">
      <c r="A4" s="171" t="s">
        <v>499</v>
      </c>
      <c r="B4" s="146">
        <f>[105]f!B4</f>
        <v>4.2999999999999997E-2</v>
      </c>
      <c r="C4" s="146" t="str">
        <f>[105]f!C4</f>
        <v>-</v>
      </c>
      <c r="D4" s="146" t="str">
        <f>[105]f!D4</f>
        <v>-</v>
      </c>
      <c r="E4" s="146">
        <f>[105]f!E4</f>
        <v>4.4000000000000004E-2</v>
      </c>
      <c r="F4" s="146" t="str">
        <f>[105]f!F4</f>
        <v>-</v>
      </c>
      <c r="G4" s="146" t="str">
        <f>[105]f!G4</f>
        <v>-</v>
      </c>
      <c r="H4" s="146">
        <f>[105]f!H4</f>
        <v>4.4999999999999998E-2</v>
      </c>
      <c r="I4" s="146" t="str">
        <f>[105]f!I4</f>
        <v>-</v>
      </c>
      <c r="J4" s="146" t="str">
        <f>[105]f!J4</f>
        <v>-</v>
      </c>
      <c r="K4" s="146">
        <f>[105]f!K4</f>
        <v>4.9000000000000002E-2</v>
      </c>
      <c r="L4" s="51">
        <f>[105]f!L4</f>
        <v>4.5499999999999999E-2</v>
      </c>
      <c r="M4" s="51">
        <f>[105]f!M4</f>
        <v>5.5999999999999994E-2</v>
      </c>
      <c r="N4" s="51">
        <f>[105]f!N4</f>
        <v>5.5999999999999994E-2</v>
      </c>
      <c r="O4" s="51">
        <f>[105]f!O4</f>
        <v>5.5E-2</v>
      </c>
      <c r="P4" s="51">
        <f>[105]f!P4</f>
        <v>6.3E-2</v>
      </c>
      <c r="Q4" s="51">
        <f>[105]f!Q4</f>
        <v>7.2000000000000008E-2</v>
      </c>
      <c r="R4" s="51">
        <f>[105]f!R4</f>
        <v>7.2000000000000008E-2</v>
      </c>
      <c r="S4" s="51">
        <f>[105]f!S4</f>
        <v>7.400000000000001E-2</v>
      </c>
      <c r="T4" s="51">
        <f>[105]f!T4</f>
        <v>7.2999999999999995E-2</v>
      </c>
      <c r="U4" s="51">
        <f>[105]f!U4</f>
        <v>7.0000000000000007E-2</v>
      </c>
      <c r="V4" s="146">
        <f>[105]f!V4</f>
        <v>7.0000000000000007E-2</v>
      </c>
      <c r="W4" s="146">
        <f>[105]f!W4</f>
        <v>7.0000000000000007E-2</v>
      </c>
      <c r="X4" s="146">
        <f>[105]f!X4</f>
        <v>7.2999999999999995E-2</v>
      </c>
      <c r="Y4" s="146">
        <f>[105]f!Y4</f>
        <v>7.2999999999999995E-2</v>
      </c>
      <c r="Z4" s="146">
        <f>[105]f!Z4</f>
        <v>7.2999999999999995E-2</v>
      </c>
      <c r="AA4" s="51">
        <f>[105]f!AA4</f>
        <v>7.400000000000001E-2</v>
      </c>
      <c r="AB4" s="51">
        <f>[105]f!AB4</f>
        <v>7.6999999999999999E-2</v>
      </c>
      <c r="AC4" s="51">
        <f>[105]f!AC4</f>
        <v>7.400000000000001E-2</v>
      </c>
      <c r="AD4" s="51">
        <f>[105]f!AD4</f>
        <v>7.2999999999999995E-2</v>
      </c>
      <c r="AE4" s="51">
        <f>[105]f!AE4</f>
        <v>7.400000000000001E-2</v>
      </c>
      <c r="AF4" s="146">
        <f>[105]f!AF4</f>
        <v>7.8E-2</v>
      </c>
      <c r="AG4" s="146">
        <f>[105]f!AG4</f>
        <v>0.08</v>
      </c>
      <c r="AH4" s="146">
        <f>[105]f!AH4</f>
        <v>8.1000000000000003E-2</v>
      </c>
      <c r="AI4" s="146">
        <f>[105]f!AI4</f>
        <v>8.1000000000000003E-2</v>
      </c>
      <c r="AJ4" s="146">
        <f>[105]f!AJ4</f>
        <v>8.1000000000000003E-2</v>
      </c>
      <c r="AK4" s="51">
        <f>[105]f!AK4</f>
        <v>8.199999999999999E-2</v>
      </c>
      <c r="AL4" s="146">
        <f>[105]f!AL4</f>
        <v>8.3000000000000004E-2</v>
      </c>
      <c r="AM4" s="51">
        <f>[105]f!AM4</f>
        <v>8.4000000000000005E-2</v>
      </c>
      <c r="AN4" s="146">
        <f>[105]f!AN4</f>
        <v>8.5000000000000006E-2</v>
      </c>
      <c r="AO4" s="51" t="str">
        <f>[105]f!AO4</f>
        <v>-</v>
      </c>
      <c r="AP4" s="146" t="str">
        <f>[105]f!AP4</f>
        <v>-</v>
      </c>
    </row>
    <row r="5" spans="1:42" ht="18" customHeight="1" thickBot="1">
      <c r="A5" s="172" t="s">
        <v>500</v>
      </c>
      <c r="B5" s="190">
        <f>[105]f!B5</f>
        <v>3.4000000000000002E-2</v>
      </c>
      <c r="C5" s="190" t="str">
        <f>[105]f!C5</f>
        <v>-</v>
      </c>
      <c r="D5" s="190" t="str">
        <f>[105]f!D5</f>
        <v>-</v>
      </c>
      <c r="E5" s="190" t="str">
        <f>[105]f!E5</f>
        <v>-</v>
      </c>
      <c r="F5" s="190" t="str">
        <f>[105]f!F5</f>
        <v>-</v>
      </c>
      <c r="G5" s="190" t="str">
        <f>[105]f!G5</f>
        <v>-</v>
      </c>
      <c r="H5" s="190" t="str">
        <f>[105]f!H5</f>
        <v>-</v>
      </c>
      <c r="I5" s="190" t="str">
        <f>[105]f!I5</f>
        <v>-</v>
      </c>
      <c r="J5" s="190" t="str">
        <f>[105]f!J5</f>
        <v>-</v>
      </c>
      <c r="K5" s="190" t="str">
        <f>[105]f!K5</f>
        <v>-</v>
      </c>
      <c r="L5" s="55">
        <f>[105]f!L5</f>
        <v>0.04</v>
      </c>
      <c r="M5" s="55">
        <f>[105]f!M5</f>
        <v>4.0999999999999995E-2</v>
      </c>
      <c r="N5" s="55">
        <f>[105]f!N5</f>
        <v>4.2999999999999997E-2</v>
      </c>
      <c r="O5" s="55">
        <f>[105]f!O5</f>
        <v>4.5999999999999999E-2</v>
      </c>
      <c r="P5" s="55">
        <f>[105]f!P5</f>
        <v>4.5999999999999999E-2</v>
      </c>
      <c r="Q5" s="55">
        <f>[105]f!Q5</f>
        <v>5.7999999999999996E-2</v>
      </c>
      <c r="R5" s="55">
        <f>[105]f!R5</f>
        <v>0.06</v>
      </c>
      <c r="S5" s="55">
        <f>[105]f!S5</f>
        <v>6.5000000000000002E-2</v>
      </c>
      <c r="T5" s="55">
        <f>[105]f!T5</f>
        <v>6.7000000000000004E-2</v>
      </c>
      <c r="U5" s="55">
        <f>[105]f!U5</f>
        <v>6.7000000000000004E-2</v>
      </c>
      <c r="V5" s="190">
        <f>[105]f!V5</f>
        <v>6.4000000000000001E-2</v>
      </c>
      <c r="W5" s="190">
        <f>[105]f!W5</f>
        <v>6.9000000000000006E-2</v>
      </c>
      <c r="X5" s="190">
        <f>[105]f!X5</f>
        <v>7.0999999999999994E-2</v>
      </c>
      <c r="Y5" s="190">
        <f>[105]f!Y5</f>
        <v>7.2999999999999995E-2</v>
      </c>
      <c r="Z5" s="190">
        <f>[105]f!Z5</f>
        <v>7.0999999999999994E-2</v>
      </c>
      <c r="AA5" s="55">
        <f>[105]f!AA5</f>
        <v>7.2000000000000008E-2</v>
      </c>
      <c r="AB5" s="55">
        <f>[105]f!AB5</f>
        <v>7.2999999999999995E-2</v>
      </c>
      <c r="AC5" s="55">
        <f>[105]f!AC5</f>
        <v>7.400000000000001E-2</v>
      </c>
      <c r="AD5" s="55">
        <f>[105]f!AD5</f>
        <v>7.400000000000001E-2</v>
      </c>
      <c r="AE5" s="55">
        <f>[105]f!AE5</f>
        <v>7.2999999999999995E-2</v>
      </c>
      <c r="AF5" s="190">
        <f>[105]f!AF5</f>
        <v>7.400000000000001E-2</v>
      </c>
      <c r="AG5" s="190">
        <f>[105]f!AG5</f>
        <v>7.6999999999999999E-2</v>
      </c>
      <c r="AH5" s="190">
        <f>[105]f!AH5</f>
        <v>7.9000000000000001E-2</v>
      </c>
      <c r="AI5" s="190">
        <f>[105]f!AI5</f>
        <v>8.1000000000000003E-2</v>
      </c>
      <c r="AJ5" s="190">
        <f>[105]f!AJ5</f>
        <v>7.9000000000000001E-2</v>
      </c>
      <c r="AK5" s="55">
        <f>[105]f!AK5</f>
        <v>8.6999999999999994E-2</v>
      </c>
      <c r="AL5" s="190">
        <f>[105]f!AL5</f>
        <v>8.8000000000000009E-2</v>
      </c>
      <c r="AM5" s="55">
        <f>[105]f!AM5</f>
        <v>8.5000000000000006E-2</v>
      </c>
      <c r="AN5" s="190">
        <f>[105]f!AN5</f>
        <v>8.5000000000000006E-2</v>
      </c>
      <c r="AO5" s="55">
        <f>[105]f!AO5</f>
        <v>8.6999999999999994E-2</v>
      </c>
      <c r="AP5" s="190">
        <f>[105]f!AP5</f>
        <v>8.6999999999999994E-2</v>
      </c>
    </row>
    <row r="6" spans="1:42" ht="18" customHeight="1" thickBot="1">
      <c r="A6" s="172" t="s">
        <v>501</v>
      </c>
      <c r="B6" s="190" t="str">
        <f>[105]f!B6</f>
        <v>-</v>
      </c>
      <c r="C6" s="190" t="str">
        <f>[105]f!C6</f>
        <v>-</v>
      </c>
      <c r="D6" s="190" t="str">
        <f>[105]f!D6</f>
        <v>-</v>
      </c>
      <c r="E6" s="190" t="str">
        <f>[105]f!E6</f>
        <v>-</v>
      </c>
      <c r="F6" s="190" t="str">
        <f>[105]f!F6</f>
        <v>-</v>
      </c>
      <c r="G6" s="190" t="str">
        <f>[105]f!G6</f>
        <v>-</v>
      </c>
      <c r="H6" s="190" t="str">
        <f>[105]f!H6</f>
        <v>-</v>
      </c>
      <c r="I6" s="190" t="str">
        <f>[105]f!I6</f>
        <v>-</v>
      </c>
      <c r="J6" s="190" t="str">
        <f>[105]f!J6</f>
        <v>-</v>
      </c>
      <c r="K6" s="190" t="str">
        <f>[105]f!K6</f>
        <v>-</v>
      </c>
      <c r="L6" s="55" t="str">
        <f>[105]f!L6</f>
        <v>-</v>
      </c>
      <c r="M6" s="55">
        <f>[105]f!M6</f>
        <v>0.08</v>
      </c>
      <c r="N6" s="55">
        <f>[105]f!N6</f>
        <v>8.1000000000000003E-2</v>
      </c>
      <c r="O6" s="55">
        <f>[105]f!O6</f>
        <v>7.9000000000000001E-2</v>
      </c>
      <c r="P6" s="55">
        <f>[105]f!P6</f>
        <v>8.5999999999999993E-2</v>
      </c>
      <c r="Q6" s="55">
        <f>[105]f!Q6</f>
        <v>8.900000000000001E-2</v>
      </c>
      <c r="R6" s="55">
        <f>[105]f!R6</f>
        <v>8.8000000000000009E-2</v>
      </c>
      <c r="S6" s="55">
        <f>[105]f!S6</f>
        <v>8.5999999999999993E-2</v>
      </c>
      <c r="T6" s="55">
        <f>[105]f!T6</f>
        <v>8.6999999999999994E-2</v>
      </c>
      <c r="U6" s="55">
        <f>[105]f!U6</f>
        <v>8.8000000000000009E-2</v>
      </c>
      <c r="V6" s="190">
        <f>[105]f!V6</f>
        <v>9.0999999999999998E-2</v>
      </c>
      <c r="W6" s="190">
        <f>[105]f!W6</f>
        <v>9.3000000000000013E-2</v>
      </c>
      <c r="X6" s="190">
        <f>[105]f!X6</f>
        <v>9.3000000000000013E-2</v>
      </c>
      <c r="Y6" s="190">
        <f>[105]f!Y6</f>
        <v>0.09</v>
      </c>
      <c r="Z6" s="190">
        <f>[105]f!Z6</f>
        <v>8.6999999999999994E-2</v>
      </c>
      <c r="AA6" s="55">
        <f>[105]f!AA6</f>
        <v>8.6999999999999994E-2</v>
      </c>
      <c r="AB6" s="55">
        <f>[105]f!AB6</f>
        <v>8.3000000000000004E-2</v>
      </c>
      <c r="AC6" s="55">
        <f>[105]f!AC6</f>
        <v>8.5999999999999993E-2</v>
      </c>
      <c r="AD6" s="55">
        <f>[105]f!AD6</f>
        <v>8.8000000000000009E-2</v>
      </c>
      <c r="AE6" s="55">
        <f>[105]f!AE6</f>
        <v>8.5999999999999993E-2</v>
      </c>
      <c r="AF6" s="190">
        <f>[105]f!AF6</f>
        <v>8.5000000000000006E-2</v>
      </c>
      <c r="AG6" s="190">
        <f>[105]f!AG6</f>
        <v>8.4000000000000005E-2</v>
      </c>
      <c r="AH6" s="190">
        <f>[105]f!AH6</f>
        <v>8.5000000000000006E-2</v>
      </c>
      <c r="AI6" s="190">
        <f>[105]f!AI6</f>
        <v>8.8000000000000009E-2</v>
      </c>
      <c r="AJ6" s="190">
        <f>[105]f!AJ6</f>
        <v>8.5000000000000006E-2</v>
      </c>
      <c r="AK6" s="55">
        <f>[105]f!AK6</f>
        <v>8.199999999999999E-2</v>
      </c>
      <c r="AL6" s="190">
        <f>[105]f!AL6</f>
        <v>8.3000000000000004E-2</v>
      </c>
      <c r="AM6" s="55">
        <f>[105]f!AM6</f>
        <v>8.199999999999999E-2</v>
      </c>
      <c r="AN6" s="190">
        <f>[105]f!AN6</f>
        <v>8.4000000000000005E-2</v>
      </c>
      <c r="AO6" s="55">
        <f>[105]f!AO6</f>
        <v>8.5000000000000006E-2</v>
      </c>
      <c r="AP6" s="190">
        <f>[105]f!AP6</f>
        <v>8.3000000000000004E-2</v>
      </c>
    </row>
    <row r="7" spans="1:42" ht="18" customHeight="1" thickBot="1">
      <c r="A7" s="172" t="s">
        <v>502</v>
      </c>
      <c r="B7" s="190">
        <f>[105]f!B7</f>
        <v>4.8000000000000001E-2</v>
      </c>
      <c r="C7" s="190">
        <f>[105]f!C7</f>
        <v>4.8000000000000001E-2</v>
      </c>
      <c r="D7" s="190">
        <f>[105]f!D7</f>
        <v>0.05</v>
      </c>
      <c r="E7" s="190">
        <f>[105]f!E7</f>
        <v>4.9000000000000002E-2</v>
      </c>
      <c r="F7" s="190">
        <f>[105]f!F7</f>
        <v>4.9000000000000002E-2</v>
      </c>
      <c r="G7" s="190">
        <f>[105]f!G7</f>
        <v>5.0999999999999997E-2</v>
      </c>
      <c r="H7" s="190">
        <f>[105]f!H7</f>
        <v>5.5E-2</v>
      </c>
      <c r="I7" s="190">
        <f>[105]f!I7</f>
        <v>5.7000000000000002E-2</v>
      </c>
      <c r="J7" s="190">
        <f>[105]f!J7</f>
        <v>5.7999999999999996E-2</v>
      </c>
      <c r="K7" s="190">
        <f>[105]f!K7</f>
        <v>5.7999999999999996E-2</v>
      </c>
      <c r="L7" s="55">
        <f>[105]f!L7</f>
        <v>6.3E-2</v>
      </c>
      <c r="M7" s="55">
        <f>[105]f!M7</f>
        <v>6.8000000000000005E-2</v>
      </c>
      <c r="N7" s="55">
        <f>[105]f!N7</f>
        <v>7.0999999999999994E-2</v>
      </c>
      <c r="O7" s="55">
        <f>[105]f!O7</f>
        <v>7.400000000000001E-2</v>
      </c>
      <c r="P7" s="55">
        <f>[105]f!P7</f>
        <v>0.08</v>
      </c>
      <c r="Q7" s="55">
        <f>[105]f!Q7</f>
        <v>8.8000000000000009E-2</v>
      </c>
      <c r="R7" s="55">
        <f>[105]f!R7</f>
        <v>8.6999999999999994E-2</v>
      </c>
      <c r="S7" s="55">
        <f>[105]f!S7</f>
        <v>8.5999999999999993E-2</v>
      </c>
      <c r="T7" s="55">
        <f>[105]f!T7</f>
        <v>8.6999999999999994E-2</v>
      </c>
      <c r="U7" s="55">
        <f>[105]f!U7</f>
        <v>8.5000000000000006E-2</v>
      </c>
      <c r="V7" s="190">
        <f>[105]f!V7</f>
        <v>8.8000000000000009E-2</v>
      </c>
      <c r="W7" s="190">
        <f>[105]f!W7</f>
        <v>9.1999999999999998E-2</v>
      </c>
      <c r="X7" s="190">
        <f>[105]f!X7</f>
        <v>9.0999999999999998E-2</v>
      </c>
      <c r="Y7" s="190">
        <f>[105]f!Y7</f>
        <v>0.09</v>
      </c>
      <c r="Z7" s="190">
        <f>[105]f!Z7</f>
        <v>9.0999999999999998E-2</v>
      </c>
      <c r="AA7" s="55">
        <f>[105]f!AA7</f>
        <v>9.3000000000000013E-2</v>
      </c>
      <c r="AB7" s="55">
        <f>[105]f!AB7</f>
        <v>9.0999999999999998E-2</v>
      </c>
      <c r="AC7" s="55">
        <f>[105]f!AC7</f>
        <v>9.1999999999999998E-2</v>
      </c>
      <c r="AD7" s="55">
        <f>[105]f!AD7</f>
        <v>9.4E-2</v>
      </c>
      <c r="AE7" s="55">
        <f>[105]f!AE7</f>
        <v>8.8000000000000009E-2</v>
      </c>
      <c r="AF7" s="190">
        <f>[105]f!AF7</f>
        <v>8.6999999999999994E-2</v>
      </c>
      <c r="AG7" s="190">
        <f>[105]f!AG7</f>
        <v>9.0999999999999998E-2</v>
      </c>
      <c r="AH7" s="190">
        <f>[105]f!AH7</f>
        <v>9.6999999999999989E-2</v>
      </c>
      <c r="AI7" s="190">
        <f>[105]f!AI7</f>
        <v>9.6999999999999989E-2</v>
      </c>
      <c r="AJ7" s="190">
        <f>[105]f!AJ7</f>
        <v>9.8000000000000004E-2</v>
      </c>
      <c r="AK7" s="55">
        <f>[105]f!AK7</f>
        <v>0.10199999999999999</v>
      </c>
      <c r="AL7" s="190">
        <f>[105]f!AL7</f>
        <v>0.106</v>
      </c>
      <c r="AM7" s="55">
        <f>[105]f!AM7</f>
        <v>0.105</v>
      </c>
      <c r="AN7" s="190">
        <f>[105]f!AN7</f>
        <v>0.10300000000000001</v>
      </c>
      <c r="AO7" s="55" t="str">
        <f>[105]f!AO7</f>
        <v>-</v>
      </c>
      <c r="AP7" s="190" t="str">
        <f>[105]f!AP7</f>
        <v>-</v>
      </c>
    </row>
    <row r="8" spans="1:42" ht="18" customHeight="1" thickBot="1">
      <c r="A8" s="172" t="s">
        <v>503</v>
      </c>
      <c r="B8" s="190">
        <f>[105]f!B8</f>
        <v>3.9E-2</v>
      </c>
      <c r="C8" s="190">
        <f>[105]f!C8</f>
        <v>3.9E-2</v>
      </c>
      <c r="D8" s="190">
        <f>[105]f!D8</f>
        <v>4.0999999999999995E-2</v>
      </c>
      <c r="E8" s="190">
        <f>[105]f!E8</f>
        <v>4.2999999999999997E-2</v>
      </c>
      <c r="F8" s="190">
        <f>[105]f!F8</f>
        <v>4.4999999999999998E-2</v>
      </c>
      <c r="G8" s="190">
        <f>[105]f!G8</f>
        <v>4.9000000000000002E-2</v>
      </c>
      <c r="H8" s="190">
        <f>[105]f!H8</f>
        <v>5.0999999999999997E-2</v>
      </c>
      <c r="I8" s="190">
        <f>[105]f!I8</f>
        <v>5.5999999999999994E-2</v>
      </c>
      <c r="J8" s="190">
        <f>[105]f!J8</f>
        <v>5.7999999999999996E-2</v>
      </c>
      <c r="K8" s="190">
        <f>[105]f!K8</f>
        <v>5.7999999999999996E-2</v>
      </c>
      <c r="L8" s="55">
        <f>[105]f!L8</f>
        <v>5.5999999999999994E-2</v>
      </c>
      <c r="M8" s="55">
        <f>[105]f!M8</f>
        <v>5.7000000000000002E-2</v>
      </c>
      <c r="N8" s="55">
        <f>[105]f!N8</f>
        <v>5.9000000000000004E-2</v>
      </c>
      <c r="O8" s="55">
        <f>[105]f!O8</f>
        <v>5.7000000000000002E-2</v>
      </c>
      <c r="P8" s="55">
        <f>[105]f!P8</f>
        <v>5.7000000000000002E-2</v>
      </c>
      <c r="Q8" s="55">
        <f>[105]f!Q8</f>
        <v>6.2E-2</v>
      </c>
      <c r="R8" s="55">
        <f>[105]f!R8</f>
        <v>6.5000000000000002E-2</v>
      </c>
      <c r="S8" s="55">
        <f>[105]f!S8</f>
        <v>6.7000000000000004E-2</v>
      </c>
      <c r="T8" s="55">
        <f>[105]f!T8</f>
        <v>6.7000000000000004E-2</v>
      </c>
      <c r="U8" s="55">
        <f>[105]f!U8</f>
        <v>6.4000000000000001E-2</v>
      </c>
      <c r="V8" s="190">
        <f>[105]f!V8</f>
        <v>6.4000000000000001E-2</v>
      </c>
      <c r="W8" s="190">
        <f>[105]f!W8</f>
        <v>6.5000000000000002E-2</v>
      </c>
      <c r="X8" s="190">
        <f>[105]f!X8</f>
        <v>6.7000000000000004E-2</v>
      </c>
      <c r="Y8" s="190">
        <f>[105]f!Y8</f>
        <v>6.8000000000000005E-2</v>
      </c>
      <c r="Z8" s="190">
        <f>[105]f!Z8</f>
        <v>6.8000000000000005E-2</v>
      </c>
      <c r="AA8" s="55">
        <f>[105]f!AA8</f>
        <v>7.2000000000000008E-2</v>
      </c>
      <c r="AB8" s="55">
        <f>[105]f!AB8</f>
        <v>7.2999999999999995E-2</v>
      </c>
      <c r="AC8" s="55">
        <f>[105]f!AC8</f>
        <v>7.400000000000001E-2</v>
      </c>
      <c r="AD8" s="55">
        <f>[105]f!AD8</f>
        <v>7.2000000000000008E-2</v>
      </c>
      <c r="AE8" s="55">
        <f>[105]f!AE8</f>
        <v>7.2000000000000008E-2</v>
      </c>
      <c r="AF8" s="190">
        <f>[105]f!AF8</f>
        <v>7.9000000000000001E-2</v>
      </c>
      <c r="AG8" s="190">
        <f>[105]f!AG8</f>
        <v>0.09</v>
      </c>
      <c r="AH8" s="190">
        <f>[105]f!AH8</f>
        <v>9.0999999999999998E-2</v>
      </c>
      <c r="AI8" s="190">
        <f>[105]f!AI8</f>
        <v>8.3000000000000004E-2</v>
      </c>
      <c r="AJ8" s="190">
        <f>[105]f!AJ8</f>
        <v>7.8E-2</v>
      </c>
      <c r="AK8" s="55">
        <f>[105]f!AK8</f>
        <v>7.4999999999999997E-2</v>
      </c>
      <c r="AL8" s="190">
        <f>[105]f!AL8</f>
        <v>7.6999999999999999E-2</v>
      </c>
      <c r="AM8" s="55">
        <f>[105]f!AM8</f>
        <v>7.2999999999999995E-2</v>
      </c>
      <c r="AN8" s="190">
        <f>[105]f!AN8</f>
        <v>6.9000000000000006E-2</v>
      </c>
      <c r="AO8" s="55">
        <f>[105]f!AO8</f>
        <v>6.9000000000000006E-2</v>
      </c>
      <c r="AP8" s="190">
        <f>[105]f!AP8</f>
        <v>6.6000000000000003E-2</v>
      </c>
    </row>
    <row r="9" spans="1:42" ht="18" customHeight="1" thickBot="1">
      <c r="A9" s="172" t="s">
        <v>504</v>
      </c>
      <c r="B9" s="190">
        <f>[105]f!B9</f>
        <v>4.0999999999999995E-2</v>
      </c>
      <c r="C9" s="190">
        <f>[105]f!C9</f>
        <v>4.4000000000000004E-2</v>
      </c>
      <c r="D9" s="190">
        <f>[105]f!D9</f>
        <v>4.4999999999999998E-2</v>
      </c>
      <c r="E9" s="190">
        <f>[105]f!E9</f>
        <v>4.7E-2</v>
      </c>
      <c r="F9" s="190">
        <f>[105]f!F9</f>
        <v>4.9000000000000002E-2</v>
      </c>
      <c r="G9" s="190">
        <f>[105]f!G9</f>
        <v>5.0999999999999997E-2</v>
      </c>
      <c r="H9" s="190">
        <f>[105]f!H9</f>
        <v>5.2999999999999999E-2</v>
      </c>
      <c r="I9" s="190">
        <f>[105]f!I9</f>
        <v>5.4000000000000006E-2</v>
      </c>
      <c r="J9" s="190">
        <f>[105]f!J9</f>
        <v>5.2999999999999999E-2</v>
      </c>
      <c r="K9" s="190">
        <f>[105]f!K9</f>
        <v>5.7000000000000002E-2</v>
      </c>
      <c r="L9" s="55">
        <f>[105]f!L9</f>
        <v>5.7000000000000002E-2</v>
      </c>
      <c r="M9" s="55">
        <f>[105]f!M9</f>
        <v>5.9000000000000004E-2</v>
      </c>
      <c r="N9" s="55">
        <f>[105]f!N9</f>
        <v>0.06</v>
      </c>
      <c r="O9" s="55">
        <f>[105]f!O9</f>
        <v>0.06</v>
      </c>
      <c r="P9" s="55">
        <f>[105]f!P9</f>
        <v>6.0999999999999999E-2</v>
      </c>
      <c r="Q9" s="55">
        <f>[105]f!Q9</f>
        <v>6.8000000000000005E-2</v>
      </c>
      <c r="R9" s="55">
        <f>[105]f!R9</f>
        <v>6.8000000000000005E-2</v>
      </c>
      <c r="S9" s="55">
        <f>[105]f!S9</f>
        <v>6.8000000000000005E-2</v>
      </c>
      <c r="T9" s="55">
        <f>[105]f!T9</f>
        <v>7.0999999999999994E-2</v>
      </c>
      <c r="U9" s="55">
        <f>[105]f!U9</f>
        <v>7.2000000000000008E-2</v>
      </c>
      <c r="V9" s="190">
        <f>[105]f!V9</f>
        <v>7.400000000000001E-2</v>
      </c>
      <c r="W9" s="190">
        <f>[105]f!W9</f>
        <v>7.6999999999999999E-2</v>
      </c>
      <c r="X9" s="190">
        <f>[105]f!X9</f>
        <v>7.8E-2</v>
      </c>
      <c r="Y9" s="190">
        <f>[105]f!Y9</f>
        <v>0.08</v>
      </c>
      <c r="Z9" s="190">
        <f>[105]f!Z9</f>
        <v>8.3000000000000004E-2</v>
      </c>
      <c r="AA9" s="55">
        <f>[105]f!AA9</f>
        <v>8.3000000000000004E-2</v>
      </c>
      <c r="AB9" s="55" t="str">
        <f>[105]f!AB9</f>
        <v>-</v>
      </c>
      <c r="AC9" s="55" t="str">
        <f>[105]f!AC9</f>
        <v>-</v>
      </c>
      <c r="AD9" s="55" t="str">
        <f>[105]f!AD9</f>
        <v>-</v>
      </c>
      <c r="AE9" s="55" t="str">
        <f>[105]f!AE9</f>
        <v>-</v>
      </c>
      <c r="AF9" s="190">
        <f>[105]f!AF9</f>
        <v>8.5999999999999993E-2</v>
      </c>
      <c r="AG9" s="190">
        <f>[105]f!AG9</f>
        <v>8.900000000000001E-2</v>
      </c>
      <c r="AH9" s="190">
        <f>[105]f!AH9</f>
        <v>9.0999999999999998E-2</v>
      </c>
      <c r="AI9" s="190">
        <f>[105]f!AI9</f>
        <v>9.5000000000000001E-2</v>
      </c>
      <c r="AJ9" s="190">
        <f>[105]f!AJ9</f>
        <v>9.4E-2</v>
      </c>
      <c r="AK9" s="55">
        <f>[105]f!AK9</f>
        <v>9.6000000000000002E-2</v>
      </c>
      <c r="AL9" s="190">
        <f>[105]f!AL9</f>
        <v>9.6000000000000002E-2</v>
      </c>
      <c r="AM9" s="55">
        <f>[105]f!AM9</f>
        <v>9.4E-2</v>
      </c>
      <c r="AN9" s="190">
        <f>[105]f!AN9</f>
        <v>9.3000000000000013E-2</v>
      </c>
      <c r="AO9" s="55">
        <f>[105]f!AO9</f>
        <v>9.4E-2</v>
      </c>
      <c r="AP9" s="190">
        <f>[105]f!AP9</f>
        <v>9.5000000000000001E-2</v>
      </c>
    </row>
    <row r="10" spans="1:42" ht="18" customHeight="1" thickBot="1">
      <c r="A10" s="172" t="s">
        <v>505</v>
      </c>
      <c r="B10" s="190">
        <f>[105]f!B10</f>
        <v>3.9E-2</v>
      </c>
      <c r="C10" s="190">
        <f>[105]f!C10</f>
        <v>0.04</v>
      </c>
      <c r="D10" s="190">
        <f>[105]f!D10</f>
        <v>0.04</v>
      </c>
      <c r="E10" s="190">
        <f>[105]f!E10</f>
        <v>4.0999999999999995E-2</v>
      </c>
      <c r="F10" s="190">
        <f>[105]f!F10</f>
        <v>4.0999999999999995E-2</v>
      </c>
      <c r="G10" s="190">
        <f>[105]f!G10</f>
        <v>4.0999999999999995E-2</v>
      </c>
      <c r="H10" s="190">
        <f>[105]f!H10</f>
        <v>4.2000000000000003E-2</v>
      </c>
      <c r="I10" s="190">
        <f>[105]f!I10</f>
        <v>4.4000000000000004E-2</v>
      </c>
      <c r="J10" s="190">
        <f>[105]f!J10</f>
        <v>4.4999999999999998E-2</v>
      </c>
      <c r="K10" s="190">
        <f>[105]f!K10</f>
        <v>4.4000000000000004E-2</v>
      </c>
      <c r="L10" s="55">
        <f>[105]f!L10</f>
        <v>4.4999999999999998E-2</v>
      </c>
      <c r="M10" s="55">
        <f>[105]f!M10</f>
        <v>4.5999999999999999E-2</v>
      </c>
      <c r="N10" s="55">
        <f>[105]f!N10</f>
        <v>4.7E-2</v>
      </c>
      <c r="O10" s="55">
        <f>[105]f!O10</f>
        <v>4.7E-2</v>
      </c>
      <c r="P10" s="55">
        <f>[105]f!P10</f>
        <v>5.2000000000000005E-2</v>
      </c>
      <c r="Q10" s="55">
        <f>[105]f!Q10</f>
        <v>5.5E-2</v>
      </c>
      <c r="R10" s="55">
        <f>[105]f!R10</f>
        <v>5.5E-2</v>
      </c>
      <c r="S10" s="55">
        <f>[105]f!S10</f>
        <v>5.2999999999999999E-2</v>
      </c>
      <c r="T10" s="55">
        <f>[105]f!T10</f>
        <v>5.2999999999999999E-2</v>
      </c>
      <c r="U10" s="55">
        <f>[105]f!U10</f>
        <v>5.2999999999999999E-2</v>
      </c>
      <c r="V10" s="190">
        <f>[105]f!V10</f>
        <v>5.5999999999999994E-2</v>
      </c>
      <c r="W10" s="190">
        <f>[105]f!W10</f>
        <v>5.9000000000000004E-2</v>
      </c>
      <c r="X10" s="190">
        <f>[105]f!X10</f>
        <v>5.7999999999999996E-2</v>
      </c>
      <c r="Y10" s="190">
        <f>[105]f!Y10</f>
        <v>0.06</v>
      </c>
      <c r="Z10" s="190">
        <f>[105]f!Z10</f>
        <v>0.06</v>
      </c>
      <c r="AA10" s="55">
        <f>[105]f!AA10</f>
        <v>5.9000000000000004E-2</v>
      </c>
      <c r="AB10" s="55">
        <f>[105]f!AB10</f>
        <v>5.9000000000000004E-2</v>
      </c>
      <c r="AC10" s="55">
        <f>[105]f!AC10</f>
        <v>0.06</v>
      </c>
      <c r="AD10" s="55">
        <f>[105]f!AD10</f>
        <v>5.9000000000000004E-2</v>
      </c>
      <c r="AE10" s="55">
        <f>[105]f!AE10</f>
        <v>5.9000000000000004E-2</v>
      </c>
      <c r="AF10" s="190">
        <f>[105]f!AF10</f>
        <v>0.06</v>
      </c>
      <c r="AG10" s="190">
        <f>[105]f!AG10</f>
        <v>6.5000000000000002E-2</v>
      </c>
      <c r="AH10" s="190">
        <f>[105]f!AH10</f>
        <v>6.9000000000000006E-2</v>
      </c>
      <c r="AI10" s="190">
        <f>[105]f!AI10</f>
        <v>6.9000000000000006E-2</v>
      </c>
      <c r="AJ10" s="190">
        <f>[105]f!AJ10</f>
        <v>7.0000000000000007E-2</v>
      </c>
      <c r="AK10" s="55">
        <f>[105]f!AK10</f>
        <v>7.0000000000000007E-2</v>
      </c>
      <c r="AL10" s="190">
        <f>[105]f!AL10</f>
        <v>7.0000000000000007E-2</v>
      </c>
      <c r="AM10" s="55">
        <f>[105]f!AM10</f>
        <v>6.8000000000000005E-2</v>
      </c>
      <c r="AN10" s="190">
        <f>[105]f!AN10</f>
        <v>6.8000000000000005E-2</v>
      </c>
      <c r="AO10" s="55">
        <f>[105]f!AO10</f>
        <v>7.0999999999999994E-2</v>
      </c>
      <c r="AP10" s="190">
        <f>[105]f!AP10</f>
        <v>7.2999999999999995E-2</v>
      </c>
    </row>
    <row r="11" spans="1:42" ht="18" customHeight="1" thickBot="1">
      <c r="A11" s="172" t="s">
        <v>506</v>
      </c>
      <c r="B11" s="190">
        <f>[105]f!B11</f>
        <v>3.6000000000000004E-2</v>
      </c>
      <c r="C11" s="190">
        <f>[105]f!C11</f>
        <v>3.6000000000000004E-2</v>
      </c>
      <c r="D11" s="190">
        <f>[105]f!D11</f>
        <v>3.5000000000000003E-2</v>
      </c>
      <c r="E11" s="190">
        <f>[105]f!E11</f>
        <v>3.7000000000000005E-2</v>
      </c>
      <c r="F11" s="190">
        <f>[105]f!F11</f>
        <v>0.04</v>
      </c>
      <c r="G11" s="190">
        <f>[105]f!G11</f>
        <v>4.2999999999999997E-2</v>
      </c>
      <c r="H11" s="190">
        <f>[105]f!H11</f>
        <v>4.4999999999999998E-2</v>
      </c>
      <c r="I11" s="190">
        <f>[105]f!I11</f>
        <v>4.7E-2</v>
      </c>
      <c r="J11" s="190">
        <f>[105]f!J11</f>
        <v>4.8000000000000001E-2</v>
      </c>
      <c r="K11" s="190">
        <f>[105]f!K11</f>
        <v>4.9000000000000002E-2</v>
      </c>
      <c r="L11" s="55">
        <f>[105]f!L11</f>
        <v>5.0999999999999997E-2</v>
      </c>
      <c r="M11" s="55">
        <f>[105]f!M11</f>
        <v>5.5E-2</v>
      </c>
      <c r="N11" s="55">
        <f>[105]f!N11</f>
        <v>5.9000000000000004E-2</v>
      </c>
      <c r="O11" s="55">
        <f>[105]f!O11</f>
        <v>5.9000000000000004E-2</v>
      </c>
      <c r="P11" s="55">
        <f>[105]f!P11</f>
        <v>5.9000000000000004E-2</v>
      </c>
      <c r="Q11" s="55">
        <f>[105]f!Q11</f>
        <v>6.2E-2</v>
      </c>
      <c r="R11" s="55">
        <f>[105]f!R11</f>
        <v>6.0999999999999999E-2</v>
      </c>
      <c r="S11" s="55">
        <f>[105]f!S11</f>
        <v>5.7000000000000002E-2</v>
      </c>
      <c r="T11" s="55">
        <f>[105]f!T11</f>
        <v>5.9000000000000004E-2</v>
      </c>
      <c r="U11" s="55">
        <f>[105]f!U11</f>
        <v>6.0999999999999999E-2</v>
      </c>
      <c r="V11" s="190">
        <f>[105]f!V11</f>
        <v>7.0000000000000007E-2</v>
      </c>
      <c r="W11" s="190">
        <f>[105]f!W11</f>
        <v>6.9000000000000006E-2</v>
      </c>
      <c r="X11" s="190">
        <f>[105]f!X11</f>
        <v>7.0000000000000007E-2</v>
      </c>
      <c r="Y11" s="190">
        <f>[105]f!Y11</f>
        <v>7.0999999999999994E-2</v>
      </c>
      <c r="Z11" s="190">
        <f>[105]f!Z11</f>
        <v>6.9000000000000006E-2</v>
      </c>
      <c r="AA11" s="55">
        <f>[105]f!AA11</f>
        <v>7.0000000000000007E-2</v>
      </c>
      <c r="AB11" s="55" t="str">
        <f>[105]f!AB11</f>
        <v>-</v>
      </c>
      <c r="AC11" s="55" t="str">
        <f>[105]f!AC11</f>
        <v>-</v>
      </c>
      <c r="AD11" s="55">
        <f>[105]f!AD11</f>
        <v>7.6999999999999999E-2</v>
      </c>
      <c r="AE11" s="55">
        <f>[105]f!AE11</f>
        <v>7.6999999999999999E-2</v>
      </c>
      <c r="AF11" s="190">
        <f>[105]f!AF11</f>
        <v>0.08</v>
      </c>
      <c r="AG11" s="190">
        <f>[105]f!AG11</f>
        <v>8.3000000000000004E-2</v>
      </c>
      <c r="AH11" s="190">
        <f>[105]f!AH11</f>
        <v>8.4000000000000005E-2</v>
      </c>
      <c r="AI11" s="190">
        <f>[105]f!AI11</f>
        <v>8.1000000000000003E-2</v>
      </c>
      <c r="AJ11" s="190">
        <f>[105]f!AJ11</f>
        <v>7.8E-2</v>
      </c>
      <c r="AK11" s="55">
        <f>[105]f!AK11</f>
        <v>7.400000000000001E-2</v>
      </c>
      <c r="AL11" s="190">
        <f>[105]f!AL11</f>
        <v>7.4999999999999997E-2</v>
      </c>
      <c r="AM11" s="55">
        <f>[105]f!AM11</f>
        <v>7.6999999999999999E-2</v>
      </c>
      <c r="AN11" s="190">
        <f>[105]f!AN11</f>
        <v>7.6999999999999999E-2</v>
      </c>
      <c r="AO11" s="55">
        <f>[105]f!AO11</f>
        <v>7.8E-2</v>
      </c>
      <c r="AP11" s="190">
        <f>[105]f!AP11</f>
        <v>8.1000000000000003E-2</v>
      </c>
    </row>
    <row r="12" spans="1:42" ht="18" customHeight="1" thickBot="1">
      <c r="A12" s="172" t="s">
        <v>507</v>
      </c>
      <c r="B12" s="190">
        <f>[105]f!B12</f>
        <v>0.03</v>
      </c>
      <c r="C12" s="190">
        <f>[105]f!C12</f>
        <v>3.4000000000000002E-2</v>
      </c>
      <c r="D12" s="190">
        <f>[105]f!D12</f>
        <v>3.6000000000000004E-2</v>
      </c>
      <c r="E12" s="190">
        <f>[105]f!E12</f>
        <v>3.9E-2</v>
      </c>
      <c r="F12" s="190">
        <f>[105]f!F12</f>
        <v>3.5000000000000003E-2</v>
      </c>
      <c r="G12" s="190">
        <f>[105]f!G12</f>
        <v>4.4999999999999998E-2</v>
      </c>
      <c r="H12" s="190">
        <f>[105]f!H12</f>
        <v>4.5999999999999999E-2</v>
      </c>
      <c r="I12" s="190">
        <f>[105]f!I12</f>
        <v>4.7E-2</v>
      </c>
      <c r="J12" s="190">
        <f>[105]f!J12</f>
        <v>4.7E-2</v>
      </c>
      <c r="K12" s="190">
        <f>[105]f!K12</f>
        <v>4.5999999999999999E-2</v>
      </c>
      <c r="L12" s="55">
        <f>[105]f!L12</f>
        <v>4.4999999999999998E-2</v>
      </c>
      <c r="M12" s="55">
        <f>[105]f!M12</f>
        <v>4.5999999999999999E-2</v>
      </c>
      <c r="N12" s="55">
        <f>[105]f!N12</f>
        <v>4.7E-2</v>
      </c>
      <c r="O12" s="55">
        <f>[105]f!O12</f>
        <v>4.5999999999999999E-2</v>
      </c>
      <c r="P12" s="55">
        <f>[105]f!P12</f>
        <v>0.05</v>
      </c>
      <c r="Q12" s="55">
        <f>[105]f!Q12</f>
        <v>5.5999999999999994E-2</v>
      </c>
      <c r="R12" s="55">
        <f>[105]f!R12</f>
        <v>5.5999999999999994E-2</v>
      </c>
      <c r="S12" s="55">
        <f>[105]f!S12</f>
        <v>5.7000000000000002E-2</v>
      </c>
      <c r="T12" s="55">
        <f>[105]f!T12</f>
        <v>5.9000000000000004E-2</v>
      </c>
      <c r="U12" s="55">
        <f>[105]f!U12</f>
        <v>0.06</v>
      </c>
      <c r="V12" s="190">
        <f>[105]f!V12</f>
        <v>6.4000000000000001E-2</v>
      </c>
      <c r="W12" s="190">
        <f>[105]f!W12</f>
        <v>6.5000000000000002E-2</v>
      </c>
      <c r="X12" s="190">
        <f>[105]f!X12</f>
        <v>6.7000000000000004E-2</v>
      </c>
      <c r="Y12" s="190">
        <f>[105]f!Y12</f>
        <v>6.8000000000000005E-2</v>
      </c>
      <c r="Z12" s="190">
        <f>[105]f!Z12</f>
        <v>6.5000000000000002E-2</v>
      </c>
      <c r="AA12" s="55">
        <f>[105]f!AA12</f>
        <v>6.6000000000000003E-2</v>
      </c>
      <c r="AB12" s="55">
        <f>[105]f!AB12</f>
        <v>6.6000000000000003E-2</v>
      </c>
      <c r="AC12" s="55">
        <f>[105]f!AC12</f>
        <v>6.6000000000000003E-2</v>
      </c>
      <c r="AD12" s="55">
        <f>[105]f!AD12</f>
        <v>6.3E-2</v>
      </c>
      <c r="AE12" s="55">
        <f>[105]f!AE12</f>
        <v>6.0999999999999999E-2</v>
      </c>
      <c r="AF12" s="190">
        <f>[105]f!AF12</f>
        <v>5.9000000000000004E-2</v>
      </c>
      <c r="AG12" s="190">
        <f>[105]f!AG12</f>
        <v>5.9000000000000004E-2</v>
      </c>
      <c r="AH12" s="190">
        <f>[105]f!AH12</f>
        <v>6.2E-2</v>
      </c>
      <c r="AI12" s="190">
        <f>[105]f!AI12</f>
        <v>6.4000000000000001E-2</v>
      </c>
      <c r="AJ12" s="190">
        <f>[105]f!AJ12</f>
        <v>6.7000000000000004E-2</v>
      </c>
      <c r="AK12" s="55">
        <f>[105]f!AK12</f>
        <v>7.0000000000000007E-2</v>
      </c>
      <c r="AL12" s="190">
        <f>[105]f!AL12</f>
        <v>7.0000000000000007E-2</v>
      </c>
      <c r="AM12" s="55">
        <f>[105]f!AM12</f>
        <v>7.2000000000000008E-2</v>
      </c>
      <c r="AN12" s="190">
        <f>[105]f!AN12</f>
        <v>7.0999999999999994E-2</v>
      </c>
      <c r="AO12" s="55">
        <f>[105]f!AO12</f>
        <v>7.400000000000001E-2</v>
      </c>
      <c r="AP12" s="190" t="str">
        <f>[105]f!AP12</f>
        <v>-</v>
      </c>
    </row>
    <row r="13" spans="1:42" ht="18" customHeight="1" thickBot="1">
      <c r="A13" s="172" t="s">
        <v>508</v>
      </c>
      <c r="B13" s="190" t="str">
        <f>[105]f!B13</f>
        <v>-</v>
      </c>
      <c r="C13" s="190" t="str">
        <f>[105]f!C13</f>
        <v>-</v>
      </c>
      <c r="D13" s="190" t="str">
        <f>[105]f!D13</f>
        <v>-</v>
      </c>
      <c r="E13" s="190" t="str">
        <f>[105]f!E13</f>
        <v>-</v>
      </c>
      <c r="F13" s="190" t="str">
        <f>[105]f!F13</f>
        <v>-</v>
      </c>
      <c r="G13" s="190" t="str">
        <f>[105]f!G13</f>
        <v>-</v>
      </c>
      <c r="H13" s="190" t="str">
        <f>[105]f!H13</f>
        <v>-</v>
      </c>
      <c r="I13" s="190" t="str">
        <f>[105]f!I13</f>
        <v>-</v>
      </c>
      <c r="J13" s="190" t="str">
        <f>[105]f!J13</f>
        <v>-</v>
      </c>
      <c r="K13" s="190" t="str">
        <f>[105]f!K13</f>
        <v>-</v>
      </c>
      <c r="L13" s="55" t="str">
        <f>[105]f!L13</f>
        <v>-</v>
      </c>
      <c r="M13" s="55" t="str">
        <f>[105]f!M13</f>
        <v>-</v>
      </c>
      <c r="N13" s="55">
        <f>[105]f!N13</f>
        <v>6.9000000000000006E-2</v>
      </c>
      <c r="O13" s="55">
        <f>[105]f!O13</f>
        <v>6.7000000000000004E-2</v>
      </c>
      <c r="P13" s="55">
        <f>[105]f!P13</f>
        <v>6.8000000000000005E-2</v>
      </c>
      <c r="Q13" s="55">
        <f>[105]f!Q13</f>
        <v>7.2000000000000008E-2</v>
      </c>
      <c r="R13" s="55">
        <f>[105]f!R13</f>
        <v>7.0000000000000007E-2</v>
      </c>
      <c r="S13" s="55">
        <f>[105]f!S13</f>
        <v>7.0999999999999994E-2</v>
      </c>
      <c r="T13" s="55">
        <f>[105]f!T13</f>
        <v>7.2000000000000008E-2</v>
      </c>
      <c r="U13" s="55">
        <f>[105]f!U13</f>
        <v>7.400000000000001E-2</v>
      </c>
      <c r="V13" s="190">
        <f>[105]f!V13</f>
        <v>7.4999999999999997E-2</v>
      </c>
      <c r="W13" s="190">
        <f>[105]f!W13</f>
        <v>7.6999999999999999E-2</v>
      </c>
      <c r="X13" s="190">
        <f>[105]f!X13</f>
        <v>7.9000000000000001E-2</v>
      </c>
      <c r="Y13" s="190">
        <f>[105]f!Y13</f>
        <v>7.8E-2</v>
      </c>
      <c r="Z13" s="190">
        <f>[105]f!Z13</f>
        <v>7.4999999999999997E-2</v>
      </c>
      <c r="AA13" s="55">
        <f>[105]f!AA13</f>
        <v>7.2999999999999995E-2</v>
      </c>
      <c r="AB13" s="55">
        <f>[105]f!AB13</f>
        <v>7.4999999999999997E-2</v>
      </c>
      <c r="AC13" s="55">
        <f>[105]f!AC13</f>
        <v>7.5999999999999998E-2</v>
      </c>
      <c r="AD13" s="55">
        <f>[105]f!AD13</f>
        <v>7.6999999999999999E-2</v>
      </c>
      <c r="AE13" s="55">
        <f>[105]f!AE13</f>
        <v>0.08</v>
      </c>
      <c r="AF13" s="190">
        <f>[105]f!AF13</f>
        <v>0.08</v>
      </c>
      <c r="AG13" s="190">
        <f>[105]f!AG13</f>
        <v>8.199999999999999E-2</v>
      </c>
      <c r="AH13" s="190">
        <f>[105]f!AH13</f>
        <v>8.4000000000000005E-2</v>
      </c>
      <c r="AI13" s="190">
        <f>[105]f!AI13</f>
        <v>8.5000000000000006E-2</v>
      </c>
      <c r="AJ13" s="190">
        <f>[105]f!AJ13</f>
        <v>8.4000000000000005E-2</v>
      </c>
      <c r="AK13" s="55">
        <f>[105]f!AK13</f>
        <v>8.4000000000000005E-2</v>
      </c>
      <c r="AL13" s="190">
        <f>[105]f!AL13</f>
        <v>8.3000000000000004E-2</v>
      </c>
      <c r="AM13" s="55">
        <f>[105]f!AM13</f>
        <v>8.199999999999999E-2</v>
      </c>
      <c r="AN13" s="190">
        <f>[105]f!AN13</f>
        <v>8.1000000000000003E-2</v>
      </c>
      <c r="AO13" s="55">
        <f>[105]f!AO13</f>
        <v>8.199999999999999E-2</v>
      </c>
      <c r="AP13" s="190">
        <f>[105]f!AP13</f>
        <v>8.1000000000000003E-2</v>
      </c>
    </row>
    <row r="14" spans="1:42" ht="18" customHeight="1" thickBot="1">
      <c r="A14" s="172" t="s">
        <v>509</v>
      </c>
      <c r="B14" s="190">
        <f>[105]f!B14</f>
        <v>2.8999999999999998E-2</v>
      </c>
      <c r="C14" s="190">
        <f>[105]f!C14</f>
        <v>3.1E-2</v>
      </c>
      <c r="D14" s="190">
        <f>[105]f!D14</f>
        <v>3.3000000000000002E-2</v>
      </c>
      <c r="E14" s="190">
        <f>[105]f!E14</f>
        <v>3.5000000000000003E-2</v>
      </c>
      <c r="F14" s="190">
        <f>[105]f!F14</f>
        <v>3.6000000000000004E-2</v>
      </c>
      <c r="G14" s="190">
        <f>[105]f!G14</f>
        <v>3.5000000000000003E-2</v>
      </c>
      <c r="H14" s="190">
        <f>[105]f!H14</f>
        <v>3.7000000000000005E-2</v>
      </c>
      <c r="I14" s="190">
        <f>[105]f!I14</f>
        <v>3.7000000000000005E-2</v>
      </c>
      <c r="J14" s="190">
        <f>[105]f!J14</f>
        <v>3.9E-2</v>
      </c>
      <c r="K14" s="190">
        <f>[105]f!K14</f>
        <v>4.0999999999999995E-2</v>
      </c>
      <c r="L14" s="55">
        <f>[105]f!L14</f>
        <v>4.4000000000000004E-2</v>
      </c>
      <c r="M14" s="55">
        <f>[105]f!M14</f>
        <v>4.7E-2</v>
      </c>
      <c r="N14" s="55">
        <f>[105]f!N14</f>
        <v>5.2000000000000005E-2</v>
      </c>
      <c r="O14" s="55">
        <f>[105]f!O14</f>
        <v>5.4000000000000006E-2</v>
      </c>
      <c r="P14" s="55">
        <f>[105]f!P14</f>
        <v>5.4000000000000006E-2</v>
      </c>
      <c r="Q14" s="55">
        <f>[105]f!Q14</f>
        <v>5.9000000000000004E-2</v>
      </c>
      <c r="R14" s="55">
        <f>[105]f!R14</f>
        <v>0.06</v>
      </c>
      <c r="S14" s="55">
        <f>[105]f!S14</f>
        <v>6.2E-2</v>
      </c>
      <c r="T14" s="55">
        <f>[105]f!T14</f>
        <v>6.8000000000000005E-2</v>
      </c>
      <c r="U14" s="55">
        <f>[105]f!U14</f>
        <v>6.2E-2</v>
      </c>
      <c r="V14" s="190">
        <f>[105]f!V14</f>
        <v>7.0000000000000007E-2</v>
      </c>
      <c r="W14" s="190">
        <f>[105]f!W14</f>
        <v>6.8000000000000005E-2</v>
      </c>
      <c r="X14" s="190">
        <f>[105]f!X14</f>
        <v>6.9000000000000006E-2</v>
      </c>
      <c r="Y14" s="190">
        <f>[105]f!Y14</f>
        <v>7.0999999999999994E-2</v>
      </c>
      <c r="Z14" s="190">
        <f>[105]f!Z14</f>
        <v>6.7000000000000004E-2</v>
      </c>
      <c r="AA14" s="55">
        <f>[105]f!AA14</f>
        <v>6.7000000000000004E-2</v>
      </c>
      <c r="AB14" s="55">
        <f>[105]f!AB14</f>
        <v>7.2000000000000008E-2</v>
      </c>
      <c r="AC14" s="55">
        <f>[105]f!AC14</f>
        <v>7.6999999999999999E-2</v>
      </c>
      <c r="AD14" s="55">
        <f>[105]f!AD14</f>
        <v>7.9000000000000001E-2</v>
      </c>
      <c r="AE14" s="55">
        <f>[105]f!AE14</f>
        <v>7.6999999999999999E-2</v>
      </c>
      <c r="AF14" s="190">
        <f>[105]f!AF14</f>
        <v>7.8E-2</v>
      </c>
      <c r="AG14" s="190">
        <f>[105]f!AG14</f>
        <v>8.1000000000000003E-2</v>
      </c>
      <c r="AH14" s="190">
        <f>[105]f!AH14</f>
        <v>8.199999999999999E-2</v>
      </c>
      <c r="AI14" s="190">
        <f>[105]f!AI14</f>
        <v>8.1000000000000003E-2</v>
      </c>
      <c r="AJ14" s="190">
        <f>[105]f!AJ14</f>
        <v>0.08</v>
      </c>
      <c r="AK14" s="55">
        <f>[105]f!AK14</f>
        <v>0.08</v>
      </c>
      <c r="AL14" s="190">
        <f>[105]f!AL14</f>
        <v>0.08</v>
      </c>
      <c r="AM14" s="55">
        <f>[105]f!AM14</f>
        <v>0.08</v>
      </c>
      <c r="AN14" s="190">
        <f>[105]f!AN14</f>
        <v>8.5000000000000006E-2</v>
      </c>
      <c r="AO14" s="55">
        <f>[105]f!AO14</f>
        <v>8.5000000000000006E-2</v>
      </c>
      <c r="AP14" s="190" t="str">
        <f>[105]f!AP14</f>
        <v>-</v>
      </c>
    </row>
    <row r="15" spans="1:42" ht="18" customHeight="1" thickBot="1">
      <c r="A15" s="172" t="s">
        <v>510</v>
      </c>
      <c r="B15" s="190">
        <f>[105]f!B15</f>
        <v>4.2999999999999997E-2</v>
      </c>
      <c r="C15" s="190">
        <f>[105]f!C15</f>
        <v>4.4999999999999998E-2</v>
      </c>
      <c r="D15" s="190">
        <f>[105]f!D15</f>
        <v>4.4999999999999998E-2</v>
      </c>
      <c r="E15" s="190">
        <f>[105]f!E15</f>
        <v>4.7E-2</v>
      </c>
      <c r="F15" s="190">
        <f>[105]f!F15</f>
        <v>4.5999999999999999E-2</v>
      </c>
      <c r="G15" s="190">
        <f>[105]f!G15</f>
        <v>4.4999999999999998E-2</v>
      </c>
      <c r="H15" s="190">
        <f>[105]f!H15</f>
        <v>4.9000000000000002E-2</v>
      </c>
      <c r="I15" s="190">
        <f>[105]f!I15</f>
        <v>5.2000000000000005E-2</v>
      </c>
      <c r="J15" s="190">
        <f>[105]f!J15</f>
        <v>5.2999999999999999E-2</v>
      </c>
      <c r="K15" s="190">
        <f>[105]f!K15</f>
        <v>5.2999999999999999E-2</v>
      </c>
      <c r="L15" s="55">
        <f>[105]f!L15</f>
        <v>5.2999999999999999E-2</v>
      </c>
      <c r="M15" s="55">
        <f>[105]f!M15</f>
        <v>5.2999999999999999E-2</v>
      </c>
      <c r="N15" s="55">
        <f>[105]f!N15</f>
        <v>5.2000000000000005E-2</v>
      </c>
      <c r="O15" s="55">
        <f>[105]f!O15</f>
        <v>5.4000000000000006E-2</v>
      </c>
      <c r="P15" s="55">
        <f>[105]f!P15</f>
        <v>5.5E-2</v>
      </c>
      <c r="Q15" s="55">
        <f>[105]f!Q15</f>
        <v>7.0999999999999994E-2</v>
      </c>
      <c r="R15" s="55">
        <f>[105]f!R15</f>
        <v>7.2999999999999995E-2</v>
      </c>
      <c r="S15" s="55">
        <f>[105]f!S15</f>
        <v>7.2000000000000008E-2</v>
      </c>
      <c r="T15" s="55">
        <f>[105]f!T15</f>
        <v>7.5999999999999998E-2</v>
      </c>
      <c r="U15" s="55">
        <f>[105]f!U15</f>
        <v>7.4999999999999997E-2</v>
      </c>
      <c r="V15" s="190">
        <f>[105]f!V15</f>
        <v>7.5999999999999998E-2</v>
      </c>
      <c r="W15" s="190">
        <f>[105]f!W15</f>
        <v>6.7000000000000004E-2</v>
      </c>
      <c r="X15" s="190">
        <f>[105]f!X15</f>
        <v>6.6000000000000003E-2</v>
      </c>
      <c r="Y15" s="190">
        <f>[105]f!Y15</f>
        <v>6.4000000000000001E-2</v>
      </c>
      <c r="Z15" s="190">
        <f>[105]f!Z15</f>
        <v>6.5000000000000002E-2</v>
      </c>
      <c r="AA15" s="55">
        <f>[105]f!AA15</f>
        <v>6.6000000000000003E-2</v>
      </c>
      <c r="AB15" s="55">
        <f>[105]f!AB15</f>
        <v>6.9000000000000006E-2</v>
      </c>
      <c r="AC15" s="55">
        <f>[105]f!AC15</f>
        <v>7.0000000000000007E-2</v>
      </c>
      <c r="AD15" s="55">
        <f>[105]f!AD15</f>
        <v>7.0000000000000007E-2</v>
      </c>
      <c r="AE15" s="55">
        <f>[105]f!AE15</f>
        <v>7.2000000000000008E-2</v>
      </c>
      <c r="AF15" s="190">
        <f>[105]f!AF15</f>
        <v>7.0999999999999994E-2</v>
      </c>
      <c r="AG15" s="190">
        <f>[105]f!AG15</f>
        <v>7.0999999999999994E-2</v>
      </c>
      <c r="AH15" s="190">
        <f>[105]f!AH15</f>
        <v>7.4999999999999997E-2</v>
      </c>
      <c r="AI15" s="190">
        <f>[105]f!AI15</f>
        <v>7.9000000000000001E-2</v>
      </c>
      <c r="AJ15" s="190">
        <f>[105]f!AJ15</f>
        <v>7.9000000000000001E-2</v>
      </c>
      <c r="AK15" s="55">
        <f>[105]f!AK15</f>
        <v>8.5999999999999993E-2</v>
      </c>
      <c r="AL15" s="190">
        <f>[105]f!AL15</f>
        <v>8.6999999999999994E-2</v>
      </c>
      <c r="AM15" s="55">
        <f>[105]f!AM15</f>
        <v>0.08</v>
      </c>
      <c r="AN15" s="190">
        <f>[105]f!AN15</f>
        <v>0.08</v>
      </c>
      <c r="AO15" s="55">
        <f>[105]f!AO15</f>
        <v>8.1000000000000003E-2</v>
      </c>
      <c r="AP15" s="190">
        <f>[105]f!AP15</f>
        <v>0.08</v>
      </c>
    </row>
    <row r="16" spans="1:42" ht="18" customHeight="1" thickBot="1">
      <c r="A16" s="172" t="s">
        <v>511</v>
      </c>
      <c r="B16" s="190">
        <f>[105]f!B16</f>
        <v>4.4999999999999998E-2</v>
      </c>
      <c r="C16" s="190">
        <f>[105]f!C16</f>
        <v>4.4999999999999998E-2</v>
      </c>
      <c r="D16" s="190">
        <f>[105]f!D16</f>
        <v>4.5999999999999999E-2</v>
      </c>
      <c r="E16" s="190">
        <f>[105]f!E16</f>
        <v>0.05</v>
      </c>
      <c r="F16" s="190">
        <f>[105]f!F16</f>
        <v>5.0999999999999997E-2</v>
      </c>
      <c r="G16" s="190">
        <f>[105]f!G16</f>
        <v>5.2999999999999999E-2</v>
      </c>
      <c r="H16" s="190">
        <f>[105]f!H16</f>
        <v>5.7999999999999996E-2</v>
      </c>
      <c r="I16" s="190">
        <f>[105]f!I16</f>
        <v>6.2E-2</v>
      </c>
      <c r="J16" s="190">
        <f>[105]f!J16</f>
        <v>6.6000000000000003E-2</v>
      </c>
      <c r="K16" s="190">
        <f>[105]f!K16</f>
        <v>6.7000000000000004E-2</v>
      </c>
      <c r="L16" s="55">
        <f>[105]f!L16</f>
        <v>6.9000000000000006E-2</v>
      </c>
      <c r="M16" s="55">
        <f>[105]f!M16</f>
        <v>7.2999999999999995E-2</v>
      </c>
      <c r="N16" s="55">
        <f>[105]f!N16</f>
        <v>7.2999999999999995E-2</v>
      </c>
      <c r="O16" s="55">
        <f>[105]f!O16</f>
        <v>7.2000000000000008E-2</v>
      </c>
      <c r="P16" s="55">
        <f>[105]f!P16</f>
        <v>7.400000000000001E-2</v>
      </c>
      <c r="Q16" s="55">
        <f>[105]f!Q16</f>
        <v>7.6999999999999999E-2</v>
      </c>
      <c r="R16" s="55">
        <f>[105]f!R16</f>
        <v>0.08</v>
      </c>
      <c r="S16" s="55">
        <f>[105]f!S16</f>
        <v>8.8000000000000009E-2</v>
      </c>
      <c r="T16" s="55">
        <f>[105]f!T16</f>
        <v>8.900000000000001E-2</v>
      </c>
      <c r="U16" s="55">
        <f>[105]f!U16</f>
        <v>8.8000000000000009E-2</v>
      </c>
      <c r="V16" s="190">
        <f>[105]f!V16</f>
        <v>9.0999999999999998E-2</v>
      </c>
      <c r="W16" s="190">
        <f>[105]f!W16</f>
        <v>9.3000000000000013E-2</v>
      </c>
      <c r="X16" s="190">
        <f>[105]f!X16</f>
        <v>9.4E-2</v>
      </c>
      <c r="Y16" s="190">
        <f>[105]f!Y16</f>
        <v>9.3000000000000013E-2</v>
      </c>
      <c r="Z16" s="190">
        <f>[105]f!Z16</f>
        <v>9.0999999999999998E-2</v>
      </c>
      <c r="AA16" s="55">
        <f>[105]f!AA16</f>
        <v>8.6999999999999994E-2</v>
      </c>
      <c r="AB16" s="55">
        <f>[105]f!AB16</f>
        <v>8.5000000000000006E-2</v>
      </c>
      <c r="AC16" s="55">
        <f>[105]f!AC16</f>
        <v>8.5000000000000006E-2</v>
      </c>
      <c r="AD16" s="55">
        <f>[105]f!AD16</f>
        <v>8.4000000000000005E-2</v>
      </c>
      <c r="AE16" s="55">
        <f>[105]f!AE16</f>
        <v>8.4000000000000005E-2</v>
      </c>
      <c r="AF16" s="190">
        <f>[105]f!AF16</f>
        <v>8.5000000000000006E-2</v>
      </c>
      <c r="AG16" s="190">
        <f>[105]f!AG16</f>
        <v>8.4000000000000005E-2</v>
      </c>
      <c r="AH16" s="190">
        <f>[105]f!AH16</f>
        <v>8.5999999999999993E-2</v>
      </c>
      <c r="AI16" s="190">
        <f>[105]f!AI16</f>
        <v>8.5999999999999993E-2</v>
      </c>
      <c r="AJ16" s="190">
        <f>[105]f!AJ16</f>
        <v>8.199999999999999E-2</v>
      </c>
      <c r="AK16" s="55">
        <f>[105]f!AK16</f>
        <v>8.1000000000000003E-2</v>
      </c>
      <c r="AL16" s="190">
        <f>[105]f!AL16</f>
        <v>8.4000000000000005E-2</v>
      </c>
      <c r="AM16" s="55">
        <f>[105]f!AM16</f>
        <v>8.1000000000000003E-2</v>
      </c>
      <c r="AN16" s="190">
        <f>[105]f!AN16</f>
        <v>7.9000000000000001E-2</v>
      </c>
      <c r="AO16" s="55" t="str">
        <f>[105]f!AO16</f>
        <v>-</v>
      </c>
      <c r="AP16" s="190" t="str">
        <f>[105]f!AP16</f>
        <v>-</v>
      </c>
    </row>
    <row r="17" spans="1:45" ht="18" customHeight="1" thickBot="1">
      <c r="A17" s="172" t="s">
        <v>512</v>
      </c>
      <c r="B17" s="190">
        <f>[105]f!B17</f>
        <v>1.4999999999999999E-2</v>
      </c>
      <c r="C17" s="190">
        <f>[105]f!C17</f>
        <v>1.6E-2</v>
      </c>
      <c r="D17" s="190">
        <f>[105]f!D17</f>
        <v>1.7000000000000001E-2</v>
      </c>
      <c r="E17" s="190">
        <f>[105]f!E17</f>
        <v>1.9E-2</v>
      </c>
      <c r="F17" s="190">
        <f>[105]f!F17</f>
        <v>2.2000000000000002E-2</v>
      </c>
      <c r="G17" s="190">
        <f>[105]f!G17</f>
        <v>2.5000000000000001E-2</v>
      </c>
      <c r="H17" s="190">
        <f>[105]f!H17</f>
        <v>2.7000000000000003E-2</v>
      </c>
      <c r="I17" s="190">
        <f>[105]f!I17</f>
        <v>2.8999999999999998E-2</v>
      </c>
      <c r="J17" s="190">
        <f>[105]f!J17</f>
        <v>0.03</v>
      </c>
      <c r="K17" s="190">
        <f>[105]f!K17</f>
        <v>3.2000000000000001E-2</v>
      </c>
      <c r="L17" s="55">
        <f>[105]f!L17</f>
        <v>3.6000000000000004E-2</v>
      </c>
      <c r="M17" s="55">
        <f>[105]f!M17</f>
        <v>0.04</v>
      </c>
      <c r="N17" s="55">
        <f>[105]f!N17</f>
        <v>4.2000000000000003E-2</v>
      </c>
      <c r="O17" s="55">
        <f>[105]f!O17</f>
        <v>4.0999999999999995E-2</v>
      </c>
      <c r="P17" s="55">
        <f>[105]f!P17</f>
        <v>4.4999999999999998E-2</v>
      </c>
      <c r="Q17" s="55">
        <f>[105]f!Q17</f>
        <v>4.7E-2</v>
      </c>
      <c r="R17" s="55">
        <f>[105]f!R17</f>
        <v>5.0999999999999997E-2</v>
      </c>
      <c r="S17" s="55">
        <f>[105]f!S17</f>
        <v>5.4000000000000006E-2</v>
      </c>
      <c r="T17" s="55">
        <f>[105]f!T17</f>
        <v>5.4000000000000006E-2</v>
      </c>
      <c r="U17" s="55">
        <f>[105]f!U17</f>
        <v>5.2999999999999999E-2</v>
      </c>
      <c r="V17" s="190">
        <f>[105]f!V17</f>
        <v>5.4000000000000006E-2</v>
      </c>
      <c r="W17" s="190">
        <f>[105]f!W17</f>
        <v>5.5E-2</v>
      </c>
      <c r="X17" s="190">
        <f>[105]f!X17</f>
        <v>5.5999999999999994E-2</v>
      </c>
      <c r="Y17" s="190">
        <f>[105]f!Y17</f>
        <v>5.7000000000000002E-2</v>
      </c>
      <c r="Z17" s="190">
        <f>[105]f!Z17</f>
        <v>5.5E-2</v>
      </c>
      <c r="AA17" s="55">
        <f>[105]f!AA17</f>
        <v>5.4000000000000006E-2</v>
      </c>
      <c r="AB17" s="55">
        <f>[105]f!AB17</f>
        <v>5.4000000000000006E-2</v>
      </c>
      <c r="AC17" s="55">
        <f>[105]f!AC17</f>
        <v>5.5E-2</v>
      </c>
      <c r="AD17" s="55">
        <f>[105]f!AD17</f>
        <v>6.0999999999999999E-2</v>
      </c>
      <c r="AE17" s="55">
        <f>[105]f!AE17</f>
        <v>6.3E-2</v>
      </c>
      <c r="AF17" s="190">
        <f>[105]f!AF17</f>
        <v>6.6000000000000003E-2</v>
      </c>
      <c r="AG17" s="190">
        <f>[105]f!AG17</f>
        <v>6.8000000000000005E-2</v>
      </c>
      <c r="AH17" s="190">
        <f>[105]f!AH17</f>
        <v>7.2000000000000008E-2</v>
      </c>
      <c r="AI17" s="190">
        <f>[105]f!AI17</f>
        <v>7.4999999999999997E-2</v>
      </c>
      <c r="AJ17" s="190">
        <f>[105]f!AJ17</f>
        <v>7.400000000000001E-2</v>
      </c>
      <c r="AK17" s="55">
        <f>[105]f!AK17</f>
        <v>7.6999999999999999E-2</v>
      </c>
      <c r="AL17" s="190">
        <f>[105]f!AL17</f>
        <v>7.6999999999999999E-2</v>
      </c>
      <c r="AM17" s="55">
        <f>[105]f!AM17</f>
        <v>7.5999999999999998E-2</v>
      </c>
      <c r="AN17" s="190">
        <f>[105]f!AN17</f>
        <v>7.5999999999999998E-2</v>
      </c>
      <c r="AO17" s="55">
        <f>[105]f!AO17</f>
        <v>7.6999999999999999E-2</v>
      </c>
      <c r="AP17" s="190">
        <f>[105]f!AP17</f>
        <v>7.6999999999999999E-2</v>
      </c>
    </row>
    <row r="18" spans="1:45" ht="18" customHeight="1" thickBot="1">
      <c r="A18" s="172" t="s">
        <v>513</v>
      </c>
      <c r="B18" s="190">
        <f>[105]f!B18</f>
        <v>5.0999999999999997E-2</v>
      </c>
      <c r="C18" s="190">
        <f>[105]f!C18</f>
        <v>5.2000000000000005E-2</v>
      </c>
      <c r="D18" s="190">
        <f>[105]f!D18</f>
        <v>5.2999999999999999E-2</v>
      </c>
      <c r="E18" s="190">
        <f>[105]f!E18</f>
        <v>5.4000000000000006E-2</v>
      </c>
      <c r="F18" s="190">
        <f>[105]f!F18</f>
        <v>5.5999999999999994E-2</v>
      </c>
      <c r="G18" s="190">
        <f>[105]f!G18</f>
        <v>5.5999999999999994E-2</v>
      </c>
      <c r="H18" s="190">
        <f>[105]f!H18</f>
        <v>5.7000000000000002E-2</v>
      </c>
      <c r="I18" s="190">
        <f>[105]f!I18</f>
        <v>0.06</v>
      </c>
      <c r="J18" s="190">
        <f>[105]f!J18</f>
        <v>6.3E-2</v>
      </c>
      <c r="K18" s="190">
        <f>[105]f!K18</f>
        <v>6.5000000000000002E-2</v>
      </c>
      <c r="L18" s="55">
        <f>[105]f!L18</f>
        <v>6.9000000000000006E-2</v>
      </c>
      <c r="M18" s="55">
        <f>[105]f!M18</f>
        <v>7.0999999999999994E-2</v>
      </c>
      <c r="N18" s="55">
        <f>[105]f!N18</f>
        <v>7.2000000000000008E-2</v>
      </c>
      <c r="O18" s="55">
        <f>[105]f!O18</f>
        <v>7.2000000000000008E-2</v>
      </c>
      <c r="P18" s="55">
        <f>[105]f!P18</f>
        <v>7.4999999999999997E-2</v>
      </c>
      <c r="Q18" s="55">
        <f>[105]f!Q18</f>
        <v>7.8E-2</v>
      </c>
      <c r="R18" s="55">
        <f>[105]f!R18</f>
        <v>0.08</v>
      </c>
      <c r="S18" s="55">
        <f>[105]f!S18</f>
        <v>8.199999999999999E-2</v>
      </c>
      <c r="T18" s="55">
        <f>[105]f!T18</f>
        <v>8.1000000000000003E-2</v>
      </c>
      <c r="U18" s="55">
        <f>[105]f!U18</f>
        <v>8.199999999999999E-2</v>
      </c>
      <c r="V18" s="190">
        <f>[105]f!V18</f>
        <v>8.6999999999999994E-2</v>
      </c>
      <c r="W18" s="190">
        <f>[105]f!W18</f>
        <v>0.09</v>
      </c>
      <c r="X18" s="190">
        <f>[105]f!X18</f>
        <v>9.8000000000000004E-2</v>
      </c>
      <c r="Y18" s="190">
        <f>[105]f!Y18</f>
        <v>9.9000000000000005E-2</v>
      </c>
      <c r="Z18" s="190">
        <f>[105]f!Z18</f>
        <v>9.8000000000000004E-2</v>
      </c>
      <c r="AA18" s="55">
        <f>[105]f!AA18</f>
        <v>0.1</v>
      </c>
      <c r="AB18" s="55">
        <f>[105]f!AB18</f>
        <v>0.10199999999999999</v>
      </c>
      <c r="AC18" s="55">
        <f>[105]f!AC18</f>
        <v>0.10400000000000001</v>
      </c>
      <c r="AD18" s="55">
        <f>[105]f!AD18</f>
        <v>0.10800000000000001</v>
      </c>
      <c r="AE18" s="55">
        <f>[105]f!AE18</f>
        <v>0.11199999999999999</v>
      </c>
      <c r="AF18" s="190">
        <f>[105]f!AF18</f>
        <v>0.11900000000000001</v>
      </c>
      <c r="AG18" s="190">
        <f>[105]f!AG18</f>
        <v>0.126</v>
      </c>
      <c r="AH18" s="190">
        <f>[105]f!AH18</f>
        <v>0.13</v>
      </c>
      <c r="AI18" s="190">
        <f>[105]f!AI18</f>
        <v>0.13300000000000001</v>
      </c>
      <c r="AJ18" s="190">
        <f>[105]f!AJ18</f>
        <v>0.13200000000000001</v>
      </c>
      <c r="AK18" s="55">
        <f>[105]f!AK18</f>
        <v>0.13300000000000001</v>
      </c>
      <c r="AL18" s="190">
        <f>[105]f!AL18</f>
        <v>0.13200000000000001</v>
      </c>
      <c r="AM18" s="55">
        <f>[105]f!AM18</f>
        <v>0.13</v>
      </c>
      <c r="AN18" s="190">
        <f>[105]f!AN18</f>
        <v>0.129</v>
      </c>
      <c r="AO18" s="55">
        <f>[105]f!AO18</f>
        <v>0.13</v>
      </c>
      <c r="AP18" s="190">
        <f>[105]f!AP18</f>
        <v>0.13</v>
      </c>
    </row>
    <row r="19" spans="1:45" s="276" customFormat="1" ht="30" customHeight="1" thickBot="1">
      <c r="A19" s="477" t="s">
        <v>567</v>
      </c>
      <c r="B19" s="330">
        <f>[105]f!B19</f>
        <v>4.9000000000000002E-2</v>
      </c>
      <c r="C19" s="330">
        <f>[105]f!C19</f>
        <v>4.5999999999999999E-2</v>
      </c>
      <c r="D19" s="330">
        <f>[105]f!D19</f>
        <v>4.4999999999999998E-2</v>
      </c>
      <c r="E19" s="330">
        <f>[105]f!E19</f>
        <v>4.4000000000000004E-2</v>
      </c>
      <c r="F19" s="330">
        <f>[105]f!F19</f>
        <v>4.4000000000000004E-2</v>
      </c>
      <c r="G19" s="330">
        <f>[105]f!G19</f>
        <v>4.5999999999999999E-2</v>
      </c>
      <c r="H19" s="330">
        <f>[105]f!H19</f>
        <v>0.05</v>
      </c>
      <c r="I19" s="330">
        <f>[105]f!I19</f>
        <v>5.2999999999999999E-2</v>
      </c>
      <c r="J19" s="330">
        <f>[105]f!J19</f>
        <v>5.4000000000000006E-2</v>
      </c>
      <c r="K19" s="330">
        <f>[105]f!K19</f>
        <v>5.5E-2</v>
      </c>
      <c r="L19" s="58">
        <f>[105]f!L19</f>
        <v>5.5999999999999994E-2</v>
      </c>
      <c r="M19" s="58">
        <f>[105]f!M19</f>
        <v>5.7999999999999996E-2</v>
      </c>
      <c r="N19" s="58">
        <f>[105]f!N19</f>
        <v>5.7999999999999996E-2</v>
      </c>
      <c r="O19" s="58">
        <f>[105]f!O19</f>
        <v>5.9000000000000004E-2</v>
      </c>
      <c r="P19" s="58">
        <f>[105]f!P19</f>
        <v>6.3E-2</v>
      </c>
      <c r="Q19" s="58">
        <f>[105]f!Q19</f>
        <v>7.2000000000000008E-2</v>
      </c>
      <c r="R19" s="58">
        <f>[105]f!R19</f>
        <v>7.400000000000001E-2</v>
      </c>
      <c r="S19" s="58">
        <f>[105]f!S19</f>
        <v>7.400000000000001E-2</v>
      </c>
      <c r="T19" s="58">
        <f>[105]f!T19</f>
        <v>7.400000000000001E-2</v>
      </c>
      <c r="U19" s="58">
        <f>[105]f!U19</f>
        <v>7.4999999999999997E-2</v>
      </c>
      <c r="V19" s="330">
        <f>[105]f!V19</f>
        <v>7.5999999999999998E-2</v>
      </c>
      <c r="W19" s="330">
        <f>[105]f!W19</f>
        <v>7.5999999999999998E-2</v>
      </c>
      <c r="X19" s="330">
        <f>[105]f!X19</f>
        <v>7.8E-2</v>
      </c>
      <c r="Y19" s="330">
        <f>[105]f!Y19</f>
        <v>8.199999999999999E-2</v>
      </c>
      <c r="Z19" s="330">
        <f>[105]f!Z19</f>
        <v>0.08</v>
      </c>
      <c r="AA19" s="58">
        <f>[105]f!AA19</f>
        <v>0.08</v>
      </c>
      <c r="AB19" s="58">
        <f>[105]f!AB19</f>
        <v>8.199999999999999E-2</v>
      </c>
      <c r="AC19" s="58">
        <f>[105]f!AC19</f>
        <v>8.5000000000000006E-2</v>
      </c>
      <c r="AD19" s="58">
        <f>[105]f!AD19</f>
        <v>8.5000000000000006E-2</v>
      </c>
      <c r="AE19" s="58">
        <f>[105]f!AE19</f>
        <v>8.5999999999999993E-2</v>
      </c>
      <c r="AF19" s="330">
        <f>[105]f!AF19</f>
        <v>8.5000000000000006E-2</v>
      </c>
      <c r="AG19" s="330">
        <f>[105]f!AG19</f>
        <v>9.1999999999999998E-2</v>
      </c>
      <c r="AH19" s="330">
        <f>[105]f!AH19</f>
        <v>9.6000000000000002E-2</v>
      </c>
      <c r="AI19" s="330">
        <f>[105]f!AI19</f>
        <v>9.6000000000000002E-2</v>
      </c>
      <c r="AJ19" s="330">
        <f>[105]f!AJ19</f>
        <v>9.8000000000000004E-2</v>
      </c>
      <c r="AK19" s="58">
        <f>[105]f!AK19</f>
        <v>0.1</v>
      </c>
      <c r="AL19" s="330">
        <f>[105]f!AL19</f>
        <v>0.10400000000000001</v>
      </c>
      <c r="AM19" s="58">
        <f>[105]f!AM19</f>
        <v>0.10400000000000001</v>
      </c>
      <c r="AN19" s="330">
        <f>[105]f!AN19</f>
        <v>0.106</v>
      </c>
      <c r="AO19" s="205">
        <f>[105]f!AO19</f>
        <v>0.107</v>
      </c>
      <c r="AP19" s="204">
        <f>[105]f!AP19</f>
        <v>0.107</v>
      </c>
    </row>
    <row r="20" spans="1:45" ht="20" customHeight="1">
      <c r="A20" s="478" t="str">
        <f>'[106]data '!$D$2</f>
        <v>Datenstand: 17.11.2002</v>
      </c>
      <c r="B20" s="223"/>
      <c r="C20" s="223"/>
      <c r="D20" s="223"/>
      <c r="E20" s="223"/>
      <c r="F20" s="223"/>
      <c r="G20" s="223"/>
      <c r="H20" s="223"/>
      <c r="I20" s="223"/>
      <c r="J20" s="223"/>
      <c r="K20" s="223"/>
      <c r="L20" s="223"/>
      <c r="M20" s="223"/>
      <c r="N20" s="223"/>
      <c r="O20" s="223"/>
      <c r="P20" s="223"/>
      <c r="Q20" s="223"/>
      <c r="R20" s="223"/>
      <c r="S20" s="223"/>
      <c r="T20" s="223"/>
      <c r="U20" s="223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</row>
    <row r="21" spans="1:45" ht="12.75" customHeight="1">
      <c r="A21" s="479" t="str">
        <f>"Quelle: OECD Gesundheitsdaten "&amp;'[106]data '!$B$2+1</f>
        <v>Quelle: OECD Gesundheitsdaten 2002</v>
      </c>
      <c r="B21" s="225"/>
      <c r="C21" s="225"/>
      <c r="D21" s="225"/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5"/>
      <c r="S21" s="225"/>
      <c r="T21" s="225"/>
      <c r="U21" s="225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</row>
    <row r="22" spans="1:45" ht="30" customHeight="1">
      <c r="A22" s="163"/>
      <c r="B22" s="226"/>
      <c r="C22" s="226"/>
      <c r="D22" s="226"/>
      <c r="E22" s="226"/>
      <c r="F22" s="226"/>
      <c r="G22" s="226"/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18"/>
      <c r="W22" s="218"/>
      <c r="X22" s="218"/>
      <c r="Y22" s="218"/>
      <c r="Z22" s="218"/>
      <c r="AA22" s="218"/>
      <c r="AB22" s="218"/>
      <c r="AC22" s="218"/>
      <c r="AD22" s="218"/>
      <c r="AE22" s="218"/>
      <c r="AF22" s="218"/>
      <c r="AG22" s="218"/>
      <c r="AH22" s="218"/>
      <c r="AI22" s="218"/>
      <c r="AJ22" s="218"/>
      <c r="AK22" s="218"/>
      <c r="AL22" s="218"/>
      <c r="AM22" s="218"/>
      <c r="AN22" s="218"/>
    </row>
    <row r="23" spans="1:45" ht="18" customHeight="1">
      <c r="A23" s="286"/>
      <c r="B23" s="226"/>
      <c r="C23" s="226"/>
      <c r="D23" s="226"/>
      <c r="E23" s="226"/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</row>
    <row r="24" spans="1:45" ht="31" customHeight="1">
      <c r="A24" s="218"/>
      <c r="B24" s="226"/>
      <c r="C24" s="226"/>
      <c r="D24" s="226"/>
      <c r="E24" s="226"/>
      <c r="F24" s="226"/>
      <c r="G24" s="226"/>
      <c r="H24" s="226"/>
      <c r="I24" s="226"/>
      <c r="J24" s="226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18"/>
      <c r="W24" s="218"/>
      <c r="X24" s="218"/>
      <c r="Y24" s="218"/>
      <c r="Z24" s="218"/>
      <c r="AA24" s="218"/>
      <c r="AB24" s="218"/>
      <c r="AC24" s="218"/>
      <c r="AD24" s="218"/>
      <c r="AE24" s="218"/>
      <c r="AF24" s="218"/>
      <c r="AG24" s="218"/>
      <c r="AH24" s="218"/>
      <c r="AI24" s="218"/>
      <c r="AJ24" s="218"/>
      <c r="AK24" s="218"/>
      <c r="AL24" s="218"/>
      <c r="AM24" s="218"/>
      <c r="AN24" s="218"/>
    </row>
    <row r="25" spans="1:45" ht="31" customHeight="1">
      <c r="A25" s="218"/>
      <c r="B25" s="226"/>
      <c r="C25" s="226"/>
      <c r="D25" s="226"/>
      <c r="E25" s="226"/>
      <c r="F25" s="226"/>
      <c r="G25" s="226"/>
      <c r="H25" s="226"/>
      <c r="I25" s="226"/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S25" s="1"/>
    </row>
    <row r="26" spans="1:45" ht="31" customHeight="1">
      <c r="A26" s="218"/>
      <c r="B26" s="226"/>
      <c r="C26" s="226"/>
      <c r="D26" s="226"/>
      <c r="E26" s="226"/>
      <c r="F26" s="226"/>
      <c r="G26" s="226"/>
      <c r="H26" s="226"/>
      <c r="I26" s="226"/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</row>
    <row r="27" spans="1:45" ht="31" customHeight="1">
      <c r="A27" s="218"/>
      <c r="B27" s="226"/>
      <c r="C27" s="226"/>
      <c r="D27" s="226"/>
      <c r="E27" s="226"/>
      <c r="F27" s="226"/>
      <c r="G27" s="226"/>
      <c r="H27" s="226"/>
      <c r="I27" s="226"/>
      <c r="J27" s="226"/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</row>
    <row r="28" spans="1:45" ht="31" customHeight="1">
      <c r="A28" s="218"/>
      <c r="B28" s="226"/>
      <c r="C28" s="226"/>
      <c r="D28" s="226"/>
      <c r="E28" s="226"/>
      <c r="F28" s="226"/>
      <c r="G28" s="226"/>
      <c r="H28" s="226"/>
      <c r="I28" s="226"/>
      <c r="J28" s="226"/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18"/>
      <c r="W28" s="218"/>
      <c r="X28" s="218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</row>
    <row r="29" spans="1:45" ht="31" customHeight="1">
      <c r="A29" s="218"/>
      <c r="B29" s="226"/>
      <c r="C29" s="226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</row>
    <row r="30" spans="1:45" ht="31" customHeight="1">
      <c r="A30" s="218"/>
      <c r="B30" s="226"/>
      <c r="C30" s="226"/>
      <c r="D30" s="226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18"/>
      <c r="W30" s="218"/>
      <c r="X30" s="218"/>
      <c r="Y30" s="218"/>
      <c r="Z30" s="218"/>
      <c r="AA30" s="218"/>
      <c r="AB30" s="218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  <c r="AN30" s="218"/>
    </row>
    <row r="31" spans="1:45" ht="31" customHeight="1">
      <c r="A31" s="218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18"/>
      <c r="W31" s="218"/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218"/>
      <c r="AN31" s="218"/>
    </row>
    <row r="32" spans="1:45">
      <c r="A32" s="218"/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18"/>
      <c r="W32" s="218"/>
      <c r="X32" s="218"/>
      <c r="Y32" s="218"/>
      <c r="Z32" s="218"/>
      <c r="AA32" s="218"/>
      <c r="AB32" s="218"/>
      <c r="AC32" s="218"/>
      <c r="AD32" s="218"/>
      <c r="AE32" s="218"/>
      <c r="AF32" s="218"/>
      <c r="AG32" s="218"/>
      <c r="AH32" s="218"/>
      <c r="AI32" s="218"/>
      <c r="AJ32" s="218"/>
      <c r="AK32" s="218"/>
      <c r="AL32" s="218"/>
      <c r="AM32" s="218"/>
      <c r="AN32" s="218"/>
    </row>
  </sheetData>
  <phoneticPr fontId="0" type="noConversion"/>
  <pageMargins left="0.41" right="0.28000000000000003" top="1.0900000000000001" bottom="0.49" header="0.67" footer="0.4921259845"/>
  <pageSetup paperSize="9" scale="75" orientation="portrait" horizontalDpi="4294967292" verticalDpi="4294967292"/>
  <headerFooter alignWithMargins="0">
    <oddHeader>&amp;L&amp;"Arial,Bold"&amp;14Zusatzinformationen zum Gesundheitswesen</oddHeader>
    <oddFooter>&amp;L&amp;"Arial,Regular"Statistik über die Krankenversicherung, Bundesamt für Sozialversicherung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21C4-B34B-F349-815D-FC15DD53DBC5}">
  <dimension ref="A1:J31"/>
  <sheetViews>
    <sheetView zoomScale="75" workbookViewId="0">
      <selection activeCell="J24" sqref="J24"/>
    </sheetView>
  </sheetViews>
  <sheetFormatPr baseColWidth="10" defaultColWidth="11.3984375" defaultRowHeight="13"/>
  <cols>
    <col min="1" max="1" width="12.796875" style="7" customWidth="1"/>
    <col min="2" max="6" width="11.3984375" style="227"/>
    <col min="7" max="7" width="13.19921875" style="227" customWidth="1"/>
    <col min="8" max="16384" width="11.3984375" style="7"/>
  </cols>
  <sheetData>
    <row r="1" spans="1:7" s="1" customFormat="1" ht="14" customHeight="1">
      <c r="A1" s="163"/>
      <c r="B1" s="220"/>
      <c r="C1" s="220"/>
      <c r="D1" s="220"/>
      <c r="E1" s="220"/>
      <c r="F1" s="220"/>
      <c r="G1" s="220"/>
    </row>
    <row r="2" spans="1:7" s="1" customFormat="1" ht="27" customHeight="1">
      <c r="A2" s="164" t="s">
        <v>397</v>
      </c>
      <c r="B2" s="220"/>
      <c r="C2" s="220"/>
      <c r="D2" s="220"/>
      <c r="E2" s="220"/>
      <c r="F2" s="220"/>
      <c r="G2" s="220"/>
    </row>
    <row r="3" spans="1:7" ht="27" customHeight="1">
      <c r="A3" s="41" t="s">
        <v>640</v>
      </c>
      <c r="B3" s="6" t="s">
        <v>410</v>
      </c>
      <c r="C3" s="42" t="s">
        <v>398</v>
      </c>
      <c r="D3" s="6" t="s">
        <v>399</v>
      </c>
      <c r="E3" s="42" t="s">
        <v>400</v>
      </c>
      <c r="F3" s="6" t="s">
        <v>796</v>
      </c>
      <c r="G3" s="42" t="s">
        <v>497</v>
      </c>
    </row>
    <row r="4" spans="1:7" ht="15" customHeight="1">
      <c r="A4" s="43"/>
      <c r="B4" s="170"/>
      <c r="C4" s="221" t="s">
        <v>156</v>
      </c>
      <c r="D4" s="12" t="s">
        <v>156</v>
      </c>
      <c r="E4" s="44" t="s">
        <v>1077</v>
      </c>
      <c r="F4" s="12" t="s">
        <v>401</v>
      </c>
      <c r="G4" s="44"/>
    </row>
    <row r="5" spans="1:7" ht="15" customHeight="1">
      <c r="A5" s="43"/>
      <c r="B5" s="12"/>
      <c r="C5" s="44" t="s">
        <v>411</v>
      </c>
      <c r="D5" s="12" t="s">
        <v>402</v>
      </c>
      <c r="E5" s="221" t="s">
        <v>412</v>
      </c>
      <c r="F5" s="170" t="s">
        <v>403</v>
      </c>
      <c r="G5" s="44"/>
    </row>
    <row r="6" spans="1:7" ht="30" customHeight="1">
      <c r="A6" s="43"/>
      <c r="B6" s="12"/>
      <c r="C6" s="221"/>
      <c r="D6" s="170" t="s">
        <v>404</v>
      </c>
      <c r="E6" s="221"/>
      <c r="F6" s="170" t="s">
        <v>413</v>
      </c>
      <c r="G6" s="44"/>
    </row>
    <row r="7" spans="1:7" ht="30" customHeight="1" thickBot="1">
      <c r="A7" s="171">
        <v>1995</v>
      </c>
      <c r="B7" s="341">
        <f>[107]f!B7</f>
        <v>5829.2</v>
      </c>
      <c r="C7" s="340">
        <f>[107]f!C7</f>
        <v>13614.3</v>
      </c>
      <c r="D7" s="341">
        <f>[107]f!D7</f>
        <v>4426</v>
      </c>
      <c r="E7" s="340">
        <f>[107]f!E7</f>
        <v>11929.3</v>
      </c>
      <c r="F7" s="341">
        <f>[107]f!F7</f>
        <v>362.1</v>
      </c>
      <c r="G7" s="340">
        <f>[107]f!G7</f>
        <v>36160.9</v>
      </c>
    </row>
    <row r="8" spans="1:7" ht="18" customHeight="1" thickBot="1">
      <c r="A8" s="172">
        <v>1996</v>
      </c>
      <c r="B8" s="125">
        <f>[107]f!B8</f>
        <v>6108.1</v>
      </c>
      <c r="C8" s="126">
        <f>[107]f!C8</f>
        <v>14621.3</v>
      </c>
      <c r="D8" s="125">
        <f>[107]f!D8</f>
        <v>4896.5</v>
      </c>
      <c r="E8" s="126">
        <f>[107]f!E8</f>
        <v>11903.7</v>
      </c>
      <c r="F8" s="125">
        <f>[107]f!F8</f>
        <v>378.7</v>
      </c>
      <c r="G8" s="126">
        <f>[107]f!G8</f>
        <v>37908.300000000003</v>
      </c>
    </row>
    <row r="9" spans="1:7" ht="18" customHeight="1" thickBot="1">
      <c r="A9" s="172">
        <v>1997</v>
      </c>
      <c r="B9" s="125">
        <f>[107]f!B9</f>
        <v>6058</v>
      </c>
      <c r="C9" s="126">
        <f>[107]f!C9</f>
        <v>15271.7</v>
      </c>
      <c r="D9" s="125">
        <f>[107]f!D9</f>
        <v>4463.3999999999996</v>
      </c>
      <c r="E9" s="126">
        <f>[107]f!E9</f>
        <v>12489.9</v>
      </c>
      <c r="F9" s="125">
        <f>[107]f!F9</f>
        <v>386.6</v>
      </c>
      <c r="G9" s="126">
        <f>[107]f!G9</f>
        <v>38669.599999999999</v>
      </c>
    </row>
    <row r="10" spans="1:7" ht="18" customHeight="1" thickBot="1">
      <c r="A10" s="172">
        <v>1998</v>
      </c>
      <c r="B10" s="125">
        <f>[107]f!B10</f>
        <v>6131.7</v>
      </c>
      <c r="C10" s="126">
        <f>[107]f!C10</f>
        <v>15975.1</v>
      </c>
      <c r="D10" s="125">
        <f>[107]f!D10</f>
        <v>4590.2</v>
      </c>
      <c r="E10" s="126">
        <f>[107]f!E10</f>
        <v>13200.2</v>
      </c>
      <c r="F10" s="125">
        <f>[107]f!F10</f>
        <v>395.2</v>
      </c>
      <c r="G10" s="126">
        <f>[107]f!G10</f>
        <v>40292.399999999994</v>
      </c>
    </row>
    <row r="11" spans="1:7" ht="18" customHeight="1" thickBot="1">
      <c r="A11" s="172">
        <v>1999</v>
      </c>
      <c r="B11" s="125">
        <f>[107]f!B11</f>
        <v>6416.6639269999996</v>
      </c>
      <c r="C11" s="126">
        <f>[107]f!C11</f>
        <v>16596.671683952769</v>
      </c>
      <c r="D11" s="125">
        <f>[107]f!D11</f>
        <v>4331.8999999999996</v>
      </c>
      <c r="E11" s="126">
        <f>[107]f!E11</f>
        <v>13831.539584369208</v>
      </c>
      <c r="F11" s="125">
        <f>[107]f!F11</f>
        <v>408.8</v>
      </c>
      <c r="G11" s="126">
        <f>[107]f!G11</f>
        <v>41585.575195321981</v>
      </c>
    </row>
    <row r="12" spans="1:7" ht="30" customHeight="1" thickBot="1">
      <c r="A12" s="173">
        <v>2000</v>
      </c>
      <c r="B12" s="131">
        <f>[107]f!B12</f>
        <v>6599.5077570000003</v>
      </c>
      <c r="C12" s="480">
        <f>[107]f!C12</f>
        <v>17518.085264289613</v>
      </c>
      <c r="D12" s="131">
        <f>[107]f!D12</f>
        <v>4546.7</v>
      </c>
      <c r="E12" s="480">
        <f>[107]f!E12</f>
        <v>14257.299972696481</v>
      </c>
      <c r="F12" s="131">
        <f>[107]f!F12</f>
        <v>443.72611837314082</v>
      </c>
      <c r="G12" s="480">
        <f>[107]f!G12</f>
        <v>43365.319112359233</v>
      </c>
    </row>
    <row r="13" spans="1:7" ht="20" customHeight="1">
      <c r="A13" s="222" t="str">
        <f>'[106]data '!$D$2</f>
        <v>Datenstand: 17.11.2002</v>
      </c>
      <c r="B13" s="223"/>
      <c r="C13" s="223"/>
      <c r="D13" s="223"/>
      <c r="E13" s="223"/>
      <c r="F13" s="223"/>
      <c r="G13" s="223"/>
    </row>
    <row r="14" spans="1:7" ht="12.75" customHeight="1">
      <c r="A14" s="224"/>
      <c r="B14" s="225"/>
      <c r="C14" s="225"/>
      <c r="D14" s="225"/>
      <c r="E14" s="225"/>
      <c r="F14" s="225"/>
      <c r="G14" s="225"/>
    </row>
    <row r="15" spans="1:7" ht="12.75" customHeight="1">
      <c r="A15" s="224" t="s">
        <v>405</v>
      </c>
      <c r="B15" s="225"/>
      <c r="C15" s="225"/>
      <c r="D15" s="225"/>
      <c r="E15" s="225"/>
      <c r="F15" s="225"/>
      <c r="G15" s="225"/>
    </row>
    <row r="16" spans="1:7" ht="12.75" customHeight="1">
      <c r="A16" s="224" t="s">
        <v>406</v>
      </c>
      <c r="B16" s="225"/>
      <c r="C16" s="225"/>
      <c r="D16" s="225"/>
      <c r="E16" s="225"/>
      <c r="F16" s="225"/>
      <c r="G16" s="225"/>
    </row>
    <row r="17" spans="1:10" ht="12.75" customHeight="1">
      <c r="A17" s="224" t="s">
        <v>407</v>
      </c>
      <c r="B17" s="225"/>
      <c r="C17" s="225"/>
      <c r="D17" s="225"/>
      <c r="E17" s="225"/>
      <c r="F17" s="225"/>
      <c r="G17" s="225"/>
    </row>
    <row r="18" spans="1:10" ht="12.75" customHeight="1">
      <c r="A18" s="224" t="s">
        <v>408</v>
      </c>
      <c r="B18" s="225"/>
      <c r="C18" s="225"/>
      <c r="D18" s="225"/>
      <c r="E18" s="225"/>
      <c r="F18" s="225"/>
      <c r="G18" s="225"/>
    </row>
    <row r="19" spans="1:10" ht="12.75" customHeight="1">
      <c r="A19" s="224" t="s">
        <v>498</v>
      </c>
      <c r="B19" s="225"/>
      <c r="C19" s="225"/>
      <c r="D19" s="225"/>
      <c r="E19" s="225"/>
      <c r="F19" s="225"/>
      <c r="G19" s="225"/>
    </row>
    <row r="20" spans="1:10" ht="99.75" customHeight="1">
      <c r="A20" s="163"/>
      <c r="B20" s="226"/>
      <c r="C20" s="226"/>
      <c r="D20" s="226"/>
      <c r="E20" s="226"/>
      <c r="F20" s="226"/>
      <c r="G20" s="226"/>
    </row>
    <row r="21" spans="1:10" ht="18" customHeight="1">
      <c r="A21" s="286"/>
      <c r="B21" s="226"/>
      <c r="C21" s="226"/>
      <c r="D21" s="226"/>
      <c r="E21" s="226"/>
      <c r="F21" s="226"/>
      <c r="G21" s="226"/>
    </row>
    <row r="22" spans="1:10" ht="31" customHeight="1">
      <c r="A22" s="218"/>
      <c r="B22" s="226"/>
      <c r="C22" s="226"/>
      <c r="D22" s="226"/>
      <c r="E22" s="226"/>
      <c r="F22" s="226"/>
      <c r="G22" s="226"/>
    </row>
    <row r="23" spans="1:10" ht="31" customHeight="1">
      <c r="A23" s="218"/>
      <c r="B23" s="226"/>
      <c r="C23" s="226"/>
      <c r="D23" s="226"/>
      <c r="E23" s="226"/>
      <c r="F23" s="226"/>
      <c r="G23" s="226"/>
    </row>
    <row r="24" spans="1:10" ht="31" customHeight="1">
      <c r="A24" s="218"/>
      <c r="B24" s="226"/>
      <c r="C24" s="226"/>
      <c r="D24" s="226"/>
      <c r="E24" s="226"/>
      <c r="F24" s="226"/>
      <c r="G24" s="226"/>
      <c r="J24" s="1"/>
    </row>
    <row r="25" spans="1:10" ht="31" customHeight="1">
      <c r="A25" s="218"/>
      <c r="B25" s="226"/>
      <c r="C25" s="226"/>
      <c r="D25" s="226"/>
      <c r="E25" s="226"/>
      <c r="F25" s="226"/>
      <c r="G25" s="226"/>
    </row>
    <row r="26" spans="1:10" ht="31" customHeight="1">
      <c r="A26" s="218"/>
      <c r="B26" s="226"/>
      <c r="C26" s="226"/>
      <c r="D26" s="226"/>
      <c r="E26" s="226"/>
      <c r="F26" s="226"/>
      <c r="G26" s="226"/>
    </row>
    <row r="27" spans="1:10" ht="31" customHeight="1">
      <c r="A27" s="218"/>
      <c r="B27" s="226"/>
      <c r="C27" s="226"/>
      <c r="D27" s="226"/>
      <c r="E27" s="226"/>
      <c r="F27" s="226"/>
      <c r="G27" s="226"/>
    </row>
    <row r="28" spans="1:10" ht="31" customHeight="1">
      <c r="A28" s="218"/>
      <c r="B28" s="226"/>
      <c r="C28" s="226"/>
      <c r="D28" s="226"/>
      <c r="E28" s="226"/>
      <c r="F28" s="226"/>
      <c r="G28" s="226"/>
    </row>
    <row r="29" spans="1:10" ht="31" customHeight="1">
      <c r="A29" s="218"/>
      <c r="B29" s="226"/>
      <c r="C29" s="226"/>
      <c r="D29" s="226"/>
      <c r="E29" s="226"/>
      <c r="F29" s="226"/>
      <c r="G29" s="226"/>
    </row>
    <row r="30" spans="1:10">
      <c r="A30" s="218"/>
      <c r="B30" s="226"/>
      <c r="C30" s="226"/>
      <c r="D30" s="226"/>
      <c r="E30" s="226"/>
      <c r="F30" s="226"/>
      <c r="G30" s="226"/>
    </row>
    <row r="31" spans="1:10">
      <c r="A31" s="218"/>
      <c r="B31" s="226"/>
      <c r="C31" s="226"/>
      <c r="D31" s="226"/>
      <c r="E31" s="226"/>
      <c r="F31" s="226"/>
      <c r="G31" s="226"/>
    </row>
  </sheetData>
  <phoneticPr fontId="0" type="noConversion"/>
  <pageMargins left="0.78740157480314965" right="0.78740157480314965" top="1.45" bottom="0.49" header="0.93" footer="0.4921259845"/>
  <pageSetup paperSize="9" scale="80" orientation="portrait" horizontalDpi="4294967292" verticalDpi="4294967292"/>
  <headerFooter alignWithMargins="0">
    <oddHeader>&amp;L&amp;"Arial,Bold"&amp;14Zusatzinformationen zum Gesundheitswesen</oddHeader>
    <oddFooter>&amp;L&amp;"Arial,Regular"Statistik über die Krankenversicherung, Bundesamt für Sozialversicherung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61124-E703-B04E-BC5E-431D18CA34A9}">
  <dimension ref="A1:L31"/>
  <sheetViews>
    <sheetView zoomScale="75" workbookViewId="0">
      <selection activeCell="L24" sqref="L24"/>
    </sheetView>
  </sheetViews>
  <sheetFormatPr baseColWidth="10" defaultColWidth="11.3984375" defaultRowHeight="13"/>
  <cols>
    <col min="1" max="1" width="9" style="7" customWidth="1"/>
    <col min="2" max="9" width="12.19921875" style="227" customWidth="1"/>
    <col min="10" max="10" width="8.796875" style="7" customWidth="1"/>
    <col min="11" max="16384" width="11.3984375" style="7"/>
  </cols>
  <sheetData>
    <row r="1" spans="1:9" s="1" customFormat="1" ht="14" customHeight="1">
      <c r="A1" s="163"/>
      <c r="B1" s="220"/>
      <c r="C1" s="220"/>
      <c r="D1" s="220"/>
      <c r="E1" s="220"/>
      <c r="F1" s="220"/>
      <c r="G1" s="220"/>
      <c r="H1" s="220"/>
      <c r="I1" s="220"/>
    </row>
    <row r="2" spans="1:9" s="1" customFormat="1" ht="27" customHeight="1">
      <c r="A2" s="164" t="s">
        <v>473</v>
      </c>
      <c r="B2" s="220"/>
      <c r="C2" s="220"/>
      <c r="D2" s="220"/>
      <c r="E2" s="220"/>
      <c r="F2" s="220"/>
      <c r="G2" s="220"/>
      <c r="H2" s="220"/>
      <c r="I2" s="220"/>
    </row>
    <row r="3" spans="1:9" ht="27" customHeight="1">
      <c r="A3" s="41" t="s">
        <v>640</v>
      </c>
      <c r="B3" s="6" t="s">
        <v>223</v>
      </c>
      <c r="C3" s="42" t="s">
        <v>474</v>
      </c>
      <c r="D3" s="6" t="s">
        <v>675</v>
      </c>
      <c r="E3" s="42" t="s">
        <v>475</v>
      </c>
      <c r="F3" s="6" t="s">
        <v>476</v>
      </c>
      <c r="G3" s="42" t="s">
        <v>136</v>
      </c>
      <c r="H3" s="6" t="s">
        <v>477</v>
      </c>
      <c r="I3" s="42" t="s">
        <v>497</v>
      </c>
    </row>
    <row r="4" spans="1:9" ht="15" customHeight="1">
      <c r="A4" s="43"/>
      <c r="B4" s="170" t="s">
        <v>478</v>
      </c>
      <c r="C4" s="221" t="s">
        <v>479</v>
      </c>
      <c r="D4" s="12" t="s">
        <v>480</v>
      </c>
      <c r="E4" s="44" t="s">
        <v>494</v>
      </c>
      <c r="F4" s="12"/>
      <c r="G4" s="44" t="s">
        <v>481</v>
      </c>
      <c r="H4" s="12" t="s">
        <v>482</v>
      </c>
      <c r="I4" s="44"/>
    </row>
    <row r="5" spans="1:9" ht="15" customHeight="1">
      <c r="A5" s="43"/>
      <c r="B5" s="12"/>
      <c r="C5" s="44" t="s">
        <v>483</v>
      </c>
      <c r="D5" s="12" t="s">
        <v>495</v>
      </c>
      <c r="E5" s="221"/>
      <c r="F5" s="170"/>
      <c r="G5" s="221"/>
      <c r="H5" s="170" t="s">
        <v>484</v>
      </c>
      <c r="I5" s="44"/>
    </row>
    <row r="6" spans="1:9" ht="27" customHeight="1">
      <c r="A6" s="43"/>
      <c r="B6" s="12"/>
      <c r="C6" s="221" t="s">
        <v>496</v>
      </c>
      <c r="D6" s="170"/>
      <c r="E6" s="221"/>
      <c r="F6" s="170"/>
      <c r="G6" s="221"/>
      <c r="H6" s="170" t="s">
        <v>485</v>
      </c>
      <c r="I6" s="221"/>
    </row>
    <row r="7" spans="1:9" ht="0.75" customHeight="1">
      <c r="A7" s="481"/>
      <c r="B7" s="170" t="s">
        <v>486</v>
      </c>
      <c r="C7" s="221" t="s">
        <v>487</v>
      </c>
      <c r="D7" s="170" t="s">
        <v>488</v>
      </c>
      <c r="E7" s="221" t="s">
        <v>489</v>
      </c>
      <c r="F7" s="170" t="s">
        <v>476</v>
      </c>
      <c r="G7" s="221" t="s">
        <v>250</v>
      </c>
      <c r="H7" s="170" t="s">
        <v>490</v>
      </c>
      <c r="I7" s="221" t="s">
        <v>514</v>
      </c>
    </row>
    <row r="8" spans="1:9" ht="30" customHeight="1" thickBot="1">
      <c r="A8" s="171">
        <v>1995</v>
      </c>
      <c r="B8" s="341">
        <f>[108]f!B8</f>
        <v>12612</v>
      </c>
      <c r="C8" s="340">
        <f>[108]f!C8</f>
        <v>6027.7</v>
      </c>
      <c r="D8" s="341">
        <f>[108]f!D8</f>
        <v>11275.1</v>
      </c>
      <c r="E8" s="340">
        <f>[108]f!E8</f>
        <v>3400.9</v>
      </c>
      <c r="F8" s="341">
        <f>[108]f!F8</f>
        <v>861.5</v>
      </c>
      <c r="G8" s="340">
        <f>[108]f!G8</f>
        <v>1584.5</v>
      </c>
      <c r="H8" s="341">
        <f>[108]f!H8</f>
        <v>399.2</v>
      </c>
      <c r="I8" s="340">
        <f>[108]f!I8</f>
        <v>36160.9</v>
      </c>
    </row>
    <row r="9" spans="1:9" ht="18" customHeight="1" thickBot="1">
      <c r="A9" s="172">
        <v>1996</v>
      </c>
      <c r="B9" s="125">
        <f>[108]f!B9</f>
        <v>13184</v>
      </c>
      <c r="C9" s="126">
        <f>[108]f!C9</f>
        <v>6423.1</v>
      </c>
      <c r="D9" s="125">
        <f>[108]f!D9</f>
        <v>11678.6</v>
      </c>
      <c r="E9" s="126">
        <f>[108]f!E9</f>
        <v>3544.7</v>
      </c>
      <c r="F9" s="125">
        <f>[108]f!F9</f>
        <v>869.1</v>
      </c>
      <c r="G9" s="126">
        <f>[108]f!G9</f>
        <v>1796.9</v>
      </c>
      <c r="H9" s="125">
        <f>[108]f!H9</f>
        <v>412</v>
      </c>
      <c r="I9" s="126">
        <f>[108]f!I9</f>
        <v>37908.399999999994</v>
      </c>
    </row>
    <row r="10" spans="1:9" ht="18" customHeight="1" thickBot="1">
      <c r="A10" s="172">
        <v>1997</v>
      </c>
      <c r="B10" s="125">
        <f>[108]f!B10</f>
        <v>13300.5</v>
      </c>
      <c r="C10" s="126">
        <f>[108]f!C10</f>
        <v>6678.2</v>
      </c>
      <c r="D10" s="125">
        <f>[108]f!D10</f>
        <v>11898.8</v>
      </c>
      <c r="E10" s="126">
        <f>[108]f!E10</f>
        <v>3699.7</v>
      </c>
      <c r="F10" s="125">
        <f>[108]f!F10</f>
        <v>820.1</v>
      </c>
      <c r="G10" s="126">
        <f>[108]f!G10</f>
        <v>1853.8</v>
      </c>
      <c r="H10" s="125">
        <f>[108]f!H10</f>
        <v>418.5</v>
      </c>
      <c r="I10" s="126">
        <f>[108]f!I10</f>
        <v>38669.599999999999</v>
      </c>
    </row>
    <row r="11" spans="1:9" ht="18" customHeight="1" thickBot="1">
      <c r="A11" s="172">
        <v>1998</v>
      </c>
      <c r="B11" s="125">
        <f>[108]f!B11</f>
        <v>13726.9</v>
      </c>
      <c r="C11" s="126">
        <f>[108]f!C11</f>
        <v>6995</v>
      </c>
      <c r="D11" s="125">
        <f>[108]f!D11</f>
        <v>12534.7</v>
      </c>
      <c r="E11" s="126">
        <f>[108]f!E11</f>
        <v>3814.8</v>
      </c>
      <c r="F11" s="125">
        <f>[108]f!F11</f>
        <v>825.8</v>
      </c>
      <c r="G11" s="126">
        <f>[108]f!G11</f>
        <v>1952.6</v>
      </c>
      <c r="H11" s="125">
        <f>[108]f!H11</f>
        <v>442.5</v>
      </c>
      <c r="I11" s="126">
        <f>[108]f!I11</f>
        <v>40292.30000000001</v>
      </c>
    </row>
    <row r="12" spans="1:9" ht="18" customHeight="1" thickBot="1">
      <c r="A12" s="172">
        <v>1999</v>
      </c>
      <c r="B12" s="125">
        <f>[108]f!B12</f>
        <v>14269.859986000003</v>
      </c>
      <c r="C12" s="126">
        <f>[108]f!C12</f>
        <v>7117.1</v>
      </c>
      <c r="D12" s="125">
        <f>[108]f!D12</f>
        <v>12923.16416135502</v>
      </c>
      <c r="E12" s="126">
        <f>[108]f!E12</f>
        <v>3985</v>
      </c>
      <c r="F12" s="125">
        <f>[108]f!F12</f>
        <v>869.4</v>
      </c>
      <c r="G12" s="126">
        <f>[108]f!G12</f>
        <v>1951.2</v>
      </c>
      <c r="H12" s="125">
        <f>[108]f!H12</f>
        <v>469.9</v>
      </c>
      <c r="I12" s="126">
        <f>[108]f!I12</f>
        <v>41585.624147355018</v>
      </c>
    </row>
    <row r="13" spans="1:9" s="81" customFormat="1" ht="30" customHeight="1" thickBot="1">
      <c r="A13" s="173">
        <v>2000</v>
      </c>
      <c r="B13" s="131">
        <f>[108]f!B13</f>
        <v>14895.513251</v>
      </c>
      <c r="C13" s="480">
        <f>[108]f!C13</f>
        <v>7563.9</v>
      </c>
      <c r="D13" s="131">
        <f>[108]f!D13</f>
        <v>13440.733995653636</v>
      </c>
      <c r="E13" s="480">
        <f>[108]f!E13</f>
        <v>4130.4973544495606</v>
      </c>
      <c r="F13" s="131">
        <f>[108]f!F13</f>
        <v>886.60889900000006</v>
      </c>
      <c r="G13" s="480">
        <f>[108]f!G13</f>
        <v>1968</v>
      </c>
      <c r="H13" s="131">
        <f>[108]f!H13</f>
        <v>480.06561225603991</v>
      </c>
      <c r="I13" s="480">
        <f>[108]f!I13</f>
        <v>43365.319112359233</v>
      </c>
    </row>
    <row r="14" spans="1:9" ht="20" customHeight="1">
      <c r="A14" s="222" t="str">
        <f>'[106]data '!$D$2</f>
        <v>Datenstand: 17.11.2002</v>
      </c>
      <c r="B14" s="223"/>
      <c r="C14" s="223"/>
      <c r="D14" s="223"/>
      <c r="E14" s="223"/>
      <c r="F14" s="223"/>
      <c r="G14" s="223"/>
      <c r="H14" s="223"/>
      <c r="I14" s="223"/>
    </row>
    <row r="15" spans="1:9" ht="15.75" customHeight="1">
      <c r="A15" s="224"/>
      <c r="B15" s="225"/>
      <c r="C15" s="225"/>
      <c r="D15" s="225"/>
      <c r="E15" s="225"/>
      <c r="F15" s="225"/>
      <c r="G15" s="225"/>
      <c r="H15" s="225"/>
      <c r="I15" s="225"/>
    </row>
    <row r="16" spans="1:9" ht="12.75" customHeight="1">
      <c r="A16" s="224" t="s">
        <v>491</v>
      </c>
      <c r="B16" s="225"/>
      <c r="C16" s="225"/>
      <c r="D16" s="225"/>
      <c r="E16" s="225"/>
      <c r="F16" s="225"/>
      <c r="G16" s="225"/>
      <c r="H16" s="225"/>
      <c r="I16" s="225"/>
    </row>
    <row r="17" spans="1:12" ht="12.75" customHeight="1">
      <c r="A17" s="224" t="s">
        <v>492</v>
      </c>
      <c r="B17" s="225"/>
      <c r="C17" s="225"/>
      <c r="D17" s="225"/>
      <c r="E17" s="225"/>
      <c r="F17" s="225"/>
      <c r="G17" s="225"/>
      <c r="H17" s="225"/>
      <c r="I17" s="225"/>
    </row>
    <row r="18" spans="1:12" ht="12.75" customHeight="1">
      <c r="A18" s="224" t="s">
        <v>493</v>
      </c>
      <c r="B18" s="225"/>
      <c r="C18" s="225"/>
      <c r="D18" s="225"/>
      <c r="E18" s="225"/>
      <c r="F18" s="225"/>
      <c r="G18" s="225"/>
      <c r="H18" s="225"/>
      <c r="I18" s="225"/>
    </row>
    <row r="19" spans="1:12" ht="12.75" customHeight="1">
      <c r="A19" s="224" t="s">
        <v>498</v>
      </c>
      <c r="B19" s="225"/>
      <c r="C19" s="225"/>
      <c r="D19" s="225"/>
      <c r="E19" s="225"/>
      <c r="F19" s="225"/>
      <c r="G19" s="225"/>
      <c r="H19" s="225"/>
      <c r="I19" s="225"/>
    </row>
    <row r="20" spans="1:12" ht="120" customHeight="1">
      <c r="A20" s="163"/>
      <c r="B20" s="226"/>
      <c r="C20" s="226"/>
      <c r="D20" s="226"/>
      <c r="E20" s="226"/>
      <c r="F20" s="226"/>
      <c r="G20" s="226"/>
      <c r="H20" s="226"/>
      <c r="I20" s="226"/>
    </row>
    <row r="21" spans="1:12" ht="18" customHeight="1">
      <c r="A21" s="286"/>
      <c r="B21" s="226"/>
      <c r="C21" s="226"/>
      <c r="D21" s="226"/>
      <c r="E21" s="226"/>
      <c r="F21" s="226"/>
      <c r="G21" s="226"/>
      <c r="H21" s="226"/>
      <c r="I21" s="226"/>
    </row>
    <row r="22" spans="1:12" ht="31" customHeight="1">
      <c r="A22" s="218"/>
      <c r="B22" s="226"/>
      <c r="C22" s="226"/>
      <c r="D22" s="226"/>
      <c r="E22" s="226"/>
      <c r="F22" s="226"/>
      <c r="G22" s="226"/>
      <c r="H22" s="226"/>
      <c r="I22" s="226"/>
    </row>
    <row r="23" spans="1:12" ht="31" customHeight="1">
      <c r="A23" s="218"/>
      <c r="B23" s="226"/>
      <c r="C23" s="226"/>
      <c r="D23" s="226"/>
      <c r="E23" s="226"/>
      <c r="F23" s="226"/>
      <c r="G23" s="226"/>
      <c r="H23" s="226"/>
      <c r="I23" s="226"/>
    </row>
    <row r="24" spans="1:12" ht="31" customHeight="1">
      <c r="A24" s="218"/>
      <c r="B24" s="226"/>
      <c r="C24" s="226"/>
      <c r="D24" s="226"/>
      <c r="E24" s="226"/>
      <c r="F24" s="226"/>
      <c r="G24" s="226"/>
      <c r="H24" s="226"/>
      <c r="I24" s="226"/>
      <c r="L24" s="286"/>
    </row>
    <row r="25" spans="1:12" ht="31" customHeight="1">
      <c r="A25" s="218"/>
      <c r="B25" s="226"/>
      <c r="C25" s="226"/>
      <c r="D25" s="226"/>
      <c r="E25" s="226"/>
      <c r="F25" s="226"/>
      <c r="G25" s="226"/>
      <c r="H25" s="226"/>
      <c r="I25" s="226"/>
    </row>
    <row r="26" spans="1:12" ht="31" customHeight="1">
      <c r="A26" s="218"/>
      <c r="B26" s="226"/>
      <c r="C26" s="226"/>
      <c r="D26" s="226"/>
      <c r="E26" s="226"/>
      <c r="F26" s="226"/>
      <c r="G26" s="226"/>
      <c r="H26" s="226"/>
      <c r="I26" s="226"/>
    </row>
    <row r="27" spans="1:12" ht="31" customHeight="1">
      <c r="A27" s="218"/>
      <c r="B27" s="226"/>
      <c r="C27" s="226"/>
      <c r="D27" s="226"/>
      <c r="E27" s="226"/>
      <c r="F27" s="226"/>
      <c r="G27" s="226"/>
      <c r="H27" s="226"/>
      <c r="I27" s="226"/>
    </row>
    <row r="28" spans="1:12" ht="31" customHeight="1">
      <c r="A28" s="218"/>
      <c r="B28" s="226"/>
      <c r="C28" s="226"/>
      <c r="D28" s="226"/>
      <c r="E28" s="226"/>
      <c r="F28" s="226"/>
      <c r="G28" s="226"/>
      <c r="H28" s="226"/>
      <c r="I28" s="226"/>
    </row>
    <row r="29" spans="1:12" ht="31" customHeight="1">
      <c r="A29" s="218"/>
      <c r="B29" s="226"/>
      <c r="C29" s="226"/>
      <c r="D29" s="226"/>
      <c r="E29" s="226"/>
      <c r="F29" s="226"/>
      <c r="G29" s="226"/>
      <c r="H29" s="226"/>
      <c r="I29" s="226"/>
    </row>
    <row r="30" spans="1:12">
      <c r="A30" s="218"/>
      <c r="B30" s="226"/>
      <c r="C30" s="226"/>
      <c r="D30" s="226"/>
      <c r="E30" s="226"/>
      <c r="F30" s="226"/>
      <c r="G30" s="226"/>
      <c r="H30" s="226"/>
      <c r="I30" s="226"/>
    </row>
    <row r="31" spans="1:12">
      <c r="A31" s="218"/>
      <c r="B31" s="226"/>
      <c r="C31" s="226"/>
      <c r="D31" s="226"/>
      <c r="E31" s="226"/>
      <c r="F31" s="226"/>
      <c r="G31" s="226"/>
      <c r="H31" s="226"/>
      <c r="I31" s="226"/>
    </row>
  </sheetData>
  <phoneticPr fontId="0" type="noConversion"/>
  <pageMargins left="0.59" right="0.51" top="1.45" bottom="0.49" header="0.93" footer="0.4921259845"/>
  <pageSetup paperSize="9" scale="80" orientation="portrait" horizontalDpi="4294967292" verticalDpi="4294967292"/>
  <headerFooter alignWithMargins="0">
    <oddHeader>&amp;L&amp;"Arial,Bold"&amp;14Zusatzinformationen zum Gesundheitswesen</oddHeader>
    <oddFooter>&amp;L&amp;"Arial,Regular"Statistik über die Krankenversicherung, Bundesamt für Sozialversicherung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0305-AFA6-764C-A13D-F5423B9FBFBA}">
  <dimension ref="A1:K28"/>
  <sheetViews>
    <sheetView zoomScale="75" workbookViewId="0">
      <selection activeCell="K21" sqref="K21"/>
    </sheetView>
  </sheetViews>
  <sheetFormatPr baseColWidth="10" defaultColWidth="11.3984375" defaultRowHeight="13"/>
  <cols>
    <col min="1" max="1" width="9" style="7" customWidth="1"/>
    <col min="2" max="6" width="12.19921875" style="227" customWidth="1"/>
    <col min="7" max="7" width="14.796875" style="227" customWidth="1"/>
    <col min="8" max="8" width="12.19921875" style="227" customWidth="1"/>
    <col min="9" max="9" width="8.796875" style="7" customWidth="1"/>
    <col min="10" max="16384" width="11.3984375" style="7"/>
  </cols>
  <sheetData>
    <row r="1" spans="1:10" s="1" customFormat="1" ht="14" customHeight="1">
      <c r="A1" s="163"/>
      <c r="B1" s="220"/>
      <c r="C1" s="220"/>
      <c r="D1" s="220"/>
      <c r="E1" s="220"/>
      <c r="F1" s="220"/>
      <c r="G1" s="220"/>
      <c r="H1" s="220"/>
    </row>
    <row r="2" spans="1:10" s="1" customFormat="1" ht="27" customHeight="1">
      <c r="A2" s="164" t="s">
        <v>357</v>
      </c>
      <c r="B2" s="220"/>
      <c r="C2" s="220"/>
      <c r="D2" s="220"/>
      <c r="E2" s="220"/>
      <c r="F2" s="220"/>
      <c r="G2" s="220"/>
      <c r="H2" s="220"/>
    </row>
    <row r="3" spans="1:10" ht="27" customHeight="1">
      <c r="A3" s="41" t="s">
        <v>640</v>
      </c>
      <c r="B3" s="6" t="s">
        <v>676</v>
      </c>
      <c r="C3" s="42" t="s">
        <v>675</v>
      </c>
      <c r="D3" s="6" t="s">
        <v>796</v>
      </c>
      <c r="E3" s="42" t="s">
        <v>358</v>
      </c>
      <c r="F3" s="6" t="s">
        <v>359</v>
      </c>
      <c r="G3" s="42" t="s">
        <v>360</v>
      </c>
      <c r="H3" s="6" t="s">
        <v>514</v>
      </c>
    </row>
    <row r="4" spans="1:10" ht="15" customHeight="1">
      <c r="A4" s="43"/>
      <c r="B4" s="170" t="s">
        <v>361</v>
      </c>
      <c r="C4" s="221" t="s">
        <v>678</v>
      </c>
      <c r="D4" s="12" t="s">
        <v>677</v>
      </c>
      <c r="E4" s="44" t="s">
        <v>362</v>
      </c>
      <c r="F4" s="12"/>
      <c r="G4" s="44"/>
      <c r="H4" s="12"/>
    </row>
    <row r="5" spans="1:10" ht="15" customHeight="1">
      <c r="A5" s="43"/>
      <c r="B5" s="12" t="s">
        <v>363</v>
      </c>
      <c r="C5" s="44"/>
      <c r="D5" s="12" t="s">
        <v>364</v>
      </c>
      <c r="E5" s="221" t="s">
        <v>365</v>
      </c>
      <c r="F5" s="170"/>
      <c r="G5" s="221"/>
      <c r="H5" s="170"/>
      <c r="J5" s="482"/>
    </row>
    <row r="6" spans="1:10" ht="21.75" customHeight="1">
      <c r="A6" s="43"/>
      <c r="B6" s="16" t="s">
        <v>367</v>
      </c>
      <c r="C6" s="47"/>
      <c r="D6" s="16"/>
      <c r="E6" s="47"/>
      <c r="F6" s="16"/>
      <c r="G6" s="47"/>
      <c r="H6" s="16"/>
    </row>
    <row r="7" spans="1:10" ht="30" customHeight="1" thickBot="1">
      <c r="A7" s="171">
        <v>1995</v>
      </c>
      <c r="B7" s="483">
        <f>[109]f!B7</f>
        <v>17333.90554142966</v>
      </c>
      <c r="C7" s="484">
        <f>[109]f!C7</f>
        <v>10477.991507875635</v>
      </c>
      <c r="D7" s="483">
        <f>[109]f!D7</f>
        <v>1295.152</v>
      </c>
      <c r="E7" s="484">
        <f>[109]f!E7</f>
        <v>4304.3963117647054</v>
      </c>
      <c r="F7" s="483">
        <f>[109]f!F7</f>
        <v>937.9318370004562</v>
      </c>
      <c r="G7" s="484">
        <f>[109]f!G7</f>
        <v>1811.509058172177</v>
      </c>
      <c r="H7" s="483">
        <f>[109]f!H7</f>
        <v>36160.886256242629</v>
      </c>
    </row>
    <row r="8" spans="1:10" ht="18" customHeight="1" thickBot="1">
      <c r="A8" s="172">
        <v>1996</v>
      </c>
      <c r="B8" s="125">
        <f>[109]f!B8</f>
        <v>18184.040445464139</v>
      </c>
      <c r="C8" s="126">
        <f>[109]f!C8</f>
        <v>10932.716294797674</v>
      </c>
      <c r="D8" s="125">
        <f>[109]f!D8</f>
        <v>1268.9714576684796</v>
      </c>
      <c r="E8" s="126">
        <f>[109]f!E8</f>
        <v>4540.3470588235296</v>
      </c>
      <c r="F8" s="125">
        <f>[109]f!F8</f>
        <v>966.86547804090924</v>
      </c>
      <c r="G8" s="126">
        <f>[109]f!G8</f>
        <v>2015.3489631466664</v>
      </c>
      <c r="H8" s="125">
        <f>[109]f!H8</f>
        <v>37908.2896979414</v>
      </c>
    </row>
    <row r="9" spans="1:10" ht="18" customHeight="1" thickBot="1">
      <c r="A9" s="172">
        <v>1997</v>
      </c>
      <c r="B9" s="125">
        <f>[109]f!B9</f>
        <v>18483.938030623332</v>
      </c>
      <c r="C9" s="126">
        <f>[109]f!C9</f>
        <v>11172.859777209607</v>
      </c>
      <c r="D9" s="125">
        <f>[109]f!D9</f>
        <v>1237.2489177234406</v>
      </c>
      <c r="E9" s="126">
        <f>[109]f!E9</f>
        <v>4778.8981705882352</v>
      </c>
      <c r="F9" s="125">
        <f>[109]f!F9</f>
        <v>938.77448458000003</v>
      </c>
      <c r="G9" s="126">
        <f>[109]f!G9</f>
        <v>2057.9071603399998</v>
      </c>
      <c r="H9" s="125">
        <f>[109]f!H9</f>
        <v>38669.626541064616</v>
      </c>
    </row>
    <row r="10" spans="1:10" ht="18" customHeight="1" thickBot="1">
      <c r="A10" s="172">
        <v>1998</v>
      </c>
      <c r="B10" s="125">
        <f>[109]f!B10</f>
        <v>19029.318450073679</v>
      </c>
      <c r="C10" s="126">
        <f>[109]f!C10</f>
        <v>11874.35810787395</v>
      </c>
      <c r="D10" s="125">
        <f>[109]f!D10</f>
        <v>1356.5677703307178</v>
      </c>
      <c r="E10" s="126">
        <f>[109]f!E10</f>
        <v>4913.3724305941168</v>
      </c>
      <c r="F10" s="125">
        <f>[109]f!F10</f>
        <v>983.21470195428628</v>
      </c>
      <c r="G10" s="126">
        <f>[109]f!G10</f>
        <v>2135.5628481599997</v>
      </c>
      <c r="H10" s="125">
        <f>[109]f!H10</f>
        <v>40292.394308986753</v>
      </c>
    </row>
    <row r="11" spans="1:10" ht="18" customHeight="1" thickBot="1">
      <c r="A11" s="172">
        <v>1999</v>
      </c>
      <c r="B11" s="125">
        <f>[109]f!B11</f>
        <v>19459.674308298851</v>
      </c>
      <c r="C11" s="126">
        <f>[109]f!C11</f>
        <v>12357.690062899601</v>
      </c>
      <c r="D11" s="125">
        <f>[109]f!D11</f>
        <v>1393.9774232153918</v>
      </c>
      <c r="E11" s="126">
        <f>[109]f!E11</f>
        <v>5198.8475422014762</v>
      </c>
      <c r="F11" s="125">
        <f>[109]f!F11</f>
        <v>1015.086034722207</v>
      </c>
      <c r="G11" s="126">
        <f>[109]f!G11</f>
        <v>2160.2840630000001</v>
      </c>
      <c r="H11" s="125">
        <f>[109]f!H11</f>
        <v>41585.55943433752</v>
      </c>
    </row>
    <row r="12" spans="1:10" s="276" customFormat="1" ht="30" customHeight="1" thickBot="1">
      <c r="A12" s="173">
        <v>2000</v>
      </c>
      <c r="B12" s="485">
        <f>[109]f!B12</f>
        <v>20309.111119965513</v>
      </c>
      <c r="C12" s="486">
        <f>[109]f!C12</f>
        <v>12926.336575347925</v>
      </c>
      <c r="D12" s="485">
        <f>[109]f!D12</f>
        <v>1430.1583748696057</v>
      </c>
      <c r="E12" s="486">
        <f>[109]f!E12</f>
        <v>5475.438530920148</v>
      </c>
      <c r="F12" s="485">
        <f>[109]f!F12</f>
        <v>1014.11623525604</v>
      </c>
      <c r="G12" s="486">
        <f>[109]f!G12</f>
        <v>2210.1582759999997</v>
      </c>
      <c r="H12" s="485">
        <f>[109]f!H12</f>
        <v>43365.319112359233</v>
      </c>
    </row>
    <row r="13" spans="1:10" ht="20" customHeight="1">
      <c r="A13" s="222" t="str">
        <f>'[106]data '!$D$2</f>
        <v>Datenstand: 17.11.2002</v>
      </c>
      <c r="B13" s="223"/>
      <c r="C13" s="223"/>
      <c r="D13" s="223"/>
      <c r="E13" s="223"/>
      <c r="F13" s="223"/>
      <c r="G13" s="223"/>
      <c r="H13" s="223"/>
    </row>
    <row r="14" spans="1:10" ht="15.75" customHeight="1">
      <c r="A14" s="224"/>
      <c r="B14" s="225"/>
      <c r="C14" s="225"/>
      <c r="D14" s="225"/>
      <c r="E14" s="225"/>
      <c r="F14" s="225"/>
      <c r="G14" s="225"/>
      <c r="H14" s="225"/>
    </row>
    <row r="15" spans="1:10" ht="12.75" customHeight="1">
      <c r="A15" s="224" t="s">
        <v>366</v>
      </c>
      <c r="B15" s="225"/>
      <c r="C15" s="225"/>
      <c r="D15" s="225"/>
      <c r="E15" s="225"/>
      <c r="F15" s="225"/>
      <c r="G15" s="225"/>
      <c r="H15" s="225"/>
    </row>
    <row r="16" spans="1:10" ht="12.75" customHeight="1">
      <c r="A16" s="224" t="s">
        <v>498</v>
      </c>
      <c r="B16" s="225"/>
      <c r="C16" s="225"/>
      <c r="D16" s="225"/>
      <c r="E16" s="225"/>
      <c r="F16" s="225"/>
      <c r="G16" s="225"/>
      <c r="H16" s="225"/>
    </row>
    <row r="17" spans="1:11" ht="120" customHeight="1">
      <c r="A17" s="163"/>
      <c r="B17" s="226"/>
      <c r="C17" s="226"/>
      <c r="D17" s="226"/>
      <c r="E17" s="226"/>
      <c r="F17" s="226"/>
      <c r="G17" s="226"/>
      <c r="H17" s="226"/>
    </row>
    <row r="18" spans="1:11" ht="18" customHeight="1">
      <c r="A18" s="286"/>
      <c r="B18" s="226"/>
      <c r="C18" s="226"/>
      <c r="D18" s="226"/>
      <c r="E18" s="226"/>
      <c r="F18" s="226"/>
      <c r="G18" s="226"/>
      <c r="H18" s="226"/>
    </row>
    <row r="19" spans="1:11" ht="31" customHeight="1">
      <c r="A19" s="218"/>
      <c r="B19" s="226"/>
      <c r="C19" s="226"/>
      <c r="D19" s="226"/>
      <c r="E19" s="226"/>
      <c r="F19" s="226"/>
      <c r="G19" s="226"/>
      <c r="H19" s="226"/>
    </row>
    <row r="20" spans="1:11" ht="31" customHeight="1">
      <c r="A20" s="218"/>
      <c r="B20" s="226"/>
      <c r="C20" s="226"/>
      <c r="D20" s="226"/>
      <c r="E20" s="226"/>
      <c r="F20" s="226"/>
      <c r="G20" s="226"/>
      <c r="H20" s="226"/>
    </row>
    <row r="21" spans="1:11" ht="31" customHeight="1">
      <c r="A21" s="218"/>
      <c r="B21" s="226"/>
      <c r="C21" s="226"/>
      <c r="D21" s="226"/>
      <c r="E21" s="226"/>
      <c r="F21" s="226"/>
      <c r="G21" s="226"/>
      <c r="H21" s="226"/>
      <c r="K21" s="286"/>
    </row>
    <row r="22" spans="1:11" ht="31" customHeight="1">
      <c r="A22" s="218"/>
      <c r="B22" s="226"/>
      <c r="C22" s="226"/>
      <c r="D22" s="226"/>
      <c r="E22" s="226"/>
      <c r="F22" s="226"/>
      <c r="G22" s="226"/>
      <c r="H22" s="226"/>
    </row>
    <row r="23" spans="1:11" ht="31" customHeight="1">
      <c r="A23" s="218"/>
      <c r="B23" s="226"/>
      <c r="C23" s="226"/>
      <c r="D23" s="226"/>
      <c r="E23" s="226"/>
      <c r="F23" s="226"/>
      <c r="G23" s="226"/>
      <c r="H23" s="226"/>
    </row>
    <row r="24" spans="1:11" ht="31" customHeight="1">
      <c r="A24" s="218"/>
      <c r="B24" s="226"/>
      <c r="C24" s="226"/>
      <c r="D24" s="226"/>
      <c r="E24" s="226"/>
      <c r="F24" s="226"/>
      <c r="G24" s="226"/>
      <c r="H24" s="226"/>
    </row>
    <row r="25" spans="1:11" ht="31" customHeight="1">
      <c r="A25" s="218"/>
      <c r="B25" s="226"/>
      <c r="C25" s="226"/>
      <c r="D25" s="226"/>
      <c r="E25" s="226"/>
      <c r="F25" s="226"/>
      <c r="G25" s="226"/>
      <c r="H25" s="226"/>
    </row>
    <row r="26" spans="1:11" ht="31" customHeight="1">
      <c r="A26" s="218"/>
      <c r="B26" s="226"/>
      <c r="C26" s="226"/>
      <c r="D26" s="226"/>
      <c r="E26" s="226"/>
      <c r="F26" s="226"/>
      <c r="G26" s="226"/>
      <c r="H26" s="226"/>
    </row>
    <row r="27" spans="1:11">
      <c r="A27" s="218"/>
      <c r="B27" s="226"/>
      <c r="C27" s="226"/>
      <c r="D27" s="226"/>
      <c r="E27" s="226"/>
      <c r="F27" s="226"/>
      <c r="G27" s="226"/>
      <c r="H27" s="226"/>
    </row>
    <row r="28" spans="1:11">
      <c r="A28" s="218"/>
      <c r="B28" s="226"/>
      <c r="C28" s="226"/>
      <c r="D28" s="226"/>
      <c r="E28" s="226"/>
      <c r="F28" s="226"/>
      <c r="G28" s="226"/>
      <c r="H28" s="226"/>
    </row>
  </sheetData>
  <phoneticPr fontId="0" type="noConversion"/>
  <pageMargins left="0.59" right="0.51" top="1.45" bottom="0.49" header="0.93" footer="0.4921259845"/>
  <pageSetup paperSize="9" scale="80" orientation="portrait" horizontalDpi="4294967292" verticalDpi="4294967292"/>
  <headerFooter alignWithMargins="0">
    <oddHeader>&amp;L&amp;"Arial,Bold"&amp;14Zusatzinformationen zum Gesundheitswesen</oddHeader>
    <oddFooter>&amp;L&amp;"Arial,Regular"Statistik über die Krankenversicherung, Bundesamt für Sozialversicherung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FDC1F-592E-3645-887F-59C9DC1A1FFF}">
  <dimension ref="A1:H29"/>
  <sheetViews>
    <sheetView zoomScale="75" workbookViewId="0">
      <selection activeCell="H22" sqref="H22"/>
    </sheetView>
  </sheetViews>
  <sheetFormatPr baseColWidth="10" defaultColWidth="11.3984375" defaultRowHeight="13"/>
  <cols>
    <col min="1" max="1" width="9" style="7" customWidth="1"/>
    <col min="2" max="2" width="13.59765625" style="227" customWidth="1"/>
    <col min="3" max="3" width="14.796875" style="227" customWidth="1"/>
    <col min="4" max="4" width="13.59765625" style="227" customWidth="1"/>
    <col min="5" max="5" width="14.59765625" style="227" customWidth="1"/>
    <col min="6" max="6" width="15.19921875" style="7" customWidth="1"/>
    <col min="7" max="16384" width="11.3984375" style="7"/>
  </cols>
  <sheetData>
    <row r="1" spans="1:7" s="1" customFormat="1" ht="14" customHeight="1">
      <c r="A1" s="163"/>
      <c r="B1" s="220"/>
      <c r="C1" s="220"/>
      <c r="D1" s="220"/>
      <c r="E1" s="220"/>
    </row>
    <row r="2" spans="1:7" s="1" customFormat="1" ht="18.75" customHeight="1">
      <c r="A2" s="164" t="s">
        <v>272</v>
      </c>
      <c r="B2" s="220"/>
      <c r="C2" s="220"/>
      <c r="D2" s="220"/>
      <c r="E2" s="220"/>
    </row>
    <row r="3" spans="1:7" s="1" customFormat="1" ht="27" customHeight="1">
      <c r="A3" s="164" t="s">
        <v>273</v>
      </c>
      <c r="B3" s="220"/>
      <c r="C3" s="220"/>
      <c r="D3" s="220"/>
      <c r="E3" s="220"/>
    </row>
    <row r="4" spans="1:7" ht="27" customHeight="1">
      <c r="A4" s="41" t="s">
        <v>640</v>
      </c>
      <c r="B4" s="6" t="s">
        <v>476</v>
      </c>
      <c r="C4" s="42" t="s">
        <v>274</v>
      </c>
      <c r="D4" s="6" t="s">
        <v>400</v>
      </c>
      <c r="E4" s="42" t="s">
        <v>514</v>
      </c>
      <c r="F4" s="6" t="s">
        <v>522</v>
      </c>
    </row>
    <row r="5" spans="1:7" ht="15" customHeight="1">
      <c r="A5" s="43"/>
      <c r="B5" s="170"/>
      <c r="C5" s="221" t="s">
        <v>275</v>
      </c>
      <c r="D5" s="12" t="s">
        <v>1123</v>
      </c>
      <c r="E5" s="44"/>
      <c r="F5" s="12" t="s">
        <v>523</v>
      </c>
    </row>
    <row r="6" spans="1:7" ht="15" customHeight="1">
      <c r="A6" s="43"/>
      <c r="B6" s="12"/>
      <c r="C6" s="44"/>
      <c r="D6" s="12"/>
      <c r="E6" s="221"/>
      <c r="F6" s="12" t="s">
        <v>524</v>
      </c>
      <c r="G6" s="482"/>
    </row>
    <row r="7" spans="1:7" ht="21.75" customHeight="1">
      <c r="A7" s="43"/>
      <c r="B7" s="16"/>
      <c r="C7" s="47"/>
      <c r="D7" s="16"/>
      <c r="E7" s="47"/>
      <c r="F7" s="16"/>
    </row>
    <row r="8" spans="1:7" ht="30" customHeight="1" thickBot="1">
      <c r="A8" s="171">
        <v>1995</v>
      </c>
      <c r="B8" s="483">
        <f>[110]f!B8</f>
        <v>9640.2217637310241</v>
      </c>
      <c r="C8" s="484">
        <f>[110]f!C8</f>
        <v>2262.7772533309189</v>
      </c>
      <c r="D8" s="483">
        <f>[110]f!D8</f>
        <v>24257.887239180687</v>
      </c>
      <c r="E8" s="484">
        <f>[110]f!E8</f>
        <v>36160.886256242629</v>
      </c>
      <c r="F8" s="487" t="str">
        <f>[110]f!F8</f>
        <v>–</v>
      </c>
    </row>
    <row r="9" spans="1:7" ht="18" customHeight="1" thickBot="1">
      <c r="A9" s="172">
        <v>1996</v>
      </c>
      <c r="B9" s="125">
        <f>[110]f!B9</f>
        <v>9402.673347426311</v>
      </c>
      <c r="C9" s="126">
        <f>[110]f!C9</f>
        <v>2347.3352733385641</v>
      </c>
      <c r="D9" s="125">
        <f>[110]f!D9</f>
        <v>26158.281077176533</v>
      </c>
      <c r="E9" s="126">
        <f>[110]f!E9</f>
        <v>37908.289697941407</v>
      </c>
      <c r="F9" s="190">
        <f>[110]f!F9</f>
        <v>4.8323025860493536E-2</v>
      </c>
    </row>
    <row r="10" spans="1:7" ht="18" customHeight="1" thickBot="1">
      <c r="A10" s="172">
        <v>1997</v>
      </c>
      <c r="B10" s="125">
        <f>[110]f!B10</f>
        <v>9654.0910198338697</v>
      </c>
      <c r="C10" s="126">
        <f>[110]f!C10</f>
        <v>2440.1947971126083</v>
      </c>
      <c r="D10" s="125">
        <f>[110]f!D10</f>
        <v>26575.34072411813</v>
      </c>
      <c r="E10" s="126">
        <f>[110]f!E10</f>
        <v>38669.626541064608</v>
      </c>
      <c r="F10" s="190">
        <f>[110]f!F10</f>
        <v>2.0083650546876167E-2</v>
      </c>
    </row>
    <row r="11" spans="1:7" ht="18" customHeight="1" thickBot="1">
      <c r="A11" s="172">
        <v>1998</v>
      </c>
      <c r="B11" s="125">
        <f>[110]f!B11</f>
        <v>9984.746050771746</v>
      </c>
      <c r="C11" s="126">
        <f>[110]f!C11</f>
        <v>2593.5652962861982</v>
      </c>
      <c r="D11" s="125">
        <f>[110]f!D11</f>
        <v>27714.082961928805</v>
      </c>
      <c r="E11" s="126">
        <f>[110]f!E11</f>
        <v>40292.394308986753</v>
      </c>
      <c r="F11" s="190">
        <f>[110]f!F11</f>
        <v>4.1964919578389825E-2</v>
      </c>
    </row>
    <row r="12" spans="1:7" ht="18" customHeight="1" thickBot="1">
      <c r="A12" s="172">
        <v>1999</v>
      </c>
      <c r="B12" s="125">
        <f>[110]f!B12</f>
        <v>10656.904469976387</v>
      </c>
      <c r="C12" s="126">
        <f>[110]f!C12</f>
        <v>2694.7311419763864</v>
      </c>
      <c r="D12" s="125">
        <f>[110]f!D12</f>
        <v>28233.923822384764</v>
      </c>
      <c r="E12" s="126">
        <f>[110]f!E12</f>
        <v>41585.559434337541</v>
      </c>
      <c r="F12" s="190">
        <f>[110]f!F12</f>
        <v>3.2094521746064676E-2</v>
      </c>
    </row>
    <row r="13" spans="1:7" s="276" customFormat="1" ht="30" customHeight="1" thickBot="1">
      <c r="A13" s="173">
        <v>2000</v>
      </c>
      <c r="B13" s="485">
        <f>[110]f!B13</f>
        <v>10991.927290144806</v>
      </c>
      <c r="C13" s="486">
        <f>[110]f!C13</f>
        <v>2792.2657321448069</v>
      </c>
      <c r="D13" s="485">
        <f>[110]f!D13</f>
        <v>29581.126090069618</v>
      </c>
      <c r="E13" s="486">
        <f>[110]f!E13</f>
        <v>43365.319112359226</v>
      </c>
      <c r="F13" s="330">
        <f>[110]f!F13</f>
        <v>4.2797540834622561E-2</v>
      </c>
    </row>
    <row r="14" spans="1:7" ht="20" customHeight="1">
      <c r="A14" s="222" t="str">
        <f>'[106]data '!$D$2</f>
        <v>Datenstand: 17.11.2002</v>
      </c>
      <c r="B14" s="223"/>
      <c r="C14" s="223"/>
      <c r="D14" s="223"/>
      <c r="E14" s="223"/>
      <c r="F14" s="223"/>
    </row>
    <row r="15" spans="1:7" ht="10.5" customHeight="1">
      <c r="A15" s="224"/>
      <c r="B15" s="225"/>
      <c r="C15" s="225"/>
      <c r="D15" s="225"/>
      <c r="E15" s="225"/>
    </row>
    <row r="16" spans="1:7" ht="12.75" customHeight="1">
      <c r="A16" s="224"/>
      <c r="B16" s="225"/>
      <c r="C16" s="225"/>
      <c r="D16" s="225"/>
      <c r="E16" s="225"/>
    </row>
    <row r="17" spans="1:8" ht="12.75" customHeight="1">
      <c r="A17" s="224" t="s">
        <v>498</v>
      </c>
      <c r="B17" s="225"/>
      <c r="C17" s="225"/>
      <c r="D17" s="225"/>
      <c r="E17" s="225"/>
    </row>
    <row r="18" spans="1:8" ht="120" customHeight="1">
      <c r="A18" s="163"/>
      <c r="B18" s="226"/>
      <c r="C18" s="226"/>
      <c r="D18" s="226"/>
      <c r="E18" s="226"/>
    </row>
    <row r="19" spans="1:8" ht="18" customHeight="1">
      <c r="A19" s="286"/>
      <c r="B19" s="226"/>
      <c r="C19" s="226"/>
      <c r="D19" s="226"/>
      <c r="E19" s="226"/>
    </row>
    <row r="20" spans="1:8" ht="31" customHeight="1">
      <c r="A20" s="218"/>
      <c r="B20" s="226"/>
      <c r="C20" s="226"/>
      <c r="D20" s="226"/>
      <c r="E20" s="226"/>
    </row>
    <row r="21" spans="1:8" ht="31" customHeight="1">
      <c r="A21" s="218"/>
      <c r="B21" s="226"/>
      <c r="C21" s="226"/>
      <c r="D21" s="226"/>
      <c r="E21" s="226"/>
    </row>
    <row r="22" spans="1:8" ht="31" customHeight="1">
      <c r="A22" s="218"/>
      <c r="B22" s="226"/>
      <c r="C22" s="226"/>
      <c r="D22" s="226"/>
      <c r="E22" s="226"/>
      <c r="H22" s="286"/>
    </row>
    <row r="23" spans="1:8" ht="31" customHeight="1">
      <c r="A23" s="218"/>
      <c r="B23" s="226"/>
      <c r="C23" s="226"/>
      <c r="D23" s="226"/>
      <c r="E23" s="226"/>
    </row>
    <row r="24" spans="1:8" ht="31" customHeight="1">
      <c r="A24" s="218"/>
      <c r="B24" s="226"/>
      <c r="C24" s="226"/>
      <c r="D24" s="226"/>
      <c r="E24" s="226"/>
    </row>
    <row r="25" spans="1:8" ht="31" customHeight="1">
      <c r="A25" s="218"/>
      <c r="B25" s="226"/>
      <c r="C25" s="226"/>
      <c r="D25" s="226"/>
      <c r="E25" s="226"/>
    </row>
    <row r="26" spans="1:8" ht="31" customHeight="1">
      <c r="A26" s="218"/>
      <c r="B26" s="226"/>
      <c r="C26" s="226"/>
      <c r="D26" s="226"/>
      <c r="E26" s="226"/>
    </row>
    <row r="27" spans="1:8" ht="31" customHeight="1">
      <c r="A27" s="218"/>
      <c r="B27" s="226"/>
      <c r="C27" s="226"/>
      <c r="D27" s="226"/>
      <c r="E27" s="226"/>
    </row>
    <row r="28" spans="1:8">
      <c r="A28" s="218"/>
      <c r="B28" s="226"/>
      <c r="C28" s="226"/>
      <c r="D28" s="226"/>
      <c r="E28" s="226"/>
    </row>
    <row r="29" spans="1:8">
      <c r="A29" s="218"/>
      <c r="B29" s="226"/>
      <c r="C29" s="226"/>
      <c r="D29" s="226"/>
      <c r="E29" s="226"/>
    </row>
  </sheetData>
  <phoneticPr fontId="0" type="noConversion"/>
  <pageMargins left="0.59" right="0.51" top="1.45" bottom="0.49" header="0.93" footer="0.4921259845"/>
  <pageSetup paperSize="9" scale="80" orientation="portrait" horizontalDpi="4294967292" verticalDpi="4294967292"/>
  <headerFooter alignWithMargins="0">
    <oddHeader>&amp;L&amp;"Arial,Bold"&amp;14Zusatzinformationen zum Gesundheitswesen</oddHeader>
    <oddFooter>&amp;L&amp;"Arial,Regular"Statistik über die Krankenversicherung, Bundesamt für Sozialversicherung</odd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10A0-BD93-644E-888C-DAE9464EBA7B}">
  <dimension ref="A1:X124"/>
  <sheetViews>
    <sheetView topLeftCell="A65" workbookViewId="0">
      <selection activeCell="A8" sqref="A8:B70"/>
    </sheetView>
  </sheetViews>
  <sheetFormatPr baseColWidth="10" defaultColWidth="10.19921875" defaultRowHeight="13"/>
  <cols>
    <col min="1" max="1" width="3.796875" style="490" customWidth="1"/>
    <col min="2" max="2" width="45" style="490" customWidth="1"/>
    <col min="3" max="3" width="10.796875" style="490" customWidth="1"/>
    <col min="4" max="4" width="11" style="490" customWidth="1"/>
    <col min="5" max="6" width="10.3984375" style="490" customWidth="1"/>
    <col min="7" max="7" width="10.796875" style="490" customWidth="1"/>
    <col min="8" max="8" width="10.3984375" style="490" bestFit="1" customWidth="1"/>
    <col min="9" max="9" width="19.59765625" style="490" customWidth="1"/>
    <col min="10" max="10" width="18" style="490" customWidth="1"/>
    <col min="11" max="16384" width="10.19921875" style="490"/>
  </cols>
  <sheetData>
    <row r="1" spans="1:24" ht="16">
      <c r="A1" s="489" t="s">
        <v>170</v>
      </c>
      <c r="J1" s="491"/>
      <c r="O1" s="491"/>
      <c r="U1" s="491"/>
    </row>
    <row r="2" spans="1:24" ht="14" thickBot="1">
      <c r="A2" s="492"/>
      <c r="B2" s="492"/>
      <c r="C2" s="492"/>
      <c r="D2" s="492"/>
      <c r="E2" s="492"/>
      <c r="F2" s="492"/>
      <c r="G2" s="492"/>
      <c r="H2" s="492"/>
    </row>
    <row r="3" spans="1:24" s="496" customFormat="1" ht="10.5" customHeight="1">
      <c r="A3" s="493"/>
      <c r="B3" s="493"/>
      <c r="C3" s="494"/>
      <c r="D3" s="493"/>
      <c r="E3" s="494"/>
      <c r="F3" s="493"/>
      <c r="G3" s="494"/>
      <c r="H3" s="495"/>
      <c r="J3" s="490"/>
      <c r="K3" s="497"/>
      <c r="L3" s="497"/>
      <c r="M3" s="497"/>
      <c r="N3" s="497"/>
      <c r="O3" s="498"/>
      <c r="P3" s="498"/>
      <c r="Q3" s="498"/>
      <c r="R3" s="498"/>
      <c r="U3" s="499"/>
      <c r="V3" s="499"/>
      <c r="W3" s="499"/>
      <c r="X3" s="499"/>
    </row>
    <row r="4" spans="1:24" ht="12" customHeight="1">
      <c r="A4" s="500" t="s">
        <v>171</v>
      </c>
      <c r="B4" s="493"/>
      <c r="C4" s="501">
        <v>1996</v>
      </c>
      <c r="D4" s="502">
        <v>1997</v>
      </c>
      <c r="E4" s="501">
        <v>1998</v>
      </c>
      <c r="F4" s="502">
        <v>1999</v>
      </c>
      <c r="G4" s="501">
        <v>2000</v>
      </c>
      <c r="H4" s="495" t="s">
        <v>522</v>
      </c>
      <c r="K4" s="497"/>
      <c r="L4" s="497"/>
      <c r="M4" s="497"/>
      <c r="N4" s="497"/>
      <c r="O4" s="503"/>
      <c r="P4" s="503"/>
      <c r="Q4" s="503"/>
      <c r="R4" s="503"/>
      <c r="U4" s="499"/>
      <c r="V4" s="499"/>
      <c r="W4" s="499"/>
      <c r="X4" s="499"/>
    </row>
    <row r="5" spans="1:24" ht="10.5" customHeight="1">
      <c r="A5" s="500" t="s">
        <v>172</v>
      </c>
      <c r="B5" s="504"/>
      <c r="C5" s="501"/>
      <c r="D5" s="502"/>
      <c r="E5" s="501"/>
      <c r="F5" s="502"/>
      <c r="G5" s="501"/>
      <c r="H5" s="495" t="s">
        <v>523</v>
      </c>
      <c r="K5" s="497"/>
      <c r="L5" s="497"/>
      <c r="M5" s="497"/>
      <c r="N5" s="497"/>
      <c r="O5" s="503"/>
      <c r="P5" s="503"/>
      <c r="Q5" s="503"/>
      <c r="R5" s="503"/>
      <c r="U5" s="499"/>
      <c r="V5" s="499"/>
      <c r="W5" s="499"/>
      <c r="X5" s="499"/>
    </row>
    <row r="6" spans="1:24" ht="14.25" customHeight="1">
      <c r="A6" s="505"/>
      <c r="B6" s="505"/>
      <c r="C6" s="501"/>
      <c r="D6" s="502"/>
      <c r="E6" s="501"/>
      <c r="F6" s="502"/>
      <c r="G6" s="501"/>
      <c r="H6" s="506" t="s">
        <v>524</v>
      </c>
      <c r="K6" s="497"/>
      <c r="L6" s="497"/>
      <c r="M6" s="497"/>
      <c r="N6" s="497"/>
      <c r="O6" s="507"/>
      <c r="P6" s="507"/>
      <c r="Q6" s="507"/>
      <c r="R6" s="507"/>
      <c r="U6" s="507"/>
      <c r="V6" s="507"/>
      <c r="W6" s="507"/>
      <c r="X6" s="507"/>
    </row>
    <row r="7" spans="1:24">
      <c r="A7" s="508"/>
      <c r="B7" s="509"/>
      <c r="C7" s="510"/>
      <c r="D7" s="509"/>
      <c r="E7" s="510"/>
      <c r="F7" s="509"/>
      <c r="G7" s="510"/>
      <c r="H7" s="509"/>
      <c r="K7" s="497"/>
      <c r="L7" s="497"/>
      <c r="M7" s="497"/>
      <c r="N7" s="497"/>
      <c r="O7" s="503"/>
      <c r="P7" s="503"/>
      <c r="Q7" s="503"/>
      <c r="R7" s="503"/>
      <c r="U7" s="499"/>
      <c r="V7" s="499"/>
      <c r="W7" s="499"/>
      <c r="X7" s="499"/>
    </row>
    <row r="8" spans="1:24" ht="18" customHeight="1" thickBot="1">
      <c r="A8" s="511" t="s">
        <v>476</v>
      </c>
      <c r="B8" s="512"/>
      <c r="C8" s="513">
        <f>[111]f!C8</f>
        <v>6108.1158740877472</v>
      </c>
      <c r="D8" s="514">
        <f>[111]f!D8</f>
        <v>6057.9558227212619</v>
      </c>
      <c r="E8" s="513">
        <f>[111]f!E8</f>
        <v>6131.7435544855471</v>
      </c>
      <c r="F8" s="514">
        <f>[111]f!F8</f>
        <v>6416.6639279999999</v>
      </c>
      <c r="G8" s="513">
        <f>[111]f!G8</f>
        <v>6599.5077579999997</v>
      </c>
      <c r="H8" s="515">
        <f>[111]f!H8</f>
        <v>2.8495154499542208E-2</v>
      </c>
      <c r="K8" s="497"/>
      <c r="L8" s="497"/>
      <c r="M8" s="497"/>
      <c r="N8" s="497"/>
      <c r="U8" s="499"/>
      <c r="V8" s="499"/>
      <c r="W8" s="499"/>
      <c r="X8" s="499"/>
    </row>
    <row r="9" spans="1:24" ht="14" thickBot="1">
      <c r="A9" s="516" t="s">
        <v>173</v>
      </c>
      <c r="B9" s="516"/>
      <c r="C9" s="517">
        <f>[111]f!C9</f>
        <v>5465.9081581277478</v>
      </c>
      <c r="D9" s="518">
        <f>[111]f!D9</f>
        <v>5435.5464213312616</v>
      </c>
      <c r="E9" s="517">
        <f>[111]f!E9</f>
        <v>5512.5051154155472</v>
      </c>
      <c r="F9" s="518">
        <f>[111]f!F9</f>
        <v>5756.5153119999995</v>
      </c>
      <c r="G9" s="517">
        <f>[111]f!G9</f>
        <v>5930.8572569999997</v>
      </c>
      <c r="H9" s="519">
        <f>[111]f!H9</f>
        <v>3.0286021238676852E-2</v>
      </c>
      <c r="K9" s="497"/>
      <c r="L9" s="497"/>
      <c r="M9" s="497"/>
      <c r="N9" s="497"/>
      <c r="O9" s="503"/>
      <c r="P9" s="503"/>
      <c r="Q9" s="503"/>
      <c r="R9" s="503"/>
      <c r="U9" s="499"/>
      <c r="V9" s="499"/>
      <c r="W9" s="499"/>
      <c r="X9" s="499"/>
    </row>
    <row r="10" spans="1:24" ht="14" thickBot="1">
      <c r="A10" s="520"/>
      <c r="B10" s="521" t="s">
        <v>174</v>
      </c>
      <c r="C10" s="522">
        <f>[111]f!C10</f>
        <v>1.22879234</v>
      </c>
      <c r="D10" s="523">
        <f>[111]f!D10</f>
        <v>1.4367488799999999</v>
      </c>
      <c r="E10" s="522">
        <f>[111]f!E10</f>
        <v>1.09178445</v>
      </c>
      <c r="F10" s="523">
        <f>[111]f!F10</f>
        <v>0</v>
      </c>
      <c r="G10" s="522">
        <f>[111]f!G10</f>
        <v>8.7103999999999709E-2</v>
      </c>
      <c r="H10" s="524" t="str">
        <f>[111]f!H10</f>
        <v>-</v>
      </c>
      <c r="K10" s="497"/>
      <c r="L10" s="497"/>
      <c r="M10" s="497"/>
      <c r="N10" s="497"/>
      <c r="O10" s="503"/>
      <c r="P10" s="503"/>
      <c r="Q10" s="503"/>
      <c r="R10" s="503"/>
      <c r="U10" s="499"/>
      <c r="V10" s="499"/>
      <c r="W10" s="499"/>
      <c r="X10" s="499"/>
    </row>
    <row r="11" spans="1:24" ht="14" thickBot="1">
      <c r="A11" s="516"/>
      <c r="B11" s="521" t="s">
        <v>175</v>
      </c>
      <c r="C11" s="522">
        <f>[111]f!C11</f>
        <v>4561.2108923324313</v>
      </c>
      <c r="D11" s="523">
        <f>[111]f!D11</f>
        <v>4493.7345884307188</v>
      </c>
      <c r="E11" s="522">
        <f>[111]f!E11</f>
        <v>4484.1450291325427</v>
      </c>
      <c r="F11" s="523">
        <f>[111]f!F11</f>
        <v>4716.8393980000001</v>
      </c>
      <c r="G11" s="522">
        <f>[111]f!G11</f>
        <v>4850.2073449999998</v>
      </c>
      <c r="H11" s="525">
        <f>[111]f!H11</f>
        <v>2.8274854356192369E-2</v>
      </c>
      <c r="K11" s="497"/>
      <c r="L11" s="497"/>
      <c r="M11" s="497"/>
      <c r="N11" s="497"/>
      <c r="O11" s="503"/>
      <c r="P11" s="503"/>
      <c r="Q11" s="503"/>
      <c r="R11" s="503"/>
      <c r="U11" s="499"/>
      <c r="V11" s="499"/>
      <c r="W11" s="499"/>
      <c r="X11" s="499"/>
    </row>
    <row r="12" spans="1:24" ht="14" thickBot="1">
      <c r="A12" s="516"/>
      <c r="B12" s="521" t="s">
        <v>176</v>
      </c>
      <c r="C12" s="522">
        <f>[111]f!C12</f>
        <v>903.46847345531705</v>
      </c>
      <c r="D12" s="523">
        <f>[111]f!D12</f>
        <v>940.375084020543</v>
      </c>
      <c r="E12" s="522">
        <f>[111]f!E12</f>
        <v>1027.2683018330042</v>
      </c>
      <c r="F12" s="523">
        <f>[111]f!F12</f>
        <v>1039.6759139999999</v>
      </c>
      <c r="G12" s="522">
        <f>[111]f!G12</f>
        <v>1080.5628079999999</v>
      </c>
      <c r="H12" s="525">
        <f>[111]f!H12</f>
        <v>3.9326576146881953E-2</v>
      </c>
      <c r="K12" s="497"/>
      <c r="L12" s="497"/>
      <c r="M12" s="497"/>
      <c r="N12" s="497"/>
      <c r="O12" s="503"/>
      <c r="P12" s="503"/>
      <c r="Q12" s="503"/>
      <c r="R12" s="503"/>
      <c r="U12" s="499"/>
      <c r="V12" s="499"/>
      <c r="W12" s="499"/>
      <c r="X12" s="499"/>
    </row>
    <row r="13" spans="1:24" ht="14" thickBot="1">
      <c r="A13" s="516" t="s">
        <v>177</v>
      </c>
      <c r="B13" s="516"/>
      <c r="C13" s="517">
        <f>[111]f!C13</f>
        <v>642.20771595999986</v>
      </c>
      <c r="D13" s="518">
        <f>[111]f!D13</f>
        <v>622.40940138999997</v>
      </c>
      <c r="E13" s="517">
        <f>[111]f!E13</f>
        <v>619.23843907000003</v>
      </c>
      <c r="F13" s="518">
        <f>[111]f!F13</f>
        <v>660.14861599999995</v>
      </c>
      <c r="G13" s="517">
        <f>[111]f!G13</f>
        <v>668.65050099999996</v>
      </c>
      <c r="H13" s="519">
        <f>[111]f!H13</f>
        <v>1.2878743958466554E-2</v>
      </c>
    </row>
    <row r="14" spans="1:24" ht="14" thickBot="1">
      <c r="A14" s="520"/>
      <c r="B14" s="521" t="s">
        <v>174</v>
      </c>
      <c r="C14" s="522">
        <f>[111]f!C14</f>
        <v>128.00199756999999</v>
      </c>
      <c r="D14" s="523">
        <f>[111]f!D14</f>
        <v>116.05997135999999</v>
      </c>
      <c r="E14" s="522">
        <f>[111]f!E14</f>
        <v>115.80022696</v>
      </c>
      <c r="F14" s="523">
        <f>[111]f!F14</f>
        <v>126.03114400000001</v>
      </c>
      <c r="G14" s="522">
        <f>[111]f!G14</f>
        <v>144.91864600000002</v>
      </c>
      <c r="H14" s="525">
        <f>[111]f!H14</f>
        <v>0.14986376700666959</v>
      </c>
      <c r="K14" s="503"/>
      <c r="L14" s="503"/>
      <c r="M14" s="503"/>
      <c r="N14" s="503"/>
    </row>
    <row r="15" spans="1:24" ht="14" thickBot="1">
      <c r="A15" s="516"/>
      <c r="B15" s="521" t="s">
        <v>175</v>
      </c>
      <c r="C15" s="522">
        <f>[111]f!C15</f>
        <v>333.79677363999997</v>
      </c>
      <c r="D15" s="523">
        <f>[111]f!D15</f>
        <v>337.00807221000002</v>
      </c>
      <c r="E15" s="522">
        <f>[111]f!E15</f>
        <v>341.37449972000002</v>
      </c>
      <c r="F15" s="523">
        <f>[111]f!F15</f>
        <v>374.90842400000002</v>
      </c>
      <c r="G15" s="522">
        <f>[111]f!G15</f>
        <v>382.93682999999999</v>
      </c>
      <c r="H15" s="525">
        <f>[111]f!H15</f>
        <v>2.141431209878597E-2</v>
      </c>
    </row>
    <row r="16" spans="1:24" s="526" customFormat="1" ht="14" thickBot="1">
      <c r="A16" s="516"/>
      <c r="B16" s="521" t="s">
        <v>176</v>
      </c>
      <c r="C16" s="522">
        <f>[111]f!C16</f>
        <v>180.40894474999999</v>
      </c>
      <c r="D16" s="523">
        <f>[111]f!D16</f>
        <v>169.34135782000001</v>
      </c>
      <c r="E16" s="522">
        <f>[111]f!E16</f>
        <v>162.06371239000001</v>
      </c>
      <c r="F16" s="523">
        <f>[111]f!F16</f>
        <v>159.209048</v>
      </c>
      <c r="G16" s="522">
        <f>[111]f!G16</f>
        <v>140.79502499999998</v>
      </c>
      <c r="H16" s="525">
        <f>[111]f!H16</f>
        <v>-0.11565940021197796</v>
      </c>
    </row>
    <row r="17" spans="1:9" s="526" customFormat="1" ht="14" thickBot="1">
      <c r="A17" s="516"/>
      <c r="B17" s="527"/>
      <c r="C17" s="528"/>
      <c r="D17" s="529"/>
      <c r="E17" s="528"/>
      <c r="F17" s="529"/>
      <c r="G17" s="528"/>
      <c r="H17" s="530"/>
      <c r="I17" s="531"/>
    </row>
    <row r="18" spans="1:9" s="526" customFormat="1" ht="14" thickBot="1">
      <c r="A18" s="520" t="s">
        <v>178</v>
      </c>
      <c r="B18" s="516"/>
      <c r="C18" s="532">
        <f>[111]f!C18</f>
        <v>2881.6000000000004</v>
      </c>
      <c r="D18" s="533">
        <f>[111]f!D18</f>
        <v>3011.3999999999996</v>
      </c>
      <c r="E18" s="532">
        <f>[111]f!E18</f>
        <v>3176.3677925723964</v>
      </c>
      <c r="F18" s="533">
        <f>[111]f!F18</f>
        <v>3314.4716839527723</v>
      </c>
      <c r="G18" s="532">
        <f>[111]f!G18</f>
        <v>3458.985264289614</v>
      </c>
      <c r="H18" s="534">
        <f>[111]f!H18</f>
        <v>4.3600788939158308E-2</v>
      </c>
    </row>
    <row r="19" spans="1:9" ht="14" thickBot="1">
      <c r="A19" s="516" t="s">
        <v>179</v>
      </c>
      <c r="B19" s="516"/>
      <c r="C19" s="535">
        <f>[111]f!C19</f>
        <v>1132.4000000000001</v>
      </c>
      <c r="D19" s="536">
        <f>[111]f!D19</f>
        <v>1151.5</v>
      </c>
      <c r="E19" s="535">
        <f>[111]f!E19</f>
        <v>1283.9227999999998</v>
      </c>
      <c r="F19" s="536">
        <f>[111]f!F19</f>
        <v>1378.5406000000003</v>
      </c>
      <c r="G19" s="535">
        <f>[111]f!G19</f>
        <v>1422.4462000000001</v>
      </c>
      <c r="H19" s="524">
        <f>[111]f!H19</f>
        <v>3.18493339985777E-2</v>
      </c>
    </row>
    <row r="20" spans="1:9" ht="12.75" customHeight="1" thickBot="1">
      <c r="A20" s="516" t="s">
        <v>180</v>
      </c>
      <c r="B20" s="516"/>
      <c r="C20" s="535">
        <f>[111]f!C20</f>
        <v>1712.7</v>
      </c>
      <c r="D20" s="536">
        <f>[111]f!D20</f>
        <v>1822.7</v>
      </c>
      <c r="E20" s="535">
        <f>[111]f!E20</f>
        <v>1857.0449925723965</v>
      </c>
      <c r="F20" s="536">
        <f>[111]f!F20</f>
        <v>1894.8310839527724</v>
      </c>
      <c r="G20" s="535">
        <f>[111]f!G20</f>
        <v>1993.5390642896139</v>
      </c>
      <c r="H20" s="524">
        <f>[111]f!H20</f>
        <v>5.2093287455960757E-2</v>
      </c>
    </row>
    <row r="21" spans="1:9" ht="14" thickBot="1">
      <c r="A21" s="516" t="s">
        <v>181</v>
      </c>
      <c r="B21" s="516"/>
      <c r="C21" s="535">
        <f>[111]f!C21</f>
        <v>36.5</v>
      </c>
      <c r="D21" s="536">
        <f>[111]f!D21</f>
        <v>37.200000000000003</v>
      </c>
      <c r="E21" s="535">
        <f>[111]f!E21</f>
        <v>35.4</v>
      </c>
      <c r="F21" s="536">
        <f>[111]f!F21</f>
        <v>41.1</v>
      </c>
      <c r="G21" s="535">
        <f>[111]f!G21</f>
        <v>43</v>
      </c>
      <c r="H21" s="524">
        <f>[111]f!H21</f>
        <v>4.6228710462287159E-2</v>
      </c>
    </row>
    <row r="22" spans="1:9" ht="14" thickBot="1">
      <c r="A22" s="516"/>
      <c r="B22" s="516"/>
      <c r="C22" s="537"/>
      <c r="D22" s="538"/>
      <c r="E22" s="537"/>
      <c r="F22" s="538"/>
      <c r="G22" s="537"/>
      <c r="H22" s="539"/>
    </row>
    <row r="23" spans="1:9" ht="14" thickBot="1">
      <c r="A23" s="520" t="s">
        <v>182</v>
      </c>
      <c r="B23" s="516"/>
      <c r="C23" s="532">
        <f>[111]f!C23</f>
        <v>623.0999999999998</v>
      </c>
      <c r="D23" s="533">
        <f>[111]f!D23</f>
        <v>-213.59999999999997</v>
      </c>
      <c r="E23" s="532">
        <f>[111]f!E23</f>
        <v>-306.40000000000003</v>
      </c>
      <c r="F23" s="533">
        <f>[111]f!F23</f>
        <v>-200.29999999999927</v>
      </c>
      <c r="G23" s="532">
        <f>[111]f!G23</f>
        <v>98.828987000000325</v>
      </c>
      <c r="H23" s="534">
        <f>[111]f!H23</f>
        <v>1.4934048277583658</v>
      </c>
    </row>
    <row r="24" spans="1:9" ht="14" thickBot="1">
      <c r="A24" s="516"/>
      <c r="B24" s="521" t="s">
        <v>183</v>
      </c>
      <c r="C24" s="540">
        <f>[111]f!C24</f>
        <v>704.5</v>
      </c>
      <c r="D24" s="541">
        <f>[111]f!D24</f>
        <v>335.5</v>
      </c>
      <c r="E24" s="540">
        <f>[111]f!E24</f>
        <v>194.5</v>
      </c>
      <c r="F24" s="541">
        <f>[111]f!F24</f>
        <v>332.70000000000073</v>
      </c>
      <c r="G24" s="540">
        <f>[111]f!G24</f>
        <v>712.41100000000006</v>
      </c>
      <c r="H24" s="542">
        <f>[111]f!H24</f>
        <v>1.1413014727983124</v>
      </c>
    </row>
    <row r="25" spans="1:9" ht="14" thickBot="1">
      <c r="A25" s="516"/>
      <c r="B25" s="521" t="s">
        <v>184</v>
      </c>
      <c r="C25" s="540">
        <f>[111]f!C25</f>
        <v>37.699999999999818</v>
      </c>
      <c r="D25" s="541">
        <f>[111]f!D25</f>
        <v>-518.29999999999995</v>
      </c>
      <c r="E25" s="540">
        <f>[111]f!E25</f>
        <v>-415.1</v>
      </c>
      <c r="F25" s="541">
        <f>[111]f!F25</f>
        <v>-351.5</v>
      </c>
      <c r="G25" s="540">
        <f>[111]f!G25</f>
        <v>-271.25196099999994</v>
      </c>
      <c r="H25" s="542">
        <f>[111]f!H25</f>
        <v>0.22830167567567583</v>
      </c>
    </row>
    <row r="26" spans="1:9" ht="14" thickBot="1">
      <c r="A26" s="516"/>
      <c r="B26" s="521" t="s">
        <v>185</v>
      </c>
      <c r="C26" s="540">
        <f>[111]f!C26</f>
        <v>-119.1</v>
      </c>
      <c r="D26" s="541">
        <f>[111]f!D26</f>
        <v>-30.8</v>
      </c>
      <c r="E26" s="540">
        <f>[111]f!E26</f>
        <v>-85.8</v>
      </c>
      <c r="F26" s="541">
        <f>[111]f!F26</f>
        <v>-181.5</v>
      </c>
      <c r="G26" s="540">
        <f>[111]f!G26</f>
        <v>-342.3300519999998</v>
      </c>
      <c r="H26" s="542">
        <f>[111]f!H26</f>
        <v>-0.88611598898071509</v>
      </c>
    </row>
    <row r="27" spans="1:9" ht="14" thickBot="1">
      <c r="A27" s="516"/>
      <c r="B27" s="521"/>
      <c r="C27" s="537"/>
      <c r="D27" s="538"/>
      <c r="E27" s="540"/>
      <c r="F27" s="541"/>
      <c r="G27" s="540"/>
      <c r="H27" s="542"/>
    </row>
    <row r="28" spans="1:9" s="526" customFormat="1" ht="14" thickBot="1">
      <c r="A28" s="520" t="s">
        <v>186</v>
      </c>
      <c r="B28" s="516"/>
      <c r="C28" s="532">
        <f>[111]f!C28</f>
        <v>2760.2699999999995</v>
      </c>
      <c r="D28" s="533">
        <f>[111]f!D28</f>
        <v>3024.9399999999996</v>
      </c>
      <c r="E28" s="532">
        <f>[111]f!E28</f>
        <v>3270.2</v>
      </c>
      <c r="F28" s="533">
        <f>[111]f!F28</f>
        <v>3620.5</v>
      </c>
      <c r="G28" s="532">
        <f>[111]f!G28</f>
        <v>3725.7</v>
      </c>
      <c r="H28" s="534">
        <f>[111]f!H28</f>
        <v>2.9056760116006108E-2</v>
      </c>
    </row>
    <row r="29" spans="1:9" s="526" customFormat="1" ht="14" thickBot="1">
      <c r="A29" s="516" t="s">
        <v>187</v>
      </c>
      <c r="B29" s="516"/>
      <c r="C29" s="537">
        <f>[111]f!C29</f>
        <v>1815.57</v>
      </c>
      <c r="D29" s="538">
        <f>[111]f!D29</f>
        <v>2087.14</v>
      </c>
      <c r="E29" s="537">
        <f>[111]f!E29</f>
        <v>2263.1999999999998</v>
      </c>
      <c r="F29" s="538">
        <f>[111]f!F29</f>
        <v>2476.6</v>
      </c>
      <c r="G29" s="537">
        <f>[111]f!G29</f>
        <v>2532.8000000000002</v>
      </c>
      <c r="H29" s="539">
        <f>[111]f!H29</f>
        <v>2.2692400872163621E-2</v>
      </c>
    </row>
    <row r="30" spans="1:9" ht="14" thickBot="1">
      <c r="A30" s="521"/>
      <c r="B30" s="521" t="s">
        <v>174</v>
      </c>
      <c r="C30" s="543">
        <f>[111]f!C30</f>
        <v>1364.8</v>
      </c>
      <c r="D30" s="544">
        <f>[111]f!D30</f>
        <v>1526.3</v>
      </c>
      <c r="E30" s="543">
        <f>[111]f!E30</f>
        <v>1601.2</v>
      </c>
      <c r="F30" s="544">
        <f>[111]f!F30</f>
        <v>1699.6</v>
      </c>
      <c r="G30" s="543">
        <f>[111]f!G30</f>
        <v>1740.4</v>
      </c>
      <c r="H30" s="545">
        <f>[111]f!H30</f>
        <v>2.4005648387856127E-2</v>
      </c>
    </row>
    <row r="31" spans="1:9" ht="14" thickBot="1">
      <c r="A31" s="521"/>
      <c r="B31" s="521" t="s">
        <v>188</v>
      </c>
      <c r="C31" s="543">
        <f>[111]f!C31</f>
        <v>450.77</v>
      </c>
      <c r="D31" s="544">
        <f>[111]f!D31</f>
        <v>560.84</v>
      </c>
      <c r="E31" s="543">
        <f>[111]f!E31</f>
        <v>662</v>
      </c>
      <c r="F31" s="544">
        <f>[111]f!F31</f>
        <v>777</v>
      </c>
      <c r="G31" s="543">
        <f>[111]f!G31</f>
        <v>792.4</v>
      </c>
      <c r="H31" s="545">
        <f>[111]f!H31</f>
        <v>1.9819819819819839E-2</v>
      </c>
    </row>
    <row r="32" spans="1:9" s="526" customFormat="1" ht="14" thickBot="1">
      <c r="A32" s="516" t="s">
        <v>189</v>
      </c>
      <c r="B32" s="516"/>
      <c r="C32" s="517">
        <f>[111]f!C32</f>
        <v>293</v>
      </c>
      <c r="D32" s="518">
        <f>[111]f!D32</f>
        <v>237.5</v>
      </c>
      <c r="E32" s="517">
        <f>[111]f!E32</f>
        <v>264.40000000000003</v>
      </c>
      <c r="F32" s="518">
        <f>[111]f!F32</f>
        <v>277.10000000000002</v>
      </c>
      <c r="G32" s="517">
        <f>[111]f!G32</f>
        <v>317</v>
      </c>
      <c r="H32" s="519">
        <f>[111]f!H32</f>
        <v>0.14399133886683502</v>
      </c>
    </row>
    <row r="33" spans="1:14" s="526" customFormat="1" ht="11.25" customHeight="1" thickBot="1">
      <c r="A33" s="521"/>
      <c r="B33" s="521" t="s">
        <v>174</v>
      </c>
      <c r="C33" s="543">
        <f>[111]f!C33</f>
        <v>64</v>
      </c>
      <c r="D33" s="544">
        <f>[111]f!D33</f>
        <v>51.5</v>
      </c>
      <c r="E33" s="543">
        <f>[111]f!E33</f>
        <v>56.6</v>
      </c>
      <c r="F33" s="544">
        <f>[111]f!F33</f>
        <v>59.3</v>
      </c>
      <c r="G33" s="543">
        <f>[111]f!G33</f>
        <v>69.099999999999994</v>
      </c>
      <c r="H33" s="545">
        <f>[111]f!H33</f>
        <v>0.16526138279932545</v>
      </c>
    </row>
    <row r="34" spans="1:14" ht="14" thickBot="1">
      <c r="A34" s="521"/>
      <c r="B34" s="521" t="s">
        <v>175</v>
      </c>
      <c r="C34" s="543">
        <f>[111]f!C34</f>
        <v>229</v>
      </c>
      <c r="D34" s="544">
        <f>[111]f!D34</f>
        <v>186</v>
      </c>
      <c r="E34" s="543">
        <f>[111]f!E34</f>
        <v>207.8</v>
      </c>
      <c r="F34" s="544">
        <f>[111]f!F34</f>
        <v>217.8</v>
      </c>
      <c r="G34" s="543">
        <f>[111]f!G34</f>
        <v>247.9</v>
      </c>
      <c r="H34" s="545">
        <f>[111]f!H34</f>
        <v>0.13820018365472908</v>
      </c>
    </row>
    <row r="35" spans="1:14" ht="14" thickBot="1">
      <c r="A35" s="516" t="s">
        <v>190</v>
      </c>
      <c r="B35" s="516"/>
      <c r="C35" s="517">
        <f>[111]f!C35</f>
        <v>203.5</v>
      </c>
      <c r="D35" s="518">
        <f>[111]f!D35</f>
        <v>228.6</v>
      </c>
      <c r="E35" s="517">
        <f>[111]f!E35</f>
        <v>266.2</v>
      </c>
      <c r="F35" s="518">
        <f>[111]f!F35</f>
        <v>375.1</v>
      </c>
      <c r="G35" s="517">
        <f>[111]f!G35</f>
        <v>378.5</v>
      </c>
      <c r="H35" s="519">
        <f>[111]f!H35</f>
        <v>9.0642495334576356E-3</v>
      </c>
    </row>
    <row r="36" spans="1:14" ht="14" thickBot="1">
      <c r="A36" s="516"/>
      <c r="B36" s="521" t="s">
        <v>174</v>
      </c>
      <c r="C36" s="546">
        <f>[111]f!C36</f>
        <v>83.9</v>
      </c>
      <c r="D36" s="547">
        <f>[111]f!D36</f>
        <v>87.4</v>
      </c>
      <c r="E36" s="546">
        <f>[111]f!E36</f>
        <v>113.3</v>
      </c>
      <c r="F36" s="544">
        <f>[111]f!F36</f>
        <v>190.8</v>
      </c>
      <c r="G36" s="546">
        <f>[111]f!G36</f>
        <v>201.7</v>
      </c>
      <c r="H36" s="545">
        <f>[111]f!H36</f>
        <v>5.7127882599580682E-2</v>
      </c>
    </row>
    <row r="37" spans="1:14" ht="14" thickBot="1">
      <c r="A37" s="516"/>
      <c r="B37" s="521" t="s">
        <v>191</v>
      </c>
      <c r="C37" s="546">
        <f>[111]f!C37</f>
        <v>119.6</v>
      </c>
      <c r="D37" s="547">
        <f>[111]f!D37</f>
        <v>141.19999999999999</v>
      </c>
      <c r="E37" s="546">
        <f>[111]f!E37</f>
        <v>152.9</v>
      </c>
      <c r="F37" s="544">
        <f>[111]f!F37</f>
        <v>184.3</v>
      </c>
      <c r="G37" s="546">
        <f>[111]f!G37</f>
        <v>176.8</v>
      </c>
      <c r="H37" s="545">
        <f>[111]f!H37</f>
        <v>-4.0694519804666318E-2</v>
      </c>
    </row>
    <row r="38" spans="1:14" ht="14" thickBot="1">
      <c r="A38" s="516" t="s">
        <v>192</v>
      </c>
      <c r="B38" s="516"/>
      <c r="C38" s="517">
        <f>[111]f!C38</f>
        <v>448.20000000000005</v>
      </c>
      <c r="D38" s="518">
        <f>[111]f!D38</f>
        <v>471.7</v>
      </c>
      <c r="E38" s="517">
        <f>[111]f!E38</f>
        <v>476.40000000000003</v>
      </c>
      <c r="F38" s="518">
        <f>[111]f!F38</f>
        <v>491.70000000000005</v>
      </c>
      <c r="G38" s="517">
        <f>[111]f!G38</f>
        <v>497.4</v>
      </c>
      <c r="H38" s="519">
        <f>[111]f!H38</f>
        <v>1.1592434411226149E-2</v>
      </c>
    </row>
    <row r="39" spans="1:14" ht="14" thickBot="1">
      <c r="A39" s="516"/>
      <c r="B39" s="521" t="s">
        <v>193</v>
      </c>
      <c r="C39" s="546">
        <f>[111]f!C39</f>
        <v>324.3</v>
      </c>
      <c r="D39" s="547">
        <f>[111]f!D39</f>
        <v>340.4</v>
      </c>
      <c r="E39" s="546">
        <f>[111]f!E39</f>
        <v>343.6</v>
      </c>
      <c r="F39" s="547">
        <f>[111]f!F39</f>
        <v>354.3</v>
      </c>
      <c r="G39" s="546">
        <f>[111]f!G39</f>
        <v>355.7</v>
      </c>
      <c r="H39" s="548">
        <f>[111]f!H39</f>
        <v>3.9514535704205933E-3</v>
      </c>
    </row>
    <row r="40" spans="1:14" ht="14" thickBot="1">
      <c r="A40" s="516"/>
      <c r="B40" s="521" t="s">
        <v>194</v>
      </c>
      <c r="C40" s="546">
        <f>[111]f!C40</f>
        <v>123.9</v>
      </c>
      <c r="D40" s="547">
        <f>[111]f!D40</f>
        <v>131.30000000000001</v>
      </c>
      <c r="E40" s="546">
        <f>[111]f!E40</f>
        <v>132.80000000000001</v>
      </c>
      <c r="F40" s="547">
        <f>[111]f!F40</f>
        <v>137.4</v>
      </c>
      <c r="G40" s="546">
        <f>[111]f!G40</f>
        <v>141.69999999999999</v>
      </c>
      <c r="H40" s="548">
        <f>[111]f!H40</f>
        <v>3.1295487627365226E-2</v>
      </c>
      <c r="J40" s="526"/>
      <c r="K40" s="549"/>
      <c r="L40" s="549"/>
      <c r="M40" s="549"/>
      <c r="N40" s="549"/>
    </row>
    <row r="41" spans="1:14" s="526" customFormat="1" ht="14" thickBot="1">
      <c r="A41" s="516"/>
      <c r="B41" s="516"/>
      <c r="C41" s="537"/>
      <c r="D41" s="538"/>
      <c r="E41" s="537"/>
      <c r="F41" s="538"/>
      <c r="G41" s="537"/>
      <c r="H41" s="539"/>
    </row>
    <row r="42" spans="1:14" ht="13.5" customHeight="1" thickBot="1">
      <c r="A42" s="520" t="s">
        <v>1123</v>
      </c>
      <c r="B42" s="516"/>
      <c r="C42" s="532">
        <f>[111]f!C42</f>
        <v>25156.514125912261</v>
      </c>
      <c r="D42" s="533">
        <f>[111]f!D42</f>
        <v>26402.30417727874</v>
      </c>
      <c r="E42" s="532">
        <f>[111]f!E42</f>
        <v>27625.288652942058</v>
      </c>
      <c r="F42" s="533">
        <f>[111]f!F42</f>
        <v>28025.464388047221</v>
      </c>
      <c r="G42" s="532">
        <f>[111]f!G42</f>
        <v>29038.570984696478</v>
      </c>
      <c r="H42" s="534">
        <f>[111]f!H42</f>
        <v>3.614950256029803E-2</v>
      </c>
    </row>
    <row r="43" spans="1:14" ht="13.5" customHeight="1" thickBot="1">
      <c r="A43" s="516" t="s">
        <v>195</v>
      </c>
      <c r="B43" s="516"/>
      <c r="C43" s="517">
        <f>[111]f!C43</f>
        <v>16013.1</v>
      </c>
      <c r="D43" s="518">
        <f>[111]f!D43</f>
        <v>16937.3</v>
      </c>
      <c r="E43" s="517">
        <f>[111]f!E43</f>
        <v>17695.3</v>
      </c>
      <c r="F43" s="518">
        <f>[111]f!F43</f>
        <v>17814.400000000001</v>
      </c>
      <c r="G43" s="517">
        <f>[111]f!G43</f>
        <v>18506.971013000002</v>
      </c>
      <c r="H43" s="519">
        <f>[111]f!H43</f>
        <v>3.8877032793694921E-2</v>
      </c>
    </row>
    <row r="44" spans="1:14" ht="14" thickBot="1">
      <c r="A44" s="516"/>
      <c r="B44" s="521" t="s">
        <v>183</v>
      </c>
      <c r="C44" s="550">
        <f>[111]f!C44</f>
        <v>11035.2</v>
      </c>
      <c r="D44" s="551">
        <f>[111]f!D44</f>
        <v>11924.8</v>
      </c>
      <c r="E44" s="550">
        <f>[111]f!E44</f>
        <v>12604.2</v>
      </c>
      <c r="F44" s="551">
        <f>[111]f!F44</f>
        <v>12949.5</v>
      </c>
      <c r="G44" s="550">
        <f>[111]f!G44</f>
        <v>13346.689</v>
      </c>
      <c r="H44" s="552">
        <f>[111]f!H44</f>
        <v>3.0672149503841784E-2</v>
      </c>
    </row>
    <row r="45" spans="1:14" ht="14" thickBot="1">
      <c r="A45" s="516"/>
      <c r="B45" s="521" t="s">
        <v>184</v>
      </c>
      <c r="C45" s="550">
        <f>[111]f!C45</f>
        <v>4337.5</v>
      </c>
      <c r="D45" s="551">
        <f>[111]f!D45</f>
        <v>4410.6000000000004</v>
      </c>
      <c r="E45" s="550">
        <f>[111]f!E45</f>
        <v>4453.3</v>
      </c>
      <c r="F45" s="551">
        <f>[111]f!F45</f>
        <v>3766.7</v>
      </c>
      <c r="G45" s="550">
        <f>[111]f!G45</f>
        <v>2917.3519609999998</v>
      </c>
      <c r="H45" s="552">
        <f>[111]f!H45</f>
        <v>-0.22548863434836863</v>
      </c>
    </row>
    <row r="46" spans="1:14" ht="14" thickBot="1">
      <c r="A46" s="516"/>
      <c r="B46" s="521" t="s">
        <v>185</v>
      </c>
      <c r="C46" s="550">
        <f>[111]f!C46</f>
        <v>640.4</v>
      </c>
      <c r="D46" s="551">
        <f>[111]f!D46</f>
        <v>601.9</v>
      </c>
      <c r="E46" s="550">
        <f>[111]f!E46</f>
        <v>637.79999999999995</v>
      </c>
      <c r="F46" s="551">
        <f>[111]f!F46</f>
        <v>1098.2</v>
      </c>
      <c r="G46" s="550">
        <f>[111]f!G46</f>
        <v>2242.9300519999997</v>
      </c>
      <c r="H46" s="552">
        <f>[111]f!H46</f>
        <v>1.0423693789837913</v>
      </c>
    </row>
    <row r="47" spans="1:14" ht="11.25" customHeight="1" thickBot="1">
      <c r="A47" s="516" t="s">
        <v>196</v>
      </c>
      <c r="B47" s="516"/>
      <c r="C47" s="517">
        <f>[111]f!C47</f>
        <v>1770.8</v>
      </c>
      <c r="D47" s="518">
        <f>[111]f!D47</f>
        <v>1884.4</v>
      </c>
      <c r="E47" s="517">
        <f>[111]f!E47</f>
        <v>2155</v>
      </c>
      <c r="F47" s="518">
        <f>[111]f!F47</f>
        <v>2249.6</v>
      </c>
      <c r="G47" s="517">
        <f>[111]f!G47</f>
        <v>2343.1</v>
      </c>
      <c r="H47" s="519">
        <f>[111]f!H47</f>
        <v>4.1562944523470868E-2</v>
      </c>
      <c r="J47" s="503"/>
      <c r="K47" s="503"/>
      <c r="L47" s="503"/>
      <c r="M47" s="503"/>
    </row>
    <row r="48" spans="1:14" ht="13.5" customHeight="1" thickBot="1">
      <c r="A48" s="516"/>
      <c r="B48" s="521" t="s">
        <v>183</v>
      </c>
      <c r="C48" s="522">
        <f>[111]f!C48</f>
        <v>1678.5</v>
      </c>
      <c r="D48" s="523">
        <f>[111]f!D48</f>
        <v>1778</v>
      </c>
      <c r="E48" s="522">
        <f>[111]f!E48</f>
        <v>2097.1999999999998</v>
      </c>
      <c r="F48" s="523">
        <f>[111]f!F48</f>
        <v>2189.9</v>
      </c>
      <c r="G48" s="522">
        <f>[111]f!G48</f>
        <v>2288</v>
      </c>
      <c r="H48" s="525">
        <f>[111]f!H48</f>
        <v>4.4796566053244335E-2</v>
      </c>
    </row>
    <row r="49" spans="1:22" ht="13.5" customHeight="1" thickBot="1">
      <c r="A49" s="516"/>
      <c r="B49" s="521" t="s">
        <v>197</v>
      </c>
      <c r="C49" s="522">
        <f>[111]f!C49</f>
        <v>92.3</v>
      </c>
      <c r="D49" s="523">
        <f>[111]f!D49</f>
        <v>106.4</v>
      </c>
      <c r="E49" s="522">
        <f>[111]f!E49</f>
        <v>57.8</v>
      </c>
      <c r="F49" s="523">
        <f>[111]f!F49</f>
        <v>59.7</v>
      </c>
      <c r="G49" s="522">
        <f>[111]f!G49</f>
        <v>55.1</v>
      </c>
      <c r="H49" s="525">
        <f>[111]f!H49</f>
        <v>-7.7051926298157492E-2</v>
      </c>
    </row>
    <row r="50" spans="1:22" ht="12.75" customHeight="1" thickBot="1">
      <c r="A50" s="516" t="s">
        <v>198</v>
      </c>
      <c r="B50" s="516"/>
      <c r="C50" s="517">
        <f>[111]f!C50</f>
        <v>7372.6141259122578</v>
      </c>
      <c r="D50" s="518">
        <f>[111]f!D50</f>
        <v>7580.6041772787394</v>
      </c>
      <c r="E50" s="517">
        <f>[111]f!E50</f>
        <v>7774.9886529420592</v>
      </c>
      <c r="F50" s="518">
        <f>[111]f!F50</f>
        <v>7961.4643880472222</v>
      </c>
      <c r="G50" s="517">
        <f>[111]f!G50</f>
        <v>8188.4999716964776</v>
      </c>
      <c r="H50" s="519">
        <f>[111]f!H50</f>
        <v>2.8516812056599949E-2</v>
      </c>
      <c r="I50" s="553" t="s">
        <v>199</v>
      </c>
    </row>
    <row r="51" spans="1:22" ht="12.75" customHeight="1" thickBot="1">
      <c r="A51" s="516"/>
      <c r="B51" s="516"/>
      <c r="C51" s="537"/>
      <c r="D51" s="538"/>
      <c r="E51" s="537"/>
      <c r="F51" s="538"/>
      <c r="G51" s="537"/>
      <c r="H51" s="539"/>
    </row>
    <row r="52" spans="1:22" ht="12.75" customHeight="1" thickBot="1">
      <c r="A52" s="520" t="s">
        <v>200</v>
      </c>
      <c r="B52" s="516"/>
      <c r="C52" s="554">
        <f>[111]f!C52</f>
        <v>378.7</v>
      </c>
      <c r="D52" s="555">
        <f>[111]f!D52</f>
        <v>386.6</v>
      </c>
      <c r="E52" s="554">
        <f>[111]f!E52</f>
        <v>395.2</v>
      </c>
      <c r="F52" s="555">
        <f>[111]f!F52</f>
        <v>408.8</v>
      </c>
      <c r="G52" s="554">
        <f>[111]f!G52</f>
        <v>443.72611837314082</v>
      </c>
      <c r="H52" s="556">
        <f>[111]f!H52</f>
        <v>8.5435710306117407E-2</v>
      </c>
    </row>
    <row r="53" spans="1:22" ht="12.75" customHeight="1" thickBot="1">
      <c r="A53" s="520"/>
      <c r="B53" s="521"/>
      <c r="C53" s="557"/>
      <c r="D53" s="558"/>
      <c r="E53" s="537"/>
      <c r="F53" s="538"/>
      <c r="G53" s="537"/>
      <c r="H53" s="539"/>
    </row>
    <row r="54" spans="1:22" ht="12.75" customHeight="1" thickBot="1">
      <c r="A54" s="559" t="s">
        <v>201</v>
      </c>
      <c r="B54" s="560"/>
      <c r="C54" s="561">
        <f>[111]f!C54</f>
        <v>37908.300000000003</v>
      </c>
      <c r="D54" s="562">
        <f>[111]f!D54</f>
        <v>38669.599999999999</v>
      </c>
      <c r="E54" s="561">
        <f>[111]f!E54</f>
        <v>40292.400000000001</v>
      </c>
      <c r="F54" s="562">
        <f>[111]f!F54</f>
        <v>41585.599999999999</v>
      </c>
      <c r="G54" s="561">
        <f>[111]f!G54</f>
        <v>43365.319112359233</v>
      </c>
      <c r="H54" s="563">
        <f>[111]f!H54</f>
        <v>4.2796523612963044E-2</v>
      </c>
    </row>
    <row r="55" spans="1:22" ht="11.25" customHeight="1">
      <c r="A55" s="564"/>
      <c r="B55" s="564"/>
    </row>
    <row r="56" spans="1:22" ht="15" customHeight="1">
      <c r="A56" s="565" t="s">
        <v>202</v>
      </c>
      <c r="B56" s="565"/>
      <c r="K56" s="503"/>
      <c r="L56" s="503"/>
      <c r="M56" s="503"/>
      <c r="N56" s="503"/>
      <c r="Q56" s="503"/>
      <c r="R56" s="503"/>
      <c r="S56" s="503"/>
      <c r="T56" s="503"/>
      <c r="U56" s="497"/>
      <c r="V56" s="566"/>
    </row>
    <row r="57" spans="1:22">
      <c r="A57" s="565"/>
      <c r="B57" s="565"/>
      <c r="D57" s="565"/>
      <c r="K57" s="503"/>
      <c r="L57" s="503"/>
      <c r="M57" s="503"/>
      <c r="N57" s="503"/>
      <c r="Q57" s="503"/>
      <c r="R57" s="503"/>
      <c r="S57" s="503"/>
      <c r="T57" s="503"/>
      <c r="U57" s="497"/>
      <c r="V57" s="566"/>
    </row>
    <row r="58" spans="1:22">
      <c r="A58" s="565" t="s">
        <v>203</v>
      </c>
      <c r="B58" s="565"/>
      <c r="K58" s="503"/>
      <c r="L58" s="503"/>
      <c r="M58" s="503"/>
      <c r="N58" s="503"/>
    </row>
    <row r="59" spans="1:22">
      <c r="A59" s="565" t="s">
        <v>204</v>
      </c>
      <c r="B59" s="565"/>
    </row>
    <row r="60" spans="1:22">
      <c r="A60" s="565" t="s">
        <v>205</v>
      </c>
    </row>
    <row r="61" spans="1:22">
      <c r="A61" s="565" t="s">
        <v>206</v>
      </c>
      <c r="B61" s="565"/>
      <c r="C61" s="565"/>
      <c r="D61" s="565"/>
      <c r="E61" s="565"/>
      <c r="F61" s="565"/>
    </row>
    <row r="62" spans="1:22">
      <c r="A62" s="567" t="s">
        <v>207</v>
      </c>
      <c r="B62" s="565"/>
      <c r="C62" s="564"/>
      <c r="D62" s="564"/>
      <c r="E62" s="564"/>
      <c r="F62" s="564"/>
    </row>
    <row r="63" spans="1:22" s="564" customFormat="1">
      <c r="A63" s="567" t="s">
        <v>208</v>
      </c>
      <c r="B63" s="565"/>
    </row>
    <row r="64" spans="1:22" s="564" customFormat="1">
      <c r="A64" s="567" t="s">
        <v>209</v>
      </c>
    </row>
    <row r="65" spans="1:6">
      <c r="A65" s="565" t="s">
        <v>210</v>
      </c>
      <c r="B65" s="565"/>
    </row>
    <row r="66" spans="1:6" s="564" customFormat="1">
      <c r="A66" s="565" t="s">
        <v>211</v>
      </c>
    </row>
    <row r="67" spans="1:6" s="564" customFormat="1">
      <c r="A67" s="565" t="s">
        <v>212</v>
      </c>
      <c r="B67" s="565"/>
    </row>
    <row r="68" spans="1:6" s="564" customFormat="1">
      <c r="A68" s="565" t="s">
        <v>213</v>
      </c>
      <c r="B68" s="565"/>
      <c r="C68" s="490"/>
      <c r="D68" s="490"/>
      <c r="E68" s="490"/>
      <c r="F68" s="490"/>
    </row>
    <row r="69" spans="1:6" s="564" customFormat="1">
      <c r="A69" s="565" t="s">
        <v>214</v>
      </c>
      <c r="B69" s="490"/>
      <c r="C69" s="490"/>
      <c r="D69" s="490"/>
      <c r="E69" s="490"/>
      <c r="F69" s="490"/>
    </row>
    <row r="70" spans="1:6">
      <c r="A70" s="565" t="s">
        <v>215</v>
      </c>
    </row>
    <row r="74" spans="1:6">
      <c r="B74" s="568"/>
    </row>
    <row r="75" spans="1:6">
      <c r="B75" s="569"/>
    </row>
    <row r="76" spans="1:6">
      <c r="B76" s="570"/>
    </row>
    <row r="77" spans="1:6">
      <c r="B77" s="571"/>
    </row>
    <row r="78" spans="1:6">
      <c r="B78" s="572"/>
    </row>
    <row r="82" spans="1:5">
      <c r="E82" s="503"/>
    </row>
    <row r="94" spans="1:5" ht="16">
      <c r="A94" s="489"/>
    </row>
    <row r="124" spans="1:1" ht="16">
      <c r="A124" s="489"/>
    </row>
  </sheetData>
  <phoneticPr fontId="26" type="noConversion"/>
  <pageMargins left="0.31" right="0.18" top="0.48" bottom="0.35433070866141736" header="0.22" footer="0.19685039370078741"/>
  <pageSetup paperSize="9" scale="80" orientation="portrait" cellComments="asDisplayed"/>
  <headerFooter alignWithMargins="0">
    <oddHeader>&amp;L&amp;"Helvetica,Bold"&amp;14Zusatzinformationen zum Gesundheitswesen</oddHeader>
    <oddFooter xml:space="preserve">&amp;LStatistik über die Krankenversicherung, Bundesamt für Sozialversicherung&amp;R </oddFooter>
  </headerFooter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1305-ACD6-6C45-B92A-BC29DFB25F2D}">
  <dimension ref="A1:X124"/>
  <sheetViews>
    <sheetView topLeftCell="A43" workbookViewId="0">
      <selection activeCell="A59" sqref="A59"/>
    </sheetView>
  </sheetViews>
  <sheetFormatPr baseColWidth="10" defaultColWidth="10.19921875" defaultRowHeight="13"/>
  <cols>
    <col min="1" max="1" width="3.796875" style="574" customWidth="1"/>
    <col min="2" max="2" width="45" style="574" customWidth="1"/>
    <col min="3" max="3" width="10.796875" style="574" customWidth="1"/>
    <col min="4" max="4" width="11" style="574" customWidth="1"/>
    <col min="5" max="6" width="10.3984375" style="574" customWidth="1"/>
    <col min="7" max="7" width="10.796875" style="574" customWidth="1"/>
    <col min="8" max="8" width="10.3984375" style="574" bestFit="1" customWidth="1"/>
    <col min="9" max="9" width="19.59765625" style="574" customWidth="1"/>
    <col min="10" max="10" width="18" style="574" customWidth="1"/>
    <col min="11" max="16384" width="10.19921875" style="574"/>
  </cols>
  <sheetData>
    <row r="1" spans="1:24" ht="16">
      <c r="A1" s="573" t="s">
        <v>107</v>
      </c>
      <c r="J1" s="575"/>
      <c r="O1" s="575"/>
      <c r="U1" s="575"/>
    </row>
    <row r="2" spans="1:24" ht="14" thickBot="1">
      <c r="A2" s="576"/>
      <c r="B2" s="576"/>
      <c r="C2" s="576"/>
      <c r="D2" s="576"/>
      <c r="E2" s="576"/>
      <c r="F2" s="576"/>
      <c r="G2" s="576"/>
    </row>
    <row r="3" spans="1:24" s="579" customFormat="1" ht="10.5" customHeight="1">
      <c r="A3" s="577"/>
      <c r="B3" s="577"/>
      <c r="C3" s="578"/>
      <c r="D3" s="577"/>
      <c r="E3" s="578"/>
      <c r="F3" s="577"/>
      <c r="G3" s="578"/>
      <c r="H3" s="574"/>
      <c r="J3" s="574"/>
      <c r="K3" s="580"/>
      <c r="L3" s="580"/>
      <c r="M3" s="580"/>
      <c r="N3" s="580"/>
      <c r="O3" s="581"/>
      <c r="P3" s="581"/>
      <c r="Q3" s="581"/>
      <c r="R3" s="581"/>
      <c r="U3" s="582"/>
      <c r="V3" s="582"/>
      <c r="W3" s="582"/>
      <c r="X3" s="582"/>
    </row>
    <row r="4" spans="1:24" ht="12" customHeight="1">
      <c r="A4" s="583" t="s">
        <v>171</v>
      </c>
      <c r="B4" s="577"/>
      <c r="C4" s="584">
        <v>1996</v>
      </c>
      <c r="D4" s="585">
        <v>1997</v>
      </c>
      <c r="E4" s="584">
        <v>1998</v>
      </c>
      <c r="F4" s="585">
        <v>1999</v>
      </c>
      <c r="G4" s="584">
        <v>2000</v>
      </c>
      <c r="K4" s="580"/>
      <c r="L4" s="580"/>
      <c r="M4" s="580"/>
      <c r="N4" s="580"/>
      <c r="O4" s="488"/>
      <c r="P4" s="488"/>
      <c r="Q4" s="488"/>
      <c r="R4" s="488"/>
      <c r="U4" s="582"/>
      <c r="V4" s="582"/>
      <c r="W4" s="582"/>
      <c r="X4" s="582"/>
    </row>
    <row r="5" spans="1:24" ht="10.5" customHeight="1">
      <c r="A5" s="583" t="s">
        <v>172</v>
      </c>
      <c r="B5" s="586"/>
      <c r="C5" s="584"/>
      <c r="D5" s="585"/>
      <c r="E5" s="584"/>
      <c r="F5" s="585"/>
      <c r="G5" s="584"/>
      <c r="K5" s="580"/>
      <c r="L5" s="580"/>
      <c r="M5" s="580"/>
      <c r="N5" s="580"/>
      <c r="O5" s="488"/>
      <c r="P5" s="488"/>
      <c r="Q5" s="488"/>
      <c r="R5" s="488"/>
      <c r="U5" s="582"/>
      <c r="V5" s="582"/>
      <c r="W5" s="582"/>
      <c r="X5" s="582"/>
    </row>
    <row r="6" spans="1:24" ht="14.25" customHeight="1">
      <c r="A6" s="587"/>
      <c r="B6" s="587"/>
      <c r="C6" s="584"/>
      <c r="D6" s="585"/>
      <c r="E6" s="584"/>
      <c r="F6" s="585"/>
      <c r="G6" s="584"/>
      <c r="K6" s="580"/>
      <c r="L6" s="580"/>
      <c r="M6" s="580"/>
      <c r="N6" s="580"/>
      <c r="O6" s="588"/>
      <c r="P6" s="588"/>
      <c r="Q6" s="588"/>
      <c r="R6" s="588"/>
      <c r="U6" s="588"/>
      <c r="V6" s="588"/>
      <c r="W6" s="588"/>
      <c r="X6" s="588"/>
    </row>
    <row r="7" spans="1:24">
      <c r="A7" s="589"/>
      <c r="B7" s="590"/>
      <c r="C7" s="591"/>
      <c r="D7" s="590"/>
      <c r="E7" s="591"/>
      <c r="F7" s="590"/>
      <c r="G7" s="591"/>
      <c r="K7" s="580"/>
      <c r="L7" s="580"/>
      <c r="M7" s="580"/>
      <c r="N7" s="580"/>
      <c r="O7" s="488"/>
      <c r="P7" s="488"/>
      <c r="Q7" s="488"/>
      <c r="R7" s="488"/>
      <c r="U7" s="582"/>
      <c r="V7" s="582"/>
      <c r="W7" s="582"/>
      <c r="X7" s="582"/>
    </row>
    <row r="8" spans="1:24" ht="18" customHeight="1" thickBot="1">
      <c r="A8" s="592" t="s">
        <v>476</v>
      </c>
      <c r="B8" s="593"/>
      <c r="C8" s="594">
        <f>[112]f!C8</f>
        <v>0.16112872046722609</v>
      </c>
      <c r="D8" s="595">
        <f>[112]f!D8</f>
        <v>0.15665938677207061</v>
      </c>
      <c r="E8" s="594">
        <f>[112]f!E8</f>
        <v>0.15218114469442245</v>
      </c>
      <c r="F8" s="595">
        <f>[112]f!F8</f>
        <v>0.15430014062560118</v>
      </c>
      <c r="G8" s="594">
        <f>[112]f!G8</f>
        <v>0.15218400078875755</v>
      </c>
      <c r="K8" s="580"/>
      <c r="L8" s="580"/>
      <c r="M8" s="580"/>
      <c r="N8" s="580"/>
      <c r="U8" s="582"/>
      <c r="V8" s="582"/>
      <c r="W8" s="582"/>
      <c r="X8" s="582"/>
    </row>
    <row r="9" spans="1:24" ht="14" thickBot="1">
      <c r="A9" s="596" t="s">
        <v>173</v>
      </c>
      <c r="B9" s="596"/>
      <c r="C9" s="597">
        <f>[112]f!C9</f>
        <v>0.14418763590368724</v>
      </c>
      <c r="D9" s="598">
        <f>[112]f!D9</f>
        <v>0.1405638129520673</v>
      </c>
      <c r="E9" s="597">
        <f>[112]f!E9</f>
        <v>0.13681252830349017</v>
      </c>
      <c r="F9" s="598">
        <f>[112]f!F9</f>
        <v>0.13842568850756029</v>
      </c>
      <c r="G9" s="597">
        <f>[112]f!G9</f>
        <v>0.13676498590113428</v>
      </c>
      <c r="K9" s="580"/>
      <c r="L9" s="580"/>
      <c r="M9" s="580"/>
      <c r="N9" s="580"/>
      <c r="O9" s="488"/>
      <c r="P9" s="488"/>
      <c r="Q9" s="488"/>
      <c r="R9" s="488"/>
      <c r="U9" s="582"/>
      <c r="V9" s="582"/>
      <c r="W9" s="582"/>
      <c r="X9" s="582"/>
    </row>
    <row r="10" spans="1:24" ht="14" thickBot="1">
      <c r="A10" s="599"/>
      <c r="B10" s="600" t="s">
        <v>174</v>
      </c>
      <c r="C10" s="601">
        <f>[112]f!C10</f>
        <v>3.2414862708166811E-5</v>
      </c>
      <c r="D10" s="602">
        <f>[112]f!D10</f>
        <v>3.7154480004965141E-5</v>
      </c>
      <c r="E10" s="601">
        <f>[112]f!E10</f>
        <v>2.7096535574947136E-5</v>
      </c>
      <c r="F10" s="602">
        <f>[112]f!F10</f>
        <v>0</v>
      </c>
      <c r="G10" s="601">
        <f>[112]f!G10</f>
        <v>2.0086096858716494E-6</v>
      </c>
      <c r="K10" s="580"/>
      <c r="L10" s="580"/>
      <c r="M10" s="580"/>
      <c r="N10" s="580"/>
      <c r="O10" s="488"/>
      <c r="P10" s="488"/>
      <c r="Q10" s="488"/>
      <c r="R10" s="488"/>
      <c r="U10" s="582"/>
      <c r="V10" s="582"/>
      <c r="W10" s="582"/>
      <c r="X10" s="582"/>
    </row>
    <row r="11" spans="1:24" ht="14" thickBot="1">
      <c r="A11" s="596"/>
      <c r="B11" s="600" t="s">
        <v>175</v>
      </c>
      <c r="C11" s="601">
        <f>[112]f!C11</f>
        <v>0.12032222210788748</v>
      </c>
      <c r="D11" s="602">
        <f>[112]f!D11</f>
        <v>0.11620845802466845</v>
      </c>
      <c r="E11" s="601">
        <f>[112]f!E11</f>
        <v>0.11129009513289212</v>
      </c>
      <c r="F11" s="602">
        <f>[112]f!F11</f>
        <v>0.11342482489130853</v>
      </c>
      <c r="G11" s="601">
        <f>[112]f!G11</f>
        <v>0.11184530505663171</v>
      </c>
      <c r="K11" s="580"/>
      <c r="L11" s="580"/>
      <c r="M11" s="580"/>
      <c r="N11" s="580"/>
      <c r="O11" s="488"/>
      <c r="P11" s="488"/>
      <c r="Q11" s="488"/>
      <c r="R11" s="488"/>
      <c r="U11" s="582"/>
      <c r="V11" s="582"/>
      <c r="W11" s="582"/>
      <c r="X11" s="582"/>
    </row>
    <row r="12" spans="1:24" ht="14" thickBot="1">
      <c r="A12" s="596"/>
      <c r="B12" s="600" t="s">
        <v>176</v>
      </c>
      <c r="C12" s="601">
        <f>[112]f!C12</f>
        <v>2.3832998933091619E-2</v>
      </c>
      <c r="D12" s="602">
        <f>[112]f!D12</f>
        <v>2.4318200447393898E-2</v>
      </c>
      <c r="E12" s="601">
        <f>[112]f!E12</f>
        <v>2.5495336635023087E-2</v>
      </c>
      <c r="F12" s="602">
        <f>[112]f!F12</f>
        <v>2.5000863616251777E-2</v>
      </c>
      <c r="G12" s="601">
        <f>[112]f!G12</f>
        <v>2.4917672234816706E-2</v>
      </c>
      <c r="K12" s="580"/>
      <c r="L12" s="580"/>
      <c r="M12" s="580"/>
      <c r="N12" s="580"/>
      <c r="O12" s="488"/>
      <c r="P12" s="488"/>
      <c r="Q12" s="488"/>
      <c r="R12" s="488"/>
      <c r="U12" s="582"/>
      <c r="V12" s="582"/>
      <c r="W12" s="582"/>
      <c r="X12" s="582"/>
    </row>
    <row r="13" spans="1:24" ht="14" thickBot="1">
      <c r="A13" s="596" t="s">
        <v>177</v>
      </c>
      <c r="B13" s="596"/>
      <c r="C13" s="597">
        <f>[112]f!C13</f>
        <v>1.694108456353885E-2</v>
      </c>
      <c r="D13" s="598">
        <f>[112]f!D13</f>
        <v>1.609557382000331E-2</v>
      </c>
      <c r="E13" s="597">
        <f>[112]f!E13</f>
        <v>1.5368616390932285E-2</v>
      </c>
      <c r="F13" s="598">
        <f>[112]f!F13</f>
        <v>1.5874452118040859E-2</v>
      </c>
      <c r="G13" s="597">
        <f>[112]f!G13</f>
        <v>1.5419014887623247E-2</v>
      </c>
    </row>
    <row r="14" spans="1:24" ht="14" thickBot="1">
      <c r="A14" s="599"/>
      <c r="B14" s="600" t="s">
        <v>174</v>
      </c>
      <c r="C14" s="601">
        <f>[112]f!C14</f>
        <v>3.3766219421604233E-3</v>
      </c>
      <c r="D14" s="602">
        <f>[112]f!D14</f>
        <v>3.001323296853342E-3</v>
      </c>
      <c r="E14" s="601">
        <f>[112]f!E14</f>
        <v>2.8739967577012041E-3</v>
      </c>
      <c r="F14" s="602">
        <f>[112]f!F14</f>
        <v>3.0306438767265594E-3</v>
      </c>
      <c r="G14" s="601">
        <f>[112]f!G14</f>
        <v>3.3418097448912306E-3</v>
      </c>
      <c r="K14" s="488"/>
      <c r="L14" s="488"/>
      <c r="M14" s="488"/>
      <c r="N14" s="488"/>
    </row>
    <row r="15" spans="1:24" ht="14" thickBot="1">
      <c r="A15" s="596"/>
      <c r="B15" s="600" t="s">
        <v>175</v>
      </c>
      <c r="C15" s="601">
        <f>[112]f!C15</f>
        <v>8.8053743808084225E-3</v>
      </c>
      <c r="D15" s="602">
        <f>[112]f!D15</f>
        <v>8.7150648625793914E-3</v>
      </c>
      <c r="E15" s="601">
        <f>[112]f!E15</f>
        <v>8.4724290367414207E-3</v>
      </c>
      <c r="F15" s="602">
        <f>[112]f!F15</f>
        <v>9.0153424262244628E-3</v>
      </c>
      <c r="G15" s="601">
        <f>[112]f!G15</f>
        <v>8.8304856931367987E-3</v>
      </c>
    </row>
    <row r="16" spans="1:24" s="603" customFormat="1" ht="14" thickBot="1">
      <c r="A16" s="596"/>
      <c r="B16" s="600" t="s">
        <v>176</v>
      </c>
      <c r="C16" s="601">
        <f>[112]f!C16</f>
        <v>4.7590882405700065E-3</v>
      </c>
      <c r="D16" s="602">
        <f>[112]f!D16</f>
        <v>4.3791856605705781E-3</v>
      </c>
      <c r="E16" s="601">
        <f>[112]f!E16</f>
        <v>4.0221905964896608E-3</v>
      </c>
      <c r="F16" s="602">
        <f>[112]f!F16</f>
        <v>3.828465815089839E-3</v>
      </c>
      <c r="G16" s="601">
        <f>[112]f!G16</f>
        <v>3.2467194495952186E-3</v>
      </c>
      <c r="H16" s="574"/>
    </row>
    <row r="17" spans="1:9" s="603" customFormat="1" ht="14" thickBot="1">
      <c r="A17" s="596"/>
      <c r="B17" s="604"/>
      <c r="C17" s="605"/>
      <c r="D17" s="606"/>
      <c r="E17" s="605"/>
      <c r="F17" s="606"/>
      <c r="G17" s="605"/>
      <c r="H17" s="574"/>
      <c r="I17" s="607"/>
    </row>
    <row r="18" spans="1:9" s="603" customFormat="1" ht="14" thickBot="1">
      <c r="A18" s="599" t="s">
        <v>178</v>
      </c>
      <c r="B18" s="596"/>
      <c r="C18" s="608">
        <f>[112]f!C18</f>
        <v>7.6015015181371895E-2</v>
      </c>
      <c r="D18" s="609">
        <f>[112]f!D18</f>
        <v>7.7875126714525095E-2</v>
      </c>
      <c r="E18" s="608">
        <f>[112]f!E18</f>
        <v>7.883292612434098E-2</v>
      </c>
      <c r="F18" s="609">
        <f>[112]f!F18</f>
        <v>7.9702389383651373E-2</v>
      </c>
      <c r="G18" s="608">
        <f>[112]f!G18</f>
        <v>7.976386050169279E-2</v>
      </c>
      <c r="H18" s="574"/>
    </row>
    <row r="19" spans="1:9" ht="14" thickBot="1">
      <c r="A19" s="596" t="s">
        <v>179</v>
      </c>
      <c r="B19" s="596"/>
      <c r="C19" s="610">
        <f>[112]f!C19</f>
        <v>2.9872086060308691E-2</v>
      </c>
      <c r="D19" s="611">
        <f>[112]f!D19</f>
        <v>2.9777913399673131E-2</v>
      </c>
      <c r="E19" s="610">
        <f>[112]f!E19</f>
        <v>3.1865135856886155E-2</v>
      </c>
      <c r="F19" s="611">
        <f>[112]f!F19</f>
        <v>3.3149470008849227E-2</v>
      </c>
      <c r="G19" s="610">
        <f>[112]f!G19</f>
        <v>3.2801469679364106E-2</v>
      </c>
    </row>
    <row r="20" spans="1:9" ht="12.75" customHeight="1" thickBot="1">
      <c r="A20" s="596" t="s">
        <v>180</v>
      </c>
      <c r="B20" s="596"/>
      <c r="C20" s="610">
        <f>[112]f!C20</f>
        <v>4.5180079296618415E-2</v>
      </c>
      <c r="D20" s="611">
        <f>[112]f!D20</f>
        <v>4.7135217328340612E-2</v>
      </c>
      <c r="E20" s="610">
        <f>[112]f!E20</f>
        <v>4.6089212669694443E-2</v>
      </c>
      <c r="F20" s="611">
        <f>[112]f!F20</f>
        <v>4.5564596493804885E-2</v>
      </c>
      <c r="G20" s="610">
        <f>[112]f!G20</f>
        <v>4.5970815045183189E-2</v>
      </c>
    </row>
    <row r="21" spans="1:9" ht="14" thickBot="1">
      <c r="A21" s="596" t="s">
        <v>181</v>
      </c>
      <c r="B21" s="596"/>
      <c r="C21" s="610">
        <f>[112]f!C21</f>
        <v>9.628498244447785E-4</v>
      </c>
      <c r="D21" s="611">
        <f>[112]f!D21</f>
        <v>9.6199598651136825E-4</v>
      </c>
      <c r="E21" s="610">
        <f>[112]f!E21</f>
        <v>8.7857759776037165E-4</v>
      </c>
      <c r="F21" s="611">
        <f>[112]f!F21</f>
        <v>9.8832288099726844E-4</v>
      </c>
      <c r="G21" s="610">
        <f>[112]f!G21</f>
        <v>9.9157577714549506E-4</v>
      </c>
    </row>
    <row r="22" spans="1:9" ht="14" thickBot="1">
      <c r="A22" s="596"/>
      <c r="B22" s="596"/>
      <c r="C22" s="612"/>
      <c r="D22" s="613"/>
      <c r="E22" s="612"/>
      <c r="F22" s="613"/>
      <c r="G22" s="612"/>
    </row>
    <row r="23" spans="1:9" ht="14" thickBot="1">
      <c r="A23" s="599" t="s">
        <v>182</v>
      </c>
      <c r="B23" s="596"/>
      <c r="C23" s="608">
        <f>[112]f!C23</f>
        <v>1.6437033578398392E-2</v>
      </c>
      <c r="D23" s="609">
        <f>[112]f!D23</f>
        <v>-5.5237188902910808E-3</v>
      </c>
      <c r="E23" s="608">
        <f>[112]f!E23</f>
        <v>-7.6044117501067208E-3</v>
      </c>
      <c r="F23" s="609">
        <f>[112]f!F23</f>
        <v>-4.8165711207725581E-3</v>
      </c>
      <c r="G23" s="608">
        <f>[112]f!G23</f>
        <v>2.2789867346285431E-3</v>
      </c>
    </row>
    <row r="24" spans="1:9" ht="14" thickBot="1">
      <c r="A24" s="596"/>
      <c r="B24" s="600" t="s">
        <v>183</v>
      </c>
      <c r="C24" s="614">
        <f>[112]f!C24</f>
        <v>1.8584320584146479E-2</v>
      </c>
      <c r="D24" s="615">
        <f>[112]f!D24</f>
        <v>8.676065953617312E-3</v>
      </c>
      <c r="E24" s="614">
        <f>[112]f!E24</f>
        <v>4.8272130724404602E-3</v>
      </c>
      <c r="F24" s="615">
        <f>[112]f!F24</f>
        <v>8.000365511138488E-3</v>
      </c>
      <c r="G24" s="614">
        <f>[112]f!G24</f>
        <v>1.6428127697023242E-2</v>
      </c>
    </row>
    <row r="25" spans="1:9" ht="14" thickBot="1">
      <c r="A25" s="596"/>
      <c r="B25" s="600" t="s">
        <v>184</v>
      </c>
      <c r="C25" s="614">
        <f>[112]f!C25</f>
        <v>9.945051611388487E-4</v>
      </c>
      <c r="D25" s="615">
        <f>[112]f!D25</f>
        <v>-1.3403293543248443E-2</v>
      </c>
      <c r="E25" s="614">
        <f>[112]f!E25</f>
        <v>-1.0302190983907635E-2</v>
      </c>
      <c r="F25" s="615">
        <f>[112]f!F25</f>
        <v>-8.4524450771420873E-3</v>
      </c>
      <c r="G25" s="614">
        <f>[112]f!G25</f>
        <v>-6.2550435821119646E-3</v>
      </c>
    </row>
    <row r="26" spans="1:9" ht="14" thickBot="1">
      <c r="A26" s="596"/>
      <c r="B26" s="600" t="s">
        <v>185</v>
      </c>
      <c r="C26" s="614">
        <f>[112]f!C26</f>
        <v>-3.1417921668869348E-3</v>
      </c>
      <c r="D26" s="615">
        <f>[112]f!D26</f>
        <v>-7.9649130065995004E-4</v>
      </c>
      <c r="E26" s="614">
        <f>[112]f!E26</f>
        <v>-2.129433838639545E-3</v>
      </c>
      <c r="F26" s="615">
        <f>[112]f!F26</f>
        <v>-4.3644915547689589E-3</v>
      </c>
      <c r="G26" s="614">
        <f>[112]f!G26</f>
        <v>-7.8940973802827333E-3</v>
      </c>
    </row>
    <row r="27" spans="1:9" ht="14" thickBot="1">
      <c r="A27" s="596"/>
      <c r="B27" s="600"/>
      <c r="C27" s="614"/>
      <c r="D27" s="615"/>
      <c r="E27" s="614"/>
      <c r="F27" s="615"/>
      <c r="G27" s="614"/>
    </row>
    <row r="28" spans="1:9" s="603" customFormat="1" ht="14" thickBot="1">
      <c r="A28" s="599" t="s">
        <v>186</v>
      </c>
      <c r="B28" s="596"/>
      <c r="C28" s="608">
        <f>[112]f!C28</f>
        <v>7.281439684712844E-2</v>
      </c>
      <c r="D28" s="609">
        <f>[112]f!D28</f>
        <v>7.8225272565529511E-2</v>
      </c>
      <c r="E28" s="608">
        <f>[112]f!E28</f>
        <v>8.116170791514031E-2</v>
      </c>
      <c r="F28" s="609">
        <f>[112]f!F28</f>
        <v>8.7061386633834795E-2</v>
      </c>
      <c r="G28" s="608">
        <f>[112]f!G28</f>
        <v>8.5914276114208626E-2</v>
      </c>
      <c r="H28" s="574"/>
    </row>
    <row r="29" spans="1:9" s="603" customFormat="1" ht="14" thickBot="1">
      <c r="A29" s="596" t="s">
        <v>187</v>
      </c>
      <c r="B29" s="596"/>
      <c r="C29" s="612">
        <f>[112]f!C29</f>
        <v>4.7893733034717986E-2</v>
      </c>
      <c r="D29" s="613">
        <f>[112]f!D29</f>
        <v>5.3973664066863894E-2</v>
      </c>
      <c r="E29" s="612">
        <f>[112]f!E29</f>
        <v>5.6169401673764774E-2</v>
      </c>
      <c r="F29" s="613">
        <f>[112]f!F29</f>
        <v>5.9554268785348773E-2</v>
      </c>
      <c r="G29" s="612">
        <f>[112]f!G29</f>
        <v>5.8406119264049074E-2</v>
      </c>
      <c r="H29" s="574"/>
    </row>
    <row r="30" spans="1:9" ht="14" thickBot="1">
      <c r="A30" s="600"/>
      <c r="B30" s="600" t="s">
        <v>174</v>
      </c>
      <c r="C30" s="616">
        <f>[112]f!C30</f>
        <v>3.6002669600061196E-2</v>
      </c>
      <c r="D30" s="617">
        <f>[112]f!D30</f>
        <v>3.9470281564846804E-2</v>
      </c>
      <c r="E30" s="616">
        <f>[112]f!E30</f>
        <v>3.9739504224121668E-2</v>
      </c>
      <c r="F30" s="617">
        <f>[112]f!F30</f>
        <v>4.0869916509561004E-2</v>
      </c>
      <c r="G30" s="616">
        <f>[112]f!G30</f>
        <v>4.0133453082419064E-2</v>
      </c>
    </row>
    <row r="31" spans="1:9" ht="14" thickBot="1">
      <c r="A31" s="600"/>
      <c r="B31" s="600" t="s">
        <v>188</v>
      </c>
      <c r="C31" s="616">
        <f>[112]f!C31</f>
        <v>1.1891063434656788E-2</v>
      </c>
      <c r="D31" s="617">
        <f>[112]f!D31</f>
        <v>1.450338250201709E-2</v>
      </c>
      <c r="E31" s="616">
        <f>[112]f!E31</f>
        <v>1.642989744964311E-2</v>
      </c>
      <c r="F31" s="617">
        <f>[112]f!F31</f>
        <v>1.8684352275787772E-2</v>
      </c>
      <c r="G31" s="616">
        <f>[112]f!G31</f>
        <v>1.8272666181630006E-2</v>
      </c>
    </row>
    <row r="32" spans="1:9" s="603" customFormat="1" ht="14" thickBot="1">
      <c r="A32" s="596" t="s">
        <v>189</v>
      </c>
      <c r="B32" s="596"/>
      <c r="C32" s="597">
        <f>[112]f!C32</f>
        <v>7.7291780428032902E-3</v>
      </c>
      <c r="D32" s="598">
        <f>[112]f!D32</f>
        <v>6.1417754515174713E-3</v>
      </c>
      <c r="E32" s="597">
        <f>[112]f!E32</f>
        <v>6.562031549374076E-3</v>
      </c>
      <c r="F32" s="598">
        <f>[112]f!F32</f>
        <v>6.6633642414682011E-3</v>
      </c>
      <c r="G32" s="597">
        <f>[112]f!G32</f>
        <v>7.3099888687237664E-3</v>
      </c>
      <c r="H32" s="574"/>
    </row>
    <row r="33" spans="1:14" s="603" customFormat="1" ht="11.25" customHeight="1" thickBot="1">
      <c r="A33" s="600"/>
      <c r="B33" s="600" t="s">
        <v>174</v>
      </c>
      <c r="C33" s="616">
        <f>[112]f!C33</f>
        <v>1.6882846236839953E-3</v>
      </c>
      <c r="D33" s="617">
        <f>[112]f!D33</f>
        <v>1.3317955189606305E-3</v>
      </c>
      <c r="E33" s="616">
        <f>[112]f!E33</f>
        <v>1.404731413368278E-3</v>
      </c>
      <c r="F33" s="617">
        <f>[112]f!F33</f>
        <v>1.4259743757454504E-3</v>
      </c>
      <c r="G33" s="616">
        <f>[112]f!G33</f>
        <v>1.5934392139710166E-3</v>
      </c>
      <c r="H33" s="574"/>
    </row>
    <row r="34" spans="1:14" ht="14" thickBot="1">
      <c r="A34" s="600"/>
      <c r="B34" s="600" t="s">
        <v>175</v>
      </c>
      <c r="C34" s="616">
        <f>[112]f!C34</f>
        <v>6.0408934191192951E-3</v>
      </c>
      <c r="D34" s="617">
        <f>[112]f!D34</f>
        <v>4.8099799325568406E-3</v>
      </c>
      <c r="E34" s="616">
        <f>[112]f!E34</f>
        <v>5.1573001360057978E-3</v>
      </c>
      <c r="F34" s="617">
        <f>[112]f!F34</f>
        <v>5.2373898657227507E-3</v>
      </c>
      <c r="G34" s="616">
        <f>[112]f!G34</f>
        <v>5.7165496547527499E-3</v>
      </c>
    </row>
    <row r="35" spans="1:14" ht="14" thickBot="1">
      <c r="A35" s="596" t="s">
        <v>190</v>
      </c>
      <c r="B35" s="596"/>
      <c r="C35" s="597">
        <f>[112]f!C35</f>
        <v>5.3682175143702033E-3</v>
      </c>
      <c r="D35" s="598">
        <f>[112]f!D35</f>
        <v>5.9116204977553424E-3</v>
      </c>
      <c r="E35" s="597">
        <f>[112]f!E35</f>
        <v>6.6067049865483314E-3</v>
      </c>
      <c r="F35" s="598">
        <f>[112]f!F35</f>
        <v>9.0199492131891809E-3</v>
      </c>
      <c r="G35" s="597">
        <f>[112]f!G35</f>
        <v>8.7281728290597646E-3</v>
      </c>
    </row>
    <row r="36" spans="1:14" ht="14" thickBot="1">
      <c r="A36" s="596"/>
      <c r="B36" s="600" t="s">
        <v>174</v>
      </c>
      <c r="C36" s="618">
        <f>[112]f!C36</f>
        <v>2.2132356238607374E-3</v>
      </c>
      <c r="D36" s="619">
        <f>[112]f!D36</f>
        <v>2.2601733661584294E-3</v>
      </c>
      <c r="E36" s="618">
        <f>[112]f!E36</f>
        <v>2.8119446843573475E-3</v>
      </c>
      <c r="F36" s="619">
        <f>[112]f!F36</f>
        <v>4.5881266592281951E-3</v>
      </c>
      <c r="G36" s="618">
        <f>[112]f!G36</f>
        <v>4.6511821918661942E-3</v>
      </c>
    </row>
    <row r="37" spans="1:14" ht="14" thickBot="1">
      <c r="A37" s="596"/>
      <c r="B37" s="600" t="s">
        <v>191</v>
      </c>
      <c r="C37" s="618">
        <f>[112]f!C37</f>
        <v>3.1549818905094659E-3</v>
      </c>
      <c r="D37" s="619">
        <f>[112]f!D37</f>
        <v>3.651447131596913E-3</v>
      </c>
      <c r="E37" s="618">
        <f>[112]f!E37</f>
        <v>3.7947603021909839E-3</v>
      </c>
      <c r="F37" s="619">
        <f>[112]f!F37</f>
        <v>4.4318225539609866E-3</v>
      </c>
      <c r="G37" s="618">
        <f>[112]f!G37</f>
        <v>4.0769906371935713E-3</v>
      </c>
    </row>
    <row r="38" spans="1:14" ht="14" thickBot="1">
      <c r="A38" s="596" t="s">
        <v>192</v>
      </c>
      <c r="B38" s="596"/>
      <c r="C38" s="597">
        <f>[112]f!C38</f>
        <v>1.182326825523698E-2</v>
      </c>
      <c r="D38" s="598">
        <f>[112]f!D38</f>
        <v>1.2198212549392805E-2</v>
      </c>
      <c r="E38" s="597">
        <f>[112]f!E38</f>
        <v>1.1823569705453138E-2</v>
      </c>
      <c r="F38" s="598">
        <f>[112]f!F38</f>
        <v>1.1823804393828635E-2</v>
      </c>
      <c r="G38" s="597">
        <f>[112]f!G38</f>
        <v>1.1469995152376029E-2</v>
      </c>
    </row>
    <row r="39" spans="1:14" ht="14" thickBot="1">
      <c r="A39" s="596"/>
      <c r="B39" s="600" t="s">
        <v>193</v>
      </c>
      <c r="C39" s="618">
        <f>[112]f!C39</f>
        <v>8.554854741573744E-3</v>
      </c>
      <c r="D39" s="619">
        <f>[112]f!D39</f>
        <v>8.8027804787223028E-3</v>
      </c>
      <c r="E39" s="618">
        <f>[112]f!E39</f>
        <v>8.527662785041348E-3</v>
      </c>
      <c r="F39" s="619">
        <f>[112]f!F39</f>
        <v>8.5197760763341158E-3</v>
      </c>
      <c r="G39" s="618">
        <f>[112]f!G39</f>
        <v>8.2024070681547111E-3</v>
      </c>
    </row>
    <row r="40" spans="1:14" ht="14" thickBot="1">
      <c r="A40" s="596"/>
      <c r="B40" s="600" t="s">
        <v>194</v>
      </c>
      <c r="C40" s="618">
        <f>[112]f!C40</f>
        <v>3.2684135136632347E-3</v>
      </c>
      <c r="D40" s="619">
        <f>[112]f!D40</f>
        <v>3.3954320706705014E-3</v>
      </c>
      <c r="E40" s="618">
        <f>[112]f!E40</f>
        <v>3.2959069204117901E-3</v>
      </c>
      <c r="F40" s="619">
        <f>[112]f!F40</f>
        <v>3.3040283174945177E-3</v>
      </c>
      <c r="G40" s="618">
        <f>[112]f!G40</f>
        <v>3.2675880842213175E-3</v>
      </c>
      <c r="J40" s="603"/>
      <c r="K40" s="620"/>
      <c r="L40" s="620"/>
      <c r="M40" s="620"/>
      <c r="N40" s="620"/>
    </row>
    <row r="41" spans="1:14" s="603" customFormat="1" ht="14" thickBot="1">
      <c r="A41" s="596"/>
      <c r="B41" s="596"/>
      <c r="C41" s="612"/>
      <c r="D41" s="613"/>
      <c r="E41" s="612"/>
      <c r="F41" s="613"/>
      <c r="G41" s="612"/>
      <c r="H41" s="574"/>
    </row>
    <row r="42" spans="1:14" ht="13.5" customHeight="1" thickBot="1">
      <c r="A42" s="599" t="s">
        <v>1123</v>
      </c>
      <c r="B42" s="596"/>
      <c r="C42" s="608">
        <f>[112]f!C42</f>
        <v>0.6636149372541702</v>
      </c>
      <c r="D42" s="609">
        <f>[112]f!D42</f>
        <v>0.68276641540845373</v>
      </c>
      <c r="E42" s="608">
        <f>[112]f!E42</f>
        <v>0.68562033169883296</v>
      </c>
      <c r="F42" s="609">
        <f>[112]f!F42</f>
        <v>0.67392232859564905</v>
      </c>
      <c r="G42" s="608">
        <f>[112]f!G42</f>
        <v>0.66962659514755896</v>
      </c>
    </row>
    <row r="43" spans="1:14" ht="13.5" customHeight="1" thickBot="1">
      <c r="A43" s="596" t="s">
        <v>195</v>
      </c>
      <c r="B43" s="596"/>
      <c r="C43" s="597">
        <f>[112]f!C43</f>
        <v>0.42241672667990915</v>
      </c>
      <c r="D43" s="598">
        <f>[112]f!D43</f>
        <v>0.43800039307362887</v>
      </c>
      <c r="E43" s="597">
        <f>[112]f!E43</f>
        <v>0.43917215157200856</v>
      </c>
      <c r="F43" s="598">
        <f>[112]f!F43</f>
        <v>0.42837905428802281</v>
      </c>
      <c r="G43" s="597">
        <f>[112]f!G43</f>
        <v>0.42676893406568905</v>
      </c>
    </row>
    <row r="44" spans="1:14" ht="14" thickBot="1">
      <c r="A44" s="596"/>
      <c r="B44" s="600" t="s">
        <v>183</v>
      </c>
      <c r="C44" s="621">
        <f>[112]f!C44</f>
        <v>0.29110247623871288</v>
      </c>
      <c r="D44" s="622">
        <f>[112]f!D44</f>
        <v>0.30837660591265492</v>
      </c>
      <c r="E44" s="621">
        <f>[112]f!E44</f>
        <v>0.31281829823986657</v>
      </c>
      <c r="F44" s="622">
        <f>[112]f!F44</f>
        <v>0.31139384787041668</v>
      </c>
      <c r="G44" s="621">
        <f>[112]f!G44</f>
        <v>0.30777333761614495</v>
      </c>
    </row>
    <row r="45" spans="1:14" ht="14" thickBot="1">
      <c r="A45" s="596"/>
      <c r="B45" s="600" t="s">
        <v>184</v>
      </c>
      <c r="C45" s="621">
        <f>[112]f!C45</f>
        <v>0.11442085242545827</v>
      </c>
      <c r="D45" s="622">
        <f>[112]f!D45</f>
        <v>0.11405858865879141</v>
      </c>
      <c r="E45" s="621">
        <f>[112]f!E45</f>
        <v>0.1105245654267306</v>
      </c>
      <c r="F45" s="622">
        <f>[112]f!F45</f>
        <v>9.0577026663075683E-2</v>
      </c>
      <c r="G45" s="621">
        <f>[112]f!G45</f>
        <v>6.7273849719430442E-2</v>
      </c>
    </row>
    <row r="46" spans="1:14" ht="14" thickBot="1">
      <c r="A46" s="596"/>
      <c r="B46" s="600" t="s">
        <v>185</v>
      </c>
      <c r="C46" s="621">
        <f>[112]f!C46</f>
        <v>1.6893398015737977E-2</v>
      </c>
      <c r="D46" s="622">
        <f>[112]f!D46</f>
        <v>1.5565198502182593E-2</v>
      </c>
      <c r="E46" s="621">
        <f>[112]f!E46</f>
        <v>1.5829287905411441E-2</v>
      </c>
      <c r="F46" s="622">
        <f>[112]f!F46</f>
        <v>2.6408179754530418E-2</v>
      </c>
      <c r="G46" s="621">
        <f>[112]f!G46</f>
        <v>5.1721746730113614E-2</v>
      </c>
    </row>
    <row r="47" spans="1:14" ht="11.25" customHeight="1" thickBot="1">
      <c r="A47" s="596" t="s">
        <v>196</v>
      </c>
      <c r="B47" s="596"/>
      <c r="C47" s="597">
        <f>[112]f!C47</f>
        <v>4.6712725181556544E-2</v>
      </c>
      <c r="D47" s="598">
        <f>[112]f!D47</f>
        <v>4.8730785940376942E-2</v>
      </c>
      <c r="E47" s="597">
        <f>[112]f!E47</f>
        <v>5.3484031728067823E-2</v>
      </c>
      <c r="F47" s="598">
        <f>[112]f!F47</f>
        <v>5.4095648493709361E-2</v>
      </c>
      <c r="G47" s="597">
        <f>[112]f!G47</f>
        <v>5.4031655893711852E-2</v>
      </c>
      <c r="J47" s="488"/>
      <c r="K47" s="488"/>
      <c r="L47" s="488"/>
      <c r="M47" s="488"/>
    </row>
    <row r="48" spans="1:14" ht="13.5" customHeight="1" thickBot="1">
      <c r="A48" s="596"/>
      <c r="B48" s="600" t="s">
        <v>183</v>
      </c>
      <c r="C48" s="601">
        <f>[112]f!C48</f>
        <v>4.4277902200837278E-2</v>
      </c>
      <c r="D48" s="602">
        <f>[112]f!D48</f>
        <v>4.5979270538097111E-2</v>
      </c>
      <c r="E48" s="601">
        <f>[112]f!E48</f>
        <v>5.2049518023250037E-2</v>
      </c>
      <c r="F48" s="602">
        <f>[112]f!F48</f>
        <v>5.2660055403793628E-2</v>
      </c>
      <c r="G48" s="601">
        <f>[112]f!G48</f>
        <v>5.2761055304857973E-2</v>
      </c>
    </row>
    <row r="49" spans="1:22" ht="13.5" customHeight="1" thickBot="1">
      <c r="A49" s="596"/>
      <c r="B49" s="600" t="s">
        <v>197</v>
      </c>
      <c r="C49" s="601">
        <f>[112]f!C49</f>
        <v>2.4348229807192616E-3</v>
      </c>
      <c r="D49" s="602">
        <f>[112]f!D49</f>
        <v>2.7515154022798275E-3</v>
      </c>
      <c r="E49" s="601">
        <f>[112]f!E49</f>
        <v>1.4345137048177819E-3</v>
      </c>
      <c r="F49" s="602">
        <f>[112]f!F49</f>
        <v>1.4355930899157402E-3</v>
      </c>
      <c r="G49" s="601">
        <f>[112]f!G49</f>
        <v>1.2706005888538786E-3</v>
      </c>
    </row>
    <row r="50" spans="1:22" ht="12.75" customHeight="1" thickBot="1">
      <c r="A50" s="596" t="s">
        <v>198</v>
      </c>
      <c r="B50" s="596"/>
      <c r="C50" s="597">
        <f>[112]f!C50</f>
        <v>0.19448548539270444</v>
      </c>
      <c r="D50" s="598">
        <f>[112]f!D50</f>
        <v>0.19603523639444784</v>
      </c>
      <c r="E50" s="597">
        <f>[112]f!E50</f>
        <v>0.19296414839875656</v>
      </c>
      <c r="F50" s="598">
        <f>[112]f!F50</f>
        <v>0.19144762581391689</v>
      </c>
      <c r="G50" s="597">
        <f>[112]f!G50</f>
        <v>0.18882600518815812</v>
      </c>
      <c r="I50" s="623" t="s">
        <v>199</v>
      </c>
    </row>
    <row r="51" spans="1:22" ht="12.75" customHeight="1" thickBot="1">
      <c r="A51" s="596"/>
      <c r="B51" s="596"/>
      <c r="C51" s="612"/>
      <c r="D51" s="613"/>
      <c r="E51" s="612"/>
      <c r="F51" s="613"/>
      <c r="G51" s="612"/>
    </row>
    <row r="52" spans="1:22" ht="12.75" customHeight="1" thickBot="1">
      <c r="A52" s="599" t="s">
        <v>200</v>
      </c>
      <c r="B52" s="596"/>
      <c r="C52" s="624">
        <f>[112]f!C52</f>
        <v>9.9898966717051393E-3</v>
      </c>
      <c r="D52" s="625">
        <f>[112]f!D52</f>
        <v>9.9975174297122302E-3</v>
      </c>
      <c r="E52" s="624">
        <f>[112]f!E52</f>
        <v>9.8083013173700245E-3</v>
      </c>
      <c r="F52" s="625">
        <f>[112]f!F52</f>
        <v>9.8303258820360909E-3</v>
      </c>
      <c r="G52" s="624">
        <f>[112]f!G52</f>
        <v>1.0232280713153514E-2</v>
      </c>
    </row>
    <row r="53" spans="1:22" ht="12.75" customHeight="1" thickBot="1">
      <c r="A53" s="599"/>
      <c r="B53" s="600"/>
      <c r="C53" s="612"/>
      <c r="D53" s="613"/>
      <c r="E53" s="612"/>
      <c r="F53" s="613"/>
      <c r="G53" s="612"/>
    </row>
    <row r="54" spans="1:22" ht="12.75" customHeight="1" thickBot="1">
      <c r="A54" s="626" t="s">
        <v>201</v>
      </c>
      <c r="B54" s="627"/>
      <c r="C54" s="628">
        <f>[112]f!C54</f>
        <v>1</v>
      </c>
      <c r="D54" s="629">
        <f>[112]f!D54</f>
        <v>1</v>
      </c>
      <c r="E54" s="628">
        <f>[112]f!E54</f>
        <v>1</v>
      </c>
      <c r="F54" s="629">
        <f>[112]f!F54</f>
        <v>1</v>
      </c>
      <c r="G54" s="628">
        <f>[112]f!G54</f>
        <v>1</v>
      </c>
    </row>
    <row r="55" spans="1:22" ht="11.25" customHeight="1">
      <c r="A55" s="630"/>
      <c r="B55" s="630"/>
    </row>
    <row r="56" spans="1:22" ht="15" customHeight="1">
      <c r="A56" s="631" t="s">
        <v>202</v>
      </c>
      <c r="B56" s="631"/>
      <c r="K56" s="488"/>
      <c r="L56" s="488"/>
      <c r="M56" s="488"/>
      <c r="N56" s="488"/>
      <c r="Q56" s="488"/>
      <c r="R56" s="488"/>
      <c r="S56" s="488"/>
      <c r="T56" s="488"/>
      <c r="U56" s="580"/>
      <c r="V56" s="632"/>
    </row>
    <row r="57" spans="1:22">
      <c r="A57" s="631"/>
      <c r="B57" s="631"/>
      <c r="D57" s="631"/>
      <c r="K57" s="488"/>
      <c r="L57" s="488"/>
      <c r="M57" s="488"/>
      <c r="N57" s="488"/>
      <c r="Q57" s="488"/>
      <c r="R57" s="488"/>
      <c r="S57" s="488"/>
      <c r="T57" s="488"/>
      <c r="U57" s="580"/>
      <c r="V57" s="632"/>
    </row>
    <row r="58" spans="1:22">
      <c r="A58" s="631" t="s">
        <v>108</v>
      </c>
      <c r="B58" s="631"/>
      <c r="K58" s="488"/>
      <c r="L58" s="488"/>
      <c r="M58" s="488"/>
      <c r="N58" s="488"/>
    </row>
    <row r="59" spans="1:22">
      <c r="A59" s="631"/>
      <c r="B59" s="631"/>
    </row>
    <row r="60" spans="1:22">
      <c r="A60" s="631"/>
    </row>
    <row r="61" spans="1:22">
      <c r="A61" s="631"/>
      <c r="B61" s="631"/>
    </row>
    <row r="62" spans="1:22">
      <c r="A62" s="633"/>
      <c r="B62" s="631"/>
      <c r="C62" s="631"/>
      <c r="D62" s="631"/>
      <c r="E62" s="631"/>
      <c r="F62" s="631"/>
    </row>
    <row r="63" spans="1:22">
      <c r="A63" s="633"/>
      <c r="B63" s="631"/>
      <c r="C63" s="630"/>
      <c r="D63" s="630"/>
      <c r="E63" s="630"/>
      <c r="F63" s="630"/>
    </row>
    <row r="64" spans="1:22" s="630" customFormat="1">
      <c r="A64" s="633"/>
      <c r="H64" s="574"/>
    </row>
    <row r="65" spans="1:8" s="630" customFormat="1">
      <c r="A65" s="631"/>
      <c r="B65" s="631"/>
      <c r="H65" s="574"/>
    </row>
    <row r="66" spans="1:8" s="630" customFormat="1">
      <c r="A66" s="631"/>
      <c r="H66" s="574"/>
    </row>
    <row r="67" spans="1:8" s="630" customFormat="1">
      <c r="A67" s="631"/>
      <c r="B67" s="631"/>
      <c r="H67" s="574"/>
    </row>
    <row r="68" spans="1:8" s="630" customFormat="1">
      <c r="A68" s="631"/>
      <c r="B68" s="631"/>
      <c r="C68" s="574"/>
      <c r="D68" s="574"/>
      <c r="E68" s="574"/>
      <c r="F68" s="574"/>
      <c r="H68" s="574"/>
    </row>
    <row r="69" spans="1:8" s="630" customFormat="1">
      <c r="A69" s="631"/>
      <c r="B69" s="574"/>
      <c r="C69" s="574"/>
      <c r="D69" s="574"/>
      <c r="E69" s="574"/>
      <c r="F69" s="574"/>
      <c r="H69" s="574"/>
    </row>
    <row r="70" spans="1:8">
      <c r="A70" s="631"/>
    </row>
    <row r="74" spans="1:8">
      <c r="B74" s="634"/>
    </row>
    <row r="75" spans="1:8">
      <c r="B75" s="635"/>
    </row>
    <row r="76" spans="1:8">
      <c r="B76" s="636"/>
    </row>
    <row r="77" spans="1:8">
      <c r="B77" s="637"/>
    </row>
    <row r="78" spans="1:8">
      <c r="B78" s="638"/>
    </row>
    <row r="82" spans="1:5">
      <c r="E82" s="488"/>
    </row>
    <row r="94" spans="1:5" ht="16">
      <c r="A94" s="573"/>
    </row>
    <row r="124" spans="1:1" ht="16">
      <c r="A124" s="573"/>
    </row>
  </sheetData>
  <phoneticPr fontId="26" type="noConversion"/>
  <pageMargins left="0.31" right="0.18" top="0.48" bottom="0.35433070866141736" header="0.22" footer="0.19685039370078741"/>
  <pageSetup paperSize="9" scale="80" orientation="portrait" cellComments="asDisplayed"/>
  <headerFooter alignWithMargins="0">
    <oddHeader>&amp;L&amp;"Helvetica,Bold"&amp;14Zusatzinformationen zum Gesundheitswesen</oddHeader>
    <oddFooter xml:space="preserve">&amp;LStatistik über die Krankenversicherung, Bundesamt für Sozialversicherung&amp;R </oddFooter>
  </headerFooter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A403-AAC1-6749-A160-11BD614D70B9}">
  <dimension ref="A1:J85"/>
  <sheetViews>
    <sheetView topLeftCell="I43" workbookViewId="0">
      <selection activeCell="B3" sqref="B3"/>
    </sheetView>
  </sheetViews>
  <sheetFormatPr baseColWidth="10" defaultColWidth="10.19921875" defaultRowHeight="13"/>
  <cols>
    <col min="1" max="1" width="3.796875" style="639" customWidth="1"/>
    <col min="2" max="2" width="3" style="639" customWidth="1"/>
    <col min="3" max="3" width="49.3984375" style="639" customWidth="1"/>
    <col min="4" max="9" width="10.19921875" style="639" customWidth="1"/>
    <col min="10" max="10" width="7.19921875" style="639" customWidth="1"/>
    <col min="11" max="16384" width="10.19921875" style="639"/>
  </cols>
  <sheetData>
    <row r="1" spans="1:10" ht="16">
      <c r="B1" s="640" t="s">
        <v>1190</v>
      </c>
    </row>
    <row r="2" spans="1:10" ht="10.5" customHeight="1" thickBot="1">
      <c r="B2" s="641"/>
      <c r="C2" s="641"/>
      <c r="D2" s="641"/>
      <c r="E2" s="641"/>
      <c r="F2" s="641"/>
      <c r="G2" s="641"/>
      <c r="H2" s="641"/>
      <c r="I2" s="641"/>
    </row>
    <row r="3" spans="1:10" ht="12" customHeight="1">
      <c r="B3" s="642"/>
      <c r="C3" s="642"/>
      <c r="D3" s="643"/>
      <c r="E3" s="642"/>
      <c r="F3" s="643"/>
      <c r="G3" s="642"/>
      <c r="H3" s="643"/>
      <c r="I3" s="644" t="s">
        <v>522</v>
      </c>
      <c r="J3" s="645"/>
    </row>
    <row r="4" spans="1:10">
      <c r="B4" s="646" t="s">
        <v>1191</v>
      </c>
      <c r="C4" s="647"/>
      <c r="D4" s="648">
        <v>1996</v>
      </c>
      <c r="E4" s="649">
        <v>1997</v>
      </c>
      <c r="F4" s="648">
        <v>1998</v>
      </c>
      <c r="G4" s="649">
        <v>1999</v>
      </c>
      <c r="H4" s="648">
        <v>2000</v>
      </c>
      <c r="I4" s="644" t="s">
        <v>523</v>
      </c>
      <c r="J4" s="645"/>
    </row>
    <row r="5" spans="1:10" ht="9.75" customHeight="1">
      <c r="B5" s="646"/>
      <c r="C5" s="647"/>
      <c r="D5" s="648"/>
      <c r="E5" s="649"/>
      <c r="F5" s="648"/>
      <c r="G5" s="649"/>
      <c r="H5" s="648"/>
      <c r="I5" s="650" t="s">
        <v>524</v>
      </c>
      <c r="J5" s="645"/>
    </row>
    <row r="6" spans="1:10" ht="9.75" customHeight="1">
      <c r="B6" s="651"/>
      <c r="C6" s="652"/>
      <c r="D6" s="653"/>
      <c r="E6" s="654"/>
      <c r="F6" s="653"/>
      <c r="G6" s="654"/>
      <c r="H6" s="653"/>
      <c r="I6" s="655"/>
      <c r="J6" s="656"/>
    </row>
    <row r="7" spans="1:10" ht="17.25" customHeight="1" thickBot="1">
      <c r="A7" s="867" t="s">
        <v>1192</v>
      </c>
      <c r="B7" s="657" t="s">
        <v>1193</v>
      </c>
      <c r="C7" s="657"/>
      <c r="D7" s="658">
        <f>[113]f!D7</f>
        <v>15102.800000000001</v>
      </c>
      <c r="E7" s="659">
        <f>[113]f!E7</f>
        <v>15124.699999999999</v>
      </c>
      <c r="F7" s="658">
        <f>[113]f!F7</f>
        <v>15686.5</v>
      </c>
      <c r="G7" s="659">
        <f>[113]f!G7</f>
        <v>15981.6</v>
      </c>
      <c r="H7" s="658">
        <f>[113]f!H7</f>
        <v>16973.123118</v>
      </c>
      <c r="I7" s="660">
        <f>[113]f!I7</f>
        <v>6.2041542649046377E-2</v>
      </c>
      <c r="J7" s="661"/>
    </row>
    <row r="8" spans="1:10" ht="14" thickBot="1">
      <c r="A8" s="868"/>
      <c r="B8" s="662"/>
      <c r="C8" s="663" t="s">
        <v>183</v>
      </c>
      <c r="D8" s="664">
        <f>[113]f!D8</f>
        <v>10780.5</v>
      </c>
      <c r="E8" s="665">
        <f>[113]f!E8</f>
        <v>11360.5</v>
      </c>
      <c r="F8" s="664">
        <f>[113]f!F8</f>
        <v>11926.9</v>
      </c>
      <c r="G8" s="665">
        <f>[113]f!G8</f>
        <v>12430.6</v>
      </c>
      <c r="H8" s="664">
        <f>[113]f!H8</f>
        <v>13190.308999999999</v>
      </c>
      <c r="I8" s="666">
        <f>[113]f!I8</f>
        <v>6.1116036233166415E-2</v>
      </c>
      <c r="J8" s="661"/>
    </row>
    <row r="9" spans="1:10" ht="14" thickBot="1">
      <c r="A9" s="868"/>
      <c r="B9" s="662"/>
      <c r="C9" s="663" t="s">
        <v>197</v>
      </c>
      <c r="D9" s="667">
        <f>[113]f!D9</f>
        <v>3809.6</v>
      </c>
      <c r="E9" s="668">
        <f>[113]f!E9</f>
        <v>3288.3</v>
      </c>
      <c r="F9" s="667">
        <f>[113]f!F9</f>
        <v>3299.5</v>
      </c>
      <c r="G9" s="668">
        <f>[113]f!G9</f>
        <v>2787.1</v>
      </c>
      <c r="H9" s="667">
        <f>[113]f!H9</f>
        <v>2199.056302</v>
      </c>
      <c r="I9" s="669">
        <f>[113]f!I9</f>
        <v>-0.21098765670410102</v>
      </c>
      <c r="J9" s="661"/>
    </row>
    <row r="10" spans="1:10" ht="14" thickBot="1">
      <c r="A10" s="868"/>
      <c r="B10" s="662"/>
      <c r="C10" s="663" t="s">
        <v>1194</v>
      </c>
      <c r="D10" s="667">
        <f>[113]f!D10</f>
        <v>512.70000000000005</v>
      </c>
      <c r="E10" s="668">
        <f>[113]f!E10</f>
        <v>475.9</v>
      </c>
      <c r="F10" s="667">
        <f>[113]f!F10</f>
        <v>460.1</v>
      </c>
      <c r="G10" s="668">
        <f>[113]f!G10</f>
        <v>763.9</v>
      </c>
      <c r="H10" s="667">
        <f>[113]f!H10</f>
        <v>1583.757816</v>
      </c>
      <c r="I10" s="669">
        <f>[113]f!I10</f>
        <v>1.0732528027228696</v>
      </c>
      <c r="J10" s="661"/>
    </row>
    <row r="11" spans="1:10" ht="14" thickBot="1">
      <c r="A11" s="868"/>
      <c r="B11" s="662"/>
      <c r="C11" s="662"/>
      <c r="D11" s="670"/>
      <c r="E11" s="671"/>
      <c r="F11" s="670"/>
      <c r="G11" s="671"/>
      <c r="H11" s="670"/>
      <c r="I11" s="672"/>
      <c r="J11" s="661"/>
    </row>
    <row r="12" spans="1:10" ht="14" thickBot="1">
      <c r="A12" s="868"/>
      <c r="B12" s="662" t="s">
        <v>1195</v>
      </c>
      <c r="C12" s="662"/>
      <c r="D12" s="673">
        <f>[113]f!D12</f>
        <v>72.599999999999739</v>
      </c>
      <c r="E12" s="674">
        <f>[113]f!E12</f>
        <v>80.999999999998636</v>
      </c>
      <c r="F12" s="673">
        <f>[113]f!F12</f>
        <v>106.80000000000098</v>
      </c>
      <c r="G12" s="674">
        <f>[113]f!G12</f>
        <v>50.400000000001</v>
      </c>
      <c r="H12" s="673">
        <f>[113]f!H12</f>
        <v>32.676882000000205</v>
      </c>
      <c r="I12" s="675">
        <f>[113]f!I12</f>
        <v>-0.35164916666667545</v>
      </c>
      <c r="J12" s="661"/>
    </row>
    <row r="13" spans="1:10" ht="14" thickBot="1">
      <c r="A13" s="868"/>
      <c r="B13" s="662"/>
      <c r="C13" s="663" t="s">
        <v>1196</v>
      </c>
      <c r="D13" s="676">
        <f>[113]f!D13</f>
        <v>20.5</v>
      </c>
      <c r="E13" s="677">
        <f>[113]f!E13</f>
        <v>18.599999999998545</v>
      </c>
      <c r="F13" s="676">
        <f>[113]f!F13</f>
        <v>22.800000000001091</v>
      </c>
      <c r="G13" s="677">
        <f>[113]f!G13</f>
        <v>20.800000000001091</v>
      </c>
      <c r="H13" s="676">
        <f>[113]f!H13</f>
        <v>19.591000000000349</v>
      </c>
      <c r="I13" s="678">
        <f>[113]f!I13</f>
        <v>-5.8125000000032623E-2</v>
      </c>
      <c r="J13" s="661"/>
    </row>
    <row r="14" spans="1:10" ht="14" thickBot="1">
      <c r="A14" s="868"/>
      <c r="B14" s="662"/>
      <c r="C14" s="663" t="s">
        <v>197</v>
      </c>
      <c r="D14" s="676">
        <f>[113]f!D14</f>
        <v>134.19999999999982</v>
      </c>
      <c r="E14" s="677">
        <f>[113]f!E14</f>
        <v>62.400000000000091</v>
      </c>
      <c r="F14" s="676">
        <f>[113]f!F14</f>
        <v>84.099999999999909</v>
      </c>
      <c r="G14" s="677">
        <f>[113]f!G14</f>
        <v>29.599999999999909</v>
      </c>
      <c r="H14" s="676">
        <f>[113]f!H14</f>
        <v>13.043697999999949</v>
      </c>
      <c r="I14" s="678">
        <f>[113]f!I14</f>
        <v>-0.55933452702702735</v>
      </c>
      <c r="J14" s="661"/>
    </row>
    <row r="15" spans="1:10" ht="14" thickBot="1">
      <c r="A15" s="868"/>
      <c r="B15" s="662"/>
      <c r="C15" s="663" t="s">
        <v>1197</v>
      </c>
      <c r="D15" s="676">
        <f>[113]f!D15</f>
        <v>-82.10000000000008</v>
      </c>
      <c r="E15" s="677">
        <f>[113]f!E15</f>
        <v>0</v>
      </c>
      <c r="F15" s="676">
        <f>[113]f!F15</f>
        <v>-0.10000000000002274</v>
      </c>
      <c r="G15" s="677">
        <f>[113]f!G15</f>
        <v>0</v>
      </c>
      <c r="H15" s="676">
        <f>[113]f!H15</f>
        <v>4.2183999999906518E-2</v>
      </c>
      <c r="I15" s="679" t="str">
        <f>[113]f!I15</f>
        <v>-</v>
      </c>
      <c r="J15" s="680"/>
    </row>
    <row r="16" spans="1:10" ht="14" thickBot="1">
      <c r="A16" s="681"/>
      <c r="B16" s="662"/>
      <c r="C16" s="662"/>
      <c r="D16" s="670"/>
      <c r="E16" s="671"/>
      <c r="F16" s="670"/>
      <c r="G16" s="671"/>
      <c r="H16" s="670"/>
      <c r="I16" s="672"/>
      <c r="J16" s="661"/>
    </row>
    <row r="17" spans="1:10" ht="14" thickBot="1">
      <c r="A17" s="681"/>
      <c r="B17" s="662" t="s">
        <v>1198</v>
      </c>
      <c r="C17" s="662"/>
      <c r="D17" s="673">
        <f>[113]f!D17</f>
        <v>15175.400000000001</v>
      </c>
      <c r="E17" s="674">
        <f>[113]f!E17</f>
        <v>15205.699999999997</v>
      </c>
      <c r="F17" s="673">
        <f>[113]f!F17</f>
        <v>15793.300000000001</v>
      </c>
      <c r="G17" s="674">
        <f>[113]f!G17</f>
        <v>16032.000000000002</v>
      </c>
      <c r="H17" s="673">
        <f>[113]f!H17</f>
        <v>17005.8</v>
      </c>
      <c r="I17" s="675">
        <f>[113]f!I17</f>
        <v>6.074101796407172E-2</v>
      </c>
      <c r="J17" s="661"/>
    </row>
    <row r="18" spans="1:10" ht="14" thickBot="1">
      <c r="A18" s="681"/>
      <c r="B18" s="662"/>
      <c r="C18" s="663" t="s">
        <v>183</v>
      </c>
      <c r="D18" s="682">
        <f>[113]f!D18</f>
        <v>10801</v>
      </c>
      <c r="E18" s="683">
        <f>[113]f!E18</f>
        <v>11379.099999999999</v>
      </c>
      <c r="F18" s="682">
        <f>[113]f!F18</f>
        <v>11949.7</v>
      </c>
      <c r="G18" s="683">
        <f>[113]f!G18</f>
        <v>12451.400000000001</v>
      </c>
      <c r="H18" s="682">
        <f>[113]f!H18</f>
        <v>13209.9</v>
      </c>
      <c r="I18" s="679">
        <f>[113]f!I18</f>
        <v>6.0916844692163075E-2</v>
      </c>
      <c r="J18" s="661"/>
    </row>
    <row r="19" spans="1:10" ht="14" thickBot="1">
      <c r="A19" s="681"/>
      <c r="B19" s="662"/>
      <c r="C19" s="663" t="s">
        <v>197</v>
      </c>
      <c r="D19" s="682">
        <f>[113]f!D19</f>
        <v>3943.7999999999997</v>
      </c>
      <c r="E19" s="683">
        <f>[113]f!E19</f>
        <v>3350.7000000000003</v>
      </c>
      <c r="F19" s="682">
        <f>[113]f!F19</f>
        <v>3383.6</v>
      </c>
      <c r="G19" s="683">
        <f>[113]f!G19</f>
        <v>2816.7</v>
      </c>
      <c r="H19" s="682">
        <f>[113]f!H19</f>
        <v>2212.1</v>
      </c>
      <c r="I19" s="679">
        <f>[113]f!I19</f>
        <v>-0.21464834735683602</v>
      </c>
      <c r="J19" s="661"/>
    </row>
    <row r="20" spans="1:10" ht="14" thickBot="1">
      <c r="A20" s="681"/>
      <c r="B20" s="662"/>
      <c r="C20" s="663" t="s">
        <v>1194</v>
      </c>
      <c r="D20" s="682">
        <f>[113]f!D20</f>
        <v>430.59999999999997</v>
      </c>
      <c r="E20" s="683">
        <f>[113]f!E20</f>
        <v>475.90000000000003</v>
      </c>
      <c r="F20" s="682">
        <f>[113]f!F20</f>
        <v>460</v>
      </c>
      <c r="G20" s="683">
        <f>[113]f!G20</f>
        <v>763.90000000000009</v>
      </c>
      <c r="H20" s="682">
        <f>[113]f!H20</f>
        <v>1583.8</v>
      </c>
      <c r="I20" s="679">
        <f>[113]f!I20</f>
        <v>1.0733080246105509</v>
      </c>
      <c r="J20" s="661"/>
    </row>
    <row r="21" spans="1:10" ht="14" thickBot="1">
      <c r="A21" s="681"/>
      <c r="B21" s="662"/>
      <c r="C21" s="662"/>
      <c r="D21" s="670"/>
      <c r="E21" s="671"/>
      <c r="F21" s="670"/>
      <c r="G21" s="671"/>
      <c r="H21" s="670"/>
      <c r="I21" s="672"/>
      <c r="J21" s="661"/>
    </row>
    <row r="22" spans="1:10" ht="14" thickBot="1">
      <c r="A22" s="681"/>
      <c r="B22" s="662" t="s">
        <v>1199</v>
      </c>
      <c r="C22" s="662"/>
      <c r="D22" s="673">
        <f>[113]f!D22</f>
        <v>1460.8</v>
      </c>
      <c r="E22" s="674">
        <f>[113]f!E22</f>
        <v>1518.0000000000002</v>
      </c>
      <c r="F22" s="673">
        <f>[113]f!F22</f>
        <v>1595.6</v>
      </c>
      <c r="G22" s="674">
        <f>[113]f!G22</f>
        <v>1582.1</v>
      </c>
      <c r="H22" s="673">
        <f>[113]f!H22</f>
        <v>1600</v>
      </c>
      <c r="I22" s="675">
        <f>[113]f!I22</f>
        <v>1.1314076227798564E-2</v>
      </c>
      <c r="J22" s="661"/>
    </row>
    <row r="23" spans="1:10" ht="14" thickBot="1">
      <c r="A23" s="681"/>
      <c r="B23" s="662"/>
      <c r="C23" s="663" t="s">
        <v>183</v>
      </c>
      <c r="D23" s="684">
        <f>[113]f!D23</f>
        <v>938.7</v>
      </c>
      <c r="E23" s="685">
        <f>[113]f!E23</f>
        <v>881.2</v>
      </c>
      <c r="F23" s="684">
        <f>[113]f!F23</f>
        <v>849</v>
      </c>
      <c r="G23" s="685">
        <f>[113]f!G23</f>
        <v>830.8</v>
      </c>
      <c r="H23" s="684">
        <f>[113]f!H23</f>
        <v>849.2</v>
      </c>
      <c r="I23" s="686">
        <f>[113]f!I23</f>
        <v>2.2147327876745448E-2</v>
      </c>
      <c r="J23" s="661"/>
    </row>
    <row r="24" spans="1:10" ht="14" thickBot="1">
      <c r="A24" s="681"/>
      <c r="B24" s="662"/>
      <c r="C24" s="663" t="s">
        <v>197</v>
      </c>
      <c r="D24" s="684">
        <f>[113]f!D24</f>
        <v>431.4</v>
      </c>
      <c r="E24" s="685">
        <f>[113]f!E24</f>
        <v>541.6</v>
      </c>
      <c r="F24" s="684">
        <f>[113]f!F24</f>
        <v>654.6</v>
      </c>
      <c r="G24" s="685">
        <f>[113]f!G24</f>
        <v>598.5</v>
      </c>
      <c r="H24" s="684">
        <f>[113]f!H24</f>
        <v>434</v>
      </c>
      <c r="I24" s="686">
        <f>[113]f!I24</f>
        <v>-0.27485380116959068</v>
      </c>
      <c r="J24" s="661"/>
    </row>
    <row r="25" spans="1:10" ht="14" thickBot="1">
      <c r="A25" s="681"/>
      <c r="B25" s="662"/>
      <c r="C25" s="663" t="s">
        <v>1197</v>
      </c>
      <c r="D25" s="684">
        <f>[113]f!D25</f>
        <v>90.7</v>
      </c>
      <c r="E25" s="685">
        <f>[113]f!E25</f>
        <v>95.2</v>
      </c>
      <c r="F25" s="684">
        <f>[113]f!F25</f>
        <v>92</v>
      </c>
      <c r="G25" s="685">
        <f>[113]f!G25</f>
        <v>152.80000000000001</v>
      </c>
      <c r="H25" s="684">
        <f>[113]f!H25</f>
        <v>316.8</v>
      </c>
      <c r="I25" s="686">
        <f>[113]f!I25</f>
        <v>1.0732984293193715</v>
      </c>
      <c r="J25" s="661"/>
    </row>
    <row r="26" spans="1:10" ht="14" thickBot="1">
      <c r="A26" s="681"/>
      <c r="B26" s="662"/>
      <c r="C26" s="662"/>
      <c r="D26" s="687"/>
      <c r="E26" s="662"/>
      <c r="F26" s="687"/>
      <c r="G26" s="662"/>
      <c r="H26" s="687"/>
      <c r="I26" s="672"/>
      <c r="J26" s="661"/>
    </row>
    <row r="27" spans="1:10" ht="14" thickBot="1">
      <c r="A27" s="681"/>
      <c r="B27" s="688" t="s">
        <v>1200</v>
      </c>
      <c r="C27" s="662"/>
      <c r="D27" s="673">
        <f>[113]f!D27</f>
        <v>16636.2</v>
      </c>
      <c r="E27" s="674">
        <f>[113]f!E27</f>
        <v>16723.699999999997</v>
      </c>
      <c r="F27" s="673">
        <f>[113]f!F27</f>
        <v>17388.900000000001</v>
      </c>
      <c r="G27" s="674">
        <f>[113]f!G27</f>
        <v>17614.100000000002</v>
      </c>
      <c r="H27" s="673">
        <f>[113]f!H27</f>
        <v>18605.8</v>
      </c>
      <c r="I27" s="675">
        <f>[113]f!I27</f>
        <v>5.6301485741536483E-2</v>
      </c>
      <c r="J27" s="661"/>
    </row>
    <row r="28" spans="1:10" ht="14" thickBot="1">
      <c r="A28" s="681"/>
      <c r="B28" s="662"/>
      <c r="C28" s="663" t="s">
        <v>183</v>
      </c>
      <c r="D28" s="689">
        <f>[113]f!D28</f>
        <v>11739.7</v>
      </c>
      <c r="E28" s="690">
        <f>[113]f!E28</f>
        <v>12260.3</v>
      </c>
      <c r="F28" s="689">
        <f>[113]f!F28</f>
        <v>12798.7</v>
      </c>
      <c r="G28" s="690">
        <f>[113]f!G28</f>
        <v>13282.2</v>
      </c>
      <c r="H28" s="689">
        <f>[113]f!H28</f>
        <v>14059.1</v>
      </c>
      <c r="I28" s="691">
        <f>[113]f!I28</f>
        <v>5.8491816114800255E-2</v>
      </c>
      <c r="J28" s="661"/>
    </row>
    <row r="29" spans="1:10" ht="14" thickBot="1">
      <c r="A29" s="681"/>
      <c r="B29" s="662"/>
      <c r="C29" s="663" t="s">
        <v>197</v>
      </c>
      <c r="D29" s="689">
        <f>[113]f!D29</f>
        <v>4375.2</v>
      </c>
      <c r="E29" s="690">
        <f>[113]f!E29</f>
        <v>3892.3</v>
      </c>
      <c r="F29" s="689">
        <f>[113]f!F29</f>
        <v>4038.2</v>
      </c>
      <c r="G29" s="690">
        <f>[113]f!G29</f>
        <v>3415.2</v>
      </c>
      <c r="H29" s="689">
        <f>[113]f!H29</f>
        <v>2646.1</v>
      </c>
      <c r="I29" s="691">
        <f>[113]f!I29</f>
        <v>-0.22519910986179437</v>
      </c>
      <c r="J29" s="661"/>
    </row>
    <row r="30" spans="1:10" ht="14" thickBot="1">
      <c r="A30" s="681"/>
      <c r="B30" s="662"/>
      <c r="C30" s="663" t="s">
        <v>1194</v>
      </c>
      <c r="D30" s="689">
        <f>[113]f!D30</f>
        <v>521.29999999999995</v>
      </c>
      <c r="E30" s="690">
        <f>[113]f!E30</f>
        <v>571.1</v>
      </c>
      <c r="F30" s="689">
        <f>[113]f!F30</f>
        <v>552</v>
      </c>
      <c r="G30" s="690">
        <f>[113]f!G30</f>
        <v>916.7</v>
      </c>
      <c r="H30" s="689">
        <f>[113]f!H30</f>
        <v>1900.6</v>
      </c>
      <c r="I30" s="691">
        <f>[113]f!I30</f>
        <v>1.0733064252209008</v>
      </c>
      <c r="J30" s="661"/>
    </row>
    <row r="31" spans="1:10" ht="14" thickBot="1">
      <c r="A31" s="681"/>
      <c r="B31" s="662"/>
      <c r="C31" s="663"/>
      <c r="D31" s="692"/>
      <c r="E31" s="693"/>
      <c r="F31" s="692"/>
      <c r="G31" s="693"/>
      <c r="H31" s="692"/>
      <c r="I31" s="694"/>
      <c r="J31" s="661"/>
    </row>
    <row r="32" spans="1:10" ht="14" thickBot="1">
      <c r="A32" s="681"/>
      <c r="B32" s="662" t="s">
        <v>1201</v>
      </c>
      <c r="C32" s="662"/>
      <c r="D32" s="695">
        <f>[113]f!D32</f>
        <v>1770.8</v>
      </c>
      <c r="E32" s="696">
        <f>[113]f!E32</f>
        <v>1884.4</v>
      </c>
      <c r="F32" s="695">
        <f>[113]f!F32</f>
        <v>2155</v>
      </c>
      <c r="G32" s="696">
        <f>[113]f!G32</f>
        <v>2249.6</v>
      </c>
      <c r="H32" s="695">
        <f>[113]f!H32</f>
        <v>2343.1</v>
      </c>
      <c r="I32" s="697">
        <f>[113]f!I32</f>
        <v>4.1562944523470868E-2</v>
      </c>
      <c r="J32" s="661"/>
    </row>
    <row r="33" spans="1:10" ht="14" thickBot="1">
      <c r="A33" s="681"/>
      <c r="B33" s="662"/>
      <c r="C33" s="663" t="s">
        <v>183</v>
      </c>
      <c r="D33" s="698">
        <f>[113]f!D33</f>
        <v>1678.5</v>
      </c>
      <c r="E33" s="699">
        <f>[113]f!E33</f>
        <v>1778</v>
      </c>
      <c r="F33" s="698">
        <f>[113]f!F33</f>
        <v>2097.1999999999998</v>
      </c>
      <c r="G33" s="699">
        <f>[113]f!G33</f>
        <v>2189.9</v>
      </c>
      <c r="H33" s="698">
        <f>[113]f!H33</f>
        <v>2288</v>
      </c>
      <c r="I33" s="700">
        <f>[113]f!I33</f>
        <v>4.4796566053244335E-2</v>
      </c>
      <c r="J33" s="661"/>
    </row>
    <row r="34" spans="1:10" ht="14" thickBot="1">
      <c r="A34" s="681"/>
      <c r="B34" s="662"/>
      <c r="C34" s="663" t="s">
        <v>197</v>
      </c>
      <c r="D34" s="698">
        <f>[113]f!D34</f>
        <v>92.3</v>
      </c>
      <c r="E34" s="699">
        <f>[113]f!E34</f>
        <v>106.4</v>
      </c>
      <c r="F34" s="698">
        <f>[113]f!F34</f>
        <v>57.8</v>
      </c>
      <c r="G34" s="699">
        <f>[113]f!G34</f>
        <v>59.7</v>
      </c>
      <c r="H34" s="698">
        <f>[113]f!H34</f>
        <v>55.1</v>
      </c>
      <c r="I34" s="700">
        <f>[113]f!I34</f>
        <v>-7.7051926298157492E-2</v>
      </c>
      <c r="J34" s="661"/>
    </row>
    <row r="35" spans="1:10" ht="14" thickBot="1">
      <c r="A35" s="681"/>
      <c r="B35" s="662"/>
      <c r="C35" s="663" t="s">
        <v>1194</v>
      </c>
      <c r="D35" s="698">
        <f>[113]f!D35</f>
        <v>0</v>
      </c>
      <c r="E35" s="699">
        <f>[113]f!E35</f>
        <v>0</v>
      </c>
      <c r="F35" s="698">
        <f>[113]f!F35</f>
        <v>0</v>
      </c>
      <c r="G35" s="699">
        <f>[113]f!G35</f>
        <v>0</v>
      </c>
      <c r="H35" s="698">
        <f>[113]f!H35</f>
        <v>0</v>
      </c>
      <c r="I35" s="700" t="str">
        <f>[113]f!I35</f>
        <v>-</v>
      </c>
      <c r="J35" s="680"/>
    </row>
    <row r="36" spans="1:10" ht="14" thickBot="1">
      <c r="A36" s="681"/>
      <c r="B36" s="662"/>
      <c r="C36" s="663"/>
      <c r="D36" s="692"/>
      <c r="E36" s="693"/>
      <c r="F36" s="692"/>
      <c r="G36" s="693"/>
      <c r="H36" s="692"/>
      <c r="I36" s="694"/>
      <c r="J36" s="661"/>
    </row>
    <row r="37" spans="1:10" ht="14" thickBot="1">
      <c r="A37" s="681"/>
      <c r="B37" s="688" t="s">
        <v>1202</v>
      </c>
      <c r="C37" s="662"/>
      <c r="D37" s="701">
        <f>[113]f!D37</f>
        <v>18407</v>
      </c>
      <c r="E37" s="702">
        <f>[113]f!E37</f>
        <v>18608.099999999999</v>
      </c>
      <c r="F37" s="701">
        <f>[113]f!F37</f>
        <v>19543.900000000001</v>
      </c>
      <c r="G37" s="702">
        <f>[113]f!G37</f>
        <v>19863.7</v>
      </c>
      <c r="H37" s="701">
        <f>[113]f!H37</f>
        <v>20948.899999999998</v>
      </c>
      <c r="I37" s="703">
        <f>[113]f!I37</f>
        <v>5.4632319255727646E-2</v>
      </c>
      <c r="J37" s="661"/>
    </row>
    <row r="38" spans="1:10" ht="14" thickBot="1">
      <c r="A38" s="681"/>
      <c r="B38" s="662"/>
      <c r="C38" s="663" t="s">
        <v>183</v>
      </c>
      <c r="D38" s="704">
        <f>[113]f!D38</f>
        <v>13418.2</v>
      </c>
      <c r="E38" s="705">
        <f>[113]f!E38</f>
        <v>14038.3</v>
      </c>
      <c r="F38" s="704">
        <f>[113]f!F38</f>
        <v>14895.900000000001</v>
      </c>
      <c r="G38" s="705">
        <f>[113]f!G38</f>
        <v>15472.1</v>
      </c>
      <c r="H38" s="704">
        <f>[113]f!H38</f>
        <v>16347.1</v>
      </c>
      <c r="I38" s="706">
        <f>[113]f!I38</f>
        <v>5.6553409039496794E-2</v>
      </c>
      <c r="J38" s="661"/>
    </row>
    <row r="39" spans="1:10" ht="14" thickBot="1">
      <c r="A39" s="681"/>
      <c r="B39" s="662"/>
      <c r="C39" s="663" t="s">
        <v>197</v>
      </c>
      <c r="D39" s="704">
        <f>[113]f!D39</f>
        <v>4467.5</v>
      </c>
      <c r="E39" s="705">
        <f>[113]f!E39</f>
        <v>3998.7000000000003</v>
      </c>
      <c r="F39" s="704">
        <f>[113]f!F39</f>
        <v>4096</v>
      </c>
      <c r="G39" s="705">
        <f>[113]f!G39</f>
        <v>3474.8999999999996</v>
      </c>
      <c r="H39" s="704">
        <f>[113]f!H39</f>
        <v>2701.2</v>
      </c>
      <c r="I39" s="706">
        <f>[113]f!I39</f>
        <v>-0.22265388932055596</v>
      </c>
      <c r="J39" s="661"/>
    </row>
    <row r="40" spans="1:10">
      <c r="A40" s="681"/>
      <c r="B40" s="707"/>
      <c r="C40" s="708" t="s">
        <v>1194</v>
      </c>
      <c r="D40" s="709">
        <f>[113]f!D40</f>
        <v>521.29999999999995</v>
      </c>
      <c r="E40" s="710">
        <f>[113]f!E40</f>
        <v>571.1</v>
      </c>
      <c r="F40" s="709">
        <f>[113]f!F40</f>
        <v>552</v>
      </c>
      <c r="G40" s="710">
        <f>[113]f!G40</f>
        <v>916.7</v>
      </c>
      <c r="H40" s="709">
        <f>[113]f!H40</f>
        <v>1900.6</v>
      </c>
      <c r="I40" s="711">
        <f>[113]f!I40</f>
        <v>1.0733064252209008</v>
      </c>
      <c r="J40" s="661"/>
    </row>
    <row r="41" spans="1:10">
      <c r="B41" s="712"/>
      <c r="C41" s="713"/>
      <c r="D41" s="714"/>
      <c r="E41" s="714"/>
      <c r="F41" s="714"/>
      <c r="G41" s="714"/>
      <c r="H41" s="714"/>
      <c r="I41" s="715"/>
      <c r="J41" s="661"/>
    </row>
    <row r="42" spans="1:10">
      <c r="C42" s="716"/>
      <c r="D42" s="717"/>
      <c r="E42" s="717"/>
      <c r="F42" s="717"/>
      <c r="G42" s="717"/>
      <c r="H42" s="717"/>
      <c r="I42" s="718"/>
      <c r="J42" s="661"/>
    </row>
    <row r="43" spans="1:10" ht="13.5" customHeight="1" thickBot="1">
      <c r="A43" s="869" t="s">
        <v>1123</v>
      </c>
      <c r="B43" s="719" t="s">
        <v>1203</v>
      </c>
      <c r="C43" s="657"/>
      <c r="D43" s="720">
        <f>[113]f!D43</f>
        <v>16013.1</v>
      </c>
      <c r="E43" s="721">
        <f>[113]f!E43</f>
        <v>16937.3</v>
      </c>
      <c r="F43" s="720">
        <f>[113]f!F43</f>
        <v>17695.3</v>
      </c>
      <c r="G43" s="721">
        <f>[113]f!G43</f>
        <v>17814.400000000001</v>
      </c>
      <c r="H43" s="720">
        <f>[113]f!H43</f>
        <v>18506.971013000002</v>
      </c>
      <c r="I43" s="722">
        <f>[113]f!I43</f>
        <v>3.8877032793694921E-2</v>
      </c>
      <c r="J43" s="661"/>
    </row>
    <row r="44" spans="1:10" ht="14" thickBot="1">
      <c r="A44" s="870"/>
      <c r="B44" s="662"/>
      <c r="C44" s="663" t="s">
        <v>183</v>
      </c>
      <c r="D44" s="698">
        <f>[113]f!D44</f>
        <v>11035.2</v>
      </c>
      <c r="E44" s="699">
        <f>[113]f!E44</f>
        <v>11924.8</v>
      </c>
      <c r="F44" s="698">
        <f>[113]f!F44</f>
        <v>12604.2</v>
      </c>
      <c r="G44" s="699">
        <f>[113]f!G44</f>
        <v>12949.5</v>
      </c>
      <c r="H44" s="698">
        <f>[113]f!H44</f>
        <v>13346.689</v>
      </c>
      <c r="I44" s="700">
        <f>[113]f!I44</f>
        <v>3.0672149503841784E-2</v>
      </c>
      <c r="J44" s="661"/>
    </row>
    <row r="45" spans="1:10" ht="14" thickBot="1">
      <c r="A45" s="870"/>
      <c r="B45" s="662"/>
      <c r="C45" s="663" t="s">
        <v>197</v>
      </c>
      <c r="D45" s="698">
        <f>[113]f!D45</f>
        <v>4337.5</v>
      </c>
      <c r="E45" s="699">
        <f>[113]f!E45</f>
        <v>4410.6000000000004</v>
      </c>
      <c r="F45" s="698">
        <f>[113]f!F45</f>
        <v>4453.3</v>
      </c>
      <c r="G45" s="699">
        <f>[113]f!G45</f>
        <v>3766.7</v>
      </c>
      <c r="H45" s="698">
        <f>[113]f!H45</f>
        <v>2917.3519609999998</v>
      </c>
      <c r="I45" s="700">
        <f>[113]f!I45</f>
        <v>-0.22548863434836863</v>
      </c>
      <c r="J45" s="661"/>
    </row>
    <row r="46" spans="1:10" ht="14" thickBot="1">
      <c r="A46" s="870"/>
      <c r="B46" s="662"/>
      <c r="C46" s="663" t="s">
        <v>1194</v>
      </c>
      <c r="D46" s="698">
        <f>[113]f!D46</f>
        <v>640.4</v>
      </c>
      <c r="E46" s="699">
        <f>[113]f!E46</f>
        <v>601.9</v>
      </c>
      <c r="F46" s="698">
        <f>[113]f!F46</f>
        <v>637.79999999999995</v>
      </c>
      <c r="G46" s="699">
        <f>[113]f!G46</f>
        <v>1098.2</v>
      </c>
      <c r="H46" s="698">
        <f>[113]f!H46</f>
        <v>2242.9300519999997</v>
      </c>
      <c r="I46" s="700">
        <f>[113]f!I46</f>
        <v>1.0423693789837913</v>
      </c>
      <c r="J46" s="661"/>
    </row>
    <row r="47" spans="1:10" ht="14" thickBot="1">
      <c r="A47" s="870"/>
      <c r="B47" s="662"/>
      <c r="C47" s="663"/>
      <c r="D47" s="698"/>
      <c r="E47" s="699"/>
      <c r="F47" s="698"/>
      <c r="G47" s="699"/>
      <c r="H47" s="698"/>
      <c r="I47" s="700"/>
      <c r="J47" s="661"/>
    </row>
    <row r="48" spans="1:10" ht="14" thickBot="1">
      <c r="A48" s="870"/>
      <c r="B48" s="688" t="s">
        <v>1201</v>
      </c>
      <c r="C48" s="662"/>
      <c r="D48" s="695">
        <f>[113]f!D48</f>
        <v>1770.8</v>
      </c>
      <c r="E48" s="696">
        <f>[113]f!E48</f>
        <v>1884.4</v>
      </c>
      <c r="F48" s="695">
        <f>[113]f!F48</f>
        <v>2155</v>
      </c>
      <c r="G48" s="696">
        <f>[113]f!G48</f>
        <v>2249.6</v>
      </c>
      <c r="H48" s="695">
        <f>[113]f!H48</f>
        <v>2343.1</v>
      </c>
      <c r="I48" s="697">
        <f>[113]f!I48</f>
        <v>4.1562944523470868E-2</v>
      </c>
      <c r="J48" s="661"/>
    </row>
    <row r="49" spans="1:10" ht="14" thickBot="1">
      <c r="A49" s="870"/>
      <c r="B49" s="662"/>
      <c r="C49" s="663" t="s">
        <v>183</v>
      </c>
      <c r="D49" s="698">
        <f>[113]f!D49</f>
        <v>1678.5</v>
      </c>
      <c r="E49" s="699">
        <f>[113]f!E49</f>
        <v>1778</v>
      </c>
      <c r="F49" s="698">
        <f>[113]f!F49</f>
        <v>2097.1999999999998</v>
      </c>
      <c r="G49" s="699">
        <f>[113]f!G49</f>
        <v>2189.9</v>
      </c>
      <c r="H49" s="698">
        <f>[113]f!H49</f>
        <v>2288</v>
      </c>
      <c r="I49" s="700">
        <f>[113]f!I49</f>
        <v>4.4796566053244335E-2</v>
      </c>
      <c r="J49" s="661"/>
    </row>
    <row r="50" spans="1:10" ht="14" thickBot="1">
      <c r="A50" s="870"/>
      <c r="B50" s="662"/>
      <c r="C50" s="663" t="s">
        <v>197</v>
      </c>
      <c r="D50" s="698">
        <f>[113]f!D50</f>
        <v>92.3</v>
      </c>
      <c r="E50" s="699">
        <f>[113]f!E50</f>
        <v>106.4</v>
      </c>
      <c r="F50" s="698">
        <f>[113]f!F50</f>
        <v>57.8</v>
      </c>
      <c r="G50" s="699">
        <f>[113]f!G50</f>
        <v>59.7</v>
      </c>
      <c r="H50" s="698">
        <f>[113]f!H50</f>
        <v>55.1</v>
      </c>
      <c r="I50" s="700">
        <f>[113]f!I50</f>
        <v>-7.7051926298157492E-2</v>
      </c>
      <c r="J50" s="661"/>
    </row>
    <row r="51" spans="1:10" ht="14" thickBot="1">
      <c r="A51" s="870"/>
      <c r="B51" s="662"/>
      <c r="C51" s="663" t="s">
        <v>1194</v>
      </c>
      <c r="D51" s="698">
        <f>[113]f!D51</f>
        <v>0</v>
      </c>
      <c r="E51" s="699">
        <f>[113]f!E51</f>
        <v>0</v>
      </c>
      <c r="F51" s="698">
        <f>[113]f!F51</f>
        <v>0</v>
      </c>
      <c r="G51" s="699">
        <f>[113]f!G51</f>
        <v>0</v>
      </c>
      <c r="H51" s="698">
        <f>[113]f!H51</f>
        <v>0</v>
      </c>
      <c r="I51" s="700" t="str">
        <f>[113]f!I51</f>
        <v>-</v>
      </c>
      <c r="J51" s="680"/>
    </row>
    <row r="52" spans="1:10" ht="14" thickBot="1">
      <c r="A52" s="723"/>
      <c r="B52" s="662"/>
      <c r="C52" s="662"/>
      <c r="D52" s="670"/>
      <c r="E52" s="671"/>
      <c r="F52" s="670"/>
      <c r="G52" s="671"/>
      <c r="H52" s="670"/>
      <c r="I52" s="672"/>
      <c r="J52" s="661"/>
    </row>
    <row r="53" spans="1:10" ht="14" thickBot="1">
      <c r="A53" s="723"/>
      <c r="B53" s="662" t="s">
        <v>1204</v>
      </c>
      <c r="C53" s="662"/>
      <c r="D53" s="701">
        <f>[113]f!D53</f>
        <v>17783.900000000001</v>
      </c>
      <c r="E53" s="702">
        <f>[113]f!E53</f>
        <v>18821.7</v>
      </c>
      <c r="F53" s="701">
        <f>[113]f!F53</f>
        <v>19850.3</v>
      </c>
      <c r="G53" s="702">
        <f>[113]f!G53</f>
        <v>20064</v>
      </c>
      <c r="H53" s="701">
        <f>[113]f!H53</f>
        <v>20850.071013000001</v>
      </c>
      <c r="I53" s="703">
        <f>[113]f!I53</f>
        <v>3.9178180472488E-2</v>
      </c>
      <c r="J53" s="661"/>
    </row>
    <row r="54" spans="1:10" ht="14" thickBot="1">
      <c r="A54" s="723"/>
      <c r="B54" s="662"/>
      <c r="C54" s="663" t="s">
        <v>183</v>
      </c>
      <c r="D54" s="704">
        <f>[113]f!D54</f>
        <v>12713.7</v>
      </c>
      <c r="E54" s="705">
        <f>[113]f!E54</f>
        <v>13702.8</v>
      </c>
      <c r="F54" s="704">
        <f>[113]f!F54</f>
        <v>14701.400000000001</v>
      </c>
      <c r="G54" s="705">
        <f>[113]f!G54</f>
        <v>15139.4</v>
      </c>
      <c r="H54" s="704">
        <f>[113]f!H54</f>
        <v>15634.689</v>
      </c>
      <c r="I54" s="706">
        <f>[113]f!I54</f>
        <v>3.2715233100387042E-2</v>
      </c>
      <c r="J54" s="661"/>
    </row>
    <row r="55" spans="1:10" ht="14" thickBot="1">
      <c r="A55" s="723"/>
      <c r="B55" s="662"/>
      <c r="C55" s="663" t="s">
        <v>197</v>
      </c>
      <c r="D55" s="704">
        <f>[113]f!D55</f>
        <v>4429.8</v>
      </c>
      <c r="E55" s="705">
        <f>[113]f!E55</f>
        <v>4517</v>
      </c>
      <c r="F55" s="704">
        <f>[113]f!F55</f>
        <v>4511.1000000000004</v>
      </c>
      <c r="G55" s="705">
        <f>[113]f!G55</f>
        <v>3826.3999999999996</v>
      </c>
      <c r="H55" s="704">
        <f>[113]f!H55</f>
        <v>2972.4519609999998</v>
      </c>
      <c r="I55" s="706">
        <f>[113]f!I55</f>
        <v>-0.22317270515366927</v>
      </c>
      <c r="J55" s="661"/>
    </row>
    <row r="56" spans="1:10">
      <c r="A56" s="723"/>
      <c r="B56" s="707"/>
      <c r="C56" s="708" t="s">
        <v>1194</v>
      </c>
      <c r="D56" s="709">
        <f>[113]f!D56</f>
        <v>640.4</v>
      </c>
      <c r="E56" s="710">
        <f>[113]f!E56</f>
        <v>601.9</v>
      </c>
      <c r="F56" s="709">
        <f>[113]f!F56</f>
        <v>637.79999999999995</v>
      </c>
      <c r="G56" s="710">
        <f>[113]f!G56</f>
        <v>1098.2</v>
      </c>
      <c r="H56" s="709">
        <f>[113]f!H56</f>
        <v>2242.9300519999997</v>
      </c>
      <c r="I56" s="711">
        <f>[113]f!I56</f>
        <v>1.0423693789837913</v>
      </c>
      <c r="J56" s="661"/>
    </row>
    <row r="57" spans="1:10">
      <c r="B57" s="712"/>
      <c r="C57" s="713"/>
      <c r="D57" s="714"/>
      <c r="E57" s="714"/>
      <c r="F57" s="714"/>
      <c r="G57" s="714"/>
      <c r="H57" s="714"/>
      <c r="I57" s="715"/>
      <c r="J57" s="661"/>
    </row>
    <row r="58" spans="1:10" ht="10.5" customHeight="1">
      <c r="D58" s="724"/>
      <c r="E58" s="724"/>
      <c r="F58" s="724"/>
      <c r="G58" s="724"/>
      <c r="H58" s="724"/>
      <c r="I58" s="725"/>
      <c r="J58" s="661"/>
    </row>
    <row r="59" spans="1:10" ht="14" thickBot="1">
      <c r="B59" s="719" t="s">
        <v>1205</v>
      </c>
      <c r="C59" s="657"/>
      <c r="D59" s="726">
        <f>[113]f!D59</f>
        <v>623.10000000000036</v>
      </c>
      <c r="E59" s="727">
        <f>[113]f!E59</f>
        <v>-213.60000000000218</v>
      </c>
      <c r="F59" s="726">
        <f>[113]f!F59</f>
        <v>-306.39999999999782</v>
      </c>
      <c r="G59" s="727">
        <f>[113]f!G59</f>
        <v>-200.29999999999927</v>
      </c>
      <c r="H59" s="726">
        <f>[113]f!H59</f>
        <v>98.828986999997142</v>
      </c>
      <c r="I59" s="728">
        <f>[113]f!I59</f>
        <v>1.49340482775835</v>
      </c>
      <c r="J59" s="661"/>
    </row>
    <row r="60" spans="1:10" ht="14" thickBot="1">
      <c r="B60" s="662"/>
      <c r="C60" s="663" t="s">
        <v>183</v>
      </c>
      <c r="D60" s="673">
        <f>[113]f!D60</f>
        <v>704.5</v>
      </c>
      <c r="E60" s="674">
        <f>[113]f!E60</f>
        <v>335.5</v>
      </c>
      <c r="F60" s="673">
        <f>[113]f!F60</f>
        <v>194.5</v>
      </c>
      <c r="G60" s="674">
        <f>[113]f!G60</f>
        <v>332.70000000000073</v>
      </c>
      <c r="H60" s="673">
        <f>[113]f!H60</f>
        <v>712.41100000000006</v>
      </c>
      <c r="I60" s="675">
        <f>[113]f!I60</f>
        <v>1.1413014727983124</v>
      </c>
      <c r="J60" s="661"/>
    </row>
    <row r="61" spans="1:10" ht="14" thickBot="1">
      <c r="B61" s="662"/>
      <c r="C61" s="663" t="s">
        <v>197</v>
      </c>
      <c r="D61" s="673">
        <f>[113]f!D61</f>
        <v>37.699999999999818</v>
      </c>
      <c r="E61" s="674">
        <f>[113]f!E61</f>
        <v>-518.30000000000018</v>
      </c>
      <c r="F61" s="673">
        <f>[113]f!F61</f>
        <v>-415.10000000000036</v>
      </c>
      <c r="G61" s="674">
        <f>[113]f!G61</f>
        <v>-351.5</v>
      </c>
      <c r="H61" s="673">
        <f>[113]f!H61</f>
        <v>-271.25196099999994</v>
      </c>
      <c r="I61" s="675">
        <f>[113]f!I61</f>
        <v>0.22830167567567583</v>
      </c>
      <c r="J61" s="661"/>
    </row>
    <row r="62" spans="1:10">
      <c r="B62" s="707"/>
      <c r="C62" s="708" t="s">
        <v>1194</v>
      </c>
      <c r="D62" s="729">
        <f>[113]f!D62</f>
        <v>-119.10000000000002</v>
      </c>
      <c r="E62" s="730">
        <f>[113]f!E62</f>
        <v>-30.799999999999955</v>
      </c>
      <c r="F62" s="729">
        <f>[113]f!F62</f>
        <v>-85.799999999999955</v>
      </c>
      <c r="G62" s="730">
        <f>[113]f!G62</f>
        <v>-181.5</v>
      </c>
      <c r="H62" s="729">
        <f>[113]f!H62</f>
        <v>-342.3300519999998</v>
      </c>
      <c r="I62" s="731">
        <f>[113]f!I62</f>
        <v>-0.88611598898071509</v>
      </c>
      <c r="J62" s="661"/>
    </row>
    <row r="63" spans="1:10" ht="11.25" customHeight="1" thickBot="1">
      <c r="B63" s="641"/>
      <c r="C63" s="641"/>
      <c r="D63" s="732"/>
      <c r="E63" s="732"/>
      <c r="F63" s="732"/>
      <c r="G63" s="732"/>
      <c r="H63" s="732"/>
      <c r="I63" s="641"/>
    </row>
    <row r="64" spans="1:10" ht="9" customHeight="1"/>
    <row r="65" spans="3:3" ht="12" customHeight="1">
      <c r="C65" s="733" t="s">
        <v>202</v>
      </c>
    </row>
    <row r="66" spans="3:3" ht="9" customHeight="1"/>
    <row r="67" spans="3:3">
      <c r="C67" s="733" t="s">
        <v>1206</v>
      </c>
    </row>
    <row r="68" spans="3:3">
      <c r="C68" s="733" t="s">
        <v>1207</v>
      </c>
    </row>
    <row r="69" spans="3:3">
      <c r="C69" s="733" t="s">
        <v>1208</v>
      </c>
    </row>
    <row r="70" spans="3:3">
      <c r="C70" s="733" t="s">
        <v>1209</v>
      </c>
    </row>
    <row r="71" spans="3:3">
      <c r="C71" s="733" t="s">
        <v>1210</v>
      </c>
    </row>
    <row r="72" spans="3:3">
      <c r="C72" s="734" t="s">
        <v>1211</v>
      </c>
    </row>
    <row r="73" spans="3:3">
      <c r="C73" s="734" t="s">
        <v>1212</v>
      </c>
    </row>
    <row r="74" spans="3:3">
      <c r="C74" s="734" t="s">
        <v>1213</v>
      </c>
    </row>
    <row r="75" spans="3:3">
      <c r="C75" s="733" t="s">
        <v>1214</v>
      </c>
    </row>
    <row r="76" spans="3:3" ht="13.5" customHeight="1">
      <c r="C76" s="733" t="s">
        <v>1215</v>
      </c>
    </row>
    <row r="77" spans="3:3">
      <c r="C77" s="734" t="s">
        <v>1216</v>
      </c>
    </row>
    <row r="78" spans="3:3" ht="14.25" customHeight="1">
      <c r="C78" s="734" t="s">
        <v>1217</v>
      </c>
    </row>
    <row r="79" spans="3:3" ht="12.75" customHeight="1">
      <c r="C79" s="733" t="s">
        <v>1218</v>
      </c>
    </row>
    <row r="80" spans="3:3">
      <c r="C80" s="733" t="s">
        <v>1219</v>
      </c>
    </row>
    <row r="82" spans="3:3">
      <c r="C82" s="735"/>
    </row>
    <row r="83" spans="3:3">
      <c r="C83" s="736"/>
    </row>
    <row r="84" spans="3:3">
      <c r="C84" s="737"/>
    </row>
    <row r="85" spans="3:3">
      <c r="C85" s="738"/>
    </row>
  </sheetData>
  <mergeCells count="2">
    <mergeCell ref="A7:A15"/>
    <mergeCell ref="A43:A51"/>
  </mergeCells>
  <phoneticPr fontId="26" type="noConversion"/>
  <pageMargins left="0.57999999999999996" right="0.41" top="0.57999999999999996" bottom="0.33" header="0.2" footer="0.14000000000000001"/>
  <pageSetup paperSize="9" scale="70" orientation="portrait"/>
  <headerFooter alignWithMargins="0">
    <oddHeader>&amp;L&amp;"Helvetica,Bold"&amp;14Zusatzinformationen zum Gesundheitswesen</oddHeader>
    <oddFooter>&amp;LStatistik über die Krankenversicherung, Bundesamt für Sozialversicherung</odd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2C12-F390-D047-9224-B17DF77A2052}">
  <dimension ref="A1:U45"/>
  <sheetViews>
    <sheetView topLeftCell="A44" zoomScale="75" workbookViewId="0">
      <selection activeCell="V40" sqref="V40"/>
    </sheetView>
  </sheetViews>
  <sheetFormatPr baseColWidth="10" defaultColWidth="11.3984375" defaultRowHeight="13"/>
  <cols>
    <col min="1" max="1" width="8.19921875" style="7" customWidth="1"/>
    <col min="2" max="10" width="11" style="227" customWidth="1"/>
    <col min="11" max="11" width="11.3984375" style="7"/>
    <col min="12" max="12" width="8.796875" style="7" hidden="1" customWidth="1"/>
    <col min="13" max="21" width="9.796875" style="227" hidden="1" customWidth="1"/>
    <col min="22" max="16384" width="11.3984375" style="7"/>
  </cols>
  <sheetData>
    <row r="1" spans="1:21" s="1" customFormat="1" ht="14" customHeight="1">
      <c r="A1" s="163"/>
      <c r="B1" s="220"/>
      <c r="C1" s="220"/>
      <c r="D1" s="220"/>
      <c r="E1" s="220"/>
      <c r="F1" s="220"/>
      <c r="G1" s="220"/>
      <c r="H1" s="220"/>
      <c r="I1" s="220"/>
      <c r="J1" s="220"/>
      <c r="M1" s="269"/>
      <c r="N1" s="269"/>
      <c r="O1" s="269"/>
      <c r="P1" s="269"/>
      <c r="Q1" s="269"/>
      <c r="R1" s="269"/>
      <c r="S1" s="269"/>
      <c r="T1" s="269"/>
      <c r="U1" s="269"/>
    </row>
    <row r="2" spans="1:21" s="1" customFormat="1" ht="27" customHeight="1">
      <c r="A2" s="164" t="str">
        <f>"T 9.09  Wohnbevölkerung, Aerzte mit Praxistätigkeit und Apotheken nach Kantonen "&amp;'[106]data '!$B$2</f>
        <v>T 9.09  Wohnbevölkerung, Aerzte mit Praxistätigkeit und Apotheken nach Kantonen 2001</v>
      </c>
      <c r="B2" s="220"/>
      <c r="C2" s="220"/>
      <c r="D2" s="220"/>
      <c r="E2" s="220"/>
      <c r="F2" s="220"/>
      <c r="G2" s="220"/>
      <c r="H2" s="220"/>
      <c r="I2" s="220"/>
      <c r="J2" s="220"/>
      <c r="L2" s="2" t="s">
        <v>965</v>
      </c>
      <c r="M2" s="269"/>
      <c r="N2" s="269"/>
      <c r="O2" s="269"/>
      <c r="P2" s="269"/>
      <c r="Q2" s="269"/>
      <c r="R2" s="269"/>
      <c r="S2" s="269"/>
      <c r="T2" s="269"/>
      <c r="U2" s="269"/>
    </row>
    <row r="3" spans="1:21" ht="27" customHeight="1">
      <c r="A3" s="41" t="s">
        <v>537</v>
      </c>
      <c r="B3" s="6" t="s">
        <v>1181</v>
      </c>
      <c r="C3" s="42" t="s">
        <v>966</v>
      </c>
      <c r="D3" s="6" t="s">
        <v>966</v>
      </c>
      <c r="E3" s="42" t="s">
        <v>514</v>
      </c>
      <c r="F3" s="6" t="s">
        <v>988</v>
      </c>
      <c r="G3" s="42" t="s">
        <v>1049</v>
      </c>
      <c r="H3" s="6" t="s">
        <v>574</v>
      </c>
      <c r="I3" s="42" t="s">
        <v>989</v>
      </c>
      <c r="J3" s="6" t="s">
        <v>1049</v>
      </c>
      <c r="L3" s="41" t="s">
        <v>537</v>
      </c>
      <c r="M3" s="6" t="s">
        <v>1181</v>
      </c>
      <c r="N3" s="42" t="s">
        <v>966</v>
      </c>
      <c r="O3" s="6" t="s">
        <v>966</v>
      </c>
      <c r="P3" s="42" t="s">
        <v>514</v>
      </c>
      <c r="Q3" s="6" t="s">
        <v>522</v>
      </c>
      <c r="R3" s="42" t="s">
        <v>988</v>
      </c>
      <c r="S3" s="6" t="s">
        <v>574</v>
      </c>
      <c r="T3" s="42" t="s">
        <v>522</v>
      </c>
      <c r="U3" s="6" t="s">
        <v>989</v>
      </c>
    </row>
    <row r="4" spans="1:21" ht="15" customHeight="1">
      <c r="A4" s="43"/>
      <c r="B4" s="170" t="s">
        <v>990</v>
      </c>
      <c r="C4" s="44" t="s">
        <v>991</v>
      </c>
      <c r="D4" s="12" t="s">
        <v>992</v>
      </c>
      <c r="E4" s="221" t="s">
        <v>993</v>
      </c>
      <c r="F4" s="12" t="s">
        <v>1050</v>
      </c>
      <c r="G4" s="44" t="s">
        <v>523</v>
      </c>
      <c r="H4" s="12" t="s">
        <v>994</v>
      </c>
      <c r="I4" s="44" t="s">
        <v>995</v>
      </c>
      <c r="J4" s="12" t="s">
        <v>523</v>
      </c>
      <c r="L4" s="43"/>
      <c r="M4" s="170" t="s">
        <v>990</v>
      </c>
      <c r="N4" s="44" t="s">
        <v>991</v>
      </c>
      <c r="O4" s="12" t="s">
        <v>992</v>
      </c>
      <c r="P4" s="221" t="s">
        <v>993</v>
      </c>
      <c r="Q4" s="12" t="s">
        <v>523</v>
      </c>
      <c r="R4" s="44" t="s">
        <v>1051</v>
      </c>
      <c r="S4" s="12" t="s">
        <v>994</v>
      </c>
      <c r="T4" s="44" t="s">
        <v>523</v>
      </c>
      <c r="U4" s="12" t="s">
        <v>995</v>
      </c>
    </row>
    <row r="5" spans="1:21" ht="15" hidden="1" customHeight="1">
      <c r="A5" s="43"/>
      <c r="B5" s="170"/>
      <c r="C5" s="221" t="s">
        <v>996</v>
      </c>
      <c r="D5" s="170"/>
      <c r="E5" s="221"/>
      <c r="F5" s="12"/>
      <c r="G5" s="221"/>
      <c r="H5" s="12" t="s">
        <v>1000</v>
      </c>
      <c r="I5" s="221"/>
      <c r="J5" s="12"/>
      <c r="L5" s="43"/>
      <c r="M5" s="170"/>
      <c r="N5" s="44" t="s">
        <v>996</v>
      </c>
      <c r="O5" s="12"/>
      <c r="P5" s="221"/>
      <c r="Q5" s="12"/>
      <c r="R5" s="44"/>
      <c r="S5" s="12" t="s">
        <v>1000</v>
      </c>
      <c r="T5" s="44"/>
      <c r="U5" s="12"/>
    </row>
    <row r="6" spans="1:21" ht="15" customHeight="1">
      <c r="A6" s="43"/>
      <c r="B6" s="170" t="s">
        <v>1001</v>
      </c>
      <c r="C6" s="221" t="s">
        <v>1002</v>
      </c>
      <c r="D6" s="170" t="s">
        <v>1003</v>
      </c>
      <c r="E6" s="221" t="s">
        <v>1034</v>
      </c>
      <c r="F6" s="170"/>
      <c r="G6" s="221" t="s">
        <v>524</v>
      </c>
      <c r="H6" s="170" t="s">
        <v>1052</v>
      </c>
      <c r="I6" s="221" t="s">
        <v>1053</v>
      </c>
      <c r="J6" s="170" t="s">
        <v>524</v>
      </c>
      <c r="L6" s="43"/>
      <c r="M6" s="170" t="s">
        <v>1001</v>
      </c>
      <c r="N6" s="221" t="s">
        <v>1002</v>
      </c>
      <c r="O6" s="170" t="s">
        <v>1003</v>
      </c>
      <c r="P6" s="221" t="s">
        <v>1034</v>
      </c>
      <c r="Q6" s="170" t="s">
        <v>524</v>
      </c>
      <c r="R6" s="221"/>
      <c r="S6" s="12" t="s">
        <v>1035</v>
      </c>
      <c r="T6" s="221" t="s">
        <v>524</v>
      </c>
      <c r="U6" s="12" t="s">
        <v>1051</v>
      </c>
    </row>
    <row r="7" spans="1:21" ht="27" customHeight="1">
      <c r="A7" s="43"/>
      <c r="B7" s="170" t="s">
        <v>1054</v>
      </c>
      <c r="C7" s="221" t="s">
        <v>1055</v>
      </c>
      <c r="D7" s="170" t="s">
        <v>1056</v>
      </c>
      <c r="E7" s="221" t="s">
        <v>1057</v>
      </c>
      <c r="F7" s="170"/>
      <c r="G7" s="221"/>
      <c r="H7" s="170"/>
      <c r="I7" s="221"/>
      <c r="J7" s="170"/>
      <c r="L7" s="182"/>
      <c r="M7" s="16" t="s">
        <v>631</v>
      </c>
      <c r="N7" s="47" t="s">
        <v>1036</v>
      </c>
      <c r="O7" s="16" t="s">
        <v>1037</v>
      </c>
      <c r="P7" s="47" t="s">
        <v>1038</v>
      </c>
      <c r="Q7" s="16" t="s">
        <v>1059</v>
      </c>
      <c r="R7" s="47"/>
      <c r="S7" s="16"/>
      <c r="T7" s="47" t="s">
        <v>1059</v>
      </c>
      <c r="U7" s="16"/>
    </row>
    <row r="8" spans="1:21" ht="30" customHeight="1" thickBot="1">
      <c r="A8" s="171" t="str">
        <f>[114]f!A8</f>
        <v>ZH</v>
      </c>
      <c r="B8" s="20">
        <f>[114]f!B8</f>
        <v>1238525</v>
      </c>
      <c r="C8" s="50">
        <f>[114]f!C8</f>
        <v>934</v>
      </c>
      <c r="D8" s="20">
        <f>[114]f!D8</f>
        <v>1825</v>
      </c>
      <c r="E8" s="50">
        <f>[114]f!E8</f>
        <v>2759</v>
      </c>
      <c r="F8" s="739">
        <f>[114]f!F8</f>
        <v>2.2276498253971462</v>
      </c>
      <c r="G8" s="51">
        <f>[114]f!G8</f>
        <v>1.6675090776193446E-2</v>
      </c>
      <c r="H8" s="20">
        <f>[114]f!H8</f>
        <v>224</v>
      </c>
      <c r="I8" s="740">
        <f>[114]f!I8</f>
        <v>1.8086029753133768</v>
      </c>
      <c r="J8" s="146">
        <f>[114]f!J8</f>
        <v>-1.7558825574327752E-2</v>
      </c>
      <c r="L8" s="171" t="s">
        <v>541</v>
      </c>
      <c r="M8" s="20">
        <v>1209530</v>
      </c>
      <c r="N8" s="50">
        <v>875</v>
      </c>
      <c r="O8" s="20">
        <v>1726</v>
      </c>
      <c r="P8" s="50">
        <v>2601</v>
      </c>
      <c r="Q8" s="341"/>
      <c r="R8" s="50">
        <f t="shared" ref="R8:R34" si="0">M8/P8</f>
        <v>465.02499038831218</v>
      </c>
      <c r="S8" s="20">
        <v>223</v>
      </c>
      <c r="T8" s="340"/>
      <c r="U8" s="20">
        <f t="shared" ref="U8:U34" si="1">M8/S8</f>
        <v>5423.9013452914796</v>
      </c>
    </row>
    <row r="9" spans="1:21" ht="18" customHeight="1" thickBot="1">
      <c r="A9" s="172" t="str">
        <f>[114]f!A9</f>
        <v>BE</v>
      </c>
      <c r="B9" s="26">
        <f>[114]f!B9</f>
        <v>953310</v>
      </c>
      <c r="C9" s="54">
        <f>[114]f!C9</f>
        <v>648</v>
      </c>
      <c r="D9" s="26">
        <f>[114]f!D9</f>
        <v>1254</v>
      </c>
      <c r="E9" s="54">
        <f>[114]f!E9</f>
        <v>1902</v>
      </c>
      <c r="F9" s="739">
        <f>[114]f!F9</f>
        <v>1.9951537275387861</v>
      </c>
      <c r="G9" s="51">
        <f>[114]f!G9</f>
        <v>3.4979311015437276E-3</v>
      </c>
      <c r="H9" s="26">
        <f>[114]f!H9</f>
        <v>175</v>
      </c>
      <c r="I9" s="740">
        <f>[114]f!I9</f>
        <v>1.8357092656113962</v>
      </c>
      <c r="J9" s="146">
        <f>[114]f!J9</f>
        <v>8.6946527592970391E-3</v>
      </c>
      <c r="L9" s="172" t="s">
        <v>542</v>
      </c>
      <c r="M9" s="26">
        <v>949795</v>
      </c>
      <c r="N9" s="54">
        <v>581</v>
      </c>
      <c r="O9" s="26">
        <v>1249</v>
      </c>
      <c r="P9" s="54">
        <v>1830</v>
      </c>
      <c r="Q9" s="125"/>
      <c r="R9" s="54">
        <f t="shared" si="0"/>
        <v>519.01366120218574</v>
      </c>
      <c r="S9" s="26">
        <v>172</v>
      </c>
      <c r="T9" s="126"/>
      <c r="U9" s="26">
        <f t="shared" si="1"/>
        <v>5522.0639534883721</v>
      </c>
    </row>
    <row r="10" spans="1:21" ht="18" customHeight="1" thickBot="1">
      <c r="A10" s="172" t="str">
        <f>[114]f!A10</f>
        <v>LU</v>
      </c>
      <c r="B10" s="26">
        <f>[114]f!B10</f>
        <v>348105</v>
      </c>
      <c r="C10" s="54">
        <f>[114]f!C10</f>
        <v>205</v>
      </c>
      <c r="D10" s="26">
        <f>[114]f!D10</f>
        <v>300</v>
      </c>
      <c r="E10" s="54">
        <f>[114]f!E10</f>
        <v>505</v>
      </c>
      <c r="F10" s="739">
        <f>[114]f!F10</f>
        <v>1.450711710547105</v>
      </c>
      <c r="G10" s="51">
        <f>[114]f!G10</f>
        <v>2.5566969029741982E-2</v>
      </c>
      <c r="H10" s="26">
        <f>[114]f!H10</f>
        <v>34</v>
      </c>
      <c r="I10" s="740">
        <f>[114]f!I10</f>
        <v>0.97671679521983312</v>
      </c>
      <c r="J10" s="146">
        <f>[114]f!J10</f>
        <v>-3.7272579907129733E-2</v>
      </c>
      <c r="L10" s="172" t="s">
        <v>543</v>
      </c>
      <c r="M10" s="26">
        <v>343180</v>
      </c>
      <c r="N10" s="54">
        <v>203</v>
      </c>
      <c r="O10" s="26">
        <v>282</v>
      </c>
      <c r="P10" s="54">
        <v>485</v>
      </c>
      <c r="Q10" s="125"/>
      <c r="R10" s="54">
        <f t="shared" si="0"/>
        <v>707.58762886597935</v>
      </c>
      <c r="S10" s="26">
        <v>34</v>
      </c>
      <c r="T10" s="126"/>
      <c r="U10" s="26">
        <f t="shared" si="1"/>
        <v>10093.529411764706</v>
      </c>
    </row>
    <row r="11" spans="1:21" ht="18" customHeight="1" thickBot="1">
      <c r="A11" s="172" t="str">
        <f>[114]f!A11</f>
        <v>UR</v>
      </c>
      <c r="B11" s="26">
        <f>[114]f!B11</f>
        <v>34160</v>
      </c>
      <c r="C11" s="54">
        <f>[114]f!C11</f>
        <v>21</v>
      </c>
      <c r="D11" s="26">
        <f>[114]f!D11</f>
        <v>23</v>
      </c>
      <c r="E11" s="54">
        <f>[114]f!E11</f>
        <v>44</v>
      </c>
      <c r="F11" s="739">
        <f>[114]f!F11</f>
        <v>1.2880562060889931</v>
      </c>
      <c r="G11" s="51">
        <f>[114]f!G11</f>
        <v>-1.5152224824355853E-2</v>
      </c>
      <c r="H11" s="26">
        <f>[114]f!H11</f>
        <v>2</v>
      </c>
      <c r="I11" s="740">
        <f>[114]f!I11</f>
        <v>0.58548009367681497</v>
      </c>
      <c r="J11" s="146">
        <f>[114]f!J11</f>
        <v>7.2306791569087814E-3</v>
      </c>
      <c r="L11" s="172" t="s">
        <v>544</v>
      </c>
      <c r="M11" s="26">
        <v>34560</v>
      </c>
      <c r="N11" s="54">
        <v>21</v>
      </c>
      <c r="O11" s="26">
        <v>22</v>
      </c>
      <c r="P11" s="54">
        <v>43</v>
      </c>
      <c r="Q11" s="125"/>
      <c r="R11" s="54">
        <f t="shared" si="0"/>
        <v>803.72093023255809</v>
      </c>
      <c r="S11" s="26">
        <v>2</v>
      </c>
      <c r="T11" s="126"/>
      <c r="U11" s="26">
        <f t="shared" si="1"/>
        <v>17280</v>
      </c>
    </row>
    <row r="12" spans="1:21" ht="18" customHeight="1" thickBot="1">
      <c r="A12" s="172" t="str">
        <f>[114]f!A12</f>
        <v>SZ</v>
      </c>
      <c r="B12" s="26">
        <f>[114]f!B12</f>
        <v>130266</v>
      </c>
      <c r="C12" s="54">
        <f>[114]f!C12</f>
        <v>74</v>
      </c>
      <c r="D12" s="26">
        <f>[114]f!D12</f>
        <v>79</v>
      </c>
      <c r="E12" s="54">
        <f>[114]f!E12</f>
        <v>153</v>
      </c>
      <c r="F12" s="739">
        <f>[114]f!F12</f>
        <v>1.1745198286582839</v>
      </c>
      <c r="G12" s="51">
        <f>[114]f!G12</f>
        <v>1.9197517263013886E-2</v>
      </c>
      <c r="H12" s="26">
        <f>[114]f!H12</f>
        <v>11</v>
      </c>
      <c r="I12" s="740">
        <f>[114]f!I12</f>
        <v>0.84442602060399485</v>
      </c>
      <c r="J12" s="146">
        <f>[114]f!J12</f>
        <v>-1.4109591144274125E-2</v>
      </c>
      <c r="L12" s="172" t="s">
        <v>545</v>
      </c>
      <c r="M12" s="26">
        <v>126680</v>
      </c>
      <c r="N12" s="54">
        <v>65</v>
      </c>
      <c r="O12" s="26">
        <v>66</v>
      </c>
      <c r="P12" s="54">
        <v>131</v>
      </c>
      <c r="Q12" s="125"/>
      <c r="R12" s="54">
        <f t="shared" si="0"/>
        <v>967.02290076335873</v>
      </c>
      <c r="S12" s="26">
        <v>11</v>
      </c>
      <c r="T12" s="126"/>
      <c r="U12" s="26">
        <f t="shared" si="1"/>
        <v>11516.363636363636</v>
      </c>
    </row>
    <row r="13" spans="1:21" ht="18" customHeight="1" thickBot="1">
      <c r="A13" s="172" t="str">
        <f>[114]f!A13</f>
        <v>OW</v>
      </c>
      <c r="B13" s="26">
        <f>[114]f!B13</f>
        <v>32488</v>
      </c>
      <c r="C13" s="54">
        <f>[114]f!C13</f>
        <v>20</v>
      </c>
      <c r="D13" s="26">
        <f>[114]f!D13</f>
        <v>14</v>
      </c>
      <c r="E13" s="54">
        <f>[114]f!E13</f>
        <v>34</v>
      </c>
      <c r="F13" s="739">
        <f>[114]f!F13</f>
        <v>1.0465402610194534</v>
      </c>
      <c r="G13" s="51">
        <f>[114]f!G13</f>
        <v>5.2067301772962482E-2</v>
      </c>
      <c r="H13" s="26">
        <f>[114]f!H13</f>
        <v>2</v>
      </c>
      <c r="I13" s="740">
        <f>[114]f!I13</f>
        <v>0.61561191824673733</v>
      </c>
      <c r="J13" s="146">
        <f>[114]f!J13</f>
        <v>-9.8190100960352522E-3</v>
      </c>
      <c r="L13" s="172" t="s">
        <v>546</v>
      </c>
      <c r="M13" s="26">
        <v>31952</v>
      </c>
      <c r="N13" s="54">
        <v>19</v>
      </c>
      <c r="O13" s="26">
        <v>13</v>
      </c>
      <c r="P13" s="54">
        <v>32</v>
      </c>
      <c r="Q13" s="125"/>
      <c r="R13" s="54">
        <f t="shared" si="0"/>
        <v>998.5</v>
      </c>
      <c r="S13" s="26">
        <v>2</v>
      </c>
      <c r="T13" s="126"/>
      <c r="U13" s="26">
        <f t="shared" si="1"/>
        <v>15976</v>
      </c>
    </row>
    <row r="14" spans="1:21" ht="18" customHeight="1" thickBot="1">
      <c r="A14" s="172" t="str">
        <f>[114]f!A14</f>
        <v>NW</v>
      </c>
      <c r="B14" s="26">
        <f>[114]f!B14</f>
        <v>37391</v>
      </c>
      <c r="C14" s="54">
        <f>[114]f!C14</f>
        <v>17</v>
      </c>
      <c r="D14" s="26">
        <f>[114]f!D14</f>
        <v>24</v>
      </c>
      <c r="E14" s="54">
        <f>[114]f!E14</f>
        <v>41</v>
      </c>
      <c r="F14" s="739">
        <f>[114]f!F14</f>
        <v>1.0965205530742692</v>
      </c>
      <c r="G14" s="51">
        <f>[114]f!G14</f>
        <v>3.6605545417826457E-2</v>
      </c>
      <c r="H14" s="26">
        <f>[114]f!H14</f>
        <v>2</v>
      </c>
      <c r="I14" s="740">
        <f>[114]f!I14</f>
        <v>0.53488807467037525</v>
      </c>
      <c r="J14" s="146">
        <f>[114]f!J14</f>
        <v>-1.3960578748896779E-2</v>
      </c>
      <c r="L14" s="172" t="s">
        <v>547</v>
      </c>
      <c r="M14" s="26">
        <v>36549</v>
      </c>
      <c r="N14" s="54">
        <v>16</v>
      </c>
      <c r="O14" s="26">
        <v>20</v>
      </c>
      <c r="P14" s="54">
        <v>36</v>
      </c>
      <c r="Q14" s="125"/>
      <c r="R14" s="54">
        <f t="shared" si="0"/>
        <v>1015.25</v>
      </c>
      <c r="S14" s="26">
        <v>2</v>
      </c>
      <c r="T14" s="126"/>
      <c r="U14" s="26">
        <f t="shared" si="1"/>
        <v>18274.5</v>
      </c>
    </row>
    <row r="15" spans="1:21" ht="18" customHeight="1" thickBot="1">
      <c r="A15" s="172" t="str">
        <f>[114]f!A15</f>
        <v>GL</v>
      </c>
      <c r="B15" s="26">
        <f>[114]f!B15</f>
        <v>38014</v>
      </c>
      <c r="C15" s="54">
        <f>[114]f!C15</f>
        <v>27</v>
      </c>
      <c r="D15" s="26">
        <f>[114]f!D15</f>
        <v>22</v>
      </c>
      <c r="E15" s="54">
        <f>[114]f!E15</f>
        <v>49</v>
      </c>
      <c r="F15" s="739">
        <f>[114]f!F15</f>
        <v>1.2889987899195032</v>
      </c>
      <c r="G15" s="51">
        <f>[114]f!G15</f>
        <v>2.6016182634468032E-2</v>
      </c>
      <c r="H15" s="26">
        <f>[114]f!H15</f>
        <v>3</v>
      </c>
      <c r="I15" s="740">
        <f>[114]f!I15</f>
        <v>0.78918293260377748</v>
      </c>
      <c r="J15" s="146">
        <f>[114]f!J15</f>
        <v>5.0770768664176735E-3</v>
      </c>
      <c r="L15" s="172" t="s">
        <v>548</v>
      </c>
      <c r="M15" s="26">
        <v>38305</v>
      </c>
      <c r="N15" s="54">
        <v>25</v>
      </c>
      <c r="O15" s="26">
        <v>22</v>
      </c>
      <c r="P15" s="54">
        <v>47</v>
      </c>
      <c r="Q15" s="125"/>
      <c r="R15" s="54">
        <f t="shared" si="0"/>
        <v>815</v>
      </c>
      <c r="S15" s="26">
        <v>3</v>
      </c>
      <c r="T15" s="126"/>
      <c r="U15" s="26">
        <f t="shared" si="1"/>
        <v>12768.333333333334</v>
      </c>
    </row>
    <row r="16" spans="1:21" ht="18" customHeight="1" thickBot="1">
      <c r="A16" s="172" t="str">
        <f>[114]f!A16</f>
        <v>ZG</v>
      </c>
      <c r="B16" s="26">
        <f>[114]f!B16</f>
        <v>100241</v>
      </c>
      <c r="C16" s="54">
        <f>[114]f!C16</f>
        <v>56</v>
      </c>
      <c r="D16" s="26">
        <f>[114]f!D16</f>
        <v>102</v>
      </c>
      <c r="E16" s="54">
        <f>[114]f!E16</f>
        <v>158</v>
      </c>
      <c r="F16" s="739">
        <f>[114]f!F16</f>
        <v>1.5762013547350884</v>
      </c>
      <c r="G16" s="51">
        <f>[114]f!G16</f>
        <v>-4.7693953278121204E-2</v>
      </c>
      <c r="H16" s="26">
        <f>[114]f!H16</f>
        <v>13</v>
      </c>
      <c r="I16" s="740">
        <f>[114]f!I16</f>
        <v>1.2968745323769715</v>
      </c>
      <c r="J16" s="146">
        <f>[114]f!J16</f>
        <v>-8.773213697845339E-2</v>
      </c>
      <c r="L16" s="172" t="s">
        <v>549</v>
      </c>
      <c r="M16" s="26">
        <v>97049</v>
      </c>
      <c r="N16" s="54">
        <v>53</v>
      </c>
      <c r="O16" s="26">
        <v>102</v>
      </c>
      <c r="P16" s="54">
        <v>155</v>
      </c>
      <c r="Q16" s="125"/>
      <c r="R16" s="54">
        <f t="shared" si="0"/>
        <v>626.12258064516129</v>
      </c>
      <c r="S16" s="26">
        <v>14</v>
      </c>
      <c r="T16" s="126"/>
      <c r="U16" s="26">
        <f t="shared" si="1"/>
        <v>6932.0714285714284</v>
      </c>
    </row>
    <row r="17" spans="1:21" ht="18" customHeight="1" thickBot="1">
      <c r="A17" s="172" t="str">
        <f>[114]f!A17</f>
        <v>FR</v>
      </c>
      <c r="B17" s="26">
        <f>[114]f!B17</f>
        <v>239886</v>
      </c>
      <c r="C17" s="54">
        <f>[114]f!C17</f>
        <v>120</v>
      </c>
      <c r="D17" s="26">
        <f>[114]f!D17</f>
        <v>220</v>
      </c>
      <c r="E17" s="54">
        <f>[114]f!E17</f>
        <v>340</v>
      </c>
      <c r="F17" s="739">
        <f>[114]f!F17</f>
        <v>1.4173399031206488</v>
      </c>
      <c r="G17" s="51">
        <f>[114]f!G17</f>
        <v>-5.6228385011480864E-3</v>
      </c>
      <c r="H17" s="26">
        <f>[114]f!H17</f>
        <v>68</v>
      </c>
      <c r="I17" s="740">
        <f>[114]f!I17</f>
        <v>2.8346798062412977</v>
      </c>
      <c r="J17" s="146">
        <f>[114]f!J17</f>
        <v>-6.6390331703855776E-2</v>
      </c>
      <c r="L17" s="172" t="s">
        <v>550</v>
      </c>
      <c r="M17" s="26">
        <v>235151</v>
      </c>
      <c r="N17" s="54">
        <v>112</v>
      </c>
      <c r="O17" s="26">
        <v>225</v>
      </c>
      <c r="P17" s="54">
        <v>337</v>
      </c>
      <c r="Q17" s="125"/>
      <c r="R17" s="54">
        <f t="shared" si="0"/>
        <v>697.77744807121667</v>
      </c>
      <c r="S17" s="26">
        <v>71</v>
      </c>
      <c r="T17" s="126"/>
      <c r="U17" s="26">
        <f t="shared" si="1"/>
        <v>3311.9859154929577</v>
      </c>
    </row>
    <row r="18" spans="1:21" ht="18" customHeight="1" thickBot="1">
      <c r="A18" s="172" t="str">
        <f>[114]f!A18</f>
        <v>SO</v>
      </c>
      <c r="B18" s="26">
        <f>[114]f!B18</f>
        <v>242848</v>
      </c>
      <c r="C18" s="54">
        <f>[114]f!C18</f>
        <v>159</v>
      </c>
      <c r="D18" s="26">
        <f>[114]f!D18</f>
        <v>220</v>
      </c>
      <c r="E18" s="54">
        <f>[114]f!E18</f>
        <v>379</v>
      </c>
      <c r="F18" s="739">
        <f>[114]f!F18</f>
        <v>1.5606469890631176</v>
      </c>
      <c r="G18" s="51">
        <f>[114]f!G18</f>
        <v>2.1561557357199224E-2</v>
      </c>
      <c r="H18" s="26">
        <f>[114]f!H18</f>
        <v>27</v>
      </c>
      <c r="I18" s="740">
        <f>[114]f!I18</f>
        <v>1.1118065621293978</v>
      </c>
      <c r="J18" s="146">
        <f>[114]f!J18</f>
        <v>-3.8315118922124136E-2</v>
      </c>
      <c r="L18" s="172" t="s">
        <v>551</v>
      </c>
      <c r="M18" s="26">
        <v>241747</v>
      </c>
      <c r="N18" s="54">
        <v>158</v>
      </c>
      <c r="O18" s="26">
        <v>210</v>
      </c>
      <c r="P18" s="54">
        <v>368</v>
      </c>
      <c r="Q18" s="125"/>
      <c r="R18" s="54">
        <f t="shared" si="0"/>
        <v>656.92119565217388</v>
      </c>
      <c r="S18" s="26">
        <v>28</v>
      </c>
      <c r="T18" s="126"/>
      <c r="U18" s="26">
        <f t="shared" si="1"/>
        <v>8633.8214285714294</v>
      </c>
    </row>
    <row r="19" spans="1:21" ht="18" customHeight="1" thickBot="1">
      <c r="A19" s="172" t="str">
        <f>[114]f!A19</f>
        <v>BS</v>
      </c>
      <c r="B19" s="26">
        <f>[114]f!B19</f>
        <v>190117</v>
      </c>
      <c r="C19" s="54">
        <f>[114]f!C19</f>
        <v>134</v>
      </c>
      <c r="D19" s="26">
        <f>[114]f!D19</f>
        <v>545</v>
      </c>
      <c r="E19" s="54">
        <f>[114]f!E19</f>
        <v>679</v>
      </c>
      <c r="F19" s="739">
        <f>[114]f!F19</f>
        <v>3.5714849277024148</v>
      </c>
      <c r="G19" s="51">
        <f>[114]f!G19</f>
        <v>2.5931400137808591E-3</v>
      </c>
      <c r="H19" s="26">
        <f>[114]f!H19</f>
        <v>69</v>
      </c>
      <c r="I19" s="740">
        <f>[114]f!I19</f>
        <v>3.629344035514972</v>
      </c>
      <c r="J19" s="146">
        <f>[114]f!J19</f>
        <v>-1.1729619129273061E-2</v>
      </c>
      <c r="L19" s="172" t="s">
        <v>552</v>
      </c>
      <c r="M19" s="26">
        <v>192347</v>
      </c>
      <c r="N19" s="54">
        <v>118</v>
      </c>
      <c r="O19" s="26">
        <v>556</v>
      </c>
      <c r="P19" s="54">
        <v>674</v>
      </c>
      <c r="Q19" s="125"/>
      <c r="R19" s="54">
        <f t="shared" si="0"/>
        <v>285.38130563798222</v>
      </c>
      <c r="S19" s="26">
        <v>70</v>
      </c>
      <c r="T19" s="126"/>
      <c r="U19" s="26">
        <f t="shared" si="1"/>
        <v>2747.8142857142857</v>
      </c>
    </row>
    <row r="20" spans="1:21" ht="18" customHeight="1" thickBot="1">
      <c r="A20" s="172" t="str">
        <f>[114]f!A20</f>
        <v>BL</v>
      </c>
      <c r="B20" s="26">
        <f>[114]f!B20</f>
        <v>258715</v>
      </c>
      <c r="C20" s="54">
        <f>[114]f!C20</f>
        <v>163</v>
      </c>
      <c r="D20" s="26">
        <f>[114]f!D20</f>
        <v>321</v>
      </c>
      <c r="E20" s="54">
        <f>[114]f!E20</f>
        <v>484</v>
      </c>
      <c r="F20" s="739">
        <f>[114]f!F20</f>
        <v>1.8707844539357981</v>
      </c>
      <c r="G20" s="51">
        <f>[114]f!G20</f>
        <v>3.740302007307017E-3</v>
      </c>
      <c r="H20" s="26">
        <f>[114]f!H20</f>
        <v>36</v>
      </c>
      <c r="I20" s="740">
        <f>[114]f!I20</f>
        <v>1.3914925690431557</v>
      </c>
      <c r="J20" s="146">
        <f>[114]f!J20</f>
        <v>-6.6289159886360194E-3</v>
      </c>
      <c r="L20" s="172" t="s">
        <v>553</v>
      </c>
      <c r="M20" s="26">
        <v>255485</v>
      </c>
      <c r="N20" s="54">
        <v>164</v>
      </c>
      <c r="O20" s="26">
        <v>306</v>
      </c>
      <c r="P20" s="54">
        <v>470</v>
      </c>
      <c r="Q20" s="125"/>
      <c r="R20" s="54">
        <f t="shared" si="0"/>
        <v>543.58510638297878</v>
      </c>
      <c r="S20" s="26">
        <v>36</v>
      </c>
      <c r="T20" s="126"/>
      <c r="U20" s="26">
        <f t="shared" si="1"/>
        <v>7096.8055555555557</v>
      </c>
    </row>
    <row r="21" spans="1:21" ht="18" customHeight="1" thickBot="1">
      <c r="A21" s="172" t="str">
        <f>[114]f!A21</f>
        <v>SH</v>
      </c>
      <c r="B21" s="26">
        <f>[114]f!B21</f>
        <v>72840</v>
      </c>
      <c r="C21" s="54">
        <f>[114]f!C21</f>
        <v>57</v>
      </c>
      <c r="D21" s="26">
        <f>[114]f!D21</f>
        <v>77</v>
      </c>
      <c r="E21" s="54">
        <f>[114]f!E21</f>
        <v>134</v>
      </c>
      <c r="F21" s="739">
        <f>[114]f!F21</f>
        <v>1.8396485447556288</v>
      </c>
      <c r="G21" s="51">
        <f>[114]f!G21</f>
        <v>-1.4543560422521584E-2</v>
      </c>
      <c r="H21" s="26">
        <f>[114]f!H21</f>
        <v>13</v>
      </c>
      <c r="I21" s="740">
        <f>[114]f!I21</f>
        <v>1.7847336628226251</v>
      </c>
      <c r="J21" s="146">
        <f>[114]f!J21</f>
        <v>1.6474464579907533E-4</v>
      </c>
      <c r="L21" s="172" t="s">
        <v>554</v>
      </c>
      <c r="M21" s="26">
        <v>73115</v>
      </c>
      <c r="N21" s="54">
        <v>55</v>
      </c>
      <c r="O21" s="26">
        <v>81</v>
      </c>
      <c r="P21" s="54">
        <v>136</v>
      </c>
      <c r="Q21" s="125"/>
      <c r="R21" s="54">
        <f t="shared" si="0"/>
        <v>537.61029411764707</v>
      </c>
      <c r="S21" s="26">
        <v>14</v>
      </c>
      <c r="T21" s="126"/>
      <c r="U21" s="26">
        <f t="shared" si="1"/>
        <v>5222.5</v>
      </c>
    </row>
    <row r="22" spans="1:21" ht="18" customHeight="1" thickBot="1">
      <c r="A22" s="172" t="str">
        <f>[114]f!A22</f>
        <v>AR</v>
      </c>
      <c r="B22" s="26">
        <f>[114]f!B22</f>
        <v>52945</v>
      </c>
      <c r="C22" s="54">
        <f>[114]f!C22</f>
        <v>44</v>
      </c>
      <c r="D22" s="26">
        <f>[114]f!D22</f>
        <v>37</v>
      </c>
      <c r="E22" s="54">
        <f>[114]f!E22</f>
        <v>81</v>
      </c>
      <c r="F22" s="739">
        <f>[114]f!F22</f>
        <v>1.5298895079799792</v>
      </c>
      <c r="G22" s="51">
        <f>[114]f!G22</f>
        <v>4.1930305033524018E-3</v>
      </c>
      <c r="H22" s="26">
        <f>[114]f!H22</f>
        <v>4</v>
      </c>
      <c r="I22" s="740">
        <f>[114]f!I22</f>
        <v>0.75550099159505146</v>
      </c>
      <c r="J22" s="146">
        <f>[114]f!J22</f>
        <v>-0.19664557559731799</v>
      </c>
      <c r="L22" s="172" t="s">
        <v>555</v>
      </c>
      <c r="M22" s="26">
        <v>53390</v>
      </c>
      <c r="N22" s="54">
        <v>44</v>
      </c>
      <c r="O22" s="26">
        <v>36</v>
      </c>
      <c r="P22" s="54">
        <v>80</v>
      </c>
      <c r="Q22" s="125"/>
      <c r="R22" s="54">
        <f t="shared" si="0"/>
        <v>667.375</v>
      </c>
      <c r="S22" s="26">
        <v>4</v>
      </c>
      <c r="T22" s="126"/>
      <c r="U22" s="26">
        <f t="shared" si="1"/>
        <v>13347.5</v>
      </c>
    </row>
    <row r="23" spans="1:21" ht="18" customHeight="1" thickBot="1">
      <c r="A23" s="172" t="str">
        <f>[114]f!A23</f>
        <v>AI</v>
      </c>
      <c r="B23" s="26">
        <f>[114]f!B23</f>
        <v>14711</v>
      </c>
      <c r="C23" s="54">
        <f>[114]f!C23</f>
        <v>8</v>
      </c>
      <c r="D23" s="26">
        <f>[114]f!D23</f>
        <v>8</v>
      </c>
      <c r="E23" s="54">
        <f>[114]f!E23</f>
        <v>16</v>
      </c>
      <c r="F23" s="739">
        <f>[114]f!F23</f>
        <v>1.0876215077153151</v>
      </c>
      <c r="G23" s="51">
        <f>[114]f!G23</f>
        <v>-3.2628645231459474E-3</v>
      </c>
      <c r="H23" s="26">
        <f>[114]f!H23</f>
        <v>1</v>
      </c>
      <c r="I23" s="740">
        <f>[114]f!I23</f>
        <v>0.67976344232207198</v>
      </c>
      <c r="J23" s="146">
        <f>[114]f!J23</f>
        <v>-3.2628645231458364E-3</v>
      </c>
      <c r="L23" s="172" t="s">
        <v>556</v>
      </c>
      <c r="M23" s="26">
        <v>14520</v>
      </c>
      <c r="N23" s="54">
        <v>8</v>
      </c>
      <c r="O23" s="26">
        <v>7</v>
      </c>
      <c r="P23" s="54">
        <v>15</v>
      </c>
      <c r="Q23" s="125"/>
      <c r="R23" s="54">
        <f t="shared" si="0"/>
        <v>968</v>
      </c>
      <c r="S23" s="26">
        <v>1</v>
      </c>
      <c r="T23" s="126"/>
      <c r="U23" s="26">
        <f t="shared" si="1"/>
        <v>14520</v>
      </c>
    </row>
    <row r="24" spans="1:21" ht="18" customHeight="1" thickBot="1">
      <c r="A24" s="172" t="str">
        <f>[114]f!A24</f>
        <v>SG</v>
      </c>
      <c r="B24" s="26">
        <f>[114]f!B24</f>
        <v>450927</v>
      </c>
      <c r="C24" s="54">
        <f>[114]f!C24</f>
        <v>304</v>
      </c>
      <c r="D24" s="26">
        <f>[114]f!D24</f>
        <v>399</v>
      </c>
      <c r="E24" s="54">
        <f>[114]f!E24</f>
        <v>703</v>
      </c>
      <c r="F24" s="739">
        <f>[114]f!F24</f>
        <v>1.5590106602620823</v>
      </c>
      <c r="G24" s="51">
        <f>[114]f!G24</f>
        <v>1.4421950987683729E-2</v>
      </c>
      <c r="H24" s="26">
        <f>[114]f!H24</f>
        <v>48</v>
      </c>
      <c r="I24" s="740">
        <f>[114]f!I24</f>
        <v>1.0644738505345654</v>
      </c>
      <c r="J24" s="146">
        <f>[114]f!J24</f>
        <v>-2.7483655777940985E-2</v>
      </c>
      <c r="L24" s="172" t="s">
        <v>557</v>
      </c>
      <c r="M24" s="26">
        <v>445797</v>
      </c>
      <c r="N24" s="54">
        <v>300</v>
      </c>
      <c r="O24" s="26">
        <v>370</v>
      </c>
      <c r="P24" s="54">
        <v>670</v>
      </c>
      <c r="Q24" s="125"/>
      <c r="R24" s="54">
        <f t="shared" si="0"/>
        <v>665.36865671641795</v>
      </c>
      <c r="S24" s="26">
        <v>49</v>
      </c>
      <c r="T24" s="126"/>
      <c r="U24" s="26">
        <f t="shared" si="1"/>
        <v>9097.8979591836742</v>
      </c>
    </row>
    <row r="25" spans="1:21" ht="18" customHeight="1" thickBot="1">
      <c r="A25" s="172" t="str">
        <f>[114]f!A25</f>
        <v>GR</v>
      </c>
      <c r="B25" s="26">
        <f>[114]f!B25</f>
        <v>188259</v>
      </c>
      <c r="C25" s="54">
        <f>[114]f!C25</f>
        <v>136</v>
      </c>
      <c r="D25" s="26">
        <f>[114]f!D25</f>
        <v>172</v>
      </c>
      <c r="E25" s="54">
        <f>[114]f!E25</f>
        <v>308</v>
      </c>
      <c r="F25" s="739">
        <f>[114]f!F25</f>
        <v>1.6360439607136976</v>
      </c>
      <c r="G25" s="51">
        <f>[114]f!G25</f>
        <v>-1.0493257484485263E-2</v>
      </c>
      <c r="H25" s="26">
        <f>[114]f!H25</f>
        <v>37</v>
      </c>
      <c r="I25" s="740">
        <f>[114]f!I25</f>
        <v>1.9653774852729486</v>
      </c>
      <c r="J25" s="146">
        <f>[114]f!J25</f>
        <v>-8.5520479764578106E-4</v>
      </c>
      <c r="L25" s="172" t="s">
        <v>558</v>
      </c>
      <c r="M25" s="26">
        <v>187572</v>
      </c>
      <c r="N25" s="54">
        <v>146</v>
      </c>
      <c r="O25" s="26">
        <v>178</v>
      </c>
      <c r="P25" s="54">
        <v>324</v>
      </c>
      <c r="Q25" s="125"/>
      <c r="R25" s="54">
        <f t="shared" si="0"/>
        <v>578.92592592592598</v>
      </c>
      <c r="S25" s="26">
        <v>36</v>
      </c>
      <c r="T25" s="126"/>
      <c r="U25" s="26">
        <f t="shared" si="1"/>
        <v>5210.333333333333</v>
      </c>
    </row>
    <row r="26" spans="1:21" ht="18" customHeight="1" thickBot="1">
      <c r="A26" s="172" t="str">
        <f>[114]f!A26</f>
        <v>AG</v>
      </c>
      <c r="B26" s="26">
        <f>[114]f!B26</f>
        <v>546115</v>
      </c>
      <c r="C26" s="54">
        <f>[114]f!C26</f>
        <v>282</v>
      </c>
      <c r="D26" s="26">
        <f>[114]f!D26</f>
        <v>472</v>
      </c>
      <c r="E26" s="54">
        <f>[114]f!E26</f>
        <v>754</v>
      </c>
      <c r="F26" s="739">
        <f>[114]f!F26</f>
        <v>1.380661582267471</v>
      </c>
      <c r="G26" s="51">
        <f>[114]f!G26</f>
        <v>-7.7504669833198259E-3</v>
      </c>
      <c r="H26" s="26">
        <f>[114]f!H26</f>
        <v>109</v>
      </c>
      <c r="I26" s="740">
        <f>[114]f!I26</f>
        <v>1.9959166109702169</v>
      </c>
      <c r="J26" s="146">
        <f>[114]f!J26</f>
        <v>-1.2193029483343887E-3</v>
      </c>
      <c r="L26" s="172" t="s">
        <v>559</v>
      </c>
      <c r="M26" s="26">
        <v>536746</v>
      </c>
      <c r="N26" s="54">
        <v>281</v>
      </c>
      <c r="O26" s="26">
        <v>454</v>
      </c>
      <c r="P26" s="54">
        <v>735</v>
      </c>
      <c r="Q26" s="125"/>
      <c r="R26" s="54">
        <f t="shared" si="0"/>
        <v>730.26666666666665</v>
      </c>
      <c r="S26" s="26">
        <v>108</v>
      </c>
      <c r="T26" s="126"/>
      <c r="U26" s="26">
        <f t="shared" si="1"/>
        <v>4969.8703703703704</v>
      </c>
    </row>
    <row r="27" spans="1:21" ht="18" customHeight="1" thickBot="1">
      <c r="A27" s="172" t="str">
        <f>[114]f!A27</f>
        <v>TG</v>
      </c>
      <c r="B27" s="26">
        <f>[114]f!B27</f>
        <v>227558</v>
      </c>
      <c r="C27" s="54">
        <f>[114]f!C27</f>
        <v>147</v>
      </c>
      <c r="D27" s="26">
        <f>[114]f!D27</f>
        <v>139</v>
      </c>
      <c r="E27" s="54">
        <f>[114]f!E27</f>
        <v>286</v>
      </c>
      <c r="F27" s="739">
        <f>[114]f!F27</f>
        <v>1.2568224364777332</v>
      </c>
      <c r="G27" s="51">
        <f>[114]f!G27</f>
        <v>-2.2455813462940455E-3</v>
      </c>
      <c r="H27" s="26">
        <f>[114]f!H27</f>
        <v>23</v>
      </c>
      <c r="I27" s="740">
        <f>[114]f!I27</f>
        <v>1.0107313300345406</v>
      </c>
      <c r="J27" s="146">
        <f>[114]f!J27</f>
        <v>-2.2455813462941565E-3</v>
      </c>
      <c r="L27" s="172" t="s">
        <v>560</v>
      </c>
      <c r="M27" s="26">
        <v>226619</v>
      </c>
      <c r="N27" s="54">
        <v>144</v>
      </c>
      <c r="O27" s="26">
        <v>138</v>
      </c>
      <c r="P27" s="54">
        <v>282</v>
      </c>
      <c r="Q27" s="125"/>
      <c r="R27" s="54">
        <f t="shared" si="0"/>
        <v>803.61347517730496</v>
      </c>
      <c r="S27" s="26">
        <v>23</v>
      </c>
      <c r="T27" s="126"/>
      <c r="U27" s="26">
        <f t="shared" si="1"/>
        <v>9853</v>
      </c>
    </row>
    <row r="28" spans="1:21" ht="18" customHeight="1" thickBot="1">
      <c r="A28" s="172" t="str">
        <f>[114]f!A28</f>
        <v>TI</v>
      </c>
      <c r="B28" s="26">
        <f>[114]f!B28</f>
        <v>304936</v>
      </c>
      <c r="C28" s="54">
        <f>[114]f!C28</f>
        <v>192</v>
      </c>
      <c r="D28" s="26">
        <f>[114]f!D28</f>
        <v>401</v>
      </c>
      <c r="E28" s="54">
        <f>[114]f!E28</f>
        <v>593</v>
      </c>
      <c r="F28" s="739">
        <f>[114]f!F28</f>
        <v>1.9446703570585302</v>
      </c>
      <c r="G28" s="51">
        <f>[114]f!G28</f>
        <v>5.0554520193999419E-2</v>
      </c>
      <c r="H28" s="26">
        <f>[114]f!H28</f>
        <v>171</v>
      </c>
      <c r="I28" s="740">
        <f>[114]f!I28</f>
        <v>5.6077340819057113</v>
      </c>
      <c r="J28" s="146">
        <f>[114]f!J28</f>
        <v>5.6982029320984395E-3</v>
      </c>
      <c r="L28" s="172" t="s">
        <v>561</v>
      </c>
      <c r="M28" s="26">
        <v>303836</v>
      </c>
      <c r="N28" s="54">
        <v>193</v>
      </c>
      <c r="O28" s="26">
        <v>384</v>
      </c>
      <c r="P28" s="54">
        <v>577</v>
      </c>
      <c r="Q28" s="125"/>
      <c r="R28" s="54">
        <f t="shared" si="0"/>
        <v>526.57885615251303</v>
      </c>
      <c r="S28" s="26">
        <v>171</v>
      </c>
      <c r="T28" s="126"/>
      <c r="U28" s="26">
        <f t="shared" si="1"/>
        <v>1776.8187134502923</v>
      </c>
    </row>
    <row r="29" spans="1:21" ht="18" customHeight="1" thickBot="1">
      <c r="A29" s="172" t="str">
        <f>[114]f!A29</f>
        <v>VD</v>
      </c>
      <c r="B29" s="26">
        <f>[114]f!B29</f>
        <v>633981</v>
      </c>
      <c r="C29" s="54">
        <f>[114]f!C29</f>
        <v>494</v>
      </c>
      <c r="D29" s="26">
        <f>[114]f!D29</f>
        <v>1019</v>
      </c>
      <c r="E29" s="54">
        <f>[114]f!E29</f>
        <v>1513</v>
      </c>
      <c r="F29" s="739">
        <f>[114]f!F29</f>
        <v>2.3865068511516907</v>
      </c>
      <c r="G29" s="51">
        <f>[114]f!G29</f>
        <v>4.6362642034083468E-3</v>
      </c>
      <c r="H29" s="26">
        <f>[114]f!H29</f>
        <v>237</v>
      </c>
      <c r="I29" s="740">
        <f>[114]f!I29</f>
        <v>3.7382823775475922</v>
      </c>
      <c r="J29" s="146">
        <f>[114]f!J29</f>
        <v>-8.6437921641184801E-3</v>
      </c>
      <c r="L29" s="172" t="s">
        <v>562</v>
      </c>
      <c r="M29" s="26">
        <v>623912</v>
      </c>
      <c r="N29" s="54">
        <v>474</v>
      </c>
      <c r="O29" s="26">
        <v>999</v>
      </c>
      <c r="P29" s="54">
        <v>1473</v>
      </c>
      <c r="Q29" s="125"/>
      <c r="R29" s="54">
        <f t="shared" si="0"/>
        <v>423.56551255940258</v>
      </c>
      <c r="S29" s="26">
        <v>234</v>
      </c>
      <c r="T29" s="126"/>
      <c r="U29" s="26">
        <f t="shared" si="1"/>
        <v>2666.2905982905982</v>
      </c>
    </row>
    <row r="30" spans="1:21" ht="18" customHeight="1" thickBot="1">
      <c r="A30" s="172" t="str">
        <f>[114]f!A30</f>
        <v>VS</v>
      </c>
      <c r="B30" s="26">
        <f>[114]f!B30</f>
        <v>274476</v>
      </c>
      <c r="C30" s="54">
        <f>[114]f!C30</f>
        <v>179</v>
      </c>
      <c r="D30" s="26">
        <f>[114]f!D30</f>
        <v>286</v>
      </c>
      <c r="E30" s="54">
        <f>[114]f!E30</f>
        <v>465</v>
      </c>
      <c r="F30" s="739">
        <f>[114]f!F30</f>
        <v>1.6941371923228261</v>
      </c>
      <c r="G30" s="51">
        <f>[114]f!G30</f>
        <v>5.8671986940868059E-3</v>
      </c>
      <c r="H30" s="26">
        <f>[114]f!H30</f>
        <v>105</v>
      </c>
      <c r="I30" s="740">
        <f>[114]f!I30</f>
        <v>3.8254710794386391</v>
      </c>
      <c r="J30" s="146">
        <f>[114]f!J30</f>
        <v>-1.6478603346287146E-2</v>
      </c>
      <c r="L30" s="172" t="s">
        <v>563</v>
      </c>
      <c r="M30" s="26">
        <v>271444</v>
      </c>
      <c r="N30" s="54">
        <v>172</v>
      </c>
      <c r="O30" s="26">
        <v>274</v>
      </c>
      <c r="P30" s="54">
        <v>446</v>
      </c>
      <c r="Q30" s="125"/>
      <c r="R30" s="54">
        <f t="shared" si="0"/>
        <v>608.61883408071753</v>
      </c>
      <c r="S30" s="26">
        <v>105</v>
      </c>
      <c r="T30" s="126"/>
      <c r="U30" s="26">
        <f t="shared" si="1"/>
        <v>2585.1809523809525</v>
      </c>
    </row>
    <row r="31" spans="1:21" ht="18" customHeight="1" thickBot="1">
      <c r="A31" s="172" t="str">
        <f>[114]f!A31</f>
        <v>NE</v>
      </c>
      <c r="B31" s="26">
        <f>[114]f!B31</f>
        <v>166707</v>
      </c>
      <c r="C31" s="54">
        <f>[114]f!C31</f>
        <v>128</v>
      </c>
      <c r="D31" s="26">
        <f>[114]f!D31</f>
        <v>214</v>
      </c>
      <c r="E31" s="54">
        <f>[114]f!E31</f>
        <v>342</v>
      </c>
      <c r="F31" s="739">
        <f>[114]f!F31</f>
        <v>2.0515035361442533</v>
      </c>
      <c r="G31" s="51">
        <f>[114]f!G31</f>
        <v>2.0174626722369249E-2</v>
      </c>
      <c r="H31" s="26">
        <f>[114]f!H31</f>
        <v>54</v>
      </c>
      <c r="I31" s="740">
        <f>[114]f!I31</f>
        <v>3.2392161097014522</v>
      </c>
      <c r="J31" s="146">
        <f>[114]f!J31</f>
        <v>-3.6891072360488719E-3</v>
      </c>
      <c r="L31" s="172" t="s">
        <v>564</v>
      </c>
      <c r="M31" s="26">
        <v>166096</v>
      </c>
      <c r="N31" s="54">
        <v>119</v>
      </c>
      <c r="O31" s="26">
        <v>198</v>
      </c>
      <c r="P31" s="54">
        <v>317</v>
      </c>
      <c r="Q31" s="125"/>
      <c r="R31" s="54">
        <f t="shared" si="0"/>
        <v>523.96214511041012</v>
      </c>
      <c r="S31" s="26">
        <v>54</v>
      </c>
      <c r="T31" s="126"/>
      <c r="U31" s="26">
        <f t="shared" si="1"/>
        <v>3075.8518518518517</v>
      </c>
    </row>
    <row r="32" spans="1:21" ht="18" customHeight="1" thickBot="1">
      <c r="A32" s="172" t="str">
        <f>[114]f!A32</f>
        <v>GE</v>
      </c>
      <c r="B32" s="26">
        <f>[114]f!B32</f>
        <v>415505</v>
      </c>
      <c r="C32" s="54">
        <f>[114]f!C32</f>
        <v>285</v>
      </c>
      <c r="D32" s="26">
        <f>[114]f!D32</f>
        <v>1071</v>
      </c>
      <c r="E32" s="54">
        <f>[114]f!E32</f>
        <v>1356</v>
      </c>
      <c r="F32" s="739">
        <f>[114]f!F32</f>
        <v>3.2634986341921279</v>
      </c>
      <c r="G32" s="51">
        <f>[114]f!G32</f>
        <v>1.8251402989337695E-2</v>
      </c>
      <c r="H32" s="26">
        <f>[114]f!H32</f>
        <v>168</v>
      </c>
      <c r="I32" s="740">
        <f>[114]f!I32</f>
        <v>4.0432726441318394</v>
      </c>
      <c r="J32" s="146">
        <f>[114]f!J32</f>
        <v>-2.1365332226721434E-2</v>
      </c>
      <c r="L32" s="172" t="s">
        <v>565</v>
      </c>
      <c r="M32" s="26">
        <v>404080</v>
      </c>
      <c r="N32" s="54">
        <v>235</v>
      </c>
      <c r="O32" s="26">
        <v>1022</v>
      </c>
      <c r="P32" s="54">
        <v>1257</v>
      </c>
      <c r="Q32" s="125"/>
      <c r="R32" s="54">
        <f t="shared" si="0"/>
        <v>321.46380270485281</v>
      </c>
      <c r="S32" s="26">
        <v>170</v>
      </c>
      <c r="T32" s="126"/>
      <c r="U32" s="26">
        <f t="shared" si="1"/>
        <v>2376.9411764705883</v>
      </c>
    </row>
    <row r="33" spans="1:21" ht="18" customHeight="1" thickBot="1">
      <c r="A33" s="172" t="str">
        <f>[114]f!A33</f>
        <v>JU</v>
      </c>
      <c r="B33" s="26">
        <f>[114]f!B33</f>
        <v>67313</v>
      </c>
      <c r="C33" s="54">
        <f>[114]f!C33</f>
        <v>41</v>
      </c>
      <c r="D33" s="26">
        <f>[114]f!D33</f>
        <v>59</v>
      </c>
      <c r="E33" s="54">
        <f>[114]f!E33</f>
        <v>100</v>
      </c>
      <c r="F33" s="739">
        <f>[114]f!F33</f>
        <v>1.4855971357687221</v>
      </c>
      <c r="G33" s="51">
        <f>[114]f!G33</f>
        <v>-2.2135397322954331E-3</v>
      </c>
      <c r="H33" s="26">
        <f>[114]f!H33</f>
        <v>17</v>
      </c>
      <c r="I33" s="740">
        <f>[114]f!I33</f>
        <v>2.5255151308068275</v>
      </c>
      <c r="J33" s="146">
        <f>[114]f!J33</f>
        <v>-2.2135397322955441E-3</v>
      </c>
      <c r="L33" s="172" t="s">
        <v>566</v>
      </c>
      <c r="M33" s="26">
        <v>67281</v>
      </c>
      <c r="N33" s="54">
        <v>41</v>
      </c>
      <c r="O33" s="26">
        <v>60</v>
      </c>
      <c r="P33" s="54">
        <v>101</v>
      </c>
      <c r="Q33" s="125"/>
      <c r="R33" s="54">
        <f t="shared" si="0"/>
        <v>666.14851485148517</v>
      </c>
      <c r="S33" s="26">
        <v>17</v>
      </c>
      <c r="T33" s="126"/>
      <c r="U33" s="26">
        <f t="shared" si="1"/>
        <v>3957.705882352941</v>
      </c>
    </row>
    <row r="34" spans="1:21" ht="30" customHeight="1" thickBot="1">
      <c r="A34" s="173" t="str">
        <f>[114]f!A34</f>
        <v>CH</v>
      </c>
      <c r="B34" s="39">
        <f>[114]f!B34</f>
        <v>7260339</v>
      </c>
      <c r="C34" s="57">
        <f>[114]f!C34</f>
        <v>4875</v>
      </c>
      <c r="D34" s="39">
        <f>[114]f!D34</f>
        <v>9303</v>
      </c>
      <c r="E34" s="57">
        <f>[114]f!E34</f>
        <v>14178</v>
      </c>
      <c r="F34" s="741">
        <f>[114]f!F34</f>
        <v>1.952801377456342</v>
      </c>
      <c r="G34" s="174">
        <f>[114]f!G34</f>
        <v>1.0249526210306614E-2</v>
      </c>
      <c r="H34" s="39">
        <f>[114]f!H34</f>
        <v>1653</v>
      </c>
      <c r="I34" s="742">
        <f>[114]f!I34</f>
        <v>2.2767531929294211</v>
      </c>
      <c r="J34" s="203">
        <f>[114]f!J34</f>
        <v>-1.362924330154458E-2</v>
      </c>
      <c r="L34" s="743" t="s">
        <v>514</v>
      </c>
      <c r="M34" s="423">
        <f>SUM(M8:M33)</f>
        <v>7166738</v>
      </c>
      <c r="N34" s="744">
        <f>SUM(N8:N33)</f>
        <v>4622</v>
      </c>
      <c r="O34" s="423">
        <f>SUM(O8:O33)</f>
        <v>9000</v>
      </c>
      <c r="P34" s="744">
        <f>SUM(P8:P33)</f>
        <v>13622</v>
      </c>
      <c r="Q34" s="129"/>
      <c r="R34" s="744">
        <f t="shared" si="0"/>
        <v>526.11496109235065</v>
      </c>
      <c r="S34" s="423">
        <f>SUM(S8:S33)</f>
        <v>1654</v>
      </c>
      <c r="T34" s="130"/>
      <c r="U34" s="423">
        <f t="shared" si="1"/>
        <v>4332.9733978234581</v>
      </c>
    </row>
    <row r="35" spans="1:21" ht="20" customHeight="1">
      <c r="A35" s="222" t="str">
        <f>'[106]data '!$D$2</f>
        <v>Datenstand: 17.11.2002</v>
      </c>
      <c r="B35" s="223"/>
      <c r="C35" s="223"/>
      <c r="D35" s="223"/>
      <c r="E35" s="223"/>
      <c r="F35" s="223"/>
      <c r="G35" s="223"/>
      <c r="H35" s="223"/>
      <c r="I35" s="223"/>
      <c r="J35" s="223"/>
      <c r="L35" s="745" t="s">
        <v>1039</v>
      </c>
      <c r="M35" s="746"/>
      <c r="N35" s="746"/>
      <c r="O35" s="746"/>
      <c r="P35" s="746"/>
      <c r="Q35" s="746"/>
      <c r="R35" s="746"/>
      <c r="S35" s="746"/>
      <c r="T35" s="746"/>
      <c r="U35" s="746"/>
    </row>
    <row r="36" spans="1:21" ht="10.5" customHeight="1">
      <c r="A36" s="224"/>
      <c r="B36" s="225"/>
      <c r="C36" s="225"/>
      <c r="D36" s="225"/>
      <c r="E36" s="225"/>
      <c r="F36" s="225"/>
      <c r="G36" s="225"/>
      <c r="H36" s="225"/>
      <c r="I36" s="225"/>
      <c r="J36" s="225"/>
      <c r="L36" s="747"/>
      <c r="M36" s="748"/>
      <c r="N36" s="748"/>
      <c r="O36" s="748"/>
      <c r="P36" s="748"/>
      <c r="Q36" s="748"/>
      <c r="R36" s="748"/>
      <c r="S36" s="748"/>
      <c r="T36" s="748"/>
      <c r="U36" s="748"/>
    </row>
    <row r="37" spans="1:21" ht="12" customHeight="1">
      <c r="A37" s="224" t="s">
        <v>1040</v>
      </c>
      <c r="B37" s="225"/>
      <c r="C37" s="225"/>
      <c r="D37" s="225"/>
      <c r="E37" s="225"/>
      <c r="F37" s="225"/>
      <c r="G37" s="225"/>
      <c r="H37" s="225"/>
      <c r="I37" s="225"/>
      <c r="J37" s="225"/>
      <c r="L37" s="7" t="s">
        <v>1041</v>
      </c>
      <c r="M37" s="748"/>
      <c r="N37" s="748"/>
      <c r="O37" s="748"/>
      <c r="P37" s="748"/>
      <c r="Q37" s="748"/>
      <c r="R37" s="748"/>
      <c r="S37" s="748"/>
      <c r="T37" s="748"/>
      <c r="U37" s="748"/>
    </row>
    <row r="38" spans="1:21" ht="12" customHeight="1">
      <c r="A38" s="224" t="s">
        <v>1042</v>
      </c>
      <c r="B38" s="225"/>
      <c r="C38" s="225"/>
      <c r="D38" s="225"/>
      <c r="E38" s="225"/>
      <c r="F38" s="225"/>
      <c r="G38" s="225"/>
      <c r="H38" s="225"/>
      <c r="I38" s="225"/>
      <c r="J38" s="225"/>
      <c r="M38" s="748"/>
      <c r="N38" s="748"/>
      <c r="O38" s="748"/>
      <c r="P38" s="748"/>
      <c r="Q38" s="748"/>
      <c r="R38" s="748"/>
      <c r="S38" s="748"/>
      <c r="T38" s="748"/>
      <c r="U38" s="748"/>
    </row>
    <row r="39" spans="1:21" ht="12" customHeight="1">
      <c r="A39" s="224" t="s">
        <v>1043</v>
      </c>
      <c r="B39" s="225"/>
      <c r="C39" s="225"/>
      <c r="D39" s="225"/>
      <c r="E39" s="225"/>
      <c r="F39" s="225"/>
      <c r="G39" s="225"/>
      <c r="H39" s="225"/>
      <c r="I39" s="225"/>
      <c r="J39" s="225"/>
      <c r="M39" s="748"/>
      <c r="N39" s="748"/>
      <c r="O39" s="748"/>
      <c r="P39" s="748"/>
      <c r="Q39" s="748"/>
      <c r="R39" s="748"/>
      <c r="S39" s="748"/>
      <c r="T39" s="748"/>
      <c r="U39" s="748"/>
    </row>
    <row r="40" spans="1:21" ht="12" customHeight="1">
      <c r="A40" s="224" t="s">
        <v>1044</v>
      </c>
      <c r="B40" s="225"/>
      <c r="C40" s="225"/>
      <c r="D40" s="225"/>
      <c r="E40" s="225"/>
      <c r="F40" s="225"/>
      <c r="G40" s="225"/>
      <c r="H40" s="225"/>
      <c r="I40" s="225"/>
      <c r="J40" s="225"/>
      <c r="L40" s="7" t="s">
        <v>1041</v>
      </c>
      <c r="M40" s="748"/>
      <c r="N40" s="748"/>
      <c r="O40" s="748"/>
      <c r="P40" s="748"/>
      <c r="Q40" s="748"/>
      <c r="R40" s="748"/>
      <c r="S40" s="748"/>
      <c r="T40" s="748"/>
      <c r="U40" s="748"/>
    </row>
    <row r="41" spans="1:21" ht="12" customHeight="1">
      <c r="A41" s="224" t="s">
        <v>1045</v>
      </c>
      <c r="B41" s="225"/>
      <c r="C41" s="225"/>
      <c r="D41" s="225"/>
      <c r="E41" s="225"/>
      <c r="F41" s="225"/>
      <c r="G41" s="225"/>
      <c r="H41" s="225"/>
      <c r="I41" s="225"/>
      <c r="J41" s="225"/>
      <c r="M41" s="748"/>
      <c r="N41" s="748"/>
      <c r="O41" s="748"/>
      <c r="P41" s="748"/>
      <c r="Q41" s="748"/>
      <c r="R41" s="748"/>
      <c r="S41" s="748"/>
      <c r="T41" s="748"/>
      <c r="U41" s="748"/>
    </row>
    <row r="42" spans="1:21" ht="12" customHeight="1">
      <c r="A42" s="224" t="s">
        <v>1046</v>
      </c>
      <c r="B42" s="225"/>
      <c r="C42" s="225"/>
      <c r="D42" s="225"/>
      <c r="E42" s="225"/>
      <c r="F42" s="225"/>
      <c r="G42" s="225"/>
      <c r="H42" s="225"/>
      <c r="I42" s="225"/>
      <c r="J42" s="225"/>
      <c r="M42" s="748"/>
      <c r="N42" s="748"/>
      <c r="O42" s="748"/>
      <c r="P42" s="748"/>
      <c r="Q42" s="748"/>
      <c r="R42" s="748"/>
      <c r="S42" s="748"/>
      <c r="T42" s="748"/>
      <c r="U42" s="748"/>
    </row>
    <row r="43" spans="1:21" ht="12" customHeight="1">
      <c r="A43" s="224" t="s">
        <v>1047</v>
      </c>
      <c r="B43" s="225"/>
      <c r="C43" s="225"/>
      <c r="D43" s="225"/>
      <c r="E43" s="225"/>
      <c r="F43" s="225"/>
      <c r="G43" s="225"/>
      <c r="H43" s="225"/>
      <c r="I43" s="225"/>
      <c r="J43" s="225"/>
      <c r="M43" s="748"/>
      <c r="N43" s="748"/>
      <c r="O43" s="748"/>
      <c r="P43" s="748"/>
      <c r="Q43" s="748"/>
      <c r="R43" s="748"/>
      <c r="S43" s="748"/>
      <c r="T43" s="748"/>
      <c r="U43" s="748"/>
    </row>
    <row r="44" spans="1:21" ht="12" customHeight="1">
      <c r="A44" s="224" t="s">
        <v>1048</v>
      </c>
      <c r="B44" s="225"/>
      <c r="C44" s="225"/>
      <c r="D44" s="225"/>
      <c r="E44" s="225"/>
      <c r="F44" s="225"/>
      <c r="G44" s="225"/>
      <c r="H44" s="225"/>
      <c r="I44" s="225"/>
      <c r="J44" s="225"/>
      <c r="M44" s="748"/>
      <c r="N44" s="748"/>
      <c r="O44" s="748"/>
      <c r="P44" s="748"/>
      <c r="Q44" s="748"/>
      <c r="R44" s="748"/>
      <c r="S44" s="748"/>
      <c r="T44" s="748"/>
      <c r="U44" s="748"/>
    </row>
    <row r="45" spans="1:21" ht="12" customHeight="1">
      <c r="A45" s="224"/>
      <c r="B45" s="225"/>
      <c r="C45" s="225"/>
      <c r="D45" s="225"/>
      <c r="E45" s="225"/>
      <c r="F45" s="225"/>
      <c r="G45" s="225"/>
      <c r="H45" s="225"/>
      <c r="I45" s="225"/>
      <c r="J45" s="225"/>
      <c r="M45" s="748"/>
      <c r="N45" s="748"/>
      <c r="O45" s="748"/>
      <c r="P45" s="748"/>
      <c r="Q45" s="748"/>
      <c r="R45" s="748"/>
      <c r="S45" s="748"/>
      <c r="T45" s="748"/>
      <c r="U45" s="748"/>
    </row>
  </sheetData>
  <phoneticPr fontId="0" type="noConversion"/>
  <pageMargins left="0.78740157480314965" right="0.47" top="1" bottom="0.49" header="0.6" footer="0.4921259845"/>
  <pageSetup paperSize="9" scale="80" orientation="portrait" horizontalDpi="4294967292" verticalDpi="4294967292"/>
  <headerFooter alignWithMargins="0">
    <oddHeader>&amp;L&amp;"Arial,Bold"&amp;14Zusatzinformationen zum Gesundheitswesen</oddHeader>
    <oddFooter>&amp;L&amp;"Arial,Regular"Statistik über die Krankenversicherung, Bundesamt für Sozialversicherung</oddFooter>
  </headerFooter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A400-F964-0B4E-A999-63D5A026C27A}">
  <dimension ref="A1:M41"/>
  <sheetViews>
    <sheetView zoomScale="75" workbookViewId="0">
      <selection activeCell="L34" sqref="L34:M35"/>
    </sheetView>
  </sheetViews>
  <sheetFormatPr baseColWidth="10" defaultColWidth="11.3984375" defaultRowHeight="13"/>
  <cols>
    <col min="1" max="1" width="11.796875" style="7" customWidth="1"/>
    <col min="2" max="9" width="11.796875" style="227" customWidth="1"/>
    <col min="10" max="10" width="7.19921875" style="7" customWidth="1"/>
    <col min="11" max="16384" width="11.3984375" style="7"/>
  </cols>
  <sheetData>
    <row r="1" spans="1:9" s="1" customFormat="1" ht="14" customHeight="1">
      <c r="A1" s="163"/>
      <c r="B1" s="220"/>
      <c r="C1" s="220"/>
      <c r="D1" s="220"/>
      <c r="E1" s="220"/>
      <c r="F1" s="220"/>
      <c r="G1" s="220"/>
      <c r="H1" s="220"/>
      <c r="I1" s="220"/>
    </row>
    <row r="2" spans="1:9" s="1" customFormat="1" ht="27" customHeight="1">
      <c r="A2" s="164" t="s">
        <v>820</v>
      </c>
      <c r="B2" s="220"/>
      <c r="C2" s="220"/>
      <c r="D2" s="220"/>
      <c r="E2" s="220"/>
      <c r="F2" s="220"/>
      <c r="G2" s="220"/>
      <c r="H2" s="220"/>
      <c r="I2" s="220"/>
    </row>
    <row r="3" spans="1:9" ht="27" customHeight="1">
      <c r="A3" s="41" t="s">
        <v>640</v>
      </c>
      <c r="B3" s="6" t="s">
        <v>1181</v>
      </c>
      <c r="C3" s="42" t="s">
        <v>522</v>
      </c>
      <c r="D3" s="6" t="s">
        <v>574</v>
      </c>
      <c r="E3" s="42" t="s">
        <v>821</v>
      </c>
      <c r="F3" s="6" t="s">
        <v>828</v>
      </c>
      <c r="G3" s="42" t="s">
        <v>574</v>
      </c>
      <c r="H3" s="6" t="s">
        <v>822</v>
      </c>
      <c r="I3" s="42" t="s">
        <v>828</v>
      </c>
    </row>
    <row r="4" spans="1:9" ht="15" customHeight="1">
      <c r="A4" s="43"/>
      <c r="B4" s="170" t="s">
        <v>990</v>
      </c>
      <c r="C4" s="221" t="s">
        <v>523</v>
      </c>
      <c r="D4" s="12" t="s">
        <v>829</v>
      </c>
      <c r="E4" s="44" t="s">
        <v>830</v>
      </c>
      <c r="F4" s="12" t="s">
        <v>523</v>
      </c>
      <c r="G4" s="44" t="s">
        <v>994</v>
      </c>
      <c r="H4" s="12" t="s">
        <v>823</v>
      </c>
      <c r="I4" s="44" t="s">
        <v>523</v>
      </c>
    </row>
    <row r="5" spans="1:9" ht="15" hidden="1" customHeight="1">
      <c r="A5" s="43"/>
      <c r="B5" s="170"/>
      <c r="C5" s="221"/>
      <c r="D5" s="12" t="s">
        <v>996</v>
      </c>
      <c r="E5" s="44"/>
      <c r="F5" s="12"/>
      <c r="G5" s="44" t="s">
        <v>1000</v>
      </c>
      <c r="H5" s="12"/>
      <c r="I5" s="44"/>
    </row>
    <row r="6" spans="1:9" ht="15" customHeight="1">
      <c r="A6" s="43"/>
      <c r="B6" s="170" t="s">
        <v>1001</v>
      </c>
      <c r="C6" s="221" t="s">
        <v>524</v>
      </c>
      <c r="D6" s="170"/>
      <c r="E6" s="221"/>
      <c r="F6" s="170" t="s">
        <v>524</v>
      </c>
      <c r="G6" s="44" t="s">
        <v>831</v>
      </c>
      <c r="H6" s="170" t="s">
        <v>832</v>
      </c>
      <c r="I6" s="44" t="s">
        <v>524</v>
      </c>
    </row>
    <row r="7" spans="1:9" ht="27" customHeight="1">
      <c r="A7" s="182"/>
      <c r="B7" s="16" t="s">
        <v>1054</v>
      </c>
      <c r="C7" s="47"/>
      <c r="D7" s="16"/>
      <c r="E7" s="47"/>
      <c r="F7" s="16"/>
      <c r="G7" s="47"/>
      <c r="H7" s="16"/>
      <c r="I7" s="47"/>
    </row>
    <row r="8" spans="1:9" ht="30" customHeight="1" thickBot="1">
      <c r="A8" s="171">
        <f>[115]f!A8</f>
        <v>1985</v>
      </c>
      <c r="B8" s="20">
        <f>[115]f!B8</f>
        <v>6533300</v>
      </c>
      <c r="C8" s="749" t="str">
        <f>[115]f!C8</f>
        <v>-</v>
      </c>
      <c r="D8" s="20">
        <f>[115]f!D8</f>
        <v>9298</v>
      </c>
      <c r="E8" s="740">
        <f>[115]f!E8</f>
        <v>1.4231705263802366</v>
      </c>
      <c r="F8" s="750" t="str">
        <f>[115]f!F8</f>
        <v>-</v>
      </c>
      <c r="G8" s="50">
        <f>[115]f!G8</f>
        <v>1381</v>
      </c>
      <c r="H8" s="739">
        <f>[115]f!H8</f>
        <v>2.113786294828035</v>
      </c>
      <c r="I8" s="749" t="str">
        <f>[115]f!I8</f>
        <v>-</v>
      </c>
    </row>
    <row r="9" spans="1:9" ht="18" customHeight="1" thickBot="1">
      <c r="A9" s="172">
        <f>[115]f!A9</f>
        <v>1986</v>
      </c>
      <c r="B9" s="26">
        <f>[115]f!B9</f>
        <v>6572900</v>
      </c>
      <c r="C9" s="55">
        <f>[115]f!C9</f>
        <v>6.0612554145684418E-3</v>
      </c>
      <c r="D9" s="26">
        <f>[115]f!D9</f>
        <v>9646</v>
      </c>
      <c r="E9" s="751">
        <f>[115]f!E9</f>
        <v>1.4675409636537904</v>
      </c>
      <c r="F9" s="190">
        <f>[115]f!F9</f>
        <v>3.1177175504335297E-2</v>
      </c>
      <c r="G9" s="54">
        <f>[115]f!G9</f>
        <v>1418</v>
      </c>
      <c r="H9" s="739">
        <f>[115]f!H9</f>
        <v>2.1573430297129121</v>
      </c>
      <c r="I9" s="55">
        <f>[115]f!I9</f>
        <v>2.0606025780113502E-2</v>
      </c>
    </row>
    <row r="10" spans="1:9" ht="18" customHeight="1" thickBot="1">
      <c r="A10" s="172">
        <f>[115]f!A10</f>
        <v>1987</v>
      </c>
      <c r="B10" s="26">
        <f>[115]f!B10</f>
        <v>6619000</v>
      </c>
      <c r="C10" s="55">
        <f>[115]f!C10</f>
        <v>7.0136469442711744E-3</v>
      </c>
      <c r="D10" s="26">
        <f>[115]f!D10</f>
        <v>9945</v>
      </c>
      <c r="E10" s="751">
        <f>[115]f!E10</f>
        <v>1.5024928236893791</v>
      </c>
      <c r="F10" s="190">
        <f>[115]f!F10</f>
        <v>2.3816616299805249E-2</v>
      </c>
      <c r="G10" s="54">
        <f>[115]f!G10</f>
        <v>1417</v>
      </c>
      <c r="H10" s="739">
        <f>[115]f!H10</f>
        <v>2.1408067683940173</v>
      </c>
      <c r="I10" s="55">
        <f>[115]f!I10</f>
        <v>-7.6651052202372227E-3</v>
      </c>
    </row>
    <row r="11" spans="1:9" ht="18" customHeight="1" thickBot="1">
      <c r="A11" s="172">
        <f>[115]f!A11</f>
        <v>1988</v>
      </c>
      <c r="B11" s="26">
        <f>[115]f!B11</f>
        <v>6671500</v>
      </c>
      <c r="C11" s="55">
        <f>[115]f!C11</f>
        <v>7.9317117389333738E-3</v>
      </c>
      <c r="D11" s="26">
        <f>[115]f!D11</f>
        <v>10240</v>
      </c>
      <c r="E11" s="751">
        <f>[115]f!E11</f>
        <v>1.5348872067750881</v>
      </c>
      <c r="F11" s="190">
        <f>[115]f!F11</f>
        <v>2.1560424499176278E-2</v>
      </c>
      <c r="G11" s="54">
        <f>[115]f!G11</f>
        <v>1467</v>
      </c>
      <c r="H11" s="739">
        <f>[115]f!H11</f>
        <v>2.1989057932998577</v>
      </c>
      <c r="I11" s="55">
        <f>[115]f!I11</f>
        <v>2.7138845861097938E-2</v>
      </c>
    </row>
    <row r="12" spans="1:9" ht="18" customHeight="1" thickBot="1">
      <c r="A12" s="172">
        <f>[115]f!A12</f>
        <v>1989</v>
      </c>
      <c r="B12" s="26">
        <f>[115]f!B12</f>
        <v>6723000</v>
      </c>
      <c r="C12" s="55">
        <f>[115]f!C12</f>
        <v>7.7194034325114291E-3</v>
      </c>
      <c r="D12" s="26">
        <f>[115]f!D12</f>
        <v>10278</v>
      </c>
      <c r="E12" s="751">
        <f>[115]f!E12</f>
        <v>1.5287817938420347</v>
      </c>
      <c r="F12" s="190">
        <f>[115]f!F12</f>
        <v>-3.9777599983267242E-3</v>
      </c>
      <c r="G12" s="54">
        <f>[115]f!G12</f>
        <v>1510</v>
      </c>
      <c r="H12" s="739">
        <f>[115]f!H12</f>
        <v>2.2460211215231296</v>
      </c>
      <c r="I12" s="55">
        <f>[115]f!I12</f>
        <v>2.1426715217556902E-2</v>
      </c>
    </row>
    <row r="13" spans="1:9" ht="18" customHeight="1" thickBot="1">
      <c r="A13" s="172">
        <f>[115]f!A13</f>
        <v>1990</v>
      </c>
      <c r="B13" s="26">
        <f>[115]f!B13</f>
        <v>6796300</v>
      </c>
      <c r="C13" s="55">
        <f>[115]f!C13</f>
        <v>1.0902870742228172E-2</v>
      </c>
      <c r="D13" s="26">
        <f>[115]f!D13</f>
        <v>10398</v>
      </c>
      <c r="E13" s="751">
        <f>[115]f!E13</f>
        <v>1.5299501199181909</v>
      </c>
      <c r="F13" s="190">
        <f>[115]f!F13</f>
        <v>7.6422029675016212E-4</v>
      </c>
      <c r="G13" s="54">
        <f>[115]f!G13</f>
        <v>1536</v>
      </c>
      <c r="H13" s="739">
        <f>[115]f!H13</f>
        <v>2.2600532642761499</v>
      </c>
      <c r="I13" s="55">
        <f>[115]f!I13</f>
        <v>6.2475560085135662E-3</v>
      </c>
    </row>
    <row r="14" spans="1:9" ht="18" customHeight="1" thickBot="1">
      <c r="A14" s="172">
        <f>[115]f!A14</f>
        <v>1991</v>
      </c>
      <c r="B14" s="26">
        <f>[115]f!B14</f>
        <v>6880100</v>
      </c>
      <c r="C14" s="55">
        <f>[115]f!C14</f>
        <v>1.2330238512131601E-2</v>
      </c>
      <c r="D14" s="26">
        <f>[115]f!D14</f>
        <v>10781</v>
      </c>
      <c r="E14" s="751">
        <f>[115]f!E14</f>
        <v>1.5669830380372378</v>
      </c>
      <c r="F14" s="190">
        <f>[115]f!F14</f>
        <v>2.4205310772502209E-2</v>
      </c>
      <c r="G14" s="54">
        <f>[115]f!G14</f>
        <v>1537</v>
      </c>
      <c r="H14" s="739">
        <f>[115]f!H14</f>
        <v>2.2339791572796908</v>
      </c>
      <c r="I14" s="55">
        <f>[115]f!I14</f>
        <v>-1.153694357942936E-2</v>
      </c>
    </row>
    <row r="15" spans="1:9" ht="18" customHeight="1" thickBot="1">
      <c r="A15" s="172">
        <f>[115]f!A15</f>
        <v>1992</v>
      </c>
      <c r="B15" s="26">
        <f>[115]f!B15</f>
        <v>6943100</v>
      </c>
      <c r="C15" s="55">
        <f>[115]f!C15</f>
        <v>9.1568436505283356E-3</v>
      </c>
      <c r="D15" s="26">
        <f>[115]f!D15</f>
        <v>11120</v>
      </c>
      <c r="E15" s="751">
        <f>[115]f!E15</f>
        <v>1.6015900678371333</v>
      </c>
      <c r="F15" s="190">
        <f>[115]f!F15</f>
        <v>2.2085133635679544E-2</v>
      </c>
      <c r="G15" s="54">
        <f>[115]f!G15</f>
        <v>1562</v>
      </c>
      <c r="H15" s="739">
        <f>[115]f!H15</f>
        <v>2.2497155449294985</v>
      </c>
      <c r="I15" s="55">
        <f>[115]f!I15</f>
        <v>7.0441067449213968E-3</v>
      </c>
    </row>
    <row r="16" spans="1:9" ht="18" customHeight="1" thickBot="1">
      <c r="A16" s="172">
        <f>[115]f!A16</f>
        <v>1993</v>
      </c>
      <c r="B16" s="26">
        <f>[115]f!B16</f>
        <v>6988900</v>
      </c>
      <c r="C16" s="55">
        <f>[115]f!C16</f>
        <v>6.5964770779622936E-3</v>
      </c>
      <c r="D16" s="26">
        <f>[115]f!D16</f>
        <v>11563</v>
      </c>
      <c r="E16" s="751">
        <f>[115]f!E16</f>
        <v>1.6544806765013091</v>
      </c>
      <c r="F16" s="190">
        <f>[115]f!F16</f>
        <v>3.3023811602179709E-2</v>
      </c>
      <c r="G16" s="54">
        <f>[115]f!G16</f>
        <v>1543</v>
      </c>
      <c r="H16" s="739">
        <f>[115]f!H16</f>
        <v>2.2077866330896136</v>
      </c>
      <c r="I16" s="55">
        <f>[115]f!I16</f>
        <v>-1.8637428155922175E-2</v>
      </c>
    </row>
    <row r="17" spans="1:9" ht="18" customHeight="1" thickBot="1">
      <c r="A17" s="172">
        <f>[115]f!A17</f>
        <v>1994</v>
      </c>
      <c r="B17" s="26">
        <f>[115]f!B17</f>
        <v>7036851.9999999898</v>
      </c>
      <c r="C17" s="55">
        <f>[115]f!C17</f>
        <v>6.8611655625334111E-3</v>
      </c>
      <c r="D17" s="26">
        <f>[115]f!D17</f>
        <v>11814</v>
      </c>
      <c r="E17" s="751">
        <f>[115]f!E17</f>
        <v>1.6788757245427384</v>
      </c>
      <c r="F17" s="190">
        <f>[115]f!F17</f>
        <v>1.4744837088709328E-2</v>
      </c>
      <c r="G17" s="54">
        <f>[115]f!G17</f>
        <v>1614</v>
      </c>
      <c r="H17" s="739">
        <f>[115]f!H17</f>
        <v>2.2936392580091245</v>
      </c>
      <c r="I17" s="55">
        <f>[115]f!I17</f>
        <v>3.8886287122486651E-2</v>
      </c>
    </row>
    <row r="18" spans="1:9" ht="18" customHeight="1" thickBot="1">
      <c r="A18" s="172">
        <f>[115]f!A18</f>
        <v>1995</v>
      </c>
      <c r="B18" s="26">
        <f>[115]f!B18</f>
        <v>7080948</v>
      </c>
      <c r="C18" s="55">
        <f>[115]f!C18</f>
        <v>6.2664384585621961E-3</v>
      </c>
      <c r="D18" s="26">
        <f>[115]f!D18</f>
        <v>12327</v>
      </c>
      <c r="E18" s="751">
        <f>[115]f!E18</f>
        <v>1.7408685955609333</v>
      </c>
      <c r="F18" s="190">
        <f>[115]f!F18</f>
        <v>3.6925229254285208E-2</v>
      </c>
      <c r="G18" s="54">
        <f>[115]f!G18</f>
        <v>1641</v>
      </c>
      <c r="H18" s="739">
        <f>[115]f!H18</f>
        <v>2.3174863026815054</v>
      </c>
      <c r="I18" s="55">
        <f>[115]f!I18</f>
        <v>1.0397033704890424E-2</v>
      </c>
    </row>
    <row r="19" spans="1:9" ht="18" customHeight="1" thickBot="1">
      <c r="A19" s="172">
        <f>[115]f!A19</f>
        <v>1996</v>
      </c>
      <c r="B19" s="26">
        <f>[115]f!B19</f>
        <v>7105446</v>
      </c>
      <c r="C19" s="55">
        <f>[115]f!C19</f>
        <v>3.459706242723432E-3</v>
      </c>
      <c r="D19" s="26">
        <f>[115]f!D19</f>
        <v>12711</v>
      </c>
      <c r="E19" s="751">
        <f>[115]f!E19</f>
        <v>1.7889095209505499</v>
      </c>
      <c r="F19" s="190">
        <f>[115]f!F19</f>
        <v>2.7595951533686547E-2</v>
      </c>
      <c r="G19" s="54">
        <f>[115]f!G19</f>
        <v>1649</v>
      </c>
      <c r="H19" s="739">
        <f>[115]f!H19</f>
        <v>2.3207550940503947</v>
      </c>
      <c r="I19" s="55">
        <f>[115]f!I19</f>
        <v>1.4104900491136441E-3</v>
      </c>
    </row>
    <row r="20" spans="1:9" ht="18" customHeight="1" thickBot="1">
      <c r="A20" s="172">
        <f>[115]f!A20</f>
        <v>1997</v>
      </c>
      <c r="B20" s="26">
        <f>[115]f!B20</f>
        <v>7113565</v>
      </c>
      <c r="C20" s="55">
        <f>[115]f!C20</f>
        <v>1.142644670017899E-3</v>
      </c>
      <c r="D20" s="26">
        <f>[115]f!D20</f>
        <v>13038</v>
      </c>
      <c r="E20" s="751">
        <f>[115]f!E20</f>
        <v>1.8328362782936545</v>
      </c>
      <c r="F20" s="190">
        <f>[115]f!F20</f>
        <v>2.4555046987375651E-2</v>
      </c>
      <c r="G20" s="54">
        <f>[115]f!G20</f>
        <v>1651</v>
      </c>
      <c r="H20" s="739">
        <f>[115]f!H20</f>
        <v>2.3209178520193463</v>
      </c>
      <c r="I20" s="55">
        <f>[115]f!I20</f>
        <v>7.0131471161527514E-5</v>
      </c>
    </row>
    <row r="21" spans="1:9" ht="18" customHeight="1" thickBot="1">
      <c r="A21" s="172">
        <f>[115]f!A21</f>
        <v>1998</v>
      </c>
      <c r="B21" s="26">
        <f>[115]f!B21</f>
        <v>7131888</v>
      </c>
      <c r="C21" s="55">
        <f>[115]f!C21</f>
        <v>2.5757830286220764E-3</v>
      </c>
      <c r="D21" s="26">
        <f>[115]f!D21</f>
        <v>13357</v>
      </c>
      <c r="E21" s="751">
        <f>[115]f!E21</f>
        <v>1.8728561076674226</v>
      </c>
      <c r="F21" s="190">
        <f>[115]f!F21</f>
        <v>2.1834917743458249E-2</v>
      </c>
      <c r="G21" s="54">
        <f>[115]f!G21</f>
        <v>1653</v>
      </c>
      <c r="H21" s="739">
        <f>[115]f!H21</f>
        <v>2.3177593366581193</v>
      </c>
      <c r="I21" s="55">
        <f>[115]f!I21</f>
        <v>-1.3608906314710456E-3</v>
      </c>
    </row>
    <row r="22" spans="1:9" ht="18" customHeight="1" thickBot="1">
      <c r="A22" s="172">
        <f>[115]f!A22</f>
        <v>1999</v>
      </c>
      <c r="B22" s="26">
        <f>[115]f!B22</f>
        <v>7166738</v>
      </c>
      <c r="C22" s="55">
        <f>[115]f!C22</f>
        <v>4.8865041066264644E-3</v>
      </c>
      <c r="D22" s="26">
        <f>[115]f!D22</f>
        <v>13622</v>
      </c>
      <c r="E22" s="751">
        <f>[115]f!E22</f>
        <v>1.9007252671996662</v>
      </c>
      <c r="F22" s="190">
        <f>[115]f!F22</f>
        <v>1.4880566327625466E-2</v>
      </c>
      <c r="G22" s="54">
        <f>[115]f!G22</f>
        <v>1654</v>
      </c>
      <c r="H22" s="739">
        <f>[115]f!H22</f>
        <v>2.3078840052475758</v>
      </c>
      <c r="I22" s="55">
        <f>[115]f!I22</f>
        <v>-5.6158156396747261E-3</v>
      </c>
    </row>
    <row r="23" spans="1:9" ht="18" customHeight="1" thickBot="1">
      <c r="A23" s="172">
        <f>[115]f!A23</f>
        <v>2000</v>
      </c>
      <c r="B23" s="26">
        <f>[115]f!B23</f>
        <v>7209042</v>
      </c>
      <c r="C23" s="55">
        <f>[115]f!C23</f>
        <v>5.9028249672305588E-3</v>
      </c>
      <c r="D23" s="26">
        <f>[115]f!D23</f>
        <v>13935</v>
      </c>
      <c r="E23" s="751">
        <f>[115]f!E23</f>
        <v>1.9329891544535323</v>
      </c>
      <c r="F23" s="190">
        <f>[115]f!F23</f>
        <v>1.6974513787255674E-2</v>
      </c>
      <c r="G23" s="54">
        <f>[115]f!G23</f>
        <v>1664</v>
      </c>
      <c r="H23" s="739">
        <f>[115]f!H23</f>
        <v>2.3082123810625603</v>
      </c>
      <c r="I23" s="55">
        <f>[115]f!I23</f>
        <v>-4.1190452539927591E-3</v>
      </c>
    </row>
    <row r="24" spans="1:9" ht="30" customHeight="1" thickBot="1">
      <c r="A24" s="173">
        <f>[115]f!A24</f>
        <v>2001</v>
      </c>
      <c r="B24" s="39">
        <f>[115]f!B24</f>
        <v>7260339</v>
      </c>
      <c r="C24" s="192">
        <f>[115]f!C24</f>
        <v>7.1156472663080617E-3</v>
      </c>
      <c r="D24" s="39">
        <f>[115]f!D24</f>
        <v>14178</v>
      </c>
      <c r="E24" s="752">
        <f>[115]f!E24</f>
        <v>1.952801377456342</v>
      </c>
      <c r="F24" s="80">
        <f>[115]f!F24</f>
        <v>1.0249526210306614E-2</v>
      </c>
      <c r="G24" s="57">
        <f>[115]f!G24</f>
        <v>1653</v>
      </c>
      <c r="H24" s="753">
        <f>[115]f!H24</f>
        <v>2.2767531929294211</v>
      </c>
      <c r="I24" s="192">
        <f>[115]f!I24</f>
        <v>-1.362924330154458E-2</v>
      </c>
    </row>
    <row r="25" spans="1:9" ht="20" customHeight="1">
      <c r="A25" s="222" t="str">
        <f>'[106]data '!$D$2</f>
        <v>Datenstand: 17.11.2002</v>
      </c>
      <c r="B25" s="223"/>
      <c r="C25" s="223"/>
      <c r="D25" s="223"/>
      <c r="E25" s="223"/>
      <c r="F25" s="223"/>
      <c r="G25" s="223"/>
      <c r="H25" s="223"/>
      <c r="I25" s="223"/>
    </row>
    <row r="26" spans="1:9" ht="17.25" customHeight="1">
      <c r="A26" s="224"/>
      <c r="B26" s="225"/>
      <c r="C26" s="225"/>
      <c r="D26" s="225"/>
      <c r="E26" s="225"/>
      <c r="F26" s="225"/>
      <c r="G26" s="225"/>
      <c r="H26" s="225"/>
      <c r="I26" s="225"/>
    </row>
    <row r="27" spans="1:9" ht="12" customHeight="1">
      <c r="A27" s="224" t="s">
        <v>824</v>
      </c>
      <c r="B27" s="225"/>
      <c r="C27" s="225"/>
      <c r="D27" s="225"/>
      <c r="E27" s="225"/>
      <c r="F27" s="225"/>
      <c r="G27" s="225"/>
      <c r="H27" s="225"/>
      <c r="I27" s="225"/>
    </row>
    <row r="28" spans="1:9" ht="12" customHeight="1">
      <c r="A28" s="218" t="s">
        <v>825</v>
      </c>
      <c r="B28" s="225"/>
      <c r="C28" s="225"/>
      <c r="D28" s="225"/>
      <c r="E28" s="225"/>
      <c r="F28" s="225"/>
      <c r="G28" s="225"/>
      <c r="H28" s="225"/>
      <c r="I28" s="225"/>
    </row>
    <row r="29" spans="1:9" ht="12" customHeight="1">
      <c r="A29" s="218" t="s">
        <v>826</v>
      </c>
      <c r="B29" s="225"/>
      <c r="C29" s="225"/>
      <c r="D29" s="225"/>
      <c r="E29" s="225"/>
      <c r="F29" s="225"/>
      <c r="G29" s="225"/>
      <c r="H29" s="225"/>
      <c r="I29" s="225"/>
    </row>
    <row r="30" spans="1:9" ht="12" customHeight="1">
      <c r="A30" s="218" t="s">
        <v>827</v>
      </c>
      <c r="B30" s="225"/>
      <c r="C30" s="225"/>
      <c r="D30" s="225"/>
      <c r="E30" s="225"/>
      <c r="F30" s="225"/>
      <c r="G30" s="225"/>
      <c r="H30" s="225"/>
      <c r="I30" s="225"/>
    </row>
    <row r="31" spans="1:9" ht="39.75" customHeight="1">
      <c r="A31" s="163"/>
      <c r="B31" s="226"/>
      <c r="C31" s="226"/>
      <c r="D31" s="226"/>
      <c r="E31" s="226"/>
      <c r="F31" s="226"/>
      <c r="G31" s="226"/>
      <c r="H31" s="226"/>
      <c r="I31" s="226"/>
    </row>
    <row r="32" spans="1:9" ht="18" customHeight="1">
      <c r="A32" s="286"/>
      <c r="B32" s="226"/>
      <c r="C32" s="226"/>
      <c r="D32" s="226"/>
      <c r="E32" s="226"/>
      <c r="F32" s="226"/>
      <c r="G32" s="226"/>
      <c r="H32" s="226"/>
      <c r="I32" s="226"/>
    </row>
    <row r="33" spans="1:13" ht="31" customHeight="1">
      <c r="A33" s="218"/>
      <c r="B33" s="226"/>
      <c r="C33" s="226"/>
      <c r="D33" s="226"/>
      <c r="E33" s="226"/>
      <c r="F33" s="226"/>
      <c r="G33" s="226"/>
      <c r="H33" s="226"/>
      <c r="I33" s="226"/>
    </row>
    <row r="34" spans="1:13" ht="31" customHeight="1">
      <c r="A34" s="218"/>
      <c r="B34" s="226"/>
      <c r="C34" s="226"/>
      <c r="D34" s="226"/>
      <c r="E34" s="226"/>
      <c r="F34" s="226"/>
      <c r="G34" s="226"/>
      <c r="H34" s="226"/>
      <c r="I34" s="226"/>
      <c r="L34" s="286"/>
    </row>
    <row r="35" spans="1:13" ht="31" customHeight="1">
      <c r="A35" s="218"/>
      <c r="B35" s="226"/>
      <c r="C35" s="226"/>
      <c r="D35" s="226"/>
      <c r="E35" s="226"/>
      <c r="F35" s="226"/>
      <c r="G35" s="226"/>
      <c r="H35" s="226"/>
      <c r="I35" s="226"/>
      <c r="M35" s="218"/>
    </row>
    <row r="36" spans="1:13" ht="31" customHeight="1">
      <c r="A36" s="218"/>
      <c r="B36" s="226"/>
      <c r="C36" s="226"/>
      <c r="D36" s="226"/>
      <c r="E36" s="226"/>
      <c r="F36" s="226"/>
      <c r="G36" s="226"/>
      <c r="H36" s="226"/>
      <c r="I36" s="226"/>
    </row>
    <row r="37" spans="1:13" ht="31" customHeight="1">
      <c r="A37" s="218"/>
      <c r="B37" s="226"/>
      <c r="C37" s="226"/>
      <c r="D37" s="226"/>
      <c r="E37" s="226"/>
      <c r="F37" s="226"/>
      <c r="G37" s="226"/>
      <c r="H37" s="226"/>
      <c r="I37" s="226"/>
    </row>
    <row r="38" spans="1:13" ht="31" customHeight="1">
      <c r="A38" s="218"/>
      <c r="B38" s="226"/>
      <c r="C38" s="226"/>
      <c r="D38" s="226"/>
      <c r="E38" s="226"/>
      <c r="F38" s="226"/>
      <c r="G38" s="226"/>
      <c r="H38" s="226"/>
      <c r="I38" s="226"/>
    </row>
    <row r="39" spans="1:13" ht="31" customHeight="1">
      <c r="A39" s="218"/>
      <c r="B39" s="226"/>
      <c r="C39" s="226"/>
      <c r="D39" s="226"/>
      <c r="E39" s="226"/>
      <c r="F39" s="226"/>
      <c r="G39" s="226"/>
      <c r="H39" s="226"/>
      <c r="I39" s="226"/>
    </row>
    <row r="40" spans="1:13" ht="18" customHeight="1">
      <c r="A40" s="218"/>
      <c r="B40" s="226"/>
      <c r="C40" s="226"/>
      <c r="D40" s="226"/>
      <c r="E40" s="226"/>
      <c r="F40" s="226"/>
      <c r="G40" s="226"/>
      <c r="H40" s="226"/>
      <c r="I40" s="226"/>
    </row>
    <row r="41" spans="1:13">
      <c r="A41" s="218"/>
      <c r="B41" s="226"/>
      <c r="C41" s="226"/>
      <c r="D41" s="226"/>
      <c r="E41" s="226"/>
      <c r="F41" s="226"/>
      <c r="G41" s="226"/>
      <c r="H41" s="226"/>
      <c r="I41" s="226"/>
    </row>
  </sheetData>
  <phoneticPr fontId="0" type="noConversion"/>
  <pageMargins left="0.78740157480314965" right="0.33" top="1.45" bottom="0.49" header="0.94" footer="0.4921259845"/>
  <pageSetup paperSize="9" scale="80" orientation="portrait" horizontalDpi="4294967292" verticalDpi="4294967292"/>
  <headerFooter alignWithMargins="0">
    <oddHeader>&amp;L&amp;"Arial,Bold"&amp;14Zusatzinformationen zum Gesundheitswesen</oddHeader>
    <oddFooter>&amp;L&amp;"Arial,Regular"Statistik über die Krankenversicherung, Bundesamt für Sozialversicherung</odd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714EC-85A2-1840-B727-0E38450851F7}">
  <dimension ref="A1:J33"/>
  <sheetViews>
    <sheetView zoomScale="75" workbookViewId="0">
      <selection activeCell="B5" sqref="B5"/>
    </sheetView>
  </sheetViews>
  <sheetFormatPr baseColWidth="10" defaultColWidth="11.3984375" defaultRowHeight="13"/>
  <cols>
    <col min="1" max="1" width="15.59765625" style="7" customWidth="1"/>
    <col min="2" max="2" width="12.796875" style="227" customWidth="1"/>
    <col min="3" max="3" width="12.19921875" style="227" customWidth="1"/>
    <col min="4" max="4" width="14.796875" style="227" customWidth="1"/>
    <col min="5" max="5" width="14.59765625" style="227" customWidth="1"/>
    <col min="6" max="6" width="14.3984375" style="227" customWidth="1"/>
    <col min="7" max="7" width="14.796875" style="227" customWidth="1"/>
    <col min="8" max="8" width="13.796875" style="7" customWidth="1"/>
    <col min="9" max="9" width="14.19921875" style="7" customWidth="1"/>
    <col min="10" max="10" width="11" customWidth="1"/>
    <col min="11" max="16384" width="11.3984375" style="7"/>
  </cols>
  <sheetData>
    <row r="1" spans="1:10" s="1" customFormat="1" ht="14" customHeight="1">
      <c r="A1" s="163"/>
      <c r="B1" s="220"/>
      <c r="C1" s="220"/>
      <c r="D1" s="220"/>
      <c r="E1" s="220"/>
      <c r="F1" s="220"/>
      <c r="G1" s="220"/>
      <c r="H1" s="163"/>
      <c r="J1"/>
    </row>
    <row r="2" spans="1:10" s="1" customFormat="1" ht="27" customHeight="1">
      <c r="A2" s="164" t="s">
        <v>586</v>
      </c>
      <c r="B2" s="220"/>
      <c r="C2" s="220"/>
      <c r="D2" s="220"/>
      <c r="E2" s="220"/>
      <c r="F2" s="220"/>
      <c r="G2" s="220"/>
      <c r="H2" s="163"/>
      <c r="I2" s="167"/>
      <c r="J2"/>
    </row>
    <row r="3" spans="1:10" ht="21.75" customHeight="1">
      <c r="A3" s="41" t="s">
        <v>640</v>
      </c>
      <c r="B3" s="754" t="s">
        <v>599</v>
      </c>
      <c r="C3" s="42"/>
      <c r="D3" s="6"/>
      <c r="E3" s="755" t="s">
        <v>587</v>
      </c>
      <c r="F3" s="6"/>
      <c r="G3" s="42"/>
      <c r="H3" s="6"/>
      <c r="I3" s="756" t="s">
        <v>588</v>
      </c>
    </row>
    <row r="4" spans="1:10" ht="18" customHeight="1">
      <c r="A4" s="43"/>
      <c r="B4" s="170"/>
      <c r="C4" s="44"/>
      <c r="D4" s="12"/>
      <c r="E4" s="757" t="s">
        <v>600</v>
      </c>
      <c r="F4" s="170"/>
      <c r="G4" s="44"/>
      <c r="H4" s="12"/>
      <c r="I4" s="758" t="s">
        <v>141</v>
      </c>
    </row>
    <row r="5" spans="1:10" s="140" customFormat="1" ht="15" customHeight="1">
      <c r="A5" s="87"/>
      <c r="B5" s="12" t="s">
        <v>589</v>
      </c>
      <c r="C5" s="44" t="s">
        <v>589</v>
      </c>
      <c r="D5" s="88" t="s">
        <v>588</v>
      </c>
      <c r="E5" s="758" t="s">
        <v>589</v>
      </c>
      <c r="F5" s="12" t="s">
        <v>589</v>
      </c>
      <c r="G5" s="44" t="s">
        <v>589</v>
      </c>
      <c r="H5" s="88" t="s">
        <v>588</v>
      </c>
      <c r="I5" s="758" t="s">
        <v>590</v>
      </c>
      <c r="J5" s="759"/>
    </row>
    <row r="6" spans="1:10" s="140" customFormat="1" ht="15" customHeight="1">
      <c r="A6" s="87"/>
      <c r="B6" s="170" t="s">
        <v>591</v>
      </c>
      <c r="C6" s="44" t="s">
        <v>592</v>
      </c>
      <c r="D6" s="88" t="s">
        <v>141</v>
      </c>
      <c r="E6" s="758" t="s">
        <v>593</v>
      </c>
      <c r="F6" s="170" t="s">
        <v>591</v>
      </c>
      <c r="G6" s="44" t="s">
        <v>592</v>
      </c>
      <c r="H6" s="88" t="s">
        <v>141</v>
      </c>
      <c r="I6" s="758" t="s">
        <v>594</v>
      </c>
      <c r="J6" s="759"/>
    </row>
    <row r="7" spans="1:10" s="140" customFormat="1" ht="18" customHeight="1">
      <c r="A7" s="87"/>
      <c r="B7" s="88" t="s">
        <v>1059</v>
      </c>
      <c r="C7" s="89" t="s">
        <v>1059</v>
      </c>
      <c r="D7" s="88"/>
      <c r="E7" s="758" t="s">
        <v>595</v>
      </c>
      <c r="F7" s="88" t="s">
        <v>1059</v>
      </c>
      <c r="G7" s="89" t="s">
        <v>1059</v>
      </c>
      <c r="H7" s="88"/>
      <c r="I7" s="758"/>
      <c r="J7" s="759"/>
    </row>
    <row r="8" spans="1:10" s="140" customFormat="1" ht="24" customHeight="1">
      <c r="A8" s="87"/>
      <c r="B8" s="88"/>
      <c r="C8" s="89"/>
      <c r="D8" s="88"/>
      <c r="E8" s="758" t="s">
        <v>1059</v>
      </c>
      <c r="F8" s="88"/>
      <c r="G8" s="89"/>
      <c r="H8" s="88"/>
      <c r="I8" s="758"/>
      <c r="J8" s="759"/>
    </row>
    <row r="9" spans="1:10" ht="27" customHeight="1" thickBot="1">
      <c r="A9" s="760">
        <f>[116]f!A9</f>
        <v>1994</v>
      </c>
      <c r="B9" s="761">
        <f>[116]f!B9</f>
        <v>0.64913634112053775</v>
      </c>
      <c r="C9" s="762">
        <f>[116]f!C9</f>
        <v>0.35086365887946225</v>
      </c>
      <c r="D9" s="763">
        <f>[116]f!D9</f>
        <v>2093477</v>
      </c>
      <c r="E9" s="764" t="str">
        <f>[116]f!E9</f>
        <v>-</v>
      </c>
      <c r="F9" s="761" t="str">
        <f>[116]f!F9</f>
        <v>-</v>
      </c>
      <c r="G9" s="762" t="str">
        <f>[116]f!G9</f>
        <v>-</v>
      </c>
      <c r="H9" s="761" t="str">
        <f>[116]f!H9</f>
        <v>-</v>
      </c>
      <c r="I9" s="765">
        <f>[116]f!I9</f>
        <v>7131653</v>
      </c>
    </row>
    <row r="10" spans="1:10" ht="27" customHeight="1" thickBot="1">
      <c r="A10" s="760">
        <f>[116]f!A10</f>
        <v>1995</v>
      </c>
      <c r="B10" s="761">
        <f>[116]f!B10</f>
        <v>0.64902365167164511</v>
      </c>
      <c r="C10" s="762">
        <f>[116]f!C10</f>
        <v>0.35097634832835489</v>
      </c>
      <c r="D10" s="763">
        <f>[116]f!D10</f>
        <v>2141244</v>
      </c>
      <c r="E10" s="764" t="str">
        <f>[116]f!E10</f>
        <v>-</v>
      </c>
      <c r="F10" s="761" t="str">
        <f>[116]f!F10</f>
        <v>-</v>
      </c>
      <c r="G10" s="762" t="str">
        <f>[116]f!G10</f>
        <v>-</v>
      </c>
      <c r="H10" s="761" t="str">
        <f>[116]f!H10</f>
        <v>-</v>
      </c>
      <c r="I10" s="765">
        <f>[116]f!I10</f>
        <v>7166317</v>
      </c>
    </row>
    <row r="11" spans="1:10" ht="27" customHeight="1" thickBot="1">
      <c r="A11" s="760">
        <f>[116]f!A11</f>
        <v>1996</v>
      </c>
      <c r="B11" s="761">
        <f>[116]f!B11</f>
        <v>0.65117543144448975</v>
      </c>
      <c r="C11" s="762">
        <f>[116]f!C11</f>
        <v>0.34882456855551025</v>
      </c>
      <c r="D11" s="763">
        <f>[116]f!D11</f>
        <v>2075238</v>
      </c>
      <c r="E11" s="764" t="str">
        <f>[116]f!E11</f>
        <v>-</v>
      </c>
      <c r="F11" s="761" t="str">
        <f>[116]f!F11</f>
        <v>-</v>
      </c>
      <c r="G11" s="762" t="str">
        <f>[116]f!G11</f>
        <v>-</v>
      </c>
      <c r="H11" s="761" t="str">
        <f>[116]f!H11</f>
        <v>-</v>
      </c>
      <c r="I11" s="765">
        <f>[116]f!I11</f>
        <v>7194754</v>
      </c>
    </row>
    <row r="12" spans="1:10" ht="27" customHeight="1" thickBot="1">
      <c r="A12" s="760">
        <f>[116]f!A12</f>
        <v>1997</v>
      </c>
      <c r="B12" s="761">
        <f>[116]f!B12</f>
        <v>0.66382506296613342</v>
      </c>
      <c r="C12" s="762">
        <f>[116]f!C12</f>
        <v>0.33617493703386658</v>
      </c>
      <c r="D12" s="763">
        <f>[116]f!D12</f>
        <v>1860921</v>
      </c>
      <c r="E12" s="764" t="str">
        <f>[116]f!E12</f>
        <v>-</v>
      </c>
      <c r="F12" s="761" t="str">
        <f>[116]f!F12</f>
        <v>-</v>
      </c>
      <c r="G12" s="762" t="str">
        <f>[116]f!G12</f>
        <v>-</v>
      </c>
      <c r="H12" s="761" t="str">
        <f>[116]f!H12</f>
        <v>-</v>
      </c>
      <c r="I12" s="765">
        <f>[116]f!I12</f>
        <v>7214805</v>
      </c>
    </row>
    <row r="13" spans="1:10" ht="27" customHeight="1" thickBot="1">
      <c r="A13" s="760">
        <f>[116]f!A13</f>
        <v>1998</v>
      </c>
      <c r="B13" s="761">
        <f>[116]f!B13</f>
        <v>0.67741416077473582</v>
      </c>
      <c r="C13" s="762">
        <f>[116]f!C13</f>
        <v>0.32258583922526413</v>
      </c>
      <c r="D13" s="763">
        <f>[116]f!D13</f>
        <v>1807274</v>
      </c>
      <c r="E13" s="764">
        <f>[116]f!E13</f>
        <v>0.54046550517142622</v>
      </c>
      <c r="F13" s="761">
        <f>[116]f!F13</f>
        <v>0.35042716661143747</v>
      </c>
      <c r="G13" s="762">
        <f>[116]f!G13</f>
        <v>0.10910732821713626</v>
      </c>
      <c r="H13" s="763">
        <f>[116]f!H13</f>
        <v>4556770</v>
      </c>
      <c r="I13" s="765">
        <f>[116]f!I13</f>
        <v>7248603</v>
      </c>
    </row>
    <row r="14" spans="1:10" ht="27" customHeight="1" thickBot="1">
      <c r="A14" s="172">
        <f>[116]f!A14</f>
        <v>1999</v>
      </c>
      <c r="B14" s="761">
        <f>[116]f!B14</f>
        <v>0.67548669785650473</v>
      </c>
      <c r="C14" s="762">
        <f>[116]f!C14</f>
        <v>0.32451330214349527</v>
      </c>
      <c r="D14" s="763">
        <f>[116]f!D14</f>
        <v>1664431</v>
      </c>
      <c r="E14" s="764">
        <f>[116]f!E14</f>
        <v>0.54530434231953784</v>
      </c>
      <c r="F14" s="761">
        <f>[116]f!F14</f>
        <v>0.34677734049080544</v>
      </c>
      <c r="G14" s="762">
        <f>[116]f!G14</f>
        <v>0.10791831718965675</v>
      </c>
      <c r="H14" s="763">
        <f>[116]f!H14</f>
        <v>4674276</v>
      </c>
      <c r="I14" s="765">
        <f>[116]f!I14</f>
        <v>7266534</v>
      </c>
    </row>
    <row r="15" spans="1:10" ht="27" customHeight="1" thickBot="1">
      <c r="A15" s="172">
        <f>[116]f!A15</f>
        <v>2000</v>
      </c>
      <c r="B15" s="761">
        <f>[116]f!B15</f>
        <v>0.6646714053195919</v>
      </c>
      <c r="C15" s="762">
        <f>[116]f!C15</f>
        <v>0.3353285946804081</v>
      </c>
      <c r="D15" s="763">
        <f>[116]f!D15</f>
        <v>1347359</v>
      </c>
      <c r="E15" s="764">
        <f>[116]f!E15</f>
        <v>0.56672686731705502</v>
      </c>
      <c r="F15" s="761">
        <f>[116]f!F15</f>
        <v>0.32513331696887549</v>
      </c>
      <c r="G15" s="762">
        <f>[116]f!G15</f>
        <v>0.10813981571406944</v>
      </c>
      <c r="H15" s="763">
        <f>[116]f!H15</f>
        <v>5059746</v>
      </c>
      <c r="I15" s="765">
        <f>[116]f!I15</f>
        <v>7268111</v>
      </c>
    </row>
    <row r="16" spans="1:10" s="276" customFormat="1" ht="27" customHeight="1" thickBot="1">
      <c r="A16" s="173">
        <f>[116]f!A16</f>
        <v>2001</v>
      </c>
      <c r="B16" s="766">
        <f>[116]f!B16</f>
        <v>0.6589354522662223</v>
      </c>
      <c r="C16" s="767">
        <f>[116]f!C16</f>
        <v>0.3410645477337777</v>
      </c>
      <c r="D16" s="768">
        <f>[116]f!D16</f>
        <v>1323811</v>
      </c>
      <c r="E16" s="769">
        <f>[116]f!E16</f>
        <v>0.58139958698863159</v>
      </c>
      <c r="F16" s="766">
        <f>[116]f!F16</f>
        <v>0.3178747735837848</v>
      </c>
      <c r="G16" s="767">
        <f>[116]f!G16</f>
        <v>0.10072563942758356</v>
      </c>
      <c r="H16" s="768">
        <f>[116]f!H16</f>
        <v>4965965</v>
      </c>
      <c r="I16" s="770">
        <f>[116]f!I16</f>
        <v>7321287</v>
      </c>
      <c r="J16" s="771"/>
    </row>
    <row r="17" spans="1:8" ht="20" customHeight="1">
      <c r="A17" s="222" t="str">
        <f>'[106]data '!$D$2</f>
        <v>Datenstand: 17.11.2002</v>
      </c>
      <c r="B17" s="223"/>
      <c r="C17" s="223"/>
      <c r="D17" s="223"/>
      <c r="E17" s="223"/>
      <c r="F17" s="223"/>
      <c r="G17" s="223"/>
      <c r="H17" s="223"/>
    </row>
    <row r="18" spans="1:8" ht="11.25" customHeight="1">
      <c r="A18" s="224"/>
      <c r="B18" s="225"/>
      <c r="C18" s="225"/>
      <c r="D18" s="225"/>
      <c r="E18" s="225"/>
      <c r="F18" s="225"/>
      <c r="G18" s="225"/>
      <c r="H18" s="225"/>
    </row>
    <row r="19" spans="1:8" ht="11.25" customHeight="1">
      <c r="A19" s="224" t="s">
        <v>596</v>
      </c>
      <c r="B19" s="225"/>
      <c r="C19" s="225"/>
      <c r="D19" s="225"/>
      <c r="E19" s="225"/>
      <c r="F19" s="225"/>
      <c r="G19" s="225"/>
      <c r="H19" s="225"/>
    </row>
    <row r="20" spans="1:8" ht="12.75" customHeight="1">
      <c r="A20" s="224" t="s">
        <v>597</v>
      </c>
      <c r="B20" s="225"/>
      <c r="C20" s="225"/>
      <c r="D20" s="225"/>
      <c r="E20" s="225"/>
      <c r="F20" s="225"/>
      <c r="G20" s="225"/>
      <c r="H20" s="225"/>
    </row>
    <row r="21" spans="1:8" ht="12.75" customHeight="1">
      <c r="A21" s="224" t="s">
        <v>598</v>
      </c>
      <c r="B21" s="225"/>
      <c r="C21" s="225"/>
      <c r="D21" s="225"/>
      <c r="E21" s="225"/>
      <c r="F21" s="225"/>
      <c r="G21" s="225"/>
      <c r="H21" s="218"/>
    </row>
    <row r="22" spans="1:8" ht="131.25" customHeight="1">
      <c r="A22" s="163"/>
      <c r="B22" s="226"/>
      <c r="C22" s="226"/>
      <c r="D22" s="226"/>
      <c r="E22" s="226"/>
      <c r="F22" s="226"/>
      <c r="G22" s="226"/>
      <c r="H22" s="218"/>
    </row>
    <row r="23" spans="1:8" ht="18" customHeight="1">
      <c r="A23" s="286"/>
      <c r="B23" s="226"/>
      <c r="C23" s="226"/>
      <c r="D23" s="226"/>
      <c r="E23" s="226"/>
      <c r="F23" s="226"/>
      <c r="G23" s="226"/>
      <c r="H23" s="218"/>
    </row>
    <row r="24" spans="1:8" ht="31" customHeight="1">
      <c r="A24" s="218"/>
      <c r="B24" s="226"/>
      <c r="C24" s="226"/>
      <c r="D24" s="226"/>
      <c r="E24" s="226"/>
      <c r="F24" s="226"/>
      <c r="G24" s="226"/>
      <c r="H24" s="218"/>
    </row>
    <row r="25" spans="1:8" ht="31" customHeight="1">
      <c r="A25" s="218"/>
      <c r="B25" s="226"/>
      <c r="C25" s="226"/>
      <c r="D25" s="226"/>
      <c r="E25" s="226"/>
      <c r="F25" s="226"/>
      <c r="G25" s="226"/>
      <c r="H25" s="218"/>
    </row>
    <row r="26" spans="1:8" ht="31" customHeight="1">
      <c r="A26" s="218"/>
      <c r="B26" s="226"/>
      <c r="C26" s="226"/>
      <c r="D26" s="226"/>
      <c r="E26" s="226"/>
      <c r="F26" s="226"/>
      <c r="G26" s="226"/>
      <c r="H26" s="218"/>
    </row>
    <row r="27" spans="1:8" ht="31" customHeight="1">
      <c r="A27" s="218"/>
      <c r="B27" s="226"/>
      <c r="C27" s="226"/>
      <c r="D27" s="226"/>
      <c r="E27" s="226"/>
      <c r="F27" s="226"/>
      <c r="G27" s="226"/>
      <c r="H27" s="218"/>
    </row>
    <row r="28" spans="1:8" ht="31" customHeight="1">
      <c r="A28" s="218"/>
      <c r="B28" s="226"/>
      <c r="C28" s="226"/>
      <c r="D28" s="226"/>
      <c r="E28" s="226"/>
      <c r="F28" s="226"/>
      <c r="G28" s="226"/>
      <c r="H28" s="218"/>
    </row>
    <row r="29" spans="1:8" ht="31" customHeight="1">
      <c r="A29" s="218"/>
      <c r="B29" s="226"/>
      <c r="C29" s="226"/>
      <c r="D29" s="226"/>
      <c r="E29" s="226"/>
      <c r="F29" s="226"/>
      <c r="G29" s="226"/>
      <c r="H29" s="218"/>
    </row>
    <row r="30" spans="1:8" ht="31" customHeight="1">
      <c r="A30" s="218"/>
      <c r="B30" s="226"/>
      <c r="C30" s="226"/>
      <c r="D30" s="226"/>
      <c r="E30" s="226"/>
      <c r="F30" s="226"/>
      <c r="G30" s="226"/>
      <c r="H30" s="218"/>
    </row>
    <row r="31" spans="1:8" ht="31" customHeight="1">
      <c r="A31" s="218"/>
      <c r="B31" s="226"/>
      <c r="C31" s="226"/>
      <c r="D31" s="226"/>
      <c r="E31" s="226"/>
      <c r="F31" s="226"/>
      <c r="G31" s="226"/>
      <c r="H31" s="218"/>
    </row>
    <row r="32" spans="1:8">
      <c r="A32" s="218"/>
      <c r="B32" s="226"/>
      <c r="C32" s="226"/>
      <c r="D32" s="226"/>
      <c r="E32" s="226"/>
      <c r="F32" s="226"/>
      <c r="G32" s="226"/>
      <c r="H32" s="218"/>
    </row>
    <row r="33" spans="1:8">
      <c r="A33" s="218"/>
      <c r="B33" s="226"/>
      <c r="C33" s="226"/>
      <c r="D33" s="226"/>
      <c r="E33" s="226"/>
      <c r="F33" s="226"/>
      <c r="G33" s="226"/>
      <c r="H33" s="218"/>
    </row>
  </sheetData>
  <phoneticPr fontId="0" type="noConversion"/>
  <pageMargins left="0.45" right="0.23" top="1.07" bottom="0.49" header="0.71" footer="0.4921259845"/>
  <pageSetup paperSize="9" scale="75" orientation="portrait" horizontalDpi="4294967292" verticalDpi="4294967292"/>
  <headerFooter alignWithMargins="0">
    <oddHeader>&amp;L&amp;"Arial,Bold"&amp;14Zusatzinformationen zum Gesundheitswesen</oddHeader>
    <oddFooter>&amp;L&amp;"Arial,Regular"Statistik der Krankenversicherung, Bundesamt für Sozialversicherung</odd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B95F-96CB-284C-99C1-5D011FFB50B2}">
  <dimension ref="A1:K41"/>
  <sheetViews>
    <sheetView topLeftCell="A29" zoomScale="75" workbookViewId="0">
      <selection activeCell="K41" sqref="K41"/>
    </sheetView>
  </sheetViews>
  <sheetFormatPr baseColWidth="10" defaultColWidth="11.3984375" defaultRowHeight="13"/>
  <cols>
    <col min="1" max="1" width="12.19921875" style="7" customWidth="1"/>
    <col min="2" max="2" width="13.19921875" style="227" customWidth="1"/>
    <col min="3" max="3" width="12.796875" style="227" customWidth="1"/>
    <col min="4" max="4" width="14" style="227" customWidth="1"/>
    <col min="5" max="5" width="13.3984375" style="227" customWidth="1"/>
    <col min="6" max="6" width="13.59765625" style="227" customWidth="1"/>
    <col min="7" max="7" width="13.19921875" style="227" customWidth="1"/>
    <col min="8" max="8" width="13.3984375" style="227" customWidth="1"/>
    <col min="9" max="9" width="12.796875" style="227" customWidth="1"/>
    <col min="10" max="16384" width="11.3984375" style="7"/>
  </cols>
  <sheetData>
    <row r="1" spans="1:9" s="1" customFormat="1" ht="14" customHeight="1">
      <c r="A1" s="163"/>
      <c r="B1" s="220"/>
      <c r="C1" s="220"/>
      <c r="D1" s="220"/>
      <c r="E1" s="220"/>
      <c r="F1" s="220"/>
      <c r="G1" s="220"/>
      <c r="H1" s="220"/>
      <c r="I1" s="220"/>
    </row>
    <row r="2" spans="1:9" s="1" customFormat="1" ht="27" customHeight="1">
      <c r="A2" s="164" t="s">
        <v>308</v>
      </c>
      <c r="B2" s="220"/>
      <c r="C2" s="220"/>
      <c r="D2" s="220"/>
      <c r="E2" s="220"/>
      <c r="F2" s="220"/>
      <c r="G2" s="220"/>
      <c r="H2" s="220"/>
      <c r="I2" s="220"/>
    </row>
    <row r="3" spans="1:9" s="775" customFormat="1" ht="50.25" customHeight="1">
      <c r="A3" s="772" t="s">
        <v>640</v>
      </c>
      <c r="B3" s="773" t="s">
        <v>286</v>
      </c>
      <c r="C3" s="774" t="s">
        <v>287</v>
      </c>
      <c r="D3" s="773" t="s">
        <v>288</v>
      </c>
      <c r="E3" s="774" t="s">
        <v>289</v>
      </c>
      <c r="F3" s="773" t="s">
        <v>290</v>
      </c>
      <c r="G3" s="774" t="s">
        <v>291</v>
      </c>
      <c r="H3" s="773" t="s">
        <v>292</v>
      </c>
      <c r="I3" s="774" t="s">
        <v>293</v>
      </c>
    </row>
    <row r="4" spans="1:9" ht="31.5" customHeight="1">
      <c r="A4" s="481"/>
      <c r="B4" s="170"/>
      <c r="C4" s="221"/>
      <c r="D4" s="170"/>
      <c r="E4" s="221"/>
      <c r="F4" s="170"/>
      <c r="G4" s="776"/>
      <c r="H4" s="170"/>
      <c r="I4" s="776"/>
    </row>
    <row r="5" spans="1:9" ht="30" customHeight="1" thickBot="1">
      <c r="A5" s="171">
        <f>[117]f!A5</f>
        <v>1985</v>
      </c>
      <c r="B5" s="341">
        <f>[117]f!B5</f>
        <v>79.803910497972154</v>
      </c>
      <c r="C5" s="340">
        <f>[117]f!C5</f>
        <v>82.124675257010722</v>
      </c>
      <c r="D5" s="341">
        <f>[117]f!D5</f>
        <v>74.899486171378285</v>
      </c>
      <c r="E5" s="340">
        <f>[117]f!E5</f>
        <v>56.90324828666278</v>
      </c>
      <c r="F5" s="341" t="str">
        <f>[117]f!F5</f>
        <v>-</v>
      </c>
      <c r="G5" s="340" t="str">
        <f>[117]f!G5</f>
        <v>-</v>
      </c>
      <c r="H5" s="341">
        <f>[117]f!H5</f>
        <v>71.772783316367835</v>
      </c>
      <c r="I5" s="340">
        <f>[117]f!I5</f>
        <v>75.634286419536451</v>
      </c>
    </row>
    <row r="6" spans="1:9" ht="18" customHeight="1" thickBot="1">
      <c r="A6" s="172">
        <f>[117]f!A6</f>
        <v>1986</v>
      </c>
      <c r="B6" s="125">
        <f>[117]f!B6</f>
        <v>81.691551843864474</v>
      </c>
      <c r="C6" s="126">
        <f>[117]f!C6</f>
        <v>85.120541992530136</v>
      </c>
      <c r="D6" s="125">
        <f>[117]f!D6</f>
        <v>74.899486171378285</v>
      </c>
      <c r="E6" s="126">
        <f>[117]f!E6</f>
        <v>58.569147999386438</v>
      </c>
      <c r="F6" s="125" t="str">
        <f>[117]f!F6</f>
        <v>-</v>
      </c>
      <c r="G6" s="126" t="str">
        <f>[117]f!G6</f>
        <v>-</v>
      </c>
      <c r="H6" s="125">
        <f>[117]f!H6</f>
        <v>73.366960831407027</v>
      </c>
      <c r="I6" s="126">
        <f>[117]f!I6</f>
        <v>76.201754702737617</v>
      </c>
    </row>
    <row r="7" spans="1:9" ht="18" customHeight="1" thickBot="1">
      <c r="A7" s="172">
        <f>[117]f!A7</f>
        <v>1987</v>
      </c>
      <c r="B7" s="125">
        <f>[117]f!B7</f>
        <v>83.577898301573143</v>
      </c>
      <c r="C7" s="126">
        <f>[117]f!C7</f>
        <v>86.935850575577163</v>
      </c>
      <c r="D7" s="125">
        <f>[117]f!D7</f>
        <v>76.3202015779178</v>
      </c>
      <c r="E7" s="126">
        <f>[117]f!E7</f>
        <v>61.452434923213964</v>
      </c>
      <c r="F7" s="125" t="str">
        <f>[117]f!F7</f>
        <v>-</v>
      </c>
      <c r="G7" s="126" t="str">
        <f>[117]f!G7</f>
        <v>-</v>
      </c>
      <c r="H7" s="125">
        <f>[117]f!H7</f>
        <v>75.359309889172337</v>
      </c>
      <c r="I7" s="126">
        <f>[117]f!I7</f>
        <v>77.299277766856065</v>
      </c>
    </row>
    <row r="8" spans="1:9" ht="18" customHeight="1" thickBot="1">
      <c r="A8" s="172">
        <f>[117]f!A8</f>
        <v>1988</v>
      </c>
      <c r="B8" s="125">
        <f>[117]f!B8</f>
        <v>84.877089374469264</v>
      </c>
      <c r="C8" s="126">
        <f>[117]f!C8</f>
        <v>87.366496649732213</v>
      </c>
      <c r="D8" s="125">
        <f>[117]f!D8</f>
        <v>80.582347797536443</v>
      </c>
      <c r="E8" s="126">
        <f>[117]f!E8</f>
        <v>65.450334524479089</v>
      </c>
      <c r="F8" s="125" t="str">
        <f>[117]f!F8</f>
        <v>-</v>
      </c>
      <c r="G8" s="126" t="str">
        <f>[117]f!G8</f>
        <v>-</v>
      </c>
      <c r="H8" s="125">
        <f>[117]f!H8</f>
        <v>78.036645446804982</v>
      </c>
      <c r="I8" s="126">
        <f>[117]f!I8</f>
        <v>78.746700247173862</v>
      </c>
    </row>
    <row r="9" spans="1:9" ht="18" customHeight="1" thickBot="1">
      <c r="A9" s="172">
        <f>[117]f!A9</f>
        <v>1989</v>
      </c>
      <c r="B9" s="125">
        <f>[117]f!B9</f>
        <v>86.408684726576709</v>
      </c>
      <c r="C9" s="126">
        <f>[117]f!C9</f>
        <v>89.695746859504723</v>
      </c>
      <c r="D9" s="125">
        <f>[117]f!D9</f>
        <v>80.582347797536443</v>
      </c>
      <c r="E9" s="126">
        <f>[117]f!E9</f>
        <v>67.535096596969893</v>
      </c>
      <c r="F9" s="125" t="str">
        <f>[117]f!F9</f>
        <v>-</v>
      </c>
      <c r="G9" s="126" t="str">
        <f>[117]f!G9</f>
        <v>-</v>
      </c>
      <c r="H9" s="125">
        <f>[117]f!H9</f>
        <v>79.508038518297582</v>
      </c>
      <c r="I9" s="126">
        <f>[117]f!I9</f>
        <v>81.23138428320911</v>
      </c>
    </row>
    <row r="10" spans="1:9" ht="18" customHeight="1" thickBot="1">
      <c r="A10" s="172">
        <f>[117]f!A10</f>
        <v>1990</v>
      </c>
      <c r="B10" s="125">
        <f>[117]f!B10</f>
        <v>88.197810014327416</v>
      </c>
      <c r="C10" s="126">
        <f>[117]f!C10</f>
        <v>91.567098424804811</v>
      </c>
      <c r="D10" s="125">
        <f>[117]f!D10</f>
        <v>85.009815587951692</v>
      </c>
      <c r="E10" s="126">
        <f>[117]f!E10</f>
        <v>71.770089120859765</v>
      </c>
      <c r="F10" s="125" t="str">
        <f>[117]f!F10</f>
        <v>-</v>
      </c>
      <c r="G10" s="126" t="str">
        <f>[117]f!G10</f>
        <v>-</v>
      </c>
      <c r="H10" s="125">
        <f>[117]f!H10</f>
        <v>82.806579602227302</v>
      </c>
      <c r="I10" s="126">
        <f>[117]f!I10</f>
        <v>85.621088701027531</v>
      </c>
    </row>
    <row r="11" spans="1:9" ht="18" customHeight="1" thickBot="1">
      <c r="A11" s="172">
        <f>[117]f!A11</f>
        <v>1991</v>
      </c>
      <c r="B11" s="125">
        <f>[117]f!B11</f>
        <v>91.720581467528135</v>
      </c>
      <c r="C11" s="126">
        <f>[117]f!C11</f>
        <v>95.108243461336954</v>
      </c>
      <c r="D11" s="125">
        <f>[117]f!D11</f>
        <v>90.067588166216254</v>
      </c>
      <c r="E11" s="126">
        <f>[117]f!E11</f>
        <v>79.548976975420402</v>
      </c>
      <c r="F11" s="125" t="str">
        <f>[117]f!F11</f>
        <v>-</v>
      </c>
      <c r="G11" s="126" t="str">
        <f>[117]f!G11</f>
        <v>-</v>
      </c>
      <c r="H11" s="125">
        <f>[117]f!H11</f>
        <v>87.989624753538052</v>
      </c>
      <c r="I11" s="126">
        <f>[117]f!I11</f>
        <v>90.638135071792831</v>
      </c>
    </row>
    <row r="12" spans="1:9" ht="18" customHeight="1" thickBot="1">
      <c r="A12" s="172">
        <f>[117]f!A12</f>
        <v>1992</v>
      </c>
      <c r="B12" s="125">
        <f>[117]f!B12</f>
        <v>94.315649986415721</v>
      </c>
      <c r="C12" s="126">
        <f>[117]f!C12</f>
        <v>99.587270200873206</v>
      </c>
      <c r="D12" s="125">
        <f>[117]f!D12</f>
        <v>93.702489498759562</v>
      </c>
      <c r="E12" s="126">
        <f>[117]f!E12</f>
        <v>87.550051522532087</v>
      </c>
      <c r="F12" s="125" t="str">
        <f>[117]f!F12</f>
        <v>-</v>
      </c>
      <c r="G12" s="126" t="str">
        <f>[117]f!G12</f>
        <v>-</v>
      </c>
      <c r="H12" s="125">
        <f>[117]f!H12</f>
        <v>93.035240808724708</v>
      </c>
      <c r="I12" s="126">
        <f>[117]f!I12</f>
        <v>94.297203174795513</v>
      </c>
    </row>
    <row r="13" spans="1:9" ht="18" customHeight="1" thickBot="1">
      <c r="A13" s="172">
        <f>[117]f!A13</f>
        <v>1993</v>
      </c>
      <c r="B13" s="125">
        <f>[117]f!B13</f>
        <v>96.154415335465316</v>
      </c>
      <c r="C13" s="126">
        <f>[117]f!C13</f>
        <v>99.673288489423555</v>
      </c>
      <c r="D13" s="125">
        <f>[117]f!D13</f>
        <v>97.857139317890727</v>
      </c>
      <c r="E13" s="126">
        <f>[117]f!E13</f>
        <v>93.956078292606335</v>
      </c>
      <c r="F13" s="125">
        <f>[117]f!F13</f>
        <v>98.042770446197054</v>
      </c>
      <c r="G13" s="126">
        <f>[117]f!G13</f>
        <v>100</v>
      </c>
      <c r="H13" s="125">
        <f>[117]f!H13</f>
        <v>96.308637136896735</v>
      </c>
      <c r="I13" s="126">
        <f>[117]f!I13</f>
        <v>97.402032602062121</v>
      </c>
    </row>
    <row r="14" spans="1:9" ht="18" customHeight="1" thickBot="1">
      <c r="A14" s="172">
        <f>[117]f!A14</f>
        <v>1994</v>
      </c>
      <c r="B14" s="125">
        <f>[117]f!B14</f>
        <v>97.461697448812885</v>
      </c>
      <c r="C14" s="126">
        <f>[117]f!C14</f>
        <v>99.685414748741465</v>
      </c>
      <c r="D14" s="125">
        <f>[117]f!D14</f>
        <v>99.253471140137265</v>
      </c>
      <c r="E14" s="126">
        <f>[117]f!E14</f>
        <v>97.373554724666249</v>
      </c>
      <c r="F14" s="125">
        <f>[117]f!F14</f>
        <v>99.406750257998937</v>
      </c>
      <c r="G14" s="126">
        <f>[117]f!G14</f>
        <v>100</v>
      </c>
      <c r="H14" s="125">
        <f>[117]f!H14</f>
        <v>98.219473832979858</v>
      </c>
      <c r="I14" s="126">
        <f>[117]f!I14</f>
        <v>98.23199008718872</v>
      </c>
    </row>
    <row r="15" spans="1:9" ht="18" customHeight="1" thickBot="1">
      <c r="A15" s="172">
        <f>[117]f!A15</f>
        <v>1995</v>
      </c>
      <c r="B15" s="125">
        <f>[117]f!B15</f>
        <v>100</v>
      </c>
      <c r="C15" s="126">
        <f>[117]f!C15</f>
        <v>100</v>
      </c>
      <c r="D15" s="125">
        <f>[117]f!D15</f>
        <v>100</v>
      </c>
      <c r="E15" s="126">
        <f>[117]f!E15</f>
        <v>100</v>
      </c>
      <c r="F15" s="125">
        <f>[117]f!F15</f>
        <v>100</v>
      </c>
      <c r="G15" s="126">
        <f>[117]f!G15</f>
        <v>100</v>
      </c>
      <c r="H15" s="125">
        <f>[117]f!H15</f>
        <v>100</v>
      </c>
      <c r="I15" s="126">
        <f>[117]f!I15</f>
        <v>100</v>
      </c>
    </row>
    <row r="16" spans="1:9" ht="18" customHeight="1" thickBot="1">
      <c r="A16" s="172">
        <f>[117]f!A16</f>
        <v>1996</v>
      </c>
      <c r="B16" s="125">
        <f>[117]f!B16</f>
        <v>100.3317648296466</v>
      </c>
      <c r="C16" s="126">
        <f>[117]f!C16</f>
        <v>100.5085129617779</v>
      </c>
      <c r="D16" s="125">
        <f>[117]f!D16</f>
        <v>100.6394757972715</v>
      </c>
      <c r="E16" s="126">
        <f>[117]f!E16</f>
        <v>103.41952344611119</v>
      </c>
      <c r="F16" s="125">
        <f>[117]f!F16</f>
        <v>100.15009280076963</v>
      </c>
      <c r="G16" s="126">
        <f>[117]f!G16</f>
        <v>99.950338889746504</v>
      </c>
      <c r="H16" s="125">
        <f>[117]f!H16</f>
        <v>101.88374972470828</v>
      </c>
      <c r="I16" s="126">
        <f>[117]f!I16</f>
        <v>100.81166011923193</v>
      </c>
    </row>
    <row r="17" spans="1:9" ht="18" customHeight="1" thickBot="1">
      <c r="A17" s="172">
        <f>[117]f!A17</f>
        <v>1997</v>
      </c>
      <c r="B17" s="125">
        <f>[117]f!B17</f>
        <v>99.934201986149347</v>
      </c>
      <c r="C17" s="126">
        <f>[117]f!C17</f>
        <v>100.89052794606968</v>
      </c>
      <c r="D17" s="125">
        <f>[117]f!D17</f>
        <v>101.19106637628903</v>
      </c>
      <c r="E17" s="126">
        <f>[117]f!E17</f>
        <v>104.89625020391236</v>
      </c>
      <c r="F17" s="125">
        <f>[117]f!F17</f>
        <v>99.408031628158213</v>
      </c>
      <c r="G17" s="126">
        <f>[117]f!G17</f>
        <v>99.572346480177814</v>
      </c>
      <c r="H17" s="125">
        <f>[117]f!H17</f>
        <v>102.65904058016756</v>
      </c>
      <c r="I17" s="126">
        <f>[117]f!I17</f>
        <v>101.33608693032861</v>
      </c>
    </row>
    <row r="18" spans="1:9" ht="18" customHeight="1" thickBot="1">
      <c r="A18" s="172">
        <f>[117]f!A18</f>
        <v>1998</v>
      </c>
      <c r="B18" s="125">
        <f>[117]f!B18</f>
        <v>97.248813005760397</v>
      </c>
      <c r="C18" s="126">
        <f>[117]f!C18</f>
        <v>100.84512380255291</v>
      </c>
      <c r="D18" s="125">
        <f>[117]f!D18</f>
        <v>101.91798405391825</v>
      </c>
      <c r="E18" s="126">
        <f>[117]f!E18</f>
        <v>106.51816165874149</v>
      </c>
      <c r="F18" s="125">
        <f>[117]f!F18</f>
        <v>98.600349518352687</v>
      </c>
      <c r="G18" s="126">
        <f>[117]f!G18</f>
        <v>100.39777432787591</v>
      </c>
      <c r="H18" s="125">
        <f>[117]f!H18</f>
        <v>103.15542407064117</v>
      </c>
      <c r="I18" s="126">
        <f>[117]f!I18</f>
        <v>101.35426363530824</v>
      </c>
    </row>
    <row r="19" spans="1:9" ht="18" customHeight="1" thickBot="1">
      <c r="A19" s="172">
        <f>[117]f!A19</f>
        <v>1999</v>
      </c>
      <c r="B19" s="125">
        <f>[117]f!B19</f>
        <v>96.162651146024274</v>
      </c>
      <c r="C19" s="126">
        <f>[117]f!C19</f>
        <v>100.84207332983468</v>
      </c>
      <c r="D19" s="125">
        <f>[117]f!D19</f>
        <v>102.52590462445758</v>
      </c>
      <c r="E19" s="126">
        <f>[117]f!E19</f>
        <v>107.70441081029026</v>
      </c>
      <c r="F19" s="125">
        <f>[117]f!F19</f>
        <v>98.824884997028221</v>
      </c>
      <c r="G19" s="126">
        <f>[117]f!G19</f>
        <v>98.048653324672969</v>
      </c>
      <c r="H19" s="125">
        <f>[117]f!H19</f>
        <v>103.58917110746175</v>
      </c>
      <c r="I19" s="126">
        <f>[117]f!I19</f>
        <v>102.17165514800229</v>
      </c>
    </row>
    <row r="20" spans="1:9" ht="18" customHeight="1" thickBot="1">
      <c r="A20" s="172">
        <f>[117]f!A20</f>
        <v>2000</v>
      </c>
      <c r="B20" s="125">
        <f>[117]f!B20</f>
        <v>96.574111919839808</v>
      </c>
      <c r="C20" s="126">
        <f>[117]f!C20</f>
        <v>100.84207332983468</v>
      </c>
      <c r="D20" s="125">
        <f>[117]f!D20</f>
        <v>104.23249473797034</v>
      </c>
      <c r="E20" s="126">
        <f>[117]f!E20</f>
        <v>108.30103875592766</v>
      </c>
      <c r="F20" s="125">
        <f>[117]f!F20</f>
        <v>98.511245008816815</v>
      </c>
      <c r="G20" s="126">
        <f>[117]f!G20</f>
        <v>97.025382021610099</v>
      </c>
      <c r="H20" s="125">
        <f>[117]f!H20</f>
        <v>104.08545055067016</v>
      </c>
      <c r="I20" s="126">
        <f>[117]f!I20</f>
        <v>103.76399138722388</v>
      </c>
    </row>
    <row r="21" spans="1:9" s="81" customFormat="1" ht="30" customHeight="1" thickBot="1">
      <c r="A21" s="173">
        <f>[117]f!A21</f>
        <v>2001</v>
      </c>
      <c r="B21" s="131">
        <f>[117]f!B21</f>
        <v>95.934903638603615</v>
      </c>
      <c r="C21" s="480">
        <f>[117]f!C21</f>
        <v>100.90207436346591</v>
      </c>
      <c r="D21" s="131">
        <f>[117]f!D21</f>
        <v>106.34455647564107</v>
      </c>
      <c r="E21" s="480">
        <f>[117]f!E21</f>
        <v>109.09012209311607</v>
      </c>
      <c r="F21" s="131">
        <f>[117]f!F21</f>
        <v>99.881621110671944</v>
      </c>
      <c r="G21" s="480">
        <f>[117]f!G21</f>
        <v>97.909281821703502</v>
      </c>
      <c r="H21" s="131">
        <f>[117]f!H21</f>
        <v>104.66145621084139</v>
      </c>
      <c r="I21" s="480">
        <f>[117]f!I21</f>
        <v>104.7902814183139</v>
      </c>
    </row>
    <row r="22" spans="1:9" ht="20" customHeight="1">
      <c r="A22" s="222" t="str">
        <f>'[106]data '!$D$2</f>
        <v>Datenstand: 17.11.2002</v>
      </c>
      <c r="B22" s="223"/>
      <c r="C22" s="223"/>
      <c r="D22" s="223"/>
      <c r="E22" s="223"/>
      <c r="F22" s="223"/>
      <c r="G22" s="223"/>
      <c r="H22" s="223"/>
      <c r="I22" s="223"/>
    </row>
    <row r="23" spans="1:9" ht="13.5" customHeight="1">
      <c r="A23" s="224" t="s">
        <v>294</v>
      </c>
      <c r="B23" s="225"/>
      <c r="C23" s="225"/>
      <c r="D23" s="225"/>
      <c r="E23" s="225"/>
      <c r="F23" s="225"/>
      <c r="G23" s="225"/>
      <c r="H23" s="225"/>
      <c r="I23" s="225"/>
    </row>
    <row r="24" spans="1:9" ht="12.75" customHeight="1">
      <c r="A24" s="224" t="s">
        <v>295</v>
      </c>
      <c r="B24" s="225"/>
      <c r="C24" s="225"/>
      <c r="D24" s="225"/>
      <c r="E24" s="225"/>
      <c r="F24" s="225"/>
      <c r="G24" s="225"/>
      <c r="H24" s="225"/>
      <c r="I24" s="225"/>
    </row>
    <row r="25" spans="1:9" ht="13.5" customHeight="1">
      <c r="A25" s="777" t="s">
        <v>296</v>
      </c>
      <c r="B25" s="226"/>
      <c r="C25" s="226"/>
      <c r="D25" s="226"/>
      <c r="E25" s="226"/>
      <c r="F25" s="226"/>
      <c r="G25" s="226"/>
      <c r="H25" s="226"/>
      <c r="I25" s="226"/>
    </row>
    <row r="26" spans="1:9" ht="13.5" customHeight="1">
      <c r="A26" s="778" t="s">
        <v>297</v>
      </c>
      <c r="B26" s="226"/>
      <c r="C26" s="226"/>
      <c r="D26" s="226"/>
      <c r="E26" s="226"/>
      <c r="F26" s="226"/>
      <c r="G26" s="226"/>
      <c r="H26" s="226"/>
      <c r="I26" s="226"/>
    </row>
    <row r="27" spans="1:9" ht="13.5" customHeight="1">
      <c r="A27" s="778" t="s">
        <v>298</v>
      </c>
      <c r="B27" s="226"/>
      <c r="C27" s="226"/>
      <c r="D27" s="226"/>
      <c r="E27" s="226"/>
      <c r="F27" s="226"/>
      <c r="G27" s="226"/>
      <c r="H27" s="226"/>
      <c r="I27" s="226"/>
    </row>
    <row r="28" spans="1:9" ht="13.5" customHeight="1">
      <c r="A28" s="779" t="s">
        <v>299</v>
      </c>
      <c r="B28" s="226"/>
      <c r="C28" s="226"/>
      <c r="D28" s="226"/>
      <c r="E28" s="226"/>
      <c r="F28" s="226"/>
      <c r="G28" s="226"/>
      <c r="H28" s="226"/>
      <c r="I28" s="226"/>
    </row>
    <row r="29" spans="1:9" ht="13.5" customHeight="1">
      <c r="A29" s="779" t="s">
        <v>300</v>
      </c>
      <c r="B29" s="226"/>
      <c r="C29" s="226"/>
      <c r="D29" s="226"/>
      <c r="E29" s="226"/>
      <c r="F29" s="226"/>
      <c r="G29" s="226"/>
      <c r="H29" s="226"/>
      <c r="I29" s="226"/>
    </row>
    <row r="30" spans="1:9" ht="13.5" customHeight="1">
      <c r="A30" s="778" t="s">
        <v>301</v>
      </c>
      <c r="B30" s="226"/>
      <c r="C30" s="226"/>
      <c r="D30" s="226"/>
      <c r="E30" s="226"/>
      <c r="F30" s="226"/>
      <c r="G30" s="226"/>
      <c r="H30" s="226"/>
      <c r="I30" s="226"/>
    </row>
    <row r="31" spans="1:9" ht="13.5" customHeight="1">
      <c r="A31" s="778" t="s">
        <v>302</v>
      </c>
      <c r="B31" s="226"/>
      <c r="C31" s="226"/>
      <c r="D31" s="226"/>
      <c r="E31" s="226"/>
      <c r="F31" s="226"/>
      <c r="G31" s="226"/>
      <c r="H31" s="226"/>
      <c r="I31" s="226"/>
    </row>
    <row r="32" spans="1:9" ht="13.5" customHeight="1">
      <c r="A32" s="778" t="s">
        <v>303</v>
      </c>
      <c r="B32" s="226"/>
      <c r="C32" s="226"/>
      <c r="D32" s="226"/>
      <c r="E32" s="226"/>
      <c r="F32" s="226"/>
      <c r="G32" s="226"/>
      <c r="H32" s="226"/>
      <c r="I32" s="226"/>
    </row>
    <row r="33" spans="1:11" ht="13.5" customHeight="1">
      <c r="A33" s="778" t="s">
        <v>304</v>
      </c>
      <c r="B33" s="226"/>
      <c r="C33" s="226"/>
      <c r="D33" s="226"/>
      <c r="E33" s="226"/>
      <c r="F33" s="226"/>
      <c r="G33" s="226"/>
      <c r="H33" s="226"/>
      <c r="I33" s="226"/>
    </row>
    <row r="34" spans="1:11" ht="13.5" customHeight="1">
      <c r="A34" s="779" t="s">
        <v>305</v>
      </c>
      <c r="B34" s="226"/>
      <c r="C34" s="226"/>
      <c r="D34" s="226"/>
      <c r="E34" s="226"/>
      <c r="F34" s="226"/>
      <c r="G34" s="226"/>
      <c r="H34" s="226"/>
      <c r="I34" s="226"/>
    </row>
    <row r="35" spans="1:11" ht="13.5" customHeight="1">
      <c r="A35" s="779" t="s">
        <v>306</v>
      </c>
      <c r="B35" s="226"/>
      <c r="C35" s="226"/>
      <c r="D35" s="226"/>
      <c r="E35" s="226"/>
      <c r="F35" s="226"/>
      <c r="G35" s="226"/>
      <c r="H35" s="226"/>
      <c r="I35" s="226"/>
    </row>
    <row r="36" spans="1:11" ht="13.5" customHeight="1">
      <c r="A36" s="778" t="s">
        <v>307</v>
      </c>
      <c r="B36" s="226"/>
      <c r="C36" s="226"/>
      <c r="D36" s="226"/>
      <c r="E36" s="226"/>
      <c r="F36" s="226"/>
      <c r="G36" s="226"/>
      <c r="H36" s="226"/>
      <c r="I36" s="226"/>
    </row>
    <row r="41" spans="1:11" ht="16">
      <c r="K41" s="286"/>
    </row>
  </sheetData>
  <phoneticPr fontId="0" type="noConversion"/>
  <pageMargins left="0.5" right="0.35" top="1.46" bottom="0.49" header="0.94" footer="0.4921259845"/>
  <pageSetup paperSize="9" scale="80" orientation="portrait" horizontalDpi="4294967292" verticalDpi="4294967292"/>
  <headerFooter alignWithMargins="0">
    <oddHeader>&amp;L&amp;"Arial,Bold"&amp;14Zusatzinformationen zum Gesundheitswesen</oddHeader>
    <oddFooter>&amp;L&amp;"Arial,Regular"Statistik über die Krankenversicherung, Bundesamt für Sozialversicherung</oddFooter>
  </headerFooter>
  <rowBreaks count="1" manualBreakCount="1">
    <brk id="38" max="16383" man="1"/>
  </rowBreak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A7E5-8CDC-034E-B49D-5D441F42CE70}">
  <dimension ref="A1:J34"/>
  <sheetViews>
    <sheetView zoomScale="75" workbookViewId="0">
      <selection activeCell="J27" sqref="J27"/>
    </sheetView>
  </sheetViews>
  <sheetFormatPr baseColWidth="10" defaultColWidth="11.3984375" defaultRowHeight="13"/>
  <cols>
    <col min="1" max="1" width="12.3984375" style="7" customWidth="1"/>
    <col min="2" max="2" width="13" style="227" customWidth="1"/>
    <col min="3" max="3" width="12.796875" style="227" customWidth="1"/>
    <col min="4" max="4" width="14.59765625" style="227" customWidth="1"/>
    <col min="5" max="6" width="13.59765625" style="227" customWidth="1"/>
    <col min="7" max="7" width="12.19921875" style="227" customWidth="1"/>
    <col min="8" max="8" width="13.19921875" style="7" customWidth="1"/>
    <col min="9" max="9" width="14.19921875" style="7" customWidth="1"/>
    <col min="10" max="16384" width="11.3984375" style="7"/>
  </cols>
  <sheetData>
    <row r="1" spans="1:9" s="1" customFormat="1" ht="14" customHeight="1">
      <c r="A1" s="163"/>
      <c r="B1" s="220"/>
      <c r="C1" s="220"/>
      <c r="D1" s="220"/>
      <c r="E1" s="220"/>
      <c r="F1" s="220"/>
      <c r="G1" s="220"/>
    </row>
    <row r="2" spans="1:9" s="1" customFormat="1" ht="27" customHeight="1">
      <c r="A2" s="164" t="s">
        <v>68</v>
      </c>
      <c r="B2" s="220"/>
      <c r="C2" s="220"/>
      <c r="D2" s="220"/>
      <c r="E2" s="220"/>
      <c r="F2" s="220"/>
      <c r="G2" s="220"/>
    </row>
    <row r="3" spans="1:9" s="775" customFormat="1" ht="45.75" customHeight="1">
      <c r="A3" s="772" t="s">
        <v>640</v>
      </c>
      <c r="B3" s="773" t="s">
        <v>286</v>
      </c>
      <c r="C3" s="774" t="s">
        <v>287</v>
      </c>
      <c r="D3" s="773" t="s">
        <v>288</v>
      </c>
      <c r="E3" s="774" t="s">
        <v>289</v>
      </c>
      <c r="F3" s="773" t="s">
        <v>290</v>
      </c>
      <c r="G3" s="774" t="s">
        <v>291</v>
      </c>
      <c r="H3" s="773" t="s">
        <v>65</v>
      </c>
      <c r="I3" s="774" t="s">
        <v>293</v>
      </c>
    </row>
    <row r="4" spans="1:9" ht="25.5" customHeight="1">
      <c r="A4" s="481"/>
      <c r="B4" s="170"/>
      <c r="C4" s="221"/>
      <c r="D4" s="170"/>
      <c r="E4" s="221"/>
      <c r="F4" s="170"/>
      <c r="G4" s="221"/>
      <c r="H4" s="170"/>
      <c r="I4" s="221"/>
    </row>
    <row r="5" spans="1:9" ht="30" customHeight="1" thickBot="1">
      <c r="A5" s="760">
        <f>[118]f!A5</f>
        <v>1986</v>
      </c>
      <c r="B5" s="761">
        <f>[118]f!B5</f>
        <v>2.3653494347752435E-2</v>
      </c>
      <c r="C5" s="762">
        <f>[118]f!C5</f>
        <v>3.647949567098796E-2</v>
      </c>
      <c r="D5" s="761">
        <f>[118]f!D5</f>
        <v>0</v>
      </c>
      <c r="E5" s="762">
        <f>[118]f!E5</f>
        <v>2.9276003793866412E-2</v>
      </c>
      <c r="F5" s="761" t="str">
        <f>[118]f!F5</f>
        <v>-</v>
      </c>
      <c r="G5" s="762" t="str">
        <f>[118]f!G5</f>
        <v>-</v>
      </c>
      <c r="H5" s="761">
        <f>[118]f!H5</f>
        <v>2.2211448983554094E-2</v>
      </c>
      <c r="I5" s="762">
        <f>[118]f!I5</f>
        <v>7.502791525703989E-3</v>
      </c>
    </row>
    <row r="6" spans="1:9" ht="18" customHeight="1" thickBot="1">
      <c r="A6" s="172">
        <f>[118]f!A6</f>
        <v>1987</v>
      </c>
      <c r="B6" s="190">
        <f>[118]f!B6</f>
        <v>2.3091083657144962E-2</v>
      </c>
      <c r="C6" s="55">
        <f>[118]f!C6</f>
        <v>2.1326327823503854E-2</v>
      </c>
      <c r="D6" s="190">
        <f>[118]f!D6</f>
        <v>1.896829309734871E-2</v>
      </c>
      <c r="E6" s="55">
        <f>[118]f!E6</f>
        <v>4.9228766719600081E-2</v>
      </c>
      <c r="F6" s="190" t="str">
        <f>[118]f!F6</f>
        <v>-</v>
      </c>
      <c r="G6" s="55" t="str">
        <f>[118]f!G6</f>
        <v>-</v>
      </c>
      <c r="H6" s="190">
        <f>[118]f!H6</f>
        <v>2.7155943699829876E-2</v>
      </c>
      <c r="I6" s="55">
        <f>[118]f!I6</f>
        <v>1.440285815464315E-2</v>
      </c>
    </row>
    <row r="7" spans="1:9" ht="18" customHeight="1" thickBot="1">
      <c r="A7" s="172">
        <f>[118]f!A7</f>
        <v>1988</v>
      </c>
      <c r="B7" s="190">
        <f>[118]f!B7</f>
        <v>1.5544672686171879E-2</v>
      </c>
      <c r="C7" s="55">
        <f>[118]f!C7</f>
        <v>4.9536074163174515E-3</v>
      </c>
      <c r="D7" s="190">
        <f>[118]f!D7</f>
        <v>5.5845583888654682E-2</v>
      </c>
      <c r="E7" s="55">
        <f>[118]f!E7</f>
        <v>6.5056813554427606E-2</v>
      </c>
      <c r="F7" s="190" t="str">
        <f>[118]f!F7</f>
        <v>-</v>
      </c>
      <c r="G7" s="55" t="str">
        <f>[118]f!G7</f>
        <v>-</v>
      </c>
      <c r="H7" s="190">
        <f>[118]f!H7</f>
        <v>3.5527601852645585E-2</v>
      </c>
      <c r="I7" s="55">
        <f>[118]f!I7</f>
        <v>1.8724915964718258E-2</v>
      </c>
    </row>
    <row r="8" spans="1:9" ht="18" customHeight="1" thickBot="1">
      <c r="A8" s="172">
        <f>[118]f!A8</f>
        <v>1989</v>
      </c>
      <c r="B8" s="190">
        <f>[118]f!B8</f>
        <v>1.8044861851355343E-2</v>
      </c>
      <c r="C8" s="55">
        <f>[118]f!C8</f>
        <v>2.66606799985456E-2</v>
      </c>
      <c r="D8" s="190">
        <f>[118]f!D8</f>
        <v>0</v>
      </c>
      <c r="E8" s="55">
        <f>[118]f!E8</f>
        <v>3.1852580855963097E-2</v>
      </c>
      <c r="F8" s="190" t="str">
        <f>[118]f!F8</f>
        <v>-</v>
      </c>
      <c r="G8" s="55" t="str">
        <f>[118]f!G8</f>
        <v>-</v>
      </c>
      <c r="H8" s="190">
        <f>[118]f!H8</f>
        <v>1.8855155332062612E-2</v>
      </c>
      <c r="I8" s="55">
        <f>[118]f!I8</f>
        <v>3.1552865431011101E-2</v>
      </c>
    </row>
    <row r="9" spans="1:9" ht="18" customHeight="1" thickBot="1">
      <c r="A9" s="172">
        <f>[118]f!A9</f>
        <v>1990</v>
      </c>
      <c r="B9" s="190">
        <f>[118]f!B9</f>
        <v>2.0705387350959503E-2</v>
      </c>
      <c r="C9" s="55">
        <f>[118]f!C9</f>
        <v>2.086332552903869E-2</v>
      </c>
      <c r="D9" s="190">
        <f>[118]f!D9</f>
        <v>5.4943395314557941E-2</v>
      </c>
      <c r="E9" s="55">
        <f>[118]f!E9</f>
        <v>6.2708024972009557E-2</v>
      </c>
      <c r="F9" s="190" t="str">
        <f>[118]f!F9</f>
        <v>-</v>
      </c>
      <c r="G9" s="55" t="str">
        <f>[118]f!G9</f>
        <v>-</v>
      </c>
      <c r="H9" s="190">
        <f>[118]f!H9</f>
        <v>4.1486887934867323E-2</v>
      </c>
      <c r="I9" s="55">
        <f>[118]f!I9</f>
        <v>5.4039512641000265E-2</v>
      </c>
    </row>
    <row r="10" spans="1:9" ht="18" customHeight="1" thickBot="1">
      <c r="A10" s="172">
        <f>[118]f!A10</f>
        <v>1991</v>
      </c>
      <c r="B10" s="190">
        <f>[118]f!B10</f>
        <v>3.9941711167527316E-2</v>
      </c>
      <c r="C10" s="55">
        <f>[118]f!C10</f>
        <v>3.8672679351526407E-2</v>
      </c>
      <c r="D10" s="190">
        <f>[118]f!D10</f>
        <v>5.949633631461948E-2</v>
      </c>
      <c r="E10" s="55">
        <f>[118]f!E10</f>
        <v>0.10838620865387405</v>
      </c>
      <c r="F10" s="190" t="str">
        <f>[118]f!F10</f>
        <v>-</v>
      </c>
      <c r="G10" s="55" t="str">
        <f>[118]f!G10</f>
        <v>-</v>
      </c>
      <c r="H10" s="190">
        <f>[118]f!H10</f>
        <v>6.2592189850229518E-2</v>
      </c>
      <c r="I10" s="55">
        <f>[118]f!I10</f>
        <v>5.8595918912966338E-2</v>
      </c>
    </row>
    <row r="11" spans="1:9" ht="18" customHeight="1" thickBot="1">
      <c r="A11" s="172">
        <f>[118]f!A11</f>
        <v>1992</v>
      </c>
      <c r="B11" s="190">
        <f>[118]f!B11</f>
        <v>2.8293197419450689E-2</v>
      </c>
      <c r="C11" s="55">
        <f>[118]f!C11</f>
        <v>4.7093990768077409E-2</v>
      </c>
      <c r="D11" s="190">
        <f>[118]f!D11</f>
        <v>4.0357484934927301E-2</v>
      </c>
      <c r="E11" s="55">
        <f>[118]f!E11</f>
        <v>0.10058048326107216</v>
      </c>
      <c r="F11" s="190" t="str">
        <f>[118]f!F11</f>
        <v>-</v>
      </c>
      <c r="G11" s="55" t="str">
        <f>[118]f!G11</f>
        <v>-</v>
      </c>
      <c r="H11" s="190">
        <f>[118]f!H11</f>
        <v>5.734330688782463E-2</v>
      </c>
      <c r="I11" s="55">
        <f>[118]f!I11</f>
        <v>4.0370072708406868E-2</v>
      </c>
    </row>
    <row r="12" spans="1:9" ht="18" customHeight="1" thickBot="1">
      <c r="A12" s="172">
        <f>[118]f!A12</f>
        <v>1993</v>
      </c>
      <c r="B12" s="190">
        <f>[118]f!B12</f>
        <v>1.9495866797444972E-2</v>
      </c>
      <c r="C12" s="55">
        <f>[118]f!C12</f>
        <v>8.6374783018805523E-4</v>
      </c>
      <c r="D12" s="190">
        <f>[118]f!D12</f>
        <v>4.4338734662819901E-2</v>
      </c>
      <c r="E12" s="55">
        <f>[118]f!E12</f>
        <v>7.3169880070551141E-2</v>
      </c>
      <c r="F12" s="190" t="str">
        <f>[118]f!F12</f>
        <v>-</v>
      </c>
      <c r="G12" s="55" t="str">
        <f>[118]f!G12</f>
        <v>-</v>
      </c>
      <c r="H12" s="190">
        <f>[118]f!H12</f>
        <v>3.5184477405738601E-2</v>
      </c>
      <c r="I12" s="55">
        <f>[118]f!I12</f>
        <v>3.2925996983296457E-2</v>
      </c>
    </row>
    <row r="13" spans="1:9" ht="18" customHeight="1" thickBot="1">
      <c r="A13" s="172">
        <f>[118]f!A13</f>
        <v>1994</v>
      </c>
      <c r="B13" s="190">
        <f>[118]f!B13</f>
        <v>1.3595653499495652E-2</v>
      </c>
      <c r="C13" s="55">
        <f>[118]f!C13</f>
        <v>1.2166007063352247E-4</v>
      </c>
      <c r="D13" s="190">
        <f>[118]f!D13</f>
        <v>1.4269084831005863E-2</v>
      </c>
      <c r="E13" s="55">
        <f>[118]f!E13</f>
        <v>3.637312768011558E-2</v>
      </c>
      <c r="F13" s="190">
        <f>[118]f!F13</f>
        <v>1.3912089648164372E-2</v>
      </c>
      <c r="G13" s="55">
        <f>[118]f!G13</f>
        <v>0</v>
      </c>
      <c r="H13" s="190">
        <f>[118]f!H13</f>
        <v>1.9840761461165535E-2</v>
      </c>
      <c r="I13" s="55">
        <f>[118]f!I13</f>
        <v>8.5209462570190464E-3</v>
      </c>
    </row>
    <row r="14" spans="1:9" ht="18" customHeight="1" thickBot="1">
      <c r="A14" s="172">
        <f>[118]f!A14</f>
        <v>1995</v>
      </c>
      <c r="B14" s="190">
        <f>[118]f!B14</f>
        <v>2.6044103659493834E-2</v>
      </c>
      <c r="C14" s="55">
        <f>[118]f!C14</f>
        <v>3.1557801314410217E-3</v>
      </c>
      <c r="D14" s="190">
        <f>[118]f!D14</f>
        <v>7.5214383062602863E-3</v>
      </c>
      <c r="E14" s="55">
        <f>[118]f!E14</f>
        <v>2.6972880704214663E-2</v>
      </c>
      <c r="F14" s="190">
        <f>[118]f!F14</f>
        <v>5.9679019831284652E-3</v>
      </c>
      <c r="G14" s="55">
        <f>[118]f!G14</f>
        <v>0</v>
      </c>
      <c r="H14" s="190">
        <f>[118]f!H14</f>
        <v>1.8128036096465738E-2</v>
      </c>
      <c r="I14" s="55">
        <f>[118]f!I14</f>
        <v>1.79983110516444E-2</v>
      </c>
    </row>
    <row r="15" spans="1:9" ht="18" customHeight="1" thickBot="1">
      <c r="A15" s="172">
        <f>[118]f!A15</f>
        <v>1996</v>
      </c>
      <c r="B15" s="190">
        <f>[118]f!B15</f>
        <v>3.3176482964660803E-3</v>
      </c>
      <c r="C15" s="55">
        <f>[118]f!C15</f>
        <v>5.0851296177789607E-3</v>
      </c>
      <c r="D15" s="190">
        <f>[118]f!D15</f>
        <v>6.3947579727150483E-3</v>
      </c>
      <c r="E15" s="55">
        <f>[118]f!E15</f>
        <v>3.4195234461111834E-2</v>
      </c>
      <c r="F15" s="190">
        <f>[118]f!F15</f>
        <v>1.5009280076963005E-3</v>
      </c>
      <c r="G15" s="55">
        <f>[118]f!G15</f>
        <v>-4.9661110253496066E-4</v>
      </c>
      <c r="H15" s="190">
        <f>[118]f!H15</f>
        <v>1.8837497247082835E-2</v>
      </c>
      <c r="I15" s="55">
        <f>[118]f!I15</f>
        <v>8.1166011923192727E-3</v>
      </c>
    </row>
    <row r="16" spans="1:9" ht="18" customHeight="1" thickBot="1">
      <c r="A16" s="172">
        <f>[118]f!A16</f>
        <v>1997</v>
      </c>
      <c r="B16" s="190">
        <f>[118]f!B16</f>
        <v>-3.9624823122794695E-3</v>
      </c>
      <c r="C16" s="55">
        <f>[118]f!C16</f>
        <v>3.8008221695315925E-3</v>
      </c>
      <c r="D16" s="190">
        <f>[118]f!D16</f>
        <v>5.4808570359472508E-3</v>
      </c>
      <c r="E16" s="55">
        <f>[118]f!E16</f>
        <v>1.4278994029310654E-2</v>
      </c>
      <c r="F16" s="190">
        <f>[118]f!F16</f>
        <v>-7.4094906141286554E-3</v>
      </c>
      <c r="G16" s="55">
        <f>[118]f!G16</f>
        <v>-3.7818021806373947E-3</v>
      </c>
      <c r="H16" s="190">
        <f>[118]f!H16</f>
        <v>7.6095634245316734E-3</v>
      </c>
      <c r="I16" s="55">
        <f>[118]f!I16</f>
        <v>5.2020451848171501E-3</v>
      </c>
    </row>
    <row r="17" spans="1:10" ht="18" customHeight="1" thickBot="1">
      <c r="A17" s="172">
        <f>[118]f!A17</f>
        <v>1998</v>
      </c>
      <c r="B17" s="190">
        <f>[118]f!B17</f>
        <v>-2.6871570763742469E-2</v>
      </c>
      <c r="C17" s="55">
        <f>[118]f!C17</f>
        <v>-4.5003375877905594E-4</v>
      </c>
      <c r="D17" s="190">
        <f>[118]f!D17</f>
        <v>7.1836151516191382E-3</v>
      </c>
      <c r="E17" s="55">
        <f>[118]f!E17</f>
        <v>1.5462053711893686E-2</v>
      </c>
      <c r="F17" s="190">
        <f>[118]f!F17</f>
        <v>-8.1249180431085533E-3</v>
      </c>
      <c r="G17" s="55">
        <f>[118]f!G17</f>
        <v>8.2897297982469365E-3</v>
      </c>
      <c r="H17" s="190">
        <f>[118]f!H17</f>
        <v>4.8352632916532912E-3</v>
      </c>
      <c r="I17" s="55">
        <f>[118]f!I17</f>
        <v>1.7937050393634912E-4</v>
      </c>
    </row>
    <row r="18" spans="1:10" ht="18" customHeight="1" thickBot="1">
      <c r="A18" s="172">
        <f>[118]f!A18</f>
        <v>1999</v>
      </c>
      <c r="B18" s="190">
        <f>[118]f!B18</f>
        <v>-1.1168895806181078E-2</v>
      </c>
      <c r="C18" s="55">
        <f>[118]f!C18</f>
        <v>-3.0249084965183748E-5</v>
      </c>
      <c r="D18" s="190">
        <f>[118]f!D18</f>
        <v>5.9648017588114222E-3</v>
      </c>
      <c r="E18" s="55">
        <f>[118]f!E18</f>
        <v>1.1136590540768321E-2</v>
      </c>
      <c r="F18" s="190">
        <f>[118]f!F18</f>
        <v>2.2772280197012051E-3</v>
      </c>
      <c r="G18" s="55">
        <f>[118]f!G18</f>
        <v>-2.3398138244890343E-2</v>
      </c>
      <c r="H18" s="190">
        <f>[118]f!H18</f>
        <v>4.2047913692211392E-3</v>
      </c>
      <c r="I18" s="55">
        <f>[118]f!I18</f>
        <v>8.06469785657149E-3</v>
      </c>
    </row>
    <row r="19" spans="1:10" ht="18" customHeight="1" thickBot="1">
      <c r="A19" s="172">
        <f>[118]f!A19</f>
        <v>2000</v>
      </c>
      <c r="B19" s="190">
        <f>[118]f!B19</f>
        <v>4.2788002297349248E-3</v>
      </c>
      <c r="C19" s="55">
        <f>[118]f!C19</f>
        <v>0</v>
      </c>
      <c r="D19" s="190">
        <f>[118]f!D19</f>
        <v>1.6645452871289823E-2</v>
      </c>
      <c r="E19" s="55">
        <f>[118]f!E19</f>
        <v>5.5394940759512235E-3</v>
      </c>
      <c r="F19" s="190">
        <f>[118]f!F19</f>
        <v>-3.1736944416462798E-3</v>
      </c>
      <c r="G19" s="55">
        <f>[118]f!G19</f>
        <v>-1.0436362646149444E-2</v>
      </c>
      <c r="H19" s="190">
        <f>[118]f!H19</f>
        <v>4.7908428835055084E-3</v>
      </c>
      <c r="I19" s="55">
        <f>[118]f!I19</f>
        <v>1.5584911851677319E-2</v>
      </c>
    </row>
    <row r="20" spans="1:10" s="81" customFormat="1" ht="30" customHeight="1" thickBot="1">
      <c r="A20" s="173">
        <f>[118]f!A20</f>
        <v>2001</v>
      </c>
      <c r="B20" s="80">
        <f>[118]f!B20</f>
        <v>-6.618836751683066E-3</v>
      </c>
      <c r="C20" s="192">
        <f>[118]f!C20</f>
        <v>5.9499999999990116E-4</v>
      </c>
      <c r="D20" s="80">
        <f>[118]f!D20</f>
        <v>2.0262987497135398E-2</v>
      </c>
      <c r="E20" s="192">
        <f>[118]f!E20</f>
        <v>7.2860181790750378E-3</v>
      </c>
      <c r="F20" s="80">
        <f>[118]f!F20</f>
        <v>1.3910859635694273E-2</v>
      </c>
      <c r="G20" s="192">
        <f>[118]f!G20</f>
        <v>9.1099852603160336E-3</v>
      </c>
      <c r="H20" s="204">
        <f>[118]f!H20</f>
        <v>5.5339690333648939E-3</v>
      </c>
      <c r="I20" s="205">
        <f>[118]f!I20</f>
        <v>9.8906182903097939E-3</v>
      </c>
    </row>
    <row r="21" spans="1:10" ht="20" customHeight="1">
      <c r="A21" s="780" t="s">
        <v>66</v>
      </c>
      <c r="B21" s="223"/>
      <c r="C21" s="223"/>
      <c r="D21" s="223"/>
      <c r="E21" s="223"/>
      <c r="F21" s="223"/>
      <c r="G21" s="223"/>
    </row>
    <row r="22" spans="1:10" ht="12.75" customHeight="1">
      <c r="A22" s="781"/>
      <c r="B22" s="225"/>
      <c r="C22" s="225"/>
      <c r="D22" s="225"/>
      <c r="E22" s="225"/>
      <c r="F22" s="225"/>
      <c r="G22" s="225"/>
    </row>
    <row r="23" spans="1:10" ht="13.5" customHeight="1">
      <c r="A23" s="781" t="s">
        <v>67</v>
      </c>
      <c r="B23" s="225"/>
      <c r="C23" s="225"/>
      <c r="D23" s="225"/>
      <c r="E23" s="225"/>
      <c r="F23" s="225"/>
      <c r="G23" s="225"/>
    </row>
    <row r="24" spans="1:10" ht="15.75" customHeight="1">
      <c r="A24" s="233" t="s">
        <v>295</v>
      </c>
      <c r="B24" s="226"/>
      <c r="C24" s="226"/>
      <c r="D24" s="226"/>
      <c r="E24" s="226"/>
      <c r="F24" s="226"/>
      <c r="G24" s="226"/>
    </row>
    <row r="25" spans="1:10" ht="18" customHeight="1">
      <c r="B25" s="226"/>
      <c r="C25" s="226"/>
      <c r="D25" s="226"/>
      <c r="E25" s="226"/>
      <c r="F25" s="226"/>
      <c r="G25" s="226"/>
    </row>
    <row r="26" spans="1:10" ht="31" customHeight="1">
      <c r="A26" s="218"/>
      <c r="B26" s="226"/>
      <c r="C26" s="226"/>
      <c r="D26" s="226"/>
      <c r="E26" s="226"/>
      <c r="F26" s="226"/>
      <c r="G26" s="226"/>
    </row>
    <row r="27" spans="1:10" ht="31" customHeight="1">
      <c r="A27" s="218"/>
      <c r="B27" s="226"/>
      <c r="C27" s="226"/>
      <c r="D27" s="226"/>
      <c r="E27" s="226"/>
      <c r="F27" s="226"/>
      <c r="G27" s="226"/>
      <c r="J27" s="286"/>
    </row>
    <row r="28" spans="1:10" ht="31" customHeight="1">
      <c r="A28" s="218"/>
      <c r="B28" s="226"/>
      <c r="C28" s="226"/>
      <c r="D28" s="226"/>
      <c r="E28" s="226"/>
      <c r="F28" s="226"/>
      <c r="G28" s="226"/>
    </row>
    <row r="29" spans="1:10" ht="31" customHeight="1">
      <c r="A29" s="218"/>
      <c r="B29" s="226"/>
      <c r="C29" s="226"/>
      <c r="D29" s="226"/>
      <c r="E29" s="226"/>
      <c r="F29" s="226"/>
      <c r="G29" s="226"/>
    </row>
    <row r="30" spans="1:10" ht="31" customHeight="1">
      <c r="A30" s="218"/>
      <c r="B30" s="226"/>
      <c r="C30" s="226"/>
      <c r="D30" s="226"/>
      <c r="E30" s="226"/>
      <c r="F30" s="226"/>
      <c r="G30" s="226"/>
    </row>
    <row r="31" spans="1:10" ht="31" customHeight="1">
      <c r="A31" s="218"/>
      <c r="B31" s="226"/>
      <c r="C31" s="226"/>
      <c r="D31" s="226"/>
      <c r="E31" s="226"/>
      <c r="F31" s="226"/>
      <c r="G31" s="226"/>
    </row>
    <row r="32" spans="1:10" ht="31" customHeight="1">
      <c r="A32" s="218"/>
      <c r="B32" s="226"/>
      <c r="C32" s="226"/>
      <c r="D32" s="226"/>
      <c r="E32" s="226"/>
      <c r="F32" s="226"/>
      <c r="G32" s="226"/>
    </row>
    <row r="33" spans="1:7" ht="31" customHeight="1">
      <c r="A33" s="218"/>
      <c r="B33" s="226"/>
      <c r="C33" s="226"/>
      <c r="D33" s="226"/>
      <c r="E33" s="226"/>
      <c r="F33" s="226"/>
      <c r="G33" s="226"/>
    </row>
    <row r="34" spans="1:7">
      <c r="A34" s="218"/>
      <c r="B34" s="226"/>
      <c r="C34" s="226"/>
      <c r="D34" s="226"/>
      <c r="E34" s="226"/>
      <c r="F34" s="226"/>
      <c r="G34" s="226"/>
    </row>
  </sheetData>
  <phoneticPr fontId="0" type="noConversion"/>
  <pageMargins left="0.53" right="0.38" top="1.46" bottom="0.49" header="0.94" footer="0.4921259845"/>
  <pageSetup paperSize="9" scale="75" orientation="portrait" horizontalDpi="4294967292" verticalDpi="4294967292"/>
  <headerFooter alignWithMargins="0">
    <oddHeader>&amp;L&amp;"Arial,Bold"&amp;14Zusatzinformationen zum Gesundheitswesen</oddHeader>
    <oddFooter>&amp;L&amp;"Arial,Regular"Statistik über die Krankenversicherung, Bundesamt für Sozialversicherung</odd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BA90-7FD4-8F4B-A5CF-51BD2D679D0C}">
  <dimension ref="A1:I42"/>
  <sheetViews>
    <sheetView topLeftCell="A21" zoomScale="75" workbookViewId="0">
      <selection activeCell="I36" sqref="I36"/>
    </sheetView>
  </sheetViews>
  <sheetFormatPr baseColWidth="10" defaultColWidth="11.3984375" defaultRowHeight="13"/>
  <cols>
    <col min="1" max="1" width="17.19921875" style="7" customWidth="1"/>
    <col min="2" max="7" width="15.19921875" style="227" customWidth="1"/>
    <col min="8" max="16384" width="11.3984375" style="7"/>
  </cols>
  <sheetData>
    <row r="1" spans="1:7" s="1" customFormat="1" ht="14" customHeight="1">
      <c r="A1" s="163"/>
      <c r="B1" s="220"/>
      <c r="C1" s="220"/>
      <c r="D1" s="220"/>
      <c r="E1" s="220"/>
      <c r="F1" s="220"/>
      <c r="G1" s="220"/>
    </row>
    <row r="2" spans="1:7" s="1" customFormat="1" ht="27" customHeight="1">
      <c r="A2" s="164" t="s">
        <v>967</v>
      </c>
      <c r="B2" s="220"/>
      <c r="C2" s="220"/>
      <c r="D2" s="220"/>
      <c r="E2" s="220"/>
      <c r="F2" s="220"/>
      <c r="G2" s="220"/>
    </row>
    <row r="3" spans="1:7" ht="27" customHeight="1">
      <c r="A3" s="41" t="s">
        <v>640</v>
      </c>
      <c r="B3" s="6" t="s">
        <v>968</v>
      </c>
      <c r="C3" s="42" t="s">
        <v>522</v>
      </c>
      <c r="D3" s="6" t="s">
        <v>969</v>
      </c>
      <c r="E3" s="42" t="s">
        <v>522</v>
      </c>
      <c r="F3" s="6" t="s">
        <v>970</v>
      </c>
      <c r="G3" s="42" t="s">
        <v>522</v>
      </c>
    </row>
    <row r="4" spans="1:7" ht="15" customHeight="1">
      <c r="A4" s="43"/>
      <c r="B4" s="170" t="s">
        <v>971</v>
      </c>
      <c r="C4" s="221" t="s">
        <v>523</v>
      </c>
      <c r="D4" s="12" t="s">
        <v>985</v>
      </c>
      <c r="E4" s="44" t="s">
        <v>523</v>
      </c>
      <c r="F4" s="12" t="s">
        <v>972</v>
      </c>
      <c r="G4" s="44" t="s">
        <v>523</v>
      </c>
    </row>
    <row r="5" spans="1:7" ht="15" customHeight="1">
      <c r="A5" s="43"/>
      <c r="B5" s="170" t="s">
        <v>973</v>
      </c>
      <c r="C5" s="221" t="s">
        <v>524</v>
      </c>
      <c r="D5" s="12" t="s">
        <v>974</v>
      </c>
      <c r="E5" s="44" t="s">
        <v>524</v>
      </c>
      <c r="F5" s="12" t="s">
        <v>986</v>
      </c>
      <c r="G5" s="44" t="s">
        <v>524</v>
      </c>
    </row>
    <row r="6" spans="1:7" ht="15" hidden="1" customHeight="1">
      <c r="A6" s="43"/>
      <c r="B6" s="170" t="s">
        <v>975</v>
      </c>
      <c r="C6" s="221"/>
      <c r="D6" s="12" t="s">
        <v>976</v>
      </c>
      <c r="E6" s="44"/>
      <c r="F6" s="12" t="s">
        <v>977</v>
      </c>
      <c r="G6" s="44"/>
    </row>
    <row r="7" spans="1:7" ht="27" customHeight="1">
      <c r="A7" s="182"/>
      <c r="B7" s="16" t="s">
        <v>987</v>
      </c>
      <c r="C7" s="47"/>
      <c r="D7" s="16"/>
      <c r="E7" s="47"/>
      <c r="F7" s="16"/>
      <c r="G7" s="47"/>
    </row>
    <row r="8" spans="1:7" ht="30" customHeight="1" thickBot="1">
      <c r="A8" s="171">
        <f>[119]f!A8</f>
        <v>1985</v>
      </c>
      <c r="B8" s="341">
        <f>[119]f!B8</f>
        <v>52.722501221738085</v>
      </c>
      <c r="C8" s="340" t="str">
        <f>[119]f!C8</f>
        <v>–</v>
      </c>
      <c r="D8" s="341">
        <f>[119]f!D8</f>
        <v>70.111287758346592</v>
      </c>
      <c r="E8" s="340" t="str">
        <f>[119]f!E8</f>
        <v>–</v>
      </c>
      <c r="F8" s="341">
        <f>[119]f!F8</f>
        <v>75.634286419536451</v>
      </c>
      <c r="G8" s="340" t="str">
        <f>[119]f!G8</f>
        <v>–</v>
      </c>
    </row>
    <row r="9" spans="1:7" ht="18" customHeight="1" thickBot="1">
      <c r="A9" s="172">
        <f>[119]f!A9</f>
        <v>1986</v>
      </c>
      <c r="B9" s="125">
        <f>[119]f!B9</f>
        <v>56.277117350074633</v>
      </c>
      <c r="C9" s="55">
        <f>[119]f!C9</f>
        <v>6.7421234690415943E-2</v>
      </c>
      <c r="D9" s="125">
        <f>[119]f!D9</f>
        <v>72.602013778484363</v>
      </c>
      <c r="E9" s="55">
        <f>[119]f!E9</f>
        <v>3.5525321239606722E-2</v>
      </c>
      <c r="F9" s="125">
        <f>[119]f!F9</f>
        <v>76.201754702737617</v>
      </c>
      <c r="G9" s="55">
        <f>[119]f!G9</f>
        <v>7.502791525703989E-3</v>
      </c>
    </row>
    <row r="10" spans="1:7" ht="18" customHeight="1" thickBot="1">
      <c r="A10" s="172">
        <f>[119]f!A10</f>
        <v>1987</v>
      </c>
      <c r="B10" s="125">
        <f>[119]f!B10</f>
        <v>60.581640475871247</v>
      </c>
      <c r="C10" s="55">
        <f>[119]f!C10</f>
        <v>7.6487981767440427E-2</v>
      </c>
      <c r="D10" s="125">
        <f>[119]f!D10</f>
        <v>74.350821409644936</v>
      </c>
      <c r="E10" s="55">
        <f>[119]f!E10</f>
        <v>2.4087591240876005E-2</v>
      </c>
      <c r="F10" s="125">
        <f>[119]f!F10</f>
        <v>77.299277766856065</v>
      </c>
      <c r="G10" s="55">
        <f>[119]f!G10</f>
        <v>1.440285815464315E-2</v>
      </c>
    </row>
    <row r="11" spans="1:7" ht="18" customHeight="1" thickBot="1">
      <c r="A11" s="172">
        <f>[119]f!A11</f>
        <v>1988</v>
      </c>
      <c r="B11" s="125">
        <f>[119]f!B11</f>
        <v>63.374524308683064</v>
      </c>
      <c r="C11" s="55">
        <f>[119]f!C11</f>
        <v>4.6101158880373694E-2</v>
      </c>
      <c r="D11" s="125">
        <f>[119]f!D11</f>
        <v>76.947535771065176</v>
      </c>
      <c r="E11" s="55">
        <f>[119]f!E11</f>
        <v>3.4925160370634201E-2</v>
      </c>
      <c r="F11" s="125">
        <f>[119]f!F11</f>
        <v>78.746700247173862</v>
      </c>
      <c r="G11" s="55">
        <f>[119]f!G11</f>
        <v>1.8724915964718258E-2</v>
      </c>
    </row>
    <row r="12" spans="1:7" ht="18" customHeight="1" thickBot="1">
      <c r="A12" s="172">
        <f>[119]f!A12</f>
        <v>1989</v>
      </c>
      <c r="B12" s="125">
        <f>[119]f!B12</f>
        <v>67.01613848038383</v>
      </c>
      <c r="C12" s="55">
        <f>[119]f!C12</f>
        <v>5.7461798907764372E-2</v>
      </c>
      <c r="D12" s="125">
        <f>[119]f!D12</f>
        <v>79.862215156332809</v>
      </c>
      <c r="E12" s="55">
        <f>[119]f!E12</f>
        <v>3.7878787878788067E-2</v>
      </c>
      <c r="F12" s="125">
        <f>[119]f!F12</f>
        <v>81.23138428320911</v>
      </c>
      <c r="G12" s="55">
        <f>[119]f!G12</f>
        <v>3.1552865431011101E-2</v>
      </c>
    </row>
    <row r="13" spans="1:7" ht="18" customHeight="1" thickBot="1">
      <c r="A13" s="172">
        <f>[119]f!A13</f>
        <v>1990</v>
      </c>
      <c r="B13" s="125">
        <f>[119]f!B13</f>
        <v>70.540790625872404</v>
      </c>
      <c r="C13" s="55">
        <f>[119]f!C13</f>
        <v>5.2594079954640494E-2</v>
      </c>
      <c r="D13" s="125">
        <f>[119]f!D13</f>
        <v>84.525702172761001</v>
      </c>
      <c r="E13" s="55">
        <f>[119]f!E13</f>
        <v>5.8394160583941535E-2</v>
      </c>
      <c r="F13" s="125">
        <f>[119]f!F13</f>
        <v>85.621088701027531</v>
      </c>
      <c r="G13" s="55">
        <f>[119]f!G13</f>
        <v>5.4039512641000265E-2</v>
      </c>
    </row>
    <row r="14" spans="1:7" ht="18" customHeight="1" thickBot="1">
      <c r="A14" s="172">
        <f>[119]f!A14</f>
        <v>1991</v>
      </c>
      <c r="B14" s="125">
        <f>[119]f!B14</f>
        <v>77.968747743032324</v>
      </c>
      <c r="C14" s="55">
        <f>[119]f!C14</f>
        <v>0.10530016818999965</v>
      </c>
      <c r="D14" s="125">
        <f>[119]f!D14</f>
        <v>90.408055113937465</v>
      </c>
      <c r="E14" s="55">
        <f>[119]f!E14</f>
        <v>6.959247648902811E-2</v>
      </c>
      <c r="F14" s="125">
        <f>[119]f!F14</f>
        <v>90.638135071792831</v>
      </c>
      <c r="G14" s="55">
        <f>[119]f!G14</f>
        <v>5.8595918912966338E-2</v>
      </c>
    </row>
    <row r="15" spans="1:7" ht="18" customHeight="1" thickBot="1">
      <c r="A15" s="172">
        <f>[119]f!A15</f>
        <v>1992</v>
      </c>
      <c r="B15" s="125">
        <f>[119]f!B15</f>
        <v>84.878316515713948</v>
      </c>
      <c r="C15" s="55">
        <f>[119]f!C15</f>
        <v>8.861972229506665E-2</v>
      </c>
      <c r="D15" s="125">
        <f>[119]f!D15</f>
        <v>94.753577106518279</v>
      </c>
      <c r="E15" s="55">
        <f>[119]f!E15</f>
        <v>4.8065650644783187E-2</v>
      </c>
      <c r="F15" s="125">
        <f>[119]f!F15</f>
        <v>94.297203174795513</v>
      </c>
      <c r="G15" s="55">
        <f>[119]f!G15</f>
        <v>4.0370072708406868E-2</v>
      </c>
    </row>
    <row r="16" spans="1:7" ht="18" customHeight="1" thickBot="1">
      <c r="A16" s="172">
        <f>[119]f!A16</f>
        <v>1993</v>
      </c>
      <c r="B16" s="125">
        <f>[119]f!B16</f>
        <v>90.517093874100482</v>
      </c>
      <c r="C16" s="55">
        <f>[119]f!C16</f>
        <v>6.643366162125286E-2</v>
      </c>
      <c r="D16" s="125">
        <f>[119]f!D16</f>
        <v>97.297297297297305</v>
      </c>
      <c r="E16" s="55">
        <f>[119]f!E16</f>
        <v>2.6845637583892801E-2</v>
      </c>
      <c r="F16" s="125">
        <f>[119]f!F16</f>
        <v>97.402032602062121</v>
      </c>
      <c r="G16" s="55">
        <f>[119]f!G16</f>
        <v>3.2925996983296457E-2</v>
      </c>
    </row>
    <row r="17" spans="1:7" ht="18" customHeight="1" thickBot="1">
      <c r="A17" s="172">
        <f>[119]f!A17</f>
        <v>1994</v>
      </c>
      <c r="B17" s="125">
        <f>[119]f!B17</f>
        <v>96.051577326373916</v>
      </c>
      <c r="C17" s="55">
        <f>[119]f!C17</f>
        <v>6.1142964443503978E-2</v>
      </c>
      <c r="D17" s="125">
        <f>[119]f!D17</f>
        <v>98.675145733969259</v>
      </c>
      <c r="E17" s="55">
        <f>[119]f!E17</f>
        <v>1.4161220043572786E-2</v>
      </c>
      <c r="F17" s="125">
        <f>[119]f!F17</f>
        <v>98.23199008718872</v>
      </c>
      <c r="G17" s="55">
        <f>[119]f!G17</f>
        <v>8.5209462570190464E-3</v>
      </c>
    </row>
    <row r="18" spans="1:7" ht="18" customHeight="1" thickBot="1">
      <c r="A18" s="172">
        <f>[119]f!A18</f>
        <v>1995</v>
      </c>
      <c r="B18" s="125">
        <f>[119]f!B18</f>
        <v>100</v>
      </c>
      <c r="C18" s="55">
        <f>[119]f!C18</f>
        <v>4.1107317376056551E-2</v>
      </c>
      <c r="D18" s="125">
        <f>[119]f!D18</f>
        <v>100</v>
      </c>
      <c r="E18" s="55">
        <f>[119]f!E18</f>
        <v>1.3426423200859405E-2</v>
      </c>
      <c r="F18" s="125">
        <f>[119]f!F18</f>
        <v>100</v>
      </c>
      <c r="G18" s="55">
        <f>[119]f!G18</f>
        <v>1.79983110516444E-2</v>
      </c>
    </row>
    <row r="19" spans="1:7" ht="18" customHeight="1" thickBot="1">
      <c r="A19" s="172">
        <f>[119]f!A19</f>
        <v>1996</v>
      </c>
      <c r="B19" s="125">
        <f>[119]f!B19</f>
        <v>109.74910251288583</v>
      </c>
      <c r="C19" s="55">
        <f>[119]f!C19</f>
        <v>9.7491025128858322E-2</v>
      </c>
      <c r="D19" s="125">
        <f>[119]f!D19</f>
        <v>101.21886592474827</v>
      </c>
      <c r="E19" s="55">
        <f>[119]f!E19</f>
        <v>1.2188659247482692E-2</v>
      </c>
      <c r="F19" s="125">
        <f>[119]f!F19</f>
        <v>100.81166011923193</v>
      </c>
      <c r="G19" s="55">
        <f>[119]f!G19</f>
        <v>8.1166011923192727E-3</v>
      </c>
    </row>
    <row r="20" spans="1:7" ht="18" customHeight="1" thickBot="1">
      <c r="A20" s="172">
        <f>[119]f!A20</f>
        <v>1997</v>
      </c>
      <c r="B20" s="125">
        <f>[119]f!B20</f>
        <v>115.4124928624605</v>
      </c>
      <c r="C20" s="55">
        <f>[119]f!C20</f>
        <v>5.1603067541347025E-2</v>
      </c>
      <c r="D20" s="125">
        <f>[119]f!D20</f>
        <v>101.69581346051935</v>
      </c>
      <c r="E20" s="55">
        <f>[119]f!E20</f>
        <v>4.7120418848167755E-3</v>
      </c>
      <c r="F20" s="125">
        <f>[119]f!F20</f>
        <v>101.33608693032861</v>
      </c>
      <c r="G20" s="55">
        <f>[119]f!G20</f>
        <v>5.2020451848171501E-3</v>
      </c>
    </row>
    <row r="21" spans="1:7" ht="18" customHeight="1" thickBot="1">
      <c r="A21" s="172">
        <f>[119]f!A21</f>
        <v>1998</v>
      </c>
      <c r="B21" s="125">
        <f>[119]f!B21</f>
        <v>122.61785151110804</v>
      </c>
      <c r="C21" s="55">
        <f>[119]f!C21</f>
        <v>6.2431357905372797E-2</v>
      </c>
      <c r="D21" s="125">
        <f>[119]f!D21</f>
        <v>102.38473767885532</v>
      </c>
      <c r="E21" s="55">
        <f>[119]f!E21</f>
        <v>6.774361646690874E-3</v>
      </c>
      <c r="F21" s="125">
        <f>[119]f!F21</f>
        <v>101.35426363530824</v>
      </c>
      <c r="G21" s="55">
        <f>[119]f!G21</f>
        <v>1.7937050393634912E-4</v>
      </c>
    </row>
    <row r="22" spans="1:7" ht="18" customHeight="1" thickBot="1">
      <c r="A22" s="172">
        <f>[119]f!A22</f>
        <v>1999</v>
      </c>
      <c r="B22" s="125">
        <f>[119]f!B22</f>
        <v>127.51691232156152</v>
      </c>
      <c r="C22" s="55">
        <f>[119]f!C22</f>
        <v>3.9953895375582249E-2</v>
      </c>
      <c r="D22" s="125">
        <f>[119]f!D22</f>
        <v>102.70270270270269</v>
      </c>
      <c r="E22" s="55">
        <f>[119]f!E22</f>
        <v>3.1055900621117516E-3</v>
      </c>
      <c r="F22" s="125">
        <f>[119]f!F22</f>
        <v>102.17165514800229</v>
      </c>
      <c r="G22" s="55">
        <f>[119]f!G22</f>
        <v>8.06469785657149E-3</v>
      </c>
    </row>
    <row r="23" spans="1:7" ht="18" customHeight="1" thickBot="1">
      <c r="A23" s="172">
        <f>[119]f!A23</f>
        <v>2000</v>
      </c>
      <c r="B23" s="125">
        <f>[119]f!B23</f>
        <v>134.9694422142035</v>
      </c>
      <c r="C23" s="55">
        <f>[119]f!C23</f>
        <v>5.8443462572625782E-2</v>
      </c>
      <c r="D23" s="125">
        <f>[119]f!D23</f>
        <v>104.02755696873345</v>
      </c>
      <c r="E23" s="55">
        <f>[119]f!E23</f>
        <v>1.2899896800825816E-2</v>
      </c>
      <c r="F23" s="125">
        <f>[119]f!F23</f>
        <v>103.76399138722388</v>
      </c>
      <c r="G23" s="55">
        <f>[119]f!G23</f>
        <v>1.5584911851677319E-2</v>
      </c>
    </row>
    <row r="24" spans="1:7" s="81" customFormat="1" ht="30" customHeight="1" thickBot="1">
      <c r="A24" s="173">
        <f>[119]f!A24</f>
        <v>2001</v>
      </c>
      <c r="B24" s="131">
        <f>[119]f!B24</f>
        <v>141.8505644621508</v>
      </c>
      <c r="C24" s="192">
        <f>[119]f!C24</f>
        <v>5.0982816073482873E-2</v>
      </c>
      <c r="D24" s="131">
        <f>[119]f!D24</f>
        <v>106.57127715951245</v>
      </c>
      <c r="E24" s="192">
        <f>[119]f!E24</f>
        <v>2.4452368823229653E-2</v>
      </c>
      <c r="F24" s="131">
        <f>[119]f!F24</f>
        <v>104.7902814183139</v>
      </c>
      <c r="G24" s="192">
        <f>[119]f!G24</f>
        <v>9.8906182903097939E-3</v>
      </c>
    </row>
    <row r="25" spans="1:7" ht="20" customHeight="1">
      <c r="A25" s="222" t="str">
        <f>'[106]data '!$D$2</f>
        <v>Datenstand: 17.11.2002</v>
      </c>
      <c r="B25" s="223"/>
      <c r="C25" s="223"/>
      <c r="D25" s="223"/>
      <c r="E25" s="223"/>
      <c r="F25" s="223"/>
      <c r="G25" s="223"/>
    </row>
    <row r="26" spans="1:7" ht="12.75" customHeight="1">
      <c r="A26" s="224"/>
      <c r="B26" s="225"/>
      <c r="C26" s="225"/>
      <c r="D26" s="225"/>
      <c r="E26" s="225"/>
      <c r="F26" s="225"/>
      <c r="G26" s="225"/>
    </row>
    <row r="27" spans="1:7" ht="12" customHeight="1">
      <c r="A27" s="224" t="s">
        <v>978</v>
      </c>
      <c r="B27" s="225"/>
      <c r="C27" s="225"/>
      <c r="D27" s="225"/>
      <c r="E27" s="225"/>
      <c r="F27" s="225"/>
      <c r="G27" s="225"/>
    </row>
    <row r="28" spans="1:7" ht="12" customHeight="1">
      <c r="A28" s="224" t="s">
        <v>979</v>
      </c>
      <c r="B28" s="225"/>
      <c r="C28" s="225"/>
      <c r="D28" s="225"/>
      <c r="E28" s="225"/>
      <c r="F28" s="225"/>
      <c r="G28" s="225"/>
    </row>
    <row r="29" spans="1:7" ht="12" customHeight="1">
      <c r="A29" s="224" t="s">
        <v>980</v>
      </c>
      <c r="B29" s="225"/>
      <c r="C29" s="225"/>
      <c r="D29" s="225"/>
      <c r="E29" s="225"/>
      <c r="F29" s="225"/>
      <c r="G29" s="225"/>
    </row>
    <row r="30" spans="1:7" ht="12" customHeight="1">
      <c r="A30" s="224" t="s">
        <v>981</v>
      </c>
      <c r="B30" s="225"/>
      <c r="C30" s="225"/>
      <c r="D30" s="225"/>
      <c r="E30" s="225"/>
      <c r="F30" s="225"/>
      <c r="G30" s="225"/>
    </row>
    <row r="31" spans="1:7" ht="12" customHeight="1">
      <c r="A31" s="224" t="s">
        <v>982</v>
      </c>
      <c r="B31" s="225"/>
      <c r="C31" s="225"/>
      <c r="D31" s="225"/>
      <c r="E31" s="225"/>
      <c r="F31" s="225"/>
      <c r="G31" s="225"/>
    </row>
    <row r="32" spans="1:7" ht="12" customHeight="1">
      <c r="A32" s="224" t="s">
        <v>983</v>
      </c>
      <c r="B32" s="225"/>
      <c r="C32" s="225"/>
      <c r="D32" s="225"/>
      <c r="E32" s="225"/>
      <c r="F32" s="225"/>
      <c r="G32" s="225"/>
    </row>
    <row r="33" spans="1:9" ht="12.75" customHeight="1">
      <c r="A33" s="224" t="s">
        <v>984</v>
      </c>
      <c r="B33" s="226"/>
      <c r="C33" s="226"/>
      <c r="D33" s="226"/>
      <c r="E33" s="226"/>
      <c r="F33" s="226"/>
      <c r="G33" s="226"/>
    </row>
    <row r="34" spans="1:9" ht="18" customHeight="1">
      <c r="A34" s="286"/>
      <c r="B34" s="226"/>
      <c r="C34" s="226"/>
      <c r="D34" s="226"/>
      <c r="E34" s="226"/>
      <c r="F34" s="226"/>
      <c r="G34" s="226"/>
    </row>
    <row r="35" spans="1:9" ht="31" customHeight="1">
      <c r="A35" s="218"/>
      <c r="B35" s="226"/>
      <c r="C35" s="226"/>
      <c r="D35" s="226"/>
      <c r="E35" s="226"/>
      <c r="F35" s="226"/>
      <c r="G35" s="226"/>
    </row>
    <row r="36" spans="1:9" ht="31" customHeight="1">
      <c r="A36" s="218"/>
      <c r="B36" s="226"/>
      <c r="C36" s="226"/>
      <c r="D36" s="226"/>
      <c r="E36" s="226"/>
      <c r="F36" s="226"/>
      <c r="G36" s="226"/>
      <c r="I36" s="286"/>
    </row>
    <row r="37" spans="1:9" ht="31" customHeight="1">
      <c r="A37" s="218"/>
      <c r="B37" s="226"/>
      <c r="C37" s="226"/>
      <c r="D37" s="226"/>
      <c r="E37" s="226"/>
      <c r="F37" s="226"/>
      <c r="G37" s="226"/>
    </row>
    <row r="38" spans="1:9" ht="31" customHeight="1">
      <c r="A38" s="218"/>
      <c r="B38" s="226"/>
      <c r="C38" s="226"/>
      <c r="D38" s="226"/>
      <c r="E38" s="226"/>
      <c r="F38" s="226"/>
      <c r="G38" s="226"/>
    </row>
    <row r="39" spans="1:9" ht="31" customHeight="1">
      <c r="A39" s="218"/>
      <c r="B39" s="226"/>
      <c r="C39" s="226"/>
      <c r="D39" s="226"/>
      <c r="E39" s="226"/>
      <c r="F39" s="226"/>
      <c r="G39" s="226"/>
    </row>
    <row r="40" spans="1:9" ht="31" customHeight="1">
      <c r="A40" s="218"/>
      <c r="B40" s="226"/>
      <c r="C40" s="226"/>
      <c r="D40" s="226"/>
      <c r="E40" s="226"/>
      <c r="F40" s="226"/>
      <c r="G40" s="226"/>
    </row>
    <row r="41" spans="1:9" ht="31" customHeight="1">
      <c r="A41" s="218"/>
      <c r="B41" s="226"/>
      <c r="C41" s="226"/>
      <c r="D41" s="226"/>
      <c r="E41" s="226"/>
      <c r="F41" s="226"/>
      <c r="G41" s="226"/>
    </row>
    <row r="42" spans="1:9" ht="31" customHeight="1">
      <c r="A42" s="218"/>
      <c r="B42" s="226"/>
      <c r="C42" s="226"/>
      <c r="D42" s="226"/>
      <c r="E42" s="226"/>
      <c r="F42" s="226"/>
      <c r="G42" s="226"/>
    </row>
  </sheetData>
  <phoneticPr fontId="0" type="noConversion"/>
  <pageMargins left="0.78740157480314965" right="0.78740157480314965" top="1.46" bottom="0.49" header="0.94" footer="0.4921259845"/>
  <pageSetup paperSize="9" scale="80" orientation="portrait" horizontalDpi="4294967292" verticalDpi="4294967292"/>
  <headerFooter alignWithMargins="0">
    <oddHeader>&amp;L&amp;"Arial,Bold"&amp;14Zusatzinformationen zum Gesundheitswesen</oddHeader>
    <oddFooter>&amp;L&amp;"Arial,Regular"Statistik über die Krankenversicherung, Bundesamt für Sozialversicherung</oddFooter>
  </headerFooter>
  <rowBreaks count="1" manualBreakCount="1">
    <brk id="34" max="16383" man="1"/>
  </row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00A1-320C-1C40-A0CA-5962493F9BDD}">
  <dimension ref="A1:J42"/>
  <sheetViews>
    <sheetView topLeftCell="A20" zoomScale="75" workbookViewId="0">
      <selection activeCell="B5" sqref="B5"/>
    </sheetView>
  </sheetViews>
  <sheetFormatPr baseColWidth="10" defaultColWidth="11.3984375" defaultRowHeight="13"/>
  <cols>
    <col min="1" max="1" width="11.3984375" style="7"/>
    <col min="2" max="2" width="11.19921875" style="227" customWidth="1"/>
    <col min="3" max="3" width="12.19921875" style="227" customWidth="1"/>
    <col min="4" max="4" width="13.3984375" style="227" customWidth="1"/>
    <col min="5" max="6" width="11.19921875" style="227" customWidth="1"/>
    <col min="7" max="7" width="12.19921875" style="227" customWidth="1"/>
    <col min="8" max="8" width="12.3984375" style="7" customWidth="1"/>
    <col min="9" max="9" width="12.796875" style="7" customWidth="1"/>
    <col min="10" max="10" width="11.3984375" style="7"/>
    <col min="11" max="11" width="5.796875" style="7" customWidth="1"/>
    <col min="12" max="16384" width="11.3984375" style="7"/>
  </cols>
  <sheetData>
    <row r="1" spans="1:10" s="1" customFormat="1" ht="14" customHeight="1">
      <c r="A1" s="163"/>
      <c r="B1" s="220"/>
      <c r="C1" s="220"/>
      <c r="D1" s="220"/>
      <c r="E1" s="220"/>
      <c r="F1" s="220"/>
      <c r="G1" s="220"/>
    </row>
    <row r="2" spans="1:10" s="1" customFormat="1" ht="27" customHeight="1">
      <c r="A2" s="2" t="s">
        <v>707</v>
      </c>
      <c r="B2" s="269"/>
      <c r="C2" s="269"/>
      <c r="D2" s="269"/>
      <c r="E2" s="269"/>
      <c r="F2" s="269"/>
      <c r="G2" s="269"/>
      <c r="H2" s="167"/>
      <c r="I2" s="167"/>
      <c r="J2" s="167"/>
    </row>
    <row r="3" spans="1:10" ht="27" customHeight="1">
      <c r="A3" s="41" t="s">
        <v>640</v>
      </c>
      <c r="B3" s="754" t="s">
        <v>708</v>
      </c>
      <c r="C3" s="42"/>
      <c r="D3" s="6"/>
      <c r="E3" s="114"/>
      <c r="F3" s="782" t="s">
        <v>718</v>
      </c>
      <c r="G3" s="42"/>
      <c r="H3" s="783"/>
      <c r="I3" s="784"/>
      <c r="J3" s="785" t="s">
        <v>719</v>
      </c>
    </row>
    <row r="4" spans="1:10" ht="20.25" customHeight="1">
      <c r="A4" s="43"/>
      <c r="B4" s="170" t="s">
        <v>720</v>
      </c>
      <c r="C4" s="44" t="s">
        <v>531</v>
      </c>
      <c r="D4" s="12" t="s">
        <v>709</v>
      </c>
      <c r="E4" s="44" t="s">
        <v>721</v>
      </c>
      <c r="F4" s="786" t="s">
        <v>514</v>
      </c>
      <c r="G4" s="89" t="s">
        <v>589</v>
      </c>
      <c r="H4" s="88" t="s">
        <v>589</v>
      </c>
      <c r="I4" s="89" t="s">
        <v>589</v>
      </c>
      <c r="J4" s="786"/>
    </row>
    <row r="5" spans="1:10" ht="15" customHeight="1">
      <c r="A5" s="43"/>
      <c r="B5" s="170"/>
      <c r="C5" s="44"/>
      <c r="D5" s="12" t="s">
        <v>722</v>
      </c>
      <c r="E5" s="44"/>
      <c r="F5" s="787"/>
      <c r="G5" s="89" t="s">
        <v>593</v>
      </c>
      <c r="H5" s="88" t="s">
        <v>710</v>
      </c>
      <c r="I5" s="89" t="s">
        <v>711</v>
      </c>
      <c r="J5" s="787"/>
    </row>
    <row r="6" spans="1:10" s="178" customFormat="1" ht="26.25" customHeight="1">
      <c r="A6" s="481"/>
      <c r="B6" s="170"/>
      <c r="C6" s="221"/>
      <c r="D6" s="170" t="s">
        <v>712</v>
      </c>
      <c r="E6" s="221"/>
      <c r="F6" s="788"/>
      <c r="G6" s="221" t="s">
        <v>713</v>
      </c>
      <c r="H6" s="16"/>
      <c r="I6" s="789"/>
      <c r="J6" s="788"/>
    </row>
    <row r="7" spans="1:10" ht="30" customHeight="1" thickBot="1">
      <c r="A7" s="171">
        <v>1996</v>
      </c>
      <c r="B7" s="341">
        <f>[120]f!B7</f>
        <v>86.006060740352524</v>
      </c>
      <c r="C7" s="340">
        <f>[120]f!C7</f>
        <v>84.889109946275426</v>
      </c>
      <c r="D7" s="341">
        <f>[120]f!D7</f>
        <v>88.105833187353355</v>
      </c>
      <c r="E7" s="340">
        <f>[120]f!E7</f>
        <v>89.456872549597762</v>
      </c>
      <c r="F7" s="790" t="str">
        <f>[120]f!F7</f>
        <v>-</v>
      </c>
      <c r="G7" s="340" t="str">
        <f>[120]f!G7</f>
        <v>-</v>
      </c>
      <c r="H7" s="483" t="str">
        <f>[120]f!H7</f>
        <v>-</v>
      </c>
      <c r="I7" s="791" t="str">
        <f>[120]f!I7</f>
        <v>-</v>
      </c>
      <c r="J7" s="790" t="str">
        <f>[120]f!J7</f>
        <v>-</v>
      </c>
    </row>
    <row r="8" spans="1:10" ht="18" customHeight="1" thickBot="1">
      <c r="A8" s="172">
        <v>1997</v>
      </c>
      <c r="B8" s="341">
        <f>[120]f!B8</f>
        <v>93.450605294375507</v>
      </c>
      <c r="C8" s="126">
        <f>[120]f!C8</f>
        <v>92.236973058553744</v>
      </c>
      <c r="D8" s="125">
        <f>[120]f!D8</f>
        <v>95.732130624841147</v>
      </c>
      <c r="E8" s="126">
        <f>[120]f!E8</f>
        <v>97.200113754069974</v>
      </c>
      <c r="F8" s="790" t="str">
        <f>[120]f!F8</f>
        <v>-</v>
      </c>
      <c r="G8" s="340" t="str">
        <f>[120]f!G8</f>
        <v>-</v>
      </c>
      <c r="H8" s="483" t="str">
        <f>[120]f!H8</f>
        <v>-</v>
      </c>
      <c r="I8" s="791" t="str">
        <f>[120]f!I8</f>
        <v>-</v>
      </c>
      <c r="J8" s="790" t="str">
        <f>[120]f!J8</f>
        <v>-</v>
      </c>
    </row>
    <row r="9" spans="1:10" ht="18" customHeight="1" thickBot="1">
      <c r="A9" s="792">
        <v>1998</v>
      </c>
      <c r="B9" s="341">
        <f>[120]f!B9</f>
        <v>97.215487948935049</v>
      </c>
      <c r="C9" s="793">
        <f>[120]f!C9</f>
        <v>96.76145469915906</v>
      </c>
      <c r="D9" s="794">
        <f>[120]f!D9</f>
        <v>96.219599118266132</v>
      </c>
      <c r="E9" s="793">
        <f>[120]f!E9</f>
        <v>97.097348546501266</v>
      </c>
      <c r="F9" s="790" t="str">
        <f>[120]f!F9</f>
        <v>-</v>
      </c>
      <c r="G9" s="340" t="str">
        <f>[120]f!G9</f>
        <v>-</v>
      </c>
      <c r="H9" s="483" t="str">
        <f>[120]f!H9</f>
        <v>-</v>
      </c>
      <c r="I9" s="791" t="str">
        <f>[120]f!I9</f>
        <v>-</v>
      </c>
      <c r="J9" s="790" t="str">
        <f>[120]f!J9</f>
        <v>-</v>
      </c>
    </row>
    <row r="10" spans="1:10" ht="18" customHeight="1" thickBot="1">
      <c r="A10" s="172">
        <v>1999</v>
      </c>
      <c r="B10" s="341">
        <f>[120]f!B10</f>
        <v>100</v>
      </c>
      <c r="C10" s="126">
        <f>[120]f!C10</f>
        <v>100</v>
      </c>
      <c r="D10" s="125">
        <f>[120]f!D10</f>
        <v>100</v>
      </c>
      <c r="E10" s="126">
        <f>[120]f!E10</f>
        <v>100</v>
      </c>
      <c r="F10" s="795">
        <f>[120]f!F10</f>
        <v>100</v>
      </c>
      <c r="G10" s="126">
        <f>[120]f!G10</f>
        <v>100</v>
      </c>
      <c r="H10" s="125">
        <f>[120]f!H10</f>
        <v>100</v>
      </c>
      <c r="I10" s="126">
        <f>[120]f!I10</f>
        <v>100</v>
      </c>
      <c r="J10" s="795">
        <f>[120]f!J10</f>
        <v>100</v>
      </c>
    </row>
    <row r="11" spans="1:10" ht="18" customHeight="1" thickBot="1">
      <c r="A11" s="796">
        <v>2000</v>
      </c>
      <c r="B11" s="483">
        <f>[120]f!B11</f>
        <v>103.8338895386602</v>
      </c>
      <c r="C11" s="484">
        <f>[120]f!C11</f>
        <v>103.81904229623156</v>
      </c>
      <c r="D11" s="483">
        <f>[120]f!D11</f>
        <v>103.45593003208138</v>
      </c>
      <c r="E11" s="484">
        <f>[120]f!E11</f>
        <v>103.42115417527525</v>
      </c>
      <c r="F11" s="797">
        <f>[120]f!F11</f>
        <v>106.4</v>
      </c>
      <c r="G11" s="484">
        <f>[120]f!G11</f>
        <v>104.3</v>
      </c>
      <c r="H11" s="483">
        <f>[120]f!H11</f>
        <v>107.5</v>
      </c>
      <c r="I11" s="791">
        <f>[120]f!I11</f>
        <v>106.7</v>
      </c>
      <c r="J11" s="797">
        <f>[120]f!J11</f>
        <v>104.6</v>
      </c>
    </row>
    <row r="12" spans="1:10" ht="18" customHeight="1" thickBot="1">
      <c r="A12" s="172">
        <v>2001</v>
      </c>
      <c r="B12" s="125">
        <f>[120]f!B12</f>
        <v>109.89171777464087</v>
      </c>
      <c r="C12" s="126">
        <f>[120]f!C12</f>
        <v>109.50538235327545</v>
      </c>
      <c r="D12" s="125">
        <f>[120]f!D12</f>
        <v>115.01405375002101</v>
      </c>
      <c r="E12" s="126">
        <f>[120]f!E12</f>
        <v>108.06385866336825</v>
      </c>
      <c r="F12" s="795">
        <f>[120]f!F12</f>
        <v>111.1</v>
      </c>
      <c r="G12" s="126">
        <f>[120]f!G12</f>
        <v>107.5</v>
      </c>
      <c r="H12" s="125">
        <f>[120]f!H12</f>
        <v>112.5</v>
      </c>
      <c r="I12" s="126">
        <f>[120]f!I12</f>
        <v>112.5</v>
      </c>
      <c r="J12" s="795">
        <f>[120]f!J12</f>
        <v>110.3</v>
      </c>
    </row>
    <row r="13" spans="1:10" ht="18" customHeight="1" thickBot="1">
      <c r="A13" s="792">
        <v>2002</v>
      </c>
      <c r="B13" s="794">
        <f>[120]f!B13</f>
        <v>120.84480835451934</v>
      </c>
      <c r="C13" s="793">
        <f>[120]f!C13</f>
        <v>120.16923101478226</v>
      </c>
      <c r="D13" s="794">
        <f>[120]f!D13</f>
        <v>132.24555803965833</v>
      </c>
      <c r="E13" s="793">
        <f>[120]f!E13</f>
        <v>118.3322495934523</v>
      </c>
      <c r="F13" s="798">
        <f>[120]f!F13</f>
        <v>115.4</v>
      </c>
      <c r="G13" s="793">
        <f>[120]f!G13</f>
        <v>107.9</v>
      </c>
      <c r="H13" s="794">
        <f>[120]f!H13</f>
        <v>117.5</v>
      </c>
      <c r="I13" s="793">
        <f>[120]f!I13</f>
        <v>119.3</v>
      </c>
      <c r="J13" s="798">
        <f>[120]f!J13</f>
        <v>119</v>
      </c>
    </row>
    <row r="14" spans="1:10" ht="18" customHeight="1" thickBot="1">
      <c r="A14" s="799">
        <v>2003</v>
      </c>
      <c r="B14" s="800">
        <f>[120]f!B14</f>
        <v>133.09774039506712</v>
      </c>
      <c r="C14" s="801">
        <f>[120]f!C14</f>
        <v>131.71223226225331</v>
      </c>
      <c r="D14" s="800">
        <f>[120]f!D14</f>
        <v>152.60915065942334</v>
      </c>
      <c r="E14" s="801">
        <f>[120]f!E14</f>
        <v>129.32141615117271</v>
      </c>
      <c r="F14" s="802" t="str">
        <f>[120]f!F14</f>
        <v>-</v>
      </c>
      <c r="G14" s="801" t="str">
        <f>[120]f!G14</f>
        <v>-</v>
      </c>
      <c r="H14" s="800" t="str">
        <f>[120]f!H14</f>
        <v>-</v>
      </c>
      <c r="I14" s="801" t="str">
        <f>[120]f!I14</f>
        <v>-</v>
      </c>
      <c r="J14" s="802" t="str">
        <f>[120]f!J14</f>
        <v>-</v>
      </c>
    </row>
    <row r="15" spans="1:10" ht="18" customHeight="1">
      <c r="A15" s="803"/>
      <c r="B15" s="748"/>
      <c r="C15" s="804"/>
      <c r="D15" s="748"/>
      <c r="E15" s="804"/>
      <c r="F15" s="748"/>
      <c r="G15" s="804"/>
      <c r="H15" s="748"/>
      <c r="I15" s="804"/>
      <c r="J15" s="748"/>
    </row>
    <row r="16" spans="1:10" ht="18" customHeight="1">
      <c r="A16" s="803"/>
      <c r="B16" s="748"/>
      <c r="C16" s="804"/>
      <c r="D16" s="748"/>
      <c r="E16" s="804"/>
      <c r="F16" s="748"/>
      <c r="G16" s="804"/>
      <c r="H16" s="748"/>
      <c r="I16" s="804"/>
      <c r="J16" s="748"/>
    </row>
    <row r="17" spans="1:10" ht="18" customHeight="1">
      <c r="A17" s="805" t="s">
        <v>714</v>
      </c>
      <c r="B17" s="748"/>
      <c r="C17" s="804"/>
      <c r="D17" s="748"/>
      <c r="E17" s="804"/>
      <c r="F17" s="748"/>
      <c r="G17" s="804"/>
      <c r="H17" s="748"/>
      <c r="I17" s="804"/>
      <c r="J17" s="748"/>
    </row>
    <row r="18" spans="1:10" ht="18" customHeight="1">
      <c r="A18" s="806"/>
      <c r="B18" s="807"/>
      <c r="C18" s="808"/>
      <c r="D18" s="807"/>
      <c r="E18" s="808"/>
      <c r="F18" s="807"/>
      <c r="G18" s="808"/>
      <c r="H18" s="807"/>
      <c r="I18" s="808"/>
      <c r="J18" s="807"/>
    </row>
    <row r="19" spans="1:10" ht="27" customHeight="1">
      <c r="A19" s="41" t="s">
        <v>640</v>
      </c>
      <c r="B19" s="754" t="s">
        <v>708</v>
      </c>
      <c r="C19" s="42"/>
      <c r="D19" s="6"/>
      <c r="E19" s="114"/>
      <c r="F19" s="782" t="s">
        <v>718</v>
      </c>
      <c r="G19" s="42"/>
      <c r="H19" s="783"/>
      <c r="I19" s="784"/>
      <c r="J19" s="785" t="s">
        <v>719</v>
      </c>
    </row>
    <row r="20" spans="1:10" ht="20.25" customHeight="1">
      <c r="A20" s="43"/>
      <c r="B20" s="170" t="s">
        <v>720</v>
      </c>
      <c r="C20" s="44" t="s">
        <v>531</v>
      </c>
      <c r="D20" s="12" t="s">
        <v>709</v>
      </c>
      <c r="E20" s="44" t="s">
        <v>721</v>
      </c>
      <c r="F20" s="786" t="s">
        <v>514</v>
      </c>
      <c r="G20" s="89" t="s">
        <v>589</v>
      </c>
      <c r="H20" s="88" t="s">
        <v>589</v>
      </c>
      <c r="I20" s="89" t="s">
        <v>589</v>
      </c>
      <c r="J20" s="786"/>
    </row>
    <row r="21" spans="1:10" ht="15" customHeight="1">
      <c r="A21" s="43"/>
      <c r="B21" s="170"/>
      <c r="C21" s="44"/>
      <c r="D21" s="12" t="s">
        <v>722</v>
      </c>
      <c r="E21" s="44"/>
      <c r="F21" s="787"/>
      <c r="G21" s="89" t="s">
        <v>593</v>
      </c>
      <c r="H21" s="88" t="s">
        <v>710</v>
      </c>
      <c r="I21" s="89" t="s">
        <v>711</v>
      </c>
      <c r="J21" s="787"/>
    </row>
    <row r="22" spans="1:10" s="178" customFormat="1" ht="26.25" customHeight="1">
      <c r="A22" s="46"/>
      <c r="B22" s="16"/>
      <c r="C22" s="47"/>
      <c r="D22" s="16" t="s">
        <v>712</v>
      </c>
      <c r="E22" s="47"/>
      <c r="F22" s="809"/>
      <c r="G22" s="47" t="s">
        <v>713</v>
      </c>
      <c r="H22" s="16"/>
      <c r="I22" s="789"/>
      <c r="J22" s="809"/>
    </row>
    <row r="23" spans="1:10" ht="26.25" customHeight="1" thickBot="1">
      <c r="A23" s="796">
        <v>1997</v>
      </c>
      <c r="B23" s="487">
        <f>[120]f!B23</f>
        <v>8.6558371467537087E-2</v>
      </c>
      <c r="C23" s="231">
        <f>[120]f!C23</f>
        <v>8.6558371467537309E-2</v>
      </c>
      <c r="D23" s="487">
        <f>[120]f!D23</f>
        <v>8.6558371467537087E-2</v>
      </c>
      <c r="E23" s="231">
        <f>[120]f!E23</f>
        <v>8.6558371467537087E-2</v>
      </c>
      <c r="F23" s="810" t="str">
        <f>[120]f!F23</f>
        <v>-</v>
      </c>
      <c r="G23" s="231" t="str">
        <f>[120]f!G23</f>
        <v>-</v>
      </c>
      <c r="H23" s="487" t="str">
        <f>[120]f!H23</f>
        <v>-</v>
      </c>
      <c r="I23" s="231" t="str">
        <f>[120]f!I23</f>
        <v>-</v>
      </c>
      <c r="J23" s="810" t="str">
        <f>[120]f!J23</f>
        <v>-</v>
      </c>
    </row>
    <row r="24" spans="1:10" ht="18" customHeight="1" thickBot="1">
      <c r="A24" s="172">
        <v>1998</v>
      </c>
      <c r="B24" s="487">
        <f>[120]f!B24</f>
        <v>4.0287407906026029E-2</v>
      </c>
      <c r="C24" s="55">
        <f>[120]f!C24</f>
        <v>4.9052798358127925E-2</v>
      </c>
      <c r="D24" s="190">
        <f>[120]f!D24</f>
        <v>5.0920050587330845E-3</v>
      </c>
      <c r="E24" s="55">
        <f>[120]f!E24</f>
        <v>-1.0572539845860041E-3</v>
      </c>
      <c r="F24" s="810" t="str">
        <f>[120]f!F24</f>
        <v>-</v>
      </c>
      <c r="G24" s="231" t="str">
        <f>[120]f!G24</f>
        <v>-</v>
      </c>
      <c r="H24" s="487" t="str">
        <f>[120]f!H24</f>
        <v>-</v>
      </c>
      <c r="I24" s="231" t="str">
        <f>[120]f!I24</f>
        <v>-</v>
      </c>
      <c r="J24" s="810" t="str">
        <f>[120]f!J24</f>
        <v>-</v>
      </c>
    </row>
    <row r="25" spans="1:10" ht="18" customHeight="1" thickBot="1">
      <c r="A25" s="796">
        <v>1999</v>
      </c>
      <c r="B25" s="487">
        <f>[120]f!B25</f>
        <v>2.8642679369439428E-2</v>
      </c>
      <c r="C25" s="55">
        <f>[120]f!C25</f>
        <v>3.3469373842196726E-2</v>
      </c>
      <c r="D25" s="190">
        <f>[120]f!D25</f>
        <v>3.9289301934081866E-2</v>
      </c>
      <c r="E25" s="55">
        <f>[120]f!E25</f>
        <v>2.9894240130652117E-2</v>
      </c>
      <c r="F25" s="810" t="str">
        <f>[120]f!F25</f>
        <v>-</v>
      </c>
      <c r="G25" s="231" t="str">
        <f>[120]f!G25</f>
        <v>-</v>
      </c>
      <c r="H25" s="487" t="str">
        <f>[120]f!H25</f>
        <v>-</v>
      </c>
      <c r="I25" s="231" t="str">
        <f>[120]f!I25</f>
        <v>-</v>
      </c>
      <c r="J25" s="810" t="str">
        <f>[120]f!J25</f>
        <v>-</v>
      </c>
    </row>
    <row r="26" spans="1:10" ht="18" customHeight="1" thickBot="1">
      <c r="A26" s="172">
        <v>2000</v>
      </c>
      <c r="B26" s="487">
        <f>[120]f!B26</f>
        <v>3.8338895386601957E-2</v>
      </c>
      <c r="C26" s="55">
        <f>[120]f!C26</f>
        <v>3.8190422962315562E-2</v>
      </c>
      <c r="D26" s="190">
        <f>[120]f!D26</f>
        <v>3.4559300320813779E-2</v>
      </c>
      <c r="E26" s="55">
        <f>[120]f!E26</f>
        <v>3.4211541752752428E-2</v>
      </c>
      <c r="F26" s="811">
        <f>[120]f!F26</f>
        <v>6.4000000000000001E-2</v>
      </c>
      <c r="G26" s="55">
        <f>[120]f!G26</f>
        <v>4.2999999999999997E-2</v>
      </c>
      <c r="H26" s="190">
        <f>[120]f!H26</f>
        <v>7.4999999999999997E-2</v>
      </c>
      <c r="I26" s="55">
        <f>[120]f!I26</f>
        <v>6.7000000000000004E-2</v>
      </c>
      <c r="J26" s="811">
        <f>[120]f!J26</f>
        <v>4.5999999999999999E-2</v>
      </c>
    </row>
    <row r="27" spans="1:10" ht="18" customHeight="1" thickBot="1">
      <c r="A27" s="796">
        <v>2001</v>
      </c>
      <c r="B27" s="487">
        <f>[120]f!B27</f>
        <v>5.8341532450493228E-2</v>
      </c>
      <c r="C27" s="55">
        <f>[120]f!C27</f>
        <v>5.4771648160833575E-2</v>
      </c>
      <c r="D27" s="190">
        <f>[120]f!D27</f>
        <v>0.11172026305650617</v>
      </c>
      <c r="E27" s="55">
        <f>[120]f!E27</f>
        <v>4.4891246139302288E-2</v>
      </c>
      <c r="F27" s="811">
        <f>[120]f!F27</f>
        <v>4.4000000000000004E-2</v>
      </c>
      <c r="G27" s="55">
        <f>[120]f!G27</f>
        <v>0.03</v>
      </c>
      <c r="H27" s="190">
        <f>[120]f!H27</f>
        <v>4.7E-2</v>
      </c>
      <c r="I27" s="55">
        <f>[120]f!I27</f>
        <v>5.5E-2</v>
      </c>
      <c r="J27" s="811">
        <f>[120]f!J27</f>
        <v>5.4000000000000006E-2</v>
      </c>
    </row>
    <row r="28" spans="1:10" ht="18" customHeight="1" thickBot="1">
      <c r="A28" s="172">
        <v>2002</v>
      </c>
      <c r="B28" s="487">
        <f>[120]f!B28</f>
        <v>9.9671665906073015E-2</v>
      </c>
      <c r="C28" s="55">
        <f>[120]f!C28</f>
        <v>9.7381959063018053E-2</v>
      </c>
      <c r="D28" s="190">
        <f>[120]f!D28</f>
        <v>0.14982085864992989</v>
      </c>
      <c r="E28" s="55">
        <f>[120]f!E28</f>
        <v>9.5021509106678392E-2</v>
      </c>
      <c r="F28" s="811">
        <f>[120]f!F28</f>
        <v>3.9E-2</v>
      </c>
      <c r="G28" s="55">
        <f>[120]f!G28</f>
        <v>4.0000000000000001E-3</v>
      </c>
      <c r="H28" s="190">
        <f>[120]f!H28</f>
        <v>4.4000000000000004E-2</v>
      </c>
      <c r="I28" s="55">
        <f>[120]f!I28</f>
        <v>0.06</v>
      </c>
      <c r="J28" s="811">
        <f>[120]f!J28</f>
        <v>7.9000000000000001E-2</v>
      </c>
    </row>
    <row r="29" spans="1:10" ht="18" customHeight="1" thickBot="1">
      <c r="A29" s="796">
        <v>2003</v>
      </c>
      <c r="B29" s="190">
        <f>[120]f!B29</f>
        <v>0.10139394656162359</v>
      </c>
      <c r="C29" s="55">
        <f>[120]f!C29</f>
        <v>9.6056212975608846E-2</v>
      </c>
      <c r="D29" s="190">
        <f>[120]f!D29</f>
        <v>0.15398318795447397</v>
      </c>
      <c r="E29" s="55">
        <f>[120]f!E29</f>
        <v>9.2867046772754591E-2</v>
      </c>
      <c r="F29" s="811" t="str">
        <f>[120]f!F29</f>
        <v>-</v>
      </c>
      <c r="G29" s="55" t="str">
        <f>[120]f!G29</f>
        <v>-</v>
      </c>
      <c r="H29" s="812" t="str">
        <f>[120]f!H29</f>
        <v>-</v>
      </c>
      <c r="I29" s="813" t="str">
        <f>[120]f!I29</f>
        <v>-</v>
      </c>
      <c r="J29" s="814" t="str">
        <f>[120]f!J29</f>
        <v>-</v>
      </c>
    </row>
    <row r="30" spans="1:10" ht="17.25" customHeight="1">
      <c r="A30" s="745" t="str">
        <f>'[106]data '!$D$2</f>
        <v>Datenstand: 17.11.2002</v>
      </c>
      <c r="B30" s="746"/>
      <c r="C30" s="746"/>
      <c r="D30" s="746"/>
      <c r="E30" s="746"/>
      <c r="F30" s="746"/>
      <c r="G30" s="746"/>
    </row>
    <row r="31" spans="1:10" ht="12" customHeight="1">
      <c r="A31" s="747"/>
      <c r="B31" s="748"/>
      <c r="C31" s="748"/>
      <c r="D31" s="748"/>
      <c r="E31" s="748"/>
      <c r="F31" s="748"/>
      <c r="G31" s="748"/>
    </row>
    <row r="32" spans="1:10" ht="15" customHeight="1">
      <c r="A32" s="747" t="s">
        <v>715</v>
      </c>
    </row>
    <row r="33" spans="1:9" ht="15" customHeight="1">
      <c r="A33" s="314" t="s">
        <v>716</v>
      </c>
    </row>
    <row r="34" spans="1:9" ht="15" customHeight="1">
      <c r="A34" s="314" t="s">
        <v>717</v>
      </c>
    </row>
    <row r="35" spans="1:9" ht="18" customHeight="1">
      <c r="A35"/>
      <c r="B35"/>
      <c r="C35"/>
      <c r="D35"/>
      <c r="E35"/>
      <c r="F35"/>
      <c r="G35"/>
    </row>
    <row r="36" spans="1:9" ht="31" customHeight="1">
      <c r="I36" s="286"/>
    </row>
    <row r="37" spans="1:9" ht="31" customHeight="1"/>
    <row r="38" spans="1:9" ht="31" customHeight="1"/>
    <row r="39" spans="1:9" ht="31" customHeight="1"/>
    <row r="40" spans="1:9" ht="31" customHeight="1"/>
    <row r="41" spans="1:9" ht="31" customHeight="1"/>
    <row r="42" spans="1:9" ht="31" customHeight="1"/>
  </sheetData>
  <phoneticPr fontId="0" type="noConversion"/>
  <pageMargins left="0.36" right="0.44" top="1.0900000000000001" bottom="0.68" header="0.53" footer="0.33"/>
  <pageSetup paperSize="9" scale="75" orientation="portrait" horizontalDpi="4294967292" verticalDpi="4294967292"/>
  <headerFooter alignWithMargins="0">
    <oddHeader>&amp;L&amp;"Arial,Bold"&amp;14Zusatzinformationen zum Gesundheitswesen</oddHeader>
    <oddFooter>&amp;L&amp;"Arial,Regular"Statistik der Krankenversicherung, Bundesamt für Sozialversicherung</odd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66C3-C715-4541-955D-590174144915}">
  <dimension ref="A1:I31"/>
  <sheetViews>
    <sheetView topLeftCell="A20" zoomScale="75" workbookViewId="0">
      <selection activeCell="A29" sqref="A29"/>
    </sheetView>
  </sheetViews>
  <sheetFormatPr baseColWidth="10" defaultColWidth="11.3984375" defaultRowHeight="13"/>
  <cols>
    <col min="1" max="1" width="14.19921875" style="7" customWidth="1"/>
    <col min="2" max="2" width="12.3984375" style="227" customWidth="1"/>
    <col min="3" max="3" width="13" style="227" customWidth="1"/>
    <col min="4" max="4" width="11.796875" style="227" customWidth="1"/>
    <col min="5" max="5" width="13.19921875" style="227" customWidth="1"/>
    <col min="6" max="6" width="13" style="227" customWidth="1"/>
    <col min="7" max="7" width="12.796875" style="227" customWidth="1"/>
    <col min="8" max="8" width="12.3984375" style="227" customWidth="1"/>
    <col min="9" max="9" width="14.19921875" style="227" customWidth="1"/>
    <col min="10" max="16384" width="11.3984375" style="7"/>
  </cols>
  <sheetData>
    <row r="1" spans="1:9" s="1" customFormat="1" ht="14" customHeight="1">
      <c r="A1" s="163"/>
      <c r="B1" s="220"/>
      <c r="C1" s="220"/>
      <c r="D1" s="220"/>
      <c r="E1" s="220"/>
      <c r="F1" s="220"/>
      <c r="G1" s="220"/>
      <c r="H1" s="220"/>
      <c r="I1" s="220"/>
    </row>
    <row r="2" spans="1:9" s="1" customFormat="1" ht="27" customHeight="1">
      <c r="A2" s="164" t="s">
        <v>339</v>
      </c>
      <c r="B2" s="220"/>
      <c r="C2" s="220"/>
      <c r="D2" s="220"/>
      <c r="E2" s="220"/>
      <c r="F2" s="220"/>
      <c r="G2" s="220"/>
      <c r="H2" s="220"/>
      <c r="I2" s="220"/>
    </row>
    <row r="3" spans="1:9" ht="20" customHeight="1">
      <c r="A3" s="41" t="s">
        <v>640</v>
      </c>
      <c r="B3" s="194" t="s">
        <v>340</v>
      </c>
      <c r="C3" s="42"/>
      <c r="D3" s="6"/>
      <c r="E3" s="42"/>
      <c r="F3" s="782" t="s">
        <v>341</v>
      </c>
      <c r="G3" s="42"/>
      <c r="H3" s="6"/>
      <c r="I3" s="42"/>
    </row>
    <row r="4" spans="1:9" ht="20" customHeight="1">
      <c r="A4" s="43"/>
      <c r="B4" s="815" t="s">
        <v>342</v>
      </c>
      <c r="C4" s="99"/>
      <c r="D4" s="98"/>
      <c r="E4" s="44" t="s">
        <v>514</v>
      </c>
      <c r="F4" s="817" t="s">
        <v>343</v>
      </c>
      <c r="G4" s="99"/>
      <c r="H4" s="98"/>
      <c r="I4" s="44" t="s">
        <v>514</v>
      </c>
    </row>
    <row r="5" spans="1:9" ht="15" customHeight="1">
      <c r="A5" s="43"/>
      <c r="B5" s="12" t="s">
        <v>154</v>
      </c>
      <c r="C5" s="44" t="s">
        <v>155</v>
      </c>
      <c r="D5" s="12" t="s">
        <v>514</v>
      </c>
      <c r="E5" s="44" t="s">
        <v>331</v>
      </c>
      <c r="F5" s="787" t="s">
        <v>154</v>
      </c>
      <c r="G5" s="44" t="s">
        <v>155</v>
      </c>
      <c r="H5" s="12" t="s">
        <v>514</v>
      </c>
      <c r="I5" s="44" t="s">
        <v>331</v>
      </c>
    </row>
    <row r="6" spans="1:9" ht="15" customHeight="1">
      <c r="A6" s="43"/>
      <c r="B6" s="170" t="s">
        <v>332</v>
      </c>
      <c r="C6" s="221" t="s">
        <v>332</v>
      </c>
      <c r="D6" s="12"/>
      <c r="E6" s="44" t="s">
        <v>333</v>
      </c>
      <c r="F6" s="787" t="s">
        <v>332</v>
      </c>
      <c r="G6" s="44" t="s">
        <v>332</v>
      </c>
      <c r="H6" s="12"/>
      <c r="I6" s="44" t="s">
        <v>333</v>
      </c>
    </row>
    <row r="7" spans="1:9" ht="15" customHeight="1">
      <c r="A7" s="43"/>
      <c r="B7" s="170" t="s">
        <v>227</v>
      </c>
      <c r="C7" s="221" t="s">
        <v>227</v>
      </c>
      <c r="D7" s="12"/>
      <c r="E7" s="44" t="s">
        <v>334</v>
      </c>
      <c r="F7" s="787" t="s">
        <v>227</v>
      </c>
      <c r="G7" s="44" t="s">
        <v>227</v>
      </c>
      <c r="H7" s="12"/>
      <c r="I7" s="44" t="s">
        <v>334</v>
      </c>
    </row>
    <row r="8" spans="1:9" ht="20" customHeight="1">
      <c r="A8" s="182"/>
      <c r="B8" s="16"/>
      <c r="C8" s="47"/>
      <c r="D8" s="16"/>
      <c r="E8" s="47"/>
      <c r="F8" s="809"/>
      <c r="G8" s="47"/>
      <c r="H8" s="16"/>
      <c r="I8" s="47"/>
    </row>
    <row r="9" spans="1:9" ht="27.75" customHeight="1" thickBot="1">
      <c r="A9" s="171">
        <f>[121]f!A9</f>
        <v>1985</v>
      </c>
      <c r="B9" s="341" t="str">
        <f>[121]f!B9</f>
        <v>-</v>
      </c>
      <c r="C9" s="340" t="str">
        <f>[121]f!C9</f>
        <v>-</v>
      </c>
      <c r="D9" s="341" t="str">
        <f>[121]f!D9</f>
        <v>-</v>
      </c>
      <c r="E9" s="340">
        <f>[121]f!E9</f>
        <v>948.43799999999999</v>
      </c>
      <c r="F9" s="790" t="str">
        <f>[121]f!F9</f>
        <v>-</v>
      </c>
      <c r="G9" s="340" t="str">
        <f>[121]f!G9</f>
        <v>-</v>
      </c>
      <c r="H9" s="341" t="str">
        <f>[121]f!H9</f>
        <v>-</v>
      </c>
      <c r="I9" s="340">
        <f>[121]f!I9</f>
        <v>631.95600000000002</v>
      </c>
    </row>
    <row r="10" spans="1:9" ht="20" customHeight="1" thickBot="1">
      <c r="A10" s="172">
        <f>[121]f!A10</f>
        <v>1986</v>
      </c>
      <c r="B10" s="125" t="str">
        <f>[121]f!B10</f>
        <v>-</v>
      </c>
      <c r="C10" s="126" t="str">
        <f>[121]f!C10</f>
        <v>-</v>
      </c>
      <c r="D10" s="125" t="str">
        <f>[121]f!D10</f>
        <v>-</v>
      </c>
      <c r="E10" s="126">
        <f>[121]f!E10</f>
        <v>1033.73</v>
      </c>
      <c r="F10" s="795" t="str">
        <f>[121]f!F10</f>
        <v>-</v>
      </c>
      <c r="G10" s="126" t="str">
        <f>[121]f!G10</f>
        <v>-</v>
      </c>
      <c r="H10" s="125" t="str">
        <f>[121]f!H10</f>
        <v>-</v>
      </c>
      <c r="I10" s="126">
        <f>[121]f!I10</f>
        <v>701.48400000000004</v>
      </c>
    </row>
    <row r="11" spans="1:9" ht="20" customHeight="1" thickBot="1">
      <c r="A11" s="172">
        <f>[121]f!A11</f>
        <v>1987</v>
      </c>
      <c r="B11" s="125" t="str">
        <f>[121]f!B11</f>
        <v>-</v>
      </c>
      <c r="C11" s="126" t="str">
        <f>[121]f!C11</f>
        <v>-</v>
      </c>
      <c r="D11" s="125" t="str">
        <f>[121]f!D11</f>
        <v>-</v>
      </c>
      <c r="E11" s="126">
        <f>[121]f!E11</f>
        <v>1100.9369999999999</v>
      </c>
      <c r="F11" s="795" t="str">
        <f>[121]f!F11</f>
        <v>-</v>
      </c>
      <c r="G11" s="126" t="str">
        <f>[121]f!G11</f>
        <v>-</v>
      </c>
      <c r="H11" s="125" t="str">
        <f>[121]f!H11</f>
        <v>-</v>
      </c>
      <c r="I11" s="126">
        <f>[121]f!I11</f>
        <v>778.54499999999996</v>
      </c>
    </row>
    <row r="12" spans="1:9" ht="20" customHeight="1" thickBot="1">
      <c r="A12" s="172">
        <f>[121]f!A12</f>
        <v>1988</v>
      </c>
      <c r="B12" s="125" t="str">
        <f>[121]f!B12</f>
        <v>-</v>
      </c>
      <c r="C12" s="126" t="str">
        <f>[121]f!C12</f>
        <v>-</v>
      </c>
      <c r="D12" s="125" t="str">
        <f>[121]f!D12</f>
        <v>-</v>
      </c>
      <c r="E12" s="126">
        <f>[121]f!E12</f>
        <v>1177.078</v>
      </c>
      <c r="F12" s="795" t="str">
        <f>[121]f!F12</f>
        <v>-</v>
      </c>
      <c r="G12" s="126" t="str">
        <f>[121]f!G12</f>
        <v>-</v>
      </c>
      <c r="H12" s="125" t="str">
        <f>[121]f!H12</f>
        <v>-</v>
      </c>
      <c r="I12" s="126">
        <f>[121]f!I12</f>
        <v>873.36699999999996</v>
      </c>
    </row>
    <row r="13" spans="1:9" ht="20" customHeight="1" thickBot="1">
      <c r="A13" s="172">
        <f>[121]f!A13</f>
        <v>1989</v>
      </c>
      <c r="B13" s="125" t="str">
        <f>[121]f!B13</f>
        <v>-</v>
      </c>
      <c r="C13" s="126" t="str">
        <f>[121]f!C13</f>
        <v>-</v>
      </c>
      <c r="D13" s="125" t="str">
        <f>[121]f!D13</f>
        <v>-</v>
      </c>
      <c r="E13" s="126">
        <f>[121]f!E13</f>
        <v>1287.019</v>
      </c>
      <c r="F13" s="795" t="str">
        <f>[121]f!F13</f>
        <v>-</v>
      </c>
      <c r="G13" s="126" t="str">
        <f>[121]f!G13</f>
        <v>-</v>
      </c>
      <c r="H13" s="125" t="str">
        <f>[121]f!H13</f>
        <v>-</v>
      </c>
      <c r="I13" s="126">
        <f>[121]f!I13</f>
        <v>948.92100000000005</v>
      </c>
    </row>
    <row r="14" spans="1:9" ht="20" customHeight="1" thickBot="1">
      <c r="A14" s="172">
        <f>[121]f!A14</f>
        <v>1990</v>
      </c>
      <c r="B14" s="125" t="str">
        <f>[121]f!B14</f>
        <v>-</v>
      </c>
      <c r="C14" s="126" t="str">
        <f>[121]f!C14</f>
        <v>-</v>
      </c>
      <c r="D14" s="125" t="str">
        <f>[121]f!D14</f>
        <v>-</v>
      </c>
      <c r="E14" s="126">
        <f>[121]f!E14</f>
        <v>1420.8050000000001</v>
      </c>
      <c r="F14" s="795" t="str">
        <f>[121]f!F14</f>
        <v>-</v>
      </c>
      <c r="G14" s="126" t="str">
        <f>[121]f!G14</f>
        <v>-</v>
      </c>
      <c r="H14" s="125" t="str">
        <f>[121]f!H14</f>
        <v>-</v>
      </c>
      <c r="I14" s="126">
        <f>[121]f!I14</f>
        <v>1086.6199999999999</v>
      </c>
    </row>
    <row r="15" spans="1:9" ht="20" customHeight="1" thickBot="1">
      <c r="A15" s="172">
        <f>[121]f!A15</f>
        <v>1991</v>
      </c>
      <c r="B15" s="125" t="str">
        <f>[121]f!B15</f>
        <v>-</v>
      </c>
      <c r="C15" s="126" t="str">
        <f>[121]f!C15</f>
        <v>-</v>
      </c>
      <c r="D15" s="125">
        <f>[121]f!D15</f>
        <v>763.6</v>
      </c>
      <c r="E15" s="126">
        <f>[121]f!E15</f>
        <v>1543.597</v>
      </c>
      <c r="F15" s="795" t="str">
        <f>[121]f!F15</f>
        <v>-</v>
      </c>
      <c r="G15" s="126" t="str">
        <f>[121]f!G15</f>
        <v>-</v>
      </c>
      <c r="H15" s="125">
        <f>[121]f!H15</f>
        <v>608.6</v>
      </c>
      <c r="I15" s="126">
        <f>[121]f!I15</f>
        <v>1257.979</v>
      </c>
    </row>
    <row r="16" spans="1:9" ht="20" customHeight="1" thickBot="1">
      <c r="A16" s="172">
        <f>[121]f!A16</f>
        <v>1992</v>
      </c>
      <c r="B16" s="125" t="str">
        <f>[121]f!B16</f>
        <v>-</v>
      </c>
      <c r="C16" s="126" t="str">
        <f>[121]f!C16</f>
        <v>-</v>
      </c>
      <c r="D16" s="818">
        <f>[121]f!D16</f>
        <v>751.1</v>
      </c>
      <c r="E16" s="126">
        <f>[121]f!E16</f>
        <v>1648.1410000000001</v>
      </c>
      <c r="F16" s="795" t="str">
        <f>[121]f!F16</f>
        <v>-</v>
      </c>
      <c r="G16" s="126" t="str">
        <f>[121]f!G16</f>
        <v>-</v>
      </c>
      <c r="H16" s="818">
        <f>[121]f!H16</f>
        <v>631.1</v>
      </c>
      <c r="I16" s="126">
        <f>[121]f!I16</f>
        <v>1414.9949999999999</v>
      </c>
    </row>
    <row r="17" spans="1:9" ht="20" customHeight="1" thickBot="1">
      <c r="A17" s="172">
        <f>[121]f!A17</f>
        <v>1993</v>
      </c>
      <c r="B17" s="125" t="str">
        <f>[121]f!B17</f>
        <v>-</v>
      </c>
      <c r="C17" s="126" t="str">
        <f>[121]f!C17</f>
        <v>-</v>
      </c>
      <c r="D17" s="818">
        <f>[121]f!D17</f>
        <v>734.9</v>
      </c>
      <c r="E17" s="126">
        <f>[121]f!E17</f>
        <v>1667.729</v>
      </c>
      <c r="F17" s="795" t="str">
        <f>[121]f!F17</f>
        <v>-</v>
      </c>
      <c r="G17" s="126" t="str">
        <f>[121]f!G17</f>
        <v>-</v>
      </c>
      <c r="H17" s="818">
        <f>[121]f!H17</f>
        <v>626</v>
      </c>
      <c r="I17" s="126">
        <f>[121]f!I17</f>
        <v>1459.6659999999999</v>
      </c>
    </row>
    <row r="18" spans="1:9" ht="20" customHeight="1" thickBot="1">
      <c r="A18" s="172">
        <f>[121]f!A18</f>
        <v>1994</v>
      </c>
      <c r="B18" s="125" t="str">
        <f>[121]f!B18</f>
        <v>-</v>
      </c>
      <c r="C18" s="126" t="str">
        <f>[121]f!C18</f>
        <v>-</v>
      </c>
      <c r="D18" s="818">
        <f>[121]f!D18</f>
        <v>690</v>
      </c>
      <c r="E18" s="126">
        <f>[121]f!E18</f>
        <v>1621.08</v>
      </c>
      <c r="F18" s="795" t="str">
        <f>[121]f!F18</f>
        <v>-</v>
      </c>
      <c r="G18" s="126" t="str">
        <f>[121]f!G18</f>
        <v>-</v>
      </c>
      <c r="H18" s="818">
        <f>[121]f!H18</f>
        <v>613.1</v>
      </c>
      <c r="I18" s="126">
        <f>[121]f!I18</f>
        <v>1489.1569999999999</v>
      </c>
    </row>
    <row r="19" spans="1:9" ht="20" customHeight="1" thickBot="1">
      <c r="A19" s="172">
        <f>[121]f!A19</f>
        <v>1995</v>
      </c>
      <c r="B19" s="125" t="str">
        <f>[121]f!B19</f>
        <v>-</v>
      </c>
      <c r="C19" s="126" t="str">
        <f>[121]f!C19</f>
        <v>-</v>
      </c>
      <c r="D19" s="818">
        <f>[121]f!D19</f>
        <v>651.4</v>
      </c>
      <c r="E19" s="126">
        <f>[121]f!E19</f>
        <v>1586.424</v>
      </c>
      <c r="F19" s="795" t="str">
        <f>[121]f!F19</f>
        <v>-</v>
      </c>
      <c r="G19" s="126" t="str">
        <f>[121]f!G19</f>
        <v>-</v>
      </c>
      <c r="H19" s="818">
        <f>[121]f!H19</f>
        <v>587.29999999999995</v>
      </c>
      <c r="I19" s="126">
        <f>[121]f!I19</f>
        <v>1488.664</v>
      </c>
    </row>
    <row r="20" spans="1:9" ht="20" customHeight="1" thickBot="1">
      <c r="A20" s="172">
        <f>[121]f!A20</f>
        <v>1996</v>
      </c>
      <c r="B20" s="125" t="str">
        <f>[121]f!B20</f>
        <v>-</v>
      </c>
      <c r="C20" s="126" t="str">
        <f>[121]f!C20</f>
        <v>-</v>
      </c>
      <c r="D20" s="818">
        <f>[121]f!D20</f>
        <v>640.4</v>
      </c>
      <c r="E20" s="126">
        <f>[121]f!E20</f>
        <v>1618.7</v>
      </c>
      <c r="F20" s="795" t="str">
        <f>[121]f!F20</f>
        <v>-</v>
      </c>
      <c r="G20" s="126" t="str">
        <f>[121]f!G20</f>
        <v>-</v>
      </c>
      <c r="H20" s="818">
        <f>[121]f!H20</f>
        <v>512.70000000000005</v>
      </c>
      <c r="I20" s="126">
        <f>[121]f!I20</f>
        <v>1358.8</v>
      </c>
    </row>
    <row r="21" spans="1:9" ht="20" customHeight="1" thickBot="1">
      <c r="A21" s="172">
        <f>[121]f!A21</f>
        <v>1997</v>
      </c>
      <c r="B21" s="125">
        <f>[121]f!B21</f>
        <v>513.53</v>
      </c>
      <c r="C21" s="126">
        <f>[121]f!C21</f>
        <v>88.28</v>
      </c>
      <c r="D21" s="125">
        <f>[121]f!D21</f>
        <v>601.80999999999995</v>
      </c>
      <c r="E21" s="126">
        <f>[121]f!E21</f>
        <v>1921.75</v>
      </c>
      <c r="F21" s="795">
        <f>[121]f!F21</f>
        <v>395.33</v>
      </c>
      <c r="G21" s="126">
        <f>[121]f!G21</f>
        <v>80.59</v>
      </c>
      <c r="H21" s="125">
        <f>[121]f!H21</f>
        <v>475.91999999999996</v>
      </c>
      <c r="I21" s="126">
        <f>[121]f!I21</f>
        <v>1558.71</v>
      </c>
    </row>
    <row r="22" spans="1:9" ht="20" customHeight="1" thickBot="1">
      <c r="A22" s="172">
        <f>[121]f!A22</f>
        <v>1998</v>
      </c>
      <c r="B22" s="125">
        <f>[121]f!B22</f>
        <v>544.61</v>
      </c>
      <c r="C22" s="126">
        <f>[121]f!C22</f>
        <v>93.2</v>
      </c>
      <c r="D22" s="125">
        <f>[121]f!D22</f>
        <v>637.81000000000006</v>
      </c>
      <c r="E22" s="126">
        <f>[121]f!E22</f>
        <v>2066.17</v>
      </c>
      <c r="F22" s="795">
        <f>[121]f!F22</f>
        <v>381.42</v>
      </c>
      <c r="G22" s="126">
        <f>[121]f!G22</f>
        <v>78.63</v>
      </c>
      <c r="H22" s="125">
        <f>[121]f!H22</f>
        <v>460.05</v>
      </c>
      <c r="I22" s="126">
        <f>[121]f!I22</f>
        <v>1597.15</v>
      </c>
    </row>
    <row r="23" spans="1:9" ht="20" customHeight="1" thickBot="1">
      <c r="A23" s="172">
        <f>[121]f!A24</f>
        <v>2000</v>
      </c>
      <c r="B23" s="125">
        <f>[121]f!B24</f>
        <v>1843.16</v>
      </c>
      <c r="C23" s="126">
        <f>[121]f!C24</f>
        <v>399.77</v>
      </c>
      <c r="D23" s="125">
        <f>[121]f!D24</f>
        <v>2242.9300000000003</v>
      </c>
      <c r="E23" s="126">
        <f>[121]f!E24</f>
        <v>3879.09</v>
      </c>
      <c r="F23" s="795">
        <f>[121]f!F24</f>
        <v>1257.46</v>
      </c>
      <c r="G23" s="126">
        <f>[121]f!G24</f>
        <v>326.3</v>
      </c>
      <c r="H23" s="125">
        <f>[121]f!H24</f>
        <v>1583.76</v>
      </c>
      <c r="I23" s="126">
        <f>[121]f!I24</f>
        <v>2917.88</v>
      </c>
    </row>
    <row r="24" spans="1:9" ht="30" customHeight="1" thickBot="1">
      <c r="A24" s="173">
        <f>[121]f!A25</f>
        <v>2001</v>
      </c>
      <c r="B24" s="131">
        <f>[121]f!B25</f>
        <v>2676.62</v>
      </c>
      <c r="C24" s="480">
        <f>[121]f!C25</f>
        <v>513.83000000000004</v>
      </c>
      <c r="D24" s="131">
        <f>[121]f!D25</f>
        <v>3190.45</v>
      </c>
      <c r="E24" s="480">
        <f>[121]f!E25</f>
        <v>5041.2299999999996</v>
      </c>
      <c r="F24" s="819">
        <f>[121]f!F25</f>
        <v>1941.54</v>
      </c>
      <c r="G24" s="480">
        <f>[121]f!G25</f>
        <v>411.76</v>
      </c>
      <c r="H24" s="131">
        <f>[121]f!H25</f>
        <v>2353.3000000000002</v>
      </c>
      <c r="I24" s="480">
        <f>[121]f!I25</f>
        <v>3948.45</v>
      </c>
    </row>
    <row r="25" spans="1:9" ht="20" customHeight="1">
      <c r="A25" s="222" t="str">
        <f>'[106]data '!$D$2</f>
        <v>Datenstand: 17.11.2002</v>
      </c>
      <c r="B25" s="223"/>
      <c r="C25" s="223"/>
      <c r="D25" s="223"/>
      <c r="E25" s="223"/>
      <c r="F25" s="223"/>
      <c r="G25" s="223"/>
      <c r="H25" s="223"/>
      <c r="I25" s="223"/>
    </row>
    <row r="26" spans="1:9" ht="10.5" customHeight="1">
      <c r="A26" s="224"/>
      <c r="B26" s="225"/>
      <c r="C26" s="225"/>
      <c r="D26" s="225"/>
      <c r="E26" s="225"/>
      <c r="F26" s="225"/>
      <c r="G26" s="225"/>
      <c r="H26" s="225"/>
      <c r="I26" s="225"/>
    </row>
    <row r="27" spans="1:9" ht="14.25" customHeight="1">
      <c r="A27" s="218" t="s">
        <v>335</v>
      </c>
      <c r="B27" s="225"/>
      <c r="C27" s="225"/>
      <c r="D27" s="225"/>
      <c r="E27" s="225"/>
      <c r="F27" s="225"/>
      <c r="G27" s="225"/>
      <c r="H27" s="225"/>
      <c r="I27" s="225"/>
    </row>
    <row r="28" spans="1:9" ht="12" customHeight="1">
      <c r="A28" s="218" t="s">
        <v>344</v>
      </c>
      <c r="B28" s="225"/>
      <c r="C28" s="225"/>
      <c r="D28" s="225"/>
      <c r="E28" s="225"/>
      <c r="F28" s="225"/>
      <c r="G28" s="225"/>
      <c r="H28" s="225"/>
      <c r="I28" s="225"/>
    </row>
    <row r="29" spans="1:9" ht="12" customHeight="1">
      <c r="A29" s="218" t="s">
        <v>336</v>
      </c>
      <c r="B29" s="225"/>
      <c r="C29" s="225"/>
      <c r="D29" s="225"/>
      <c r="E29" s="225"/>
      <c r="F29" s="225"/>
      <c r="G29" s="225"/>
      <c r="H29" s="225"/>
      <c r="I29" s="225"/>
    </row>
    <row r="30" spans="1:9" ht="12" customHeight="1">
      <c r="A30" s="218" t="s">
        <v>337</v>
      </c>
      <c r="B30" s="225"/>
      <c r="C30" s="225"/>
      <c r="D30" s="225"/>
      <c r="E30" s="225"/>
      <c r="F30" s="225"/>
      <c r="G30" s="225"/>
      <c r="H30" s="225"/>
      <c r="I30" s="225"/>
    </row>
    <row r="31" spans="1:9">
      <c r="A31" s="224" t="s">
        <v>338</v>
      </c>
      <c r="B31" s="226"/>
      <c r="C31" s="226"/>
      <c r="D31" s="226"/>
      <c r="E31" s="226"/>
      <c r="F31" s="226"/>
      <c r="G31" s="226"/>
      <c r="H31" s="226"/>
      <c r="I31" s="226"/>
    </row>
  </sheetData>
  <phoneticPr fontId="0" type="noConversion"/>
  <pageMargins left="0.48" right="0.54" top="1.28" bottom="0.49" header="0.81" footer="0.4921259845"/>
  <pageSetup paperSize="9" scale="80" orientation="portrait" horizontalDpi="4294967292" verticalDpi="4294967292"/>
  <headerFooter alignWithMargins="0">
    <oddHeader>&amp;L&amp;"Arial,Bold"&amp;14Zusatzinformationen zum Gesundheitswesen</oddHeader>
    <oddFooter>&amp;L&amp;"Arial,Regular"Statistik über die Krankenversicherung, Bundesamt für Sozialversicherung</odd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7A98-EB69-5542-A5C4-4BEA9F29438A}">
  <dimension ref="A1:L27"/>
  <sheetViews>
    <sheetView zoomScale="75" workbookViewId="0">
      <selection activeCell="A2" sqref="A2"/>
    </sheetView>
  </sheetViews>
  <sheetFormatPr baseColWidth="10" defaultColWidth="11.3984375" defaultRowHeight="13"/>
  <cols>
    <col min="1" max="1" width="10" style="7" customWidth="1"/>
    <col min="2" max="2" width="13.796875" style="227" customWidth="1"/>
    <col min="3" max="3" width="13.3984375" style="227" customWidth="1"/>
    <col min="4" max="4" width="12.59765625" style="227" customWidth="1"/>
    <col min="5" max="5" width="13.19921875" style="227" customWidth="1"/>
    <col min="6" max="6" width="11.796875" style="227" customWidth="1"/>
    <col min="7" max="7" width="14.59765625" style="227" customWidth="1"/>
    <col min="8" max="8" width="13.3984375" style="227" customWidth="1"/>
    <col min="9" max="9" width="12.3984375" style="227" customWidth="1"/>
    <col min="10" max="10" width="13.796875" style="227" customWidth="1"/>
    <col min="11" max="11" width="12.19921875" style="227" customWidth="1"/>
    <col min="12" max="16384" width="11.3984375" style="7"/>
  </cols>
  <sheetData>
    <row r="1" spans="1:12" s="1" customFormat="1" ht="14" customHeight="1">
      <c r="A1" s="163"/>
      <c r="B1" s="220"/>
      <c r="C1" s="220"/>
      <c r="D1" s="220"/>
      <c r="E1" s="220"/>
      <c r="F1" s="220"/>
      <c r="G1" s="220"/>
      <c r="H1" s="220"/>
      <c r="I1" s="220"/>
      <c r="J1" s="220"/>
      <c r="K1" s="220"/>
    </row>
    <row r="2" spans="1:12" s="1" customFormat="1" ht="27" customHeight="1">
      <c r="A2" s="820" t="s">
        <v>5</v>
      </c>
      <c r="B2" s="821"/>
      <c r="C2" s="821"/>
      <c r="D2" s="821"/>
      <c r="E2" s="821"/>
      <c r="F2" s="821"/>
      <c r="G2" s="821"/>
      <c r="H2" s="821"/>
      <c r="I2" s="821"/>
      <c r="J2" s="821"/>
      <c r="K2" s="821"/>
    </row>
    <row r="3" spans="1:12" ht="20" customHeight="1">
      <c r="A3" s="43" t="s">
        <v>640</v>
      </c>
      <c r="B3" s="822" t="s">
        <v>741</v>
      </c>
      <c r="C3" s="44"/>
      <c r="D3" s="12"/>
      <c r="E3" s="43"/>
      <c r="F3" s="822" t="s">
        <v>21</v>
      </c>
      <c r="G3" s="755" t="s">
        <v>677</v>
      </c>
      <c r="H3" s="335"/>
      <c r="I3" s="43"/>
      <c r="J3" s="62"/>
      <c r="K3" s="197" t="s">
        <v>22</v>
      </c>
    </row>
    <row r="4" spans="1:12" ht="32.25" customHeight="1">
      <c r="A4" s="43"/>
      <c r="B4" s="822" t="s">
        <v>6</v>
      </c>
      <c r="C4" s="196"/>
      <c r="D4" s="195" t="s">
        <v>21</v>
      </c>
      <c r="E4" s="823" t="s">
        <v>7</v>
      </c>
      <c r="F4" s="335"/>
      <c r="G4" s="824" t="s">
        <v>6</v>
      </c>
      <c r="H4" s="822"/>
      <c r="I4" s="196" t="s">
        <v>22</v>
      </c>
      <c r="J4" s="825" t="s">
        <v>7</v>
      </c>
      <c r="K4" s="61"/>
    </row>
    <row r="5" spans="1:12" ht="15" customHeight="1">
      <c r="A5" s="43"/>
      <c r="B5" s="12" t="s">
        <v>8</v>
      </c>
      <c r="C5" s="44" t="s">
        <v>9</v>
      </c>
      <c r="D5" s="12"/>
      <c r="E5" s="44" t="s">
        <v>9</v>
      </c>
      <c r="F5" s="12"/>
      <c r="G5" s="826" t="s">
        <v>8</v>
      </c>
      <c r="H5" s="12" t="s">
        <v>9</v>
      </c>
      <c r="I5" s="44"/>
      <c r="J5" s="12" t="s">
        <v>9</v>
      </c>
      <c r="K5" s="44"/>
    </row>
    <row r="6" spans="1:12" ht="15" customHeight="1">
      <c r="A6" s="43"/>
      <c r="B6" s="170" t="s">
        <v>9</v>
      </c>
      <c r="C6" s="221" t="s">
        <v>23</v>
      </c>
      <c r="D6" s="170"/>
      <c r="E6" s="221" t="s">
        <v>24</v>
      </c>
      <c r="F6" s="12"/>
      <c r="G6" s="827" t="s">
        <v>9</v>
      </c>
      <c r="H6" s="12" t="s">
        <v>23</v>
      </c>
      <c r="I6" s="44"/>
      <c r="J6" s="12" t="s">
        <v>24</v>
      </c>
      <c r="K6" s="44"/>
    </row>
    <row r="7" spans="1:12" ht="15" customHeight="1">
      <c r="A7" s="43"/>
      <c r="B7" s="170" t="s">
        <v>25</v>
      </c>
      <c r="C7" s="221"/>
      <c r="D7" s="170"/>
      <c r="E7" s="221"/>
      <c r="F7" s="170"/>
      <c r="G7" s="827" t="s">
        <v>25</v>
      </c>
      <c r="H7" s="12"/>
      <c r="I7" s="44"/>
      <c r="J7" s="12"/>
      <c r="K7" s="44"/>
    </row>
    <row r="8" spans="1:12" ht="20" customHeight="1">
      <c r="A8" s="182"/>
      <c r="B8" s="16"/>
      <c r="C8" s="47"/>
      <c r="D8" s="16"/>
      <c r="E8" s="47"/>
      <c r="F8" s="16"/>
      <c r="G8" s="828"/>
      <c r="H8" s="16"/>
      <c r="I8" s="47"/>
      <c r="J8" s="16"/>
      <c r="K8" s="47"/>
    </row>
    <row r="9" spans="1:12" ht="20" customHeight="1" thickBot="1">
      <c r="A9" s="796">
        <f>[122]f!A9</f>
        <v>1991</v>
      </c>
      <c r="B9" s="829">
        <f>[122]f!B9</f>
        <v>996.2</v>
      </c>
      <c r="C9" s="830" t="str">
        <f>[122]f!C9</f>
        <v>-</v>
      </c>
      <c r="D9" s="829">
        <f>[122]f!D9</f>
        <v>996.2</v>
      </c>
      <c r="E9" s="830">
        <f>[122]f!E9</f>
        <v>780</v>
      </c>
      <c r="F9" s="829">
        <f>[122]f!F9</f>
        <v>1776.2</v>
      </c>
      <c r="G9" s="831">
        <f>[122]f!G9</f>
        <v>885.4</v>
      </c>
      <c r="H9" s="829" t="str">
        <f>[122]f!H9</f>
        <v>-</v>
      </c>
      <c r="I9" s="830">
        <f>[122]f!I9</f>
        <v>885.4</v>
      </c>
      <c r="J9" s="483">
        <f>[122]f!J9</f>
        <v>649.4</v>
      </c>
      <c r="K9" s="484">
        <f>[122]f!K9</f>
        <v>1534.8</v>
      </c>
    </row>
    <row r="10" spans="1:12" ht="20" customHeight="1" thickBot="1">
      <c r="A10" s="172">
        <f>[122]f!A10</f>
        <v>1992</v>
      </c>
      <c r="B10" s="339">
        <f>[122]f!B10</f>
        <v>1003.8</v>
      </c>
      <c r="C10" s="830" t="str">
        <f>[122]f!C10</f>
        <v>-</v>
      </c>
      <c r="D10" s="829">
        <f>[122]f!D10</f>
        <v>1003.8</v>
      </c>
      <c r="E10" s="832">
        <f>[122]f!E10</f>
        <v>897</v>
      </c>
      <c r="F10" s="833">
        <f>[122]f!F10</f>
        <v>1900.8</v>
      </c>
      <c r="G10" s="834">
        <f>[122]f!G10</f>
        <v>923.2</v>
      </c>
      <c r="H10" s="829" t="str">
        <f>[122]f!H10</f>
        <v>-</v>
      </c>
      <c r="I10" s="830">
        <f>[122]f!I10</f>
        <v>923.2</v>
      </c>
      <c r="J10" s="818">
        <f>[122]f!J10</f>
        <v>783.9</v>
      </c>
      <c r="K10" s="835">
        <f>[122]f!K10</f>
        <v>1707.1</v>
      </c>
    </row>
    <row r="11" spans="1:12" ht="20" customHeight="1" thickBot="1">
      <c r="A11" s="172">
        <f>[122]f!A11</f>
        <v>1993</v>
      </c>
      <c r="B11" s="339">
        <f>[122]f!B11</f>
        <v>1026.2</v>
      </c>
      <c r="C11" s="830" t="str">
        <f>[122]f!C11</f>
        <v>-</v>
      </c>
      <c r="D11" s="829">
        <f>[122]f!D11</f>
        <v>1026.2</v>
      </c>
      <c r="E11" s="832">
        <f>[122]f!E11</f>
        <v>932.8</v>
      </c>
      <c r="F11" s="833">
        <f>[122]f!F11</f>
        <v>1959</v>
      </c>
      <c r="G11" s="834">
        <f>[122]f!G11</f>
        <v>928.41399999999999</v>
      </c>
      <c r="H11" s="829" t="str">
        <f>[122]f!H11</f>
        <v>-</v>
      </c>
      <c r="I11" s="830">
        <f>[122]f!I11</f>
        <v>928.41399999999999</v>
      </c>
      <c r="J11" s="818">
        <f>[122]f!J11</f>
        <v>833.7</v>
      </c>
      <c r="K11" s="835">
        <f>[122]f!K11</f>
        <v>1762.114</v>
      </c>
    </row>
    <row r="12" spans="1:12" ht="20" customHeight="1" thickBot="1">
      <c r="A12" s="172">
        <f>[122]f!A12</f>
        <v>1994</v>
      </c>
      <c r="B12" s="339">
        <f>[122]f!B12</f>
        <v>1052.2</v>
      </c>
      <c r="C12" s="830" t="str">
        <f>[122]f!C12</f>
        <v>-</v>
      </c>
      <c r="D12" s="829">
        <f>[122]f!D12</f>
        <v>1052.2</v>
      </c>
      <c r="E12" s="832">
        <f>[122]f!E12</f>
        <v>931.1</v>
      </c>
      <c r="F12" s="833">
        <f>[122]f!F12</f>
        <v>1983.3000000000002</v>
      </c>
      <c r="G12" s="834">
        <f>[122]f!G12</f>
        <v>983.23500000000001</v>
      </c>
      <c r="H12" s="829" t="str">
        <f>[122]f!H12</f>
        <v>-</v>
      </c>
      <c r="I12" s="830">
        <f>[122]f!I12</f>
        <v>983.23500000000001</v>
      </c>
      <c r="J12" s="818">
        <f>[122]f!J12</f>
        <v>876.1</v>
      </c>
      <c r="K12" s="835">
        <f>[122]f!K12</f>
        <v>1859.335</v>
      </c>
    </row>
    <row r="13" spans="1:12" ht="20" customHeight="1" thickBot="1">
      <c r="A13" s="172">
        <f>[122]f!A13</f>
        <v>1995</v>
      </c>
      <c r="B13" s="339">
        <f>[122]f!B13</f>
        <v>1073.0999999999999</v>
      </c>
      <c r="C13" s="830" t="str">
        <f>[122]f!C13</f>
        <v>-</v>
      </c>
      <c r="D13" s="829">
        <f>[122]f!D13</f>
        <v>1073.0999999999999</v>
      </c>
      <c r="E13" s="832">
        <f>[122]f!E13</f>
        <v>935</v>
      </c>
      <c r="F13" s="833">
        <f>[122]f!F13</f>
        <v>2008.1</v>
      </c>
      <c r="G13" s="834">
        <f>[122]f!G13</f>
        <v>1017.388</v>
      </c>
      <c r="H13" s="829" t="str">
        <f>[122]f!H13</f>
        <v>-</v>
      </c>
      <c r="I13" s="830">
        <f>[122]f!I13</f>
        <v>1017.388</v>
      </c>
      <c r="J13" s="818">
        <f>[122]f!J13</f>
        <v>901.4</v>
      </c>
      <c r="K13" s="835">
        <f>[122]f!K13</f>
        <v>1918.788</v>
      </c>
    </row>
    <row r="14" spans="1:12" ht="20" customHeight="1" thickBot="1">
      <c r="A14" s="172">
        <f>[122]f!A14</f>
        <v>1996</v>
      </c>
      <c r="B14" s="339">
        <f>[122]f!B14</f>
        <v>832</v>
      </c>
      <c r="C14" s="832">
        <f>[122]f!C14</f>
        <v>180.9</v>
      </c>
      <c r="D14" s="833">
        <f>[122]f!D14</f>
        <v>1012.9</v>
      </c>
      <c r="E14" s="832">
        <f>[122]f!E14</f>
        <v>978.3</v>
      </c>
      <c r="F14" s="833">
        <f>[122]f!F14</f>
        <v>1991.1999999999998</v>
      </c>
      <c r="G14" s="834">
        <f>[122]f!G14</f>
        <v>872.50191104999999</v>
      </c>
      <c r="H14" s="836">
        <f>[122]f!H14</f>
        <v>116.7</v>
      </c>
      <c r="I14" s="837">
        <f>[122]f!I14</f>
        <v>989.20191105000004</v>
      </c>
      <c r="J14" s="818">
        <f>[122]f!J14</f>
        <v>846.1</v>
      </c>
      <c r="K14" s="835">
        <f>[122]f!K14</f>
        <v>1835.3019110499999</v>
      </c>
      <c r="L14"/>
    </row>
    <row r="15" spans="1:12" ht="20" customHeight="1" thickBot="1">
      <c r="A15" s="172">
        <f>[122]f!A15</f>
        <v>1997</v>
      </c>
      <c r="B15" s="339">
        <f>[122]f!B15</f>
        <v>558.9</v>
      </c>
      <c r="C15" s="126">
        <f>[122]f!C15</f>
        <v>393.8</v>
      </c>
      <c r="D15" s="829">
        <f>[122]f!D15</f>
        <v>952.7</v>
      </c>
      <c r="E15" s="126">
        <f>[122]f!E15</f>
        <v>1319.9</v>
      </c>
      <c r="F15" s="829">
        <f>[122]f!F15</f>
        <v>2272.6000000000004</v>
      </c>
      <c r="G15" s="834">
        <f>[122]f!G15</f>
        <v>621.52611999999999</v>
      </c>
      <c r="H15" s="125">
        <f>[122]f!H15</f>
        <v>335.7</v>
      </c>
      <c r="I15" s="830">
        <f>[122]f!I15</f>
        <v>957.22612000000004</v>
      </c>
      <c r="J15" s="125">
        <f>[122]f!J15</f>
        <v>1082.8</v>
      </c>
      <c r="K15" s="484">
        <f>[122]f!K15</f>
        <v>2040.02612</v>
      </c>
      <c r="L15"/>
    </row>
    <row r="16" spans="1:12" ht="20" customHeight="1" thickBot="1">
      <c r="A16" s="172">
        <f>[122]f!A16</f>
        <v>1998</v>
      </c>
      <c r="B16" s="339">
        <f>[122]f!B16</f>
        <v>509.6</v>
      </c>
      <c r="C16" s="126">
        <f>[122]f!C16</f>
        <v>508.1</v>
      </c>
      <c r="D16" s="829">
        <f>[122]f!D16</f>
        <v>1017.7</v>
      </c>
      <c r="E16" s="126">
        <f>[122]f!E16</f>
        <v>1428.4</v>
      </c>
      <c r="F16" s="829">
        <f>[122]f!F16</f>
        <v>2446.1000000000004</v>
      </c>
      <c r="G16" s="834">
        <f>[122]f!G16</f>
        <v>456.36259100000001</v>
      </c>
      <c r="H16" s="125">
        <f>[122]f!H16</f>
        <v>453.7</v>
      </c>
      <c r="I16" s="830">
        <f>[122]f!I16</f>
        <v>910.062591</v>
      </c>
      <c r="J16" s="125">
        <f>[122]f!J16</f>
        <v>1137.0999999999999</v>
      </c>
      <c r="K16" s="484">
        <f>[122]f!K16</f>
        <v>2047.1625909999998</v>
      </c>
      <c r="L16"/>
    </row>
    <row r="17" spans="1:12" ht="20" customHeight="1" thickBot="1">
      <c r="A17" s="172">
        <f>[122]f!A17</f>
        <v>1999</v>
      </c>
      <c r="B17" s="339">
        <f>[122]f!B17</f>
        <v>462.9</v>
      </c>
      <c r="C17" s="126">
        <f>[122]f!C17</f>
        <v>442.7</v>
      </c>
      <c r="D17" s="829">
        <f>[122]f!D17</f>
        <v>905.59999999999991</v>
      </c>
      <c r="E17" s="126">
        <f>[122]f!E17</f>
        <v>1337.8</v>
      </c>
      <c r="F17" s="829">
        <f>[122]f!F17</f>
        <v>2243.3999999999996</v>
      </c>
      <c r="G17" s="834">
        <f>[122]f!G17</f>
        <v>412.14915300000001</v>
      </c>
      <c r="H17" s="125">
        <f>[122]f!H17</f>
        <v>385.2</v>
      </c>
      <c r="I17" s="830">
        <f>[122]f!I17</f>
        <v>797.349153</v>
      </c>
      <c r="J17" s="125">
        <f>[122]f!J17</f>
        <v>1077.5</v>
      </c>
      <c r="K17" s="484">
        <f>[122]f!K17</f>
        <v>1874.8491530000001</v>
      </c>
      <c r="L17"/>
    </row>
    <row r="18" spans="1:12" ht="20" customHeight="1" thickBot="1">
      <c r="A18" s="172">
        <f>[122]f!A18</f>
        <v>2000</v>
      </c>
      <c r="B18" s="339">
        <f>[122]f!B18</f>
        <v>438.9</v>
      </c>
      <c r="C18" s="126">
        <f>[122]f!C18</f>
        <v>339.7</v>
      </c>
      <c r="D18" s="829">
        <f>[122]f!D18</f>
        <v>778.59999999999991</v>
      </c>
      <c r="E18" s="126">
        <f>[122]f!E18</f>
        <v>1636.2</v>
      </c>
      <c r="F18" s="829">
        <f>[122]f!F18</f>
        <v>2414.8000000000002</v>
      </c>
      <c r="G18" s="834">
        <f>[122]f!G18</f>
        <v>381.63992000000002</v>
      </c>
      <c r="H18" s="125">
        <f>[122]f!H18</f>
        <v>299.2</v>
      </c>
      <c r="I18" s="830">
        <f>[122]f!I18</f>
        <v>680.83992000000001</v>
      </c>
      <c r="J18" s="125">
        <f>[122]f!J18</f>
        <v>1334.1</v>
      </c>
      <c r="K18" s="484">
        <f>[122]f!K18</f>
        <v>2014.9399199999998</v>
      </c>
      <c r="L18"/>
    </row>
    <row r="19" spans="1:12" s="276" customFormat="1" ht="30" customHeight="1" thickBot="1">
      <c r="A19" s="173">
        <f>[122]f!A19</f>
        <v>2001</v>
      </c>
      <c r="B19" s="838">
        <f>[122]f!B19</f>
        <v>398.65</v>
      </c>
      <c r="C19" s="480">
        <f>[122]f!C19</f>
        <v>248.38</v>
      </c>
      <c r="D19" s="816">
        <f>[122]f!D19</f>
        <v>647.03</v>
      </c>
      <c r="E19" s="480">
        <f>[122]f!E19</f>
        <v>1850.78</v>
      </c>
      <c r="F19" s="816">
        <f>[122]f!F19</f>
        <v>2497.81</v>
      </c>
      <c r="G19" s="839">
        <f>[122]f!G19</f>
        <v>351.97137099999998</v>
      </c>
      <c r="H19" s="131">
        <f>[122]f!H19</f>
        <v>201.85</v>
      </c>
      <c r="I19" s="840">
        <f>[122]f!I19</f>
        <v>553.821371</v>
      </c>
      <c r="J19" s="131">
        <f>[122]f!J19</f>
        <v>1595.15</v>
      </c>
      <c r="K19" s="841">
        <f>[122]f!K19</f>
        <v>2148.9713710000001</v>
      </c>
      <c r="L19" s="771"/>
    </row>
    <row r="20" spans="1:12" ht="20" customHeight="1">
      <c r="A20" s="222" t="str">
        <f>'[106]data '!$D$2</f>
        <v>Datenstand: 17.11.2002</v>
      </c>
      <c r="B20" s="223"/>
      <c r="C20" s="223"/>
      <c r="D20" s="223"/>
      <c r="E20" s="223"/>
      <c r="F20" s="223"/>
      <c r="G20" s="223"/>
      <c r="H20" s="223"/>
      <c r="I20" s="223"/>
      <c r="J20" s="223"/>
      <c r="K20" s="223"/>
    </row>
    <row r="21" spans="1:12" ht="13.5" customHeight="1">
      <c r="A21" s="224"/>
      <c r="B21" s="225"/>
      <c r="C21" s="225"/>
      <c r="D21" s="225"/>
      <c r="E21" s="225"/>
      <c r="F21" s="225"/>
      <c r="G21" s="225"/>
      <c r="H21" s="225"/>
      <c r="I21" s="225"/>
      <c r="J21" s="225"/>
      <c r="K21" s="225"/>
    </row>
    <row r="22" spans="1:12">
      <c r="A22" s="218" t="s">
        <v>15</v>
      </c>
      <c r="B22" s="226"/>
      <c r="C22" s="226"/>
      <c r="D22" s="226"/>
      <c r="E22" s="226"/>
      <c r="F22" s="226"/>
      <c r="G22" s="226"/>
      <c r="H22" s="226"/>
      <c r="I22" s="226"/>
      <c r="J22" s="226"/>
      <c r="K22" s="226"/>
    </row>
    <row r="23" spans="1:12">
      <c r="A23" s="218" t="s">
        <v>16</v>
      </c>
      <c r="B23" s="226"/>
      <c r="C23" s="226"/>
      <c r="D23" s="226"/>
      <c r="E23" s="226"/>
      <c r="F23" s="226"/>
      <c r="G23" s="226"/>
      <c r="H23" s="226"/>
      <c r="I23" s="226"/>
      <c r="J23" s="226"/>
      <c r="K23" s="226"/>
    </row>
    <row r="24" spans="1:12">
      <c r="A24" s="218" t="s">
        <v>17</v>
      </c>
      <c r="B24" s="226"/>
      <c r="C24" s="226"/>
      <c r="D24" s="226"/>
      <c r="E24" s="226"/>
      <c r="F24" s="226"/>
      <c r="G24" s="226"/>
      <c r="H24" s="226"/>
      <c r="I24" s="226"/>
      <c r="J24" s="226"/>
      <c r="K24" s="226"/>
    </row>
    <row r="25" spans="1:12">
      <c r="A25" s="7" t="s">
        <v>18</v>
      </c>
    </row>
    <row r="26" spans="1:12">
      <c r="A26" s="218" t="s">
        <v>19</v>
      </c>
      <c r="B26" s="226"/>
      <c r="C26" s="226"/>
      <c r="D26" s="226"/>
      <c r="E26" s="226"/>
      <c r="F26" s="226"/>
      <c r="G26" s="226"/>
      <c r="H26" s="226"/>
      <c r="I26" s="226"/>
      <c r="J26" s="226"/>
      <c r="K26" s="226"/>
    </row>
    <row r="27" spans="1:12">
      <c r="A27" s="224" t="s">
        <v>20</v>
      </c>
      <c r="B27" s="226"/>
      <c r="C27" s="226"/>
      <c r="D27" s="226"/>
      <c r="E27" s="226"/>
      <c r="F27" s="226"/>
      <c r="G27" s="226"/>
      <c r="H27" s="226"/>
      <c r="I27" s="226"/>
      <c r="J27" s="226"/>
      <c r="K27" s="226"/>
    </row>
  </sheetData>
  <phoneticPr fontId="0" type="noConversion"/>
  <pageMargins left="0.24" right="0.19" top="0.95" bottom="0.49" header="0.45" footer="0.4921259845"/>
  <pageSetup paperSize="9" scale="70" orientation="portrait" horizontalDpi="4294967292" verticalDpi="4294967292"/>
  <headerFooter alignWithMargins="0">
    <oddHeader>&amp;L&amp;"Arial,Bold"&amp;14Informations complémentaires en rapport avec la santé</oddHeader>
    <oddFooter>&amp;L&amp;"Arial,Regular"Statistique de l'assurance-maladie, Office fédéral des assurances sociales</odd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23FC-3B87-9B45-9213-E6F1091B3A9F}">
  <dimension ref="A1:L26"/>
  <sheetViews>
    <sheetView zoomScale="75" workbookViewId="0">
      <selection activeCell="A2" sqref="A2"/>
    </sheetView>
  </sheetViews>
  <sheetFormatPr baseColWidth="10" defaultColWidth="11.3984375" defaultRowHeight="13"/>
  <cols>
    <col min="1" max="1" width="10" style="7" customWidth="1"/>
    <col min="2" max="2" width="13.19921875" style="227" customWidth="1"/>
    <col min="3" max="3" width="13.3984375" style="227" customWidth="1"/>
    <col min="4" max="4" width="15" style="227" customWidth="1"/>
    <col min="5" max="5" width="11.796875" style="227" customWidth="1"/>
    <col min="6" max="6" width="13.19921875" style="227" customWidth="1"/>
    <col min="7" max="7" width="13.59765625" style="227" customWidth="1"/>
    <col min="8" max="8" width="14.796875" style="227" customWidth="1"/>
    <col min="9" max="9" width="13.59765625" style="227" customWidth="1"/>
    <col min="10" max="16384" width="11.3984375" style="7"/>
  </cols>
  <sheetData>
    <row r="1" spans="1:12" s="1" customFormat="1" ht="14" customHeight="1">
      <c r="A1" s="163"/>
      <c r="B1" s="220"/>
      <c r="C1" s="220"/>
      <c r="D1" s="220"/>
      <c r="E1" s="220"/>
      <c r="F1" s="220"/>
      <c r="G1" s="220"/>
      <c r="H1" s="220"/>
      <c r="I1" s="220"/>
    </row>
    <row r="2" spans="1:12" s="1" customFormat="1" ht="27" customHeight="1">
      <c r="A2" s="820" t="s">
        <v>922</v>
      </c>
      <c r="B2" s="821"/>
      <c r="C2" s="821"/>
      <c r="D2" s="821"/>
      <c r="E2" s="821"/>
      <c r="F2" s="821"/>
      <c r="G2" s="821"/>
      <c r="H2" s="821"/>
      <c r="I2" s="821"/>
    </row>
    <row r="3" spans="1:12" ht="20" customHeight="1">
      <c r="A3" s="43" t="s">
        <v>640</v>
      </c>
      <c r="B3" s="822" t="s">
        <v>741</v>
      </c>
      <c r="C3" s="44"/>
      <c r="D3" s="12"/>
      <c r="E3" s="842" t="s">
        <v>514</v>
      </c>
      <c r="F3" s="843" t="s">
        <v>677</v>
      </c>
      <c r="G3" s="43"/>
      <c r="H3" s="335"/>
      <c r="I3" s="842" t="s">
        <v>514</v>
      </c>
    </row>
    <row r="4" spans="1:12" ht="33" customHeight="1">
      <c r="A4" s="43"/>
      <c r="B4" s="822" t="s">
        <v>6</v>
      </c>
      <c r="C4" s="196"/>
      <c r="D4" s="825" t="s">
        <v>923</v>
      </c>
      <c r="E4" s="823"/>
      <c r="F4" s="843" t="s">
        <v>6</v>
      </c>
      <c r="G4" s="842"/>
      <c r="H4" s="825" t="s">
        <v>923</v>
      </c>
      <c r="I4" s="823"/>
    </row>
    <row r="5" spans="1:12" ht="15" customHeight="1">
      <c r="A5" s="43"/>
      <c r="B5" s="170" t="s">
        <v>914</v>
      </c>
      <c r="C5" s="221" t="s">
        <v>915</v>
      </c>
      <c r="D5" s="170" t="s">
        <v>9</v>
      </c>
      <c r="E5" s="44"/>
      <c r="F5" s="788" t="s">
        <v>914</v>
      </c>
      <c r="G5" s="221" t="s">
        <v>915</v>
      </c>
      <c r="H5" s="170" t="s">
        <v>9</v>
      </c>
      <c r="I5" s="44"/>
    </row>
    <row r="6" spans="1:12" ht="17.25" customHeight="1">
      <c r="A6" s="43"/>
      <c r="B6" s="170" t="s">
        <v>334</v>
      </c>
      <c r="C6" s="221" t="s">
        <v>924</v>
      </c>
      <c r="D6" s="170" t="s">
        <v>404</v>
      </c>
      <c r="E6" s="44"/>
      <c r="F6" s="788" t="s">
        <v>334</v>
      </c>
      <c r="G6" s="221" t="s">
        <v>924</v>
      </c>
      <c r="H6" s="170" t="s">
        <v>404</v>
      </c>
      <c r="I6" s="44"/>
    </row>
    <row r="7" spans="1:12" ht="16.5" customHeight="1">
      <c r="A7" s="182"/>
      <c r="B7" s="16"/>
      <c r="C7" s="47"/>
      <c r="D7" s="16"/>
      <c r="E7" s="47"/>
      <c r="F7" s="809"/>
      <c r="G7" s="47"/>
      <c r="H7" s="16"/>
      <c r="I7" s="47"/>
    </row>
    <row r="8" spans="1:12" ht="20" customHeight="1" thickBot="1">
      <c r="A8" s="796">
        <f>[123]f!A8</f>
        <v>1991</v>
      </c>
      <c r="B8" s="829">
        <f>[123]f!B8</f>
        <v>7381.6</v>
      </c>
      <c r="C8" s="830">
        <f>[123]f!C8</f>
        <v>2030</v>
      </c>
      <c r="D8" s="829">
        <f>[123]f!D8</f>
        <v>763.6</v>
      </c>
      <c r="E8" s="484">
        <f>[123]f!E8</f>
        <v>10175.200000000001</v>
      </c>
      <c r="F8" s="844">
        <f>[123]f!F8</f>
        <v>8411.9</v>
      </c>
      <c r="G8" s="830">
        <f>[123]f!G8</f>
        <v>1717.6</v>
      </c>
      <c r="H8" s="829">
        <f>[123]f!H8</f>
        <v>608.6</v>
      </c>
      <c r="I8" s="484">
        <f>[123]f!I8</f>
        <v>10738.1</v>
      </c>
    </row>
    <row r="9" spans="1:12" ht="20" customHeight="1" thickBot="1">
      <c r="A9" s="172">
        <f>[123]f!A9</f>
        <v>1992</v>
      </c>
      <c r="B9" s="339">
        <f>[123]f!B9</f>
        <v>8071.6</v>
      </c>
      <c r="C9" s="845">
        <f>[123]f!C9</f>
        <v>2234.5</v>
      </c>
      <c r="D9" s="836">
        <f>[123]f!D9</f>
        <v>751.05194456734102</v>
      </c>
      <c r="E9" s="484">
        <f>[123]f!E9</f>
        <v>11057.151944567342</v>
      </c>
      <c r="F9" s="846">
        <f>[123]f!F9</f>
        <v>9374.4</v>
      </c>
      <c r="G9" s="845">
        <f>[123]f!G9</f>
        <v>1832.3</v>
      </c>
      <c r="H9" s="836">
        <f>[123]f!H9</f>
        <v>631.14866850607859</v>
      </c>
      <c r="I9" s="484">
        <f>[123]f!I9</f>
        <v>11837.848668506078</v>
      </c>
    </row>
    <row r="10" spans="1:12" ht="20" customHeight="1" thickBot="1">
      <c r="A10" s="172">
        <f>[123]f!A10</f>
        <v>1993</v>
      </c>
      <c r="B10" s="339">
        <f>[123]f!B10</f>
        <v>8959</v>
      </c>
      <c r="C10" s="845">
        <f>[123]f!C10</f>
        <v>3326.3</v>
      </c>
      <c r="D10" s="836">
        <f>[123]f!D10</f>
        <v>734.92479192401356</v>
      </c>
      <c r="E10" s="484">
        <f>[123]f!E10</f>
        <v>13020.224791924013</v>
      </c>
      <c r="F10" s="846">
        <f>[123]f!F10</f>
        <v>9747.2000000000007</v>
      </c>
      <c r="G10" s="845">
        <f>[123]f!G10</f>
        <v>2431.9</v>
      </c>
      <c r="H10" s="836">
        <f>[123]f!H10</f>
        <v>626.00138979065252</v>
      </c>
      <c r="I10" s="484">
        <f>[123]f!I10</f>
        <v>12805.101389790652</v>
      </c>
    </row>
    <row r="11" spans="1:12" ht="20" customHeight="1" thickBot="1">
      <c r="A11" s="172">
        <f>[123]f!A11</f>
        <v>1994</v>
      </c>
      <c r="B11" s="339">
        <f>[123]f!B11</f>
        <v>8986.1</v>
      </c>
      <c r="C11" s="845">
        <f>[123]f!C11</f>
        <v>4076.6</v>
      </c>
      <c r="D11" s="836">
        <f>[123]f!D11</f>
        <v>690.03021854426788</v>
      </c>
      <c r="E11" s="484">
        <f>[123]f!E11</f>
        <v>13752.730218544268</v>
      </c>
      <c r="F11" s="846">
        <f>[123]f!F11</f>
        <v>9548.9</v>
      </c>
      <c r="G11" s="845">
        <f>[123]f!G11</f>
        <v>3331.5</v>
      </c>
      <c r="H11" s="836">
        <f>[123]f!H11</f>
        <v>613.0603501903413</v>
      </c>
      <c r="I11" s="484">
        <f>[123]f!I11</f>
        <v>13493.46035019034</v>
      </c>
    </row>
    <row r="12" spans="1:12" ht="20" customHeight="1" thickBot="1">
      <c r="A12" s="172">
        <f>[123]f!A12</f>
        <v>1995</v>
      </c>
      <c r="B12" s="339">
        <f>[123]f!B12</f>
        <v>9125.7999999999993</v>
      </c>
      <c r="C12" s="845">
        <f>[123]f!C12</f>
        <v>4249.7</v>
      </c>
      <c r="D12" s="836">
        <f>[123]f!D12</f>
        <v>651.42256806953048</v>
      </c>
      <c r="E12" s="484">
        <f>[123]f!E12</f>
        <v>14026.922568069531</v>
      </c>
      <c r="F12" s="846">
        <f>[123]f!F12</f>
        <v>10017.200000000001</v>
      </c>
      <c r="G12" s="845">
        <f>[123]f!G12</f>
        <v>3664.1</v>
      </c>
      <c r="H12" s="836">
        <f>[123]f!H12</f>
        <v>587.27080996548773</v>
      </c>
      <c r="I12" s="484">
        <f>[123]f!I12</f>
        <v>14268.570809965489</v>
      </c>
    </row>
    <row r="13" spans="1:12" ht="20" customHeight="1" thickBot="1">
      <c r="A13" s="172">
        <f>[123]f!A13</f>
        <v>1996</v>
      </c>
      <c r="B13" s="339">
        <f>[123]f!B13</f>
        <v>11035.2</v>
      </c>
      <c r="C13" s="845">
        <f>[123]f!C13</f>
        <v>4337.5</v>
      </c>
      <c r="D13" s="836">
        <f>[123]f!D13</f>
        <v>640.36315374410731</v>
      </c>
      <c r="E13" s="484">
        <f>[123]f!E13</f>
        <v>16013.063153744108</v>
      </c>
      <c r="F13" s="846">
        <f>[123]f!F13</f>
        <v>10780.5</v>
      </c>
      <c r="G13" s="845">
        <f>[123]f!G13</f>
        <v>3809.6285714248806</v>
      </c>
      <c r="H13" s="836">
        <f>[123]f!H13</f>
        <v>512.67578326995283</v>
      </c>
      <c r="I13" s="484">
        <f>[123]f!I13</f>
        <v>15102.804354694834</v>
      </c>
      <c r="K13"/>
      <c r="L13"/>
    </row>
    <row r="14" spans="1:12" ht="20" customHeight="1" thickBot="1">
      <c r="A14" s="172">
        <f>[123]f!A14</f>
        <v>1997</v>
      </c>
      <c r="B14" s="125">
        <f>[123]f!B14</f>
        <v>11924.8</v>
      </c>
      <c r="C14" s="126">
        <f>[123]f!C14</f>
        <v>4410.6000000000004</v>
      </c>
      <c r="D14" s="125">
        <f>[123]f!D14</f>
        <v>601.9</v>
      </c>
      <c r="E14" s="484">
        <f>[123]f!E14</f>
        <v>16937.3</v>
      </c>
      <c r="F14" s="795">
        <f>[123]f!F14</f>
        <v>11360.5</v>
      </c>
      <c r="G14" s="126">
        <f>[123]f!G14</f>
        <v>3288.3</v>
      </c>
      <c r="H14" s="125">
        <f>[123]f!H14</f>
        <v>475.9</v>
      </c>
      <c r="I14" s="484">
        <f>[123]f!I14</f>
        <v>15124.699999999999</v>
      </c>
      <c r="K14"/>
      <c r="L14"/>
    </row>
    <row r="15" spans="1:12" ht="20" customHeight="1" thickBot="1">
      <c r="A15" s="172">
        <f>[123]f!A15</f>
        <v>1998</v>
      </c>
      <c r="B15" s="125">
        <f>[123]f!B15</f>
        <v>12604.2</v>
      </c>
      <c r="C15" s="126">
        <f>[123]f!C15</f>
        <v>4453.3</v>
      </c>
      <c r="D15" s="125">
        <f>[123]f!D15</f>
        <v>637.79999999999995</v>
      </c>
      <c r="E15" s="484">
        <f>[123]f!E15</f>
        <v>17695.3</v>
      </c>
      <c r="F15" s="795">
        <f>[123]f!F15</f>
        <v>11926.9</v>
      </c>
      <c r="G15" s="126">
        <f>[123]f!G15</f>
        <v>3299.5</v>
      </c>
      <c r="H15" s="125">
        <f>[123]f!H15</f>
        <v>460.1</v>
      </c>
      <c r="I15" s="484">
        <f>[123]f!I15</f>
        <v>15686.5</v>
      </c>
      <c r="K15"/>
      <c r="L15"/>
    </row>
    <row r="16" spans="1:12" ht="20" customHeight="1" thickBot="1">
      <c r="A16" s="172">
        <f>[123]f!A16</f>
        <v>1999</v>
      </c>
      <c r="B16" s="125">
        <f>[123]f!B16</f>
        <v>12949.5</v>
      </c>
      <c r="C16" s="126">
        <f>[123]f!C16</f>
        <v>3766.7</v>
      </c>
      <c r="D16" s="125">
        <f>[123]f!D16</f>
        <v>1098.2</v>
      </c>
      <c r="E16" s="484">
        <f>[123]f!E16</f>
        <v>17814.400000000001</v>
      </c>
      <c r="F16" s="795">
        <f>[123]f!F16</f>
        <v>12430.6</v>
      </c>
      <c r="G16" s="126">
        <f>[123]f!G16</f>
        <v>2787.1</v>
      </c>
      <c r="H16" s="125">
        <f>[123]f!H16</f>
        <v>763.9</v>
      </c>
      <c r="I16" s="484">
        <f>[123]f!I16</f>
        <v>15981.6</v>
      </c>
      <c r="K16"/>
      <c r="L16"/>
    </row>
    <row r="17" spans="1:12" ht="20" customHeight="1" thickBot="1">
      <c r="A17" s="172">
        <f>[123]f!A17</f>
        <v>2000</v>
      </c>
      <c r="B17" s="125">
        <f>[123]f!B17</f>
        <v>13346.7</v>
      </c>
      <c r="C17" s="126">
        <f>[123]f!C17</f>
        <v>2917.4</v>
      </c>
      <c r="D17" s="125">
        <f>[123]f!D17</f>
        <v>2242.9</v>
      </c>
      <c r="E17" s="484">
        <f>[123]f!E17</f>
        <v>18507</v>
      </c>
      <c r="F17" s="795">
        <f>[123]f!F17</f>
        <v>13190.3</v>
      </c>
      <c r="G17" s="126">
        <f>[123]f!G17</f>
        <v>2199.1</v>
      </c>
      <c r="H17" s="125">
        <f>[123]f!H17</f>
        <v>1583.8</v>
      </c>
      <c r="I17" s="484">
        <f>[123]f!I17</f>
        <v>16973.2</v>
      </c>
      <c r="K17"/>
      <c r="L17"/>
    </row>
    <row r="18" spans="1:12" ht="30" customHeight="1" thickBot="1">
      <c r="A18" s="173">
        <f>[123]f!A18</f>
        <v>2001</v>
      </c>
      <c r="B18" s="131">
        <f>[123]f!B18</f>
        <v>13954.7</v>
      </c>
      <c r="C18" s="480">
        <f>[123]f!C18</f>
        <v>1986.99</v>
      </c>
      <c r="D18" s="131">
        <f>[123]f!D18</f>
        <v>3190.46</v>
      </c>
      <c r="E18" s="480">
        <f>[123]f!E18</f>
        <v>19132.150000000001</v>
      </c>
      <c r="F18" s="819">
        <f>[123]f!F18</f>
        <v>13986.27</v>
      </c>
      <c r="G18" s="480">
        <f>[123]f!G18</f>
        <v>1576.7</v>
      </c>
      <c r="H18" s="131">
        <f>[123]f!H18</f>
        <v>2353.3000000000002</v>
      </c>
      <c r="I18" s="480">
        <f>[123]f!I18</f>
        <v>17916.27</v>
      </c>
      <c r="K18"/>
      <c r="L18"/>
    </row>
    <row r="19" spans="1:12" ht="20" customHeight="1">
      <c r="A19" s="222" t="str">
        <f>'[106]data '!$D$2</f>
        <v>Datenstand: 17.11.2002</v>
      </c>
      <c r="B19" s="223"/>
      <c r="C19" s="223"/>
      <c r="D19" s="223"/>
      <c r="E19" s="223"/>
      <c r="F19" s="223"/>
      <c r="G19" s="223"/>
      <c r="H19" s="223"/>
      <c r="I19" s="223"/>
    </row>
    <row r="20" spans="1:12" ht="13.5" customHeight="1">
      <c r="A20" s="224"/>
      <c r="B20" s="225"/>
      <c r="C20" s="225"/>
      <c r="D20" s="225"/>
      <c r="E20" s="225"/>
      <c r="F20" s="225"/>
      <c r="G20" s="225"/>
      <c r="H20" s="225"/>
      <c r="I20" s="225"/>
    </row>
    <row r="21" spans="1:12">
      <c r="A21" s="218" t="s">
        <v>916</v>
      </c>
      <c r="B21" s="226"/>
      <c r="C21" s="226"/>
      <c r="D21" s="226"/>
      <c r="E21" s="226"/>
      <c r="F21" s="226"/>
      <c r="G21" s="226"/>
      <c r="H21" s="226"/>
      <c r="I21" s="226"/>
    </row>
    <row r="22" spans="1:12">
      <c r="A22" s="218" t="s">
        <v>917</v>
      </c>
      <c r="B22" s="226"/>
      <c r="C22" s="226"/>
      <c r="D22" s="226"/>
      <c r="E22" s="226"/>
      <c r="F22" s="226"/>
      <c r="G22" s="226"/>
      <c r="H22" s="226"/>
      <c r="I22" s="226"/>
    </row>
    <row r="23" spans="1:12">
      <c r="A23" s="218" t="s">
        <v>918</v>
      </c>
      <c r="B23" s="226"/>
      <c r="C23" s="226"/>
      <c r="D23" s="226"/>
      <c r="E23" s="226"/>
      <c r="F23" s="226"/>
      <c r="G23" s="226"/>
      <c r="H23" s="226"/>
      <c r="I23" s="226"/>
    </row>
    <row r="24" spans="1:12">
      <c r="A24" s="218" t="s">
        <v>919</v>
      </c>
      <c r="B24" s="226"/>
      <c r="C24" s="226"/>
      <c r="D24" s="226"/>
      <c r="E24" s="226"/>
      <c r="F24" s="226"/>
      <c r="G24" s="226"/>
      <c r="H24" s="226"/>
      <c r="I24" s="226"/>
    </row>
    <row r="25" spans="1:12">
      <c r="A25" s="224" t="s">
        <v>920</v>
      </c>
      <c r="B25" s="226"/>
      <c r="C25" s="226"/>
      <c r="D25" s="226"/>
      <c r="E25" s="226"/>
      <c r="F25" s="226"/>
      <c r="G25" s="226"/>
      <c r="H25" s="226"/>
      <c r="I25" s="226"/>
    </row>
    <row r="26" spans="1:12">
      <c r="A26" s="218" t="s">
        <v>921</v>
      </c>
    </row>
  </sheetData>
  <phoneticPr fontId="0" type="noConversion"/>
  <pageMargins left="0.45" right="0.35" top="0.95" bottom="0.49" header="0.45" footer="0.4921259845"/>
  <pageSetup paperSize="9" scale="80" orientation="portrait" horizontalDpi="1200" verticalDpi="1200"/>
  <headerFooter alignWithMargins="0">
    <oddHeader>&amp;L&amp;"Arial,Bold"&amp;14Informations complémentaires en rapport avec la santé</oddHeader>
    <oddFooter>&amp;L&amp;"Arial,Regular"Statistique de l'assurance-maladie, Office fédéral des assurances sociales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114</vt:i4>
      </vt:variant>
      <vt:variant>
        <vt:lpstr>Benannte Bereiche</vt:lpstr>
      </vt:variant>
      <vt:variant>
        <vt:i4>106</vt:i4>
      </vt:variant>
    </vt:vector>
  </HeadingPairs>
  <TitlesOfParts>
    <vt:vector size="220" baseType="lpstr">
      <vt:lpstr>Info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133</vt:lpstr>
      <vt:lpstr>134</vt:lpstr>
      <vt:lpstr>135</vt:lpstr>
      <vt:lpstr>136</vt:lpstr>
      <vt:lpstr>137</vt:lpstr>
      <vt:lpstr>138</vt:lpstr>
      <vt:lpstr>139</vt:lpstr>
      <vt:lpstr>140</vt:lpstr>
      <vt:lpstr>141</vt:lpstr>
      <vt:lpstr>142</vt:lpstr>
      <vt:lpstr>143</vt:lpstr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301</vt:lpstr>
      <vt:lpstr>302</vt:lpstr>
      <vt:lpstr>303</vt:lpstr>
      <vt:lpstr>304</vt:lpstr>
      <vt:lpstr>305</vt:lpstr>
      <vt:lpstr>306</vt:lpstr>
      <vt:lpstr>307</vt:lpstr>
      <vt:lpstr>308</vt:lpstr>
      <vt:lpstr>309</vt:lpstr>
      <vt:lpstr>401</vt:lpstr>
      <vt:lpstr>402</vt:lpstr>
      <vt:lpstr>403</vt:lpstr>
      <vt:lpstr>404</vt:lpstr>
      <vt:lpstr>405</vt:lpstr>
      <vt:lpstr>406</vt:lpstr>
      <vt:lpstr>407</vt:lpstr>
      <vt:lpstr>408</vt:lpstr>
      <vt:lpstr>409</vt:lpstr>
      <vt:lpstr>410</vt:lpstr>
      <vt:lpstr>502</vt:lpstr>
      <vt:lpstr>601</vt:lpstr>
      <vt:lpstr>602</vt:lpstr>
      <vt:lpstr>603</vt:lpstr>
      <vt:lpstr>604</vt:lpstr>
      <vt:lpstr>605</vt:lpstr>
      <vt:lpstr>606</vt:lpstr>
      <vt:lpstr>701</vt:lpstr>
      <vt:lpstr>702</vt:lpstr>
      <vt:lpstr>703</vt:lpstr>
      <vt:lpstr>704</vt:lpstr>
      <vt:lpstr>705</vt:lpstr>
      <vt:lpstr>801</vt:lpstr>
      <vt:lpstr>802</vt:lpstr>
      <vt:lpstr>803</vt:lpstr>
      <vt:lpstr>804</vt:lpstr>
      <vt:lpstr>805</vt:lpstr>
      <vt:lpstr>806</vt:lpstr>
      <vt:lpstr>807</vt:lpstr>
      <vt:lpstr>808</vt:lpstr>
      <vt:lpstr>809</vt:lpstr>
      <vt:lpstr>810</vt:lpstr>
      <vt:lpstr>901</vt:lpstr>
      <vt:lpstr>902</vt:lpstr>
      <vt:lpstr>903</vt:lpstr>
      <vt:lpstr>904</vt:lpstr>
      <vt:lpstr>905</vt:lpstr>
      <vt:lpstr>906</vt:lpstr>
      <vt:lpstr>907</vt:lpstr>
      <vt:lpstr>908</vt:lpstr>
      <vt:lpstr>909</vt:lpstr>
      <vt:lpstr>910</vt:lpstr>
      <vt:lpstr>911</vt:lpstr>
      <vt:lpstr>912</vt:lpstr>
      <vt:lpstr>913</vt:lpstr>
      <vt:lpstr>914</vt:lpstr>
      <vt:lpstr>915</vt:lpstr>
      <vt:lpstr>916</vt:lpstr>
      <vt:lpstr>917</vt:lpstr>
      <vt:lpstr>918</vt:lpstr>
      <vt:lpstr>'101'!Druckbereich</vt:lpstr>
      <vt:lpstr>'102'!Druckbereich</vt:lpstr>
      <vt:lpstr>'103'!Druckbereich</vt:lpstr>
      <vt:lpstr>'104'!Druckbereich</vt:lpstr>
      <vt:lpstr>'105'!Druckbereich</vt:lpstr>
      <vt:lpstr>'106'!Druckbereich</vt:lpstr>
      <vt:lpstr>'107'!Druckbereich</vt:lpstr>
      <vt:lpstr>'108'!Druckbereich</vt:lpstr>
      <vt:lpstr>'109'!Druckbereich</vt:lpstr>
      <vt:lpstr>'110'!Druckbereich</vt:lpstr>
      <vt:lpstr>'111'!Druckbereich</vt:lpstr>
      <vt:lpstr>'112'!Druckbereich</vt:lpstr>
      <vt:lpstr>'113'!Druckbereich</vt:lpstr>
      <vt:lpstr>'114'!Druckbereich</vt:lpstr>
      <vt:lpstr>'115'!Druckbereich</vt:lpstr>
      <vt:lpstr>'116'!Druckbereich</vt:lpstr>
      <vt:lpstr>'117'!Druckbereich</vt:lpstr>
      <vt:lpstr>'118'!Druckbereich</vt:lpstr>
      <vt:lpstr>'119'!Druckbereich</vt:lpstr>
      <vt:lpstr>'120'!Druckbereich</vt:lpstr>
      <vt:lpstr>'121'!Druckbereich</vt:lpstr>
      <vt:lpstr>'122'!Druckbereich</vt:lpstr>
      <vt:lpstr>'123'!Druckbereich</vt:lpstr>
      <vt:lpstr>'124'!Druckbereich</vt:lpstr>
      <vt:lpstr>'125'!Druckbereich</vt:lpstr>
      <vt:lpstr>'126'!Druckbereich</vt:lpstr>
      <vt:lpstr>'127'!Druckbereich</vt:lpstr>
      <vt:lpstr>'128'!Druckbereich</vt:lpstr>
      <vt:lpstr>'129'!Druckbereich</vt:lpstr>
      <vt:lpstr>'130'!Druckbereich</vt:lpstr>
      <vt:lpstr>'131'!Druckbereich</vt:lpstr>
      <vt:lpstr>'132'!Druckbereich</vt:lpstr>
      <vt:lpstr>'133'!Druckbereich</vt:lpstr>
      <vt:lpstr>'134'!Druckbereich</vt:lpstr>
      <vt:lpstr>'139'!Druckbereich</vt:lpstr>
      <vt:lpstr>'140'!Druckbereich</vt:lpstr>
      <vt:lpstr>'141'!Druckbereich</vt:lpstr>
      <vt:lpstr>'142'!Druckbereich</vt:lpstr>
      <vt:lpstr>'143'!Druckbereich</vt:lpstr>
      <vt:lpstr>'201'!Druckbereich</vt:lpstr>
      <vt:lpstr>'202'!Druckbereich</vt:lpstr>
      <vt:lpstr>'203'!Druckbereich</vt:lpstr>
      <vt:lpstr>'204'!Druckbereich</vt:lpstr>
      <vt:lpstr>'205'!Druckbereich</vt:lpstr>
      <vt:lpstr>'206'!Druckbereich</vt:lpstr>
      <vt:lpstr>'207'!Druckbereich</vt:lpstr>
      <vt:lpstr>'208'!Druckbereich</vt:lpstr>
      <vt:lpstr>'209'!Druckbereich</vt:lpstr>
      <vt:lpstr>'210'!Druckbereich</vt:lpstr>
      <vt:lpstr>'211'!Druckbereich</vt:lpstr>
      <vt:lpstr>'301'!Druckbereich</vt:lpstr>
      <vt:lpstr>'302'!Druckbereich</vt:lpstr>
      <vt:lpstr>'307'!Druckbereich</vt:lpstr>
      <vt:lpstr>'308'!Druckbereich</vt:lpstr>
      <vt:lpstr>'309'!Druckbereich</vt:lpstr>
      <vt:lpstr>'401'!Druckbereich</vt:lpstr>
      <vt:lpstr>'402'!Druckbereich</vt:lpstr>
      <vt:lpstr>'403'!Druckbereich</vt:lpstr>
      <vt:lpstr>'404'!Druckbereich</vt:lpstr>
      <vt:lpstr>'405'!Druckbereich</vt:lpstr>
      <vt:lpstr>'407'!Druckbereich</vt:lpstr>
      <vt:lpstr>'408'!Druckbereich</vt:lpstr>
      <vt:lpstr>'409'!Druckbereich</vt:lpstr>
      <vt:lpstr>'410'!Druckbereich</vt:lpstr>
      <vt:lpstr>'502'!Druckbereich</vt:lpstr>
      <vt:lpstr>'601'!Druckbereich</vt:lpstr>
      <vt:lpstr>'602'!Druckbereich</vt:lpstr>
      <vt:lpstr>'603'!Druckbereich</vt:lpstr>
      <vt:lpstr>'604'!Druckbereich</vt:lpstr>
      <vt:lpstr>'605'!Druckbereich</vt:lpstr>
      <vt:lpstr>'606'!Druckbereich</vt:lpstr>
      <vt:lpstr>'701'!Druckbereich</vt:lpstr>
      <vt:lpstr>'702'!Druckbereich</vt:lpstr>
      <vt:lpstr>'703'!Druckbereich</vt:lpstr>
      <vt:lpstr>'704'!Druckbereich</vt:lpstr>
      <vt:lpstr>'705'!Druckbereich</vt:lpstr>
      <vt:lpstr>'801'!Druckbereich</vt:lpstr>
      <vt:lpstr>'802'!Druckbereich</vt:lpstr>
      <vt:lpstr>'803'!Druckbereich</vt:lpstr>
      <vt:lpstr>'804'!Druckbereich</vt:lpstr>
      <vt:lpstr>'805'!Druckbereich</vt:lpstr>
      <vt:lpstr>'806'!Druckbereich</vt:lpstr>
      <vt:lpstr>'807'!Druckbereich</vt:lpstr>
      <vt:lpstr>'808'!Druckbereich</vt:lpstr>
      <vt:lpstr>'809'!Druckbereich</vt:lpstr>
      <vt:lpstr>'810'!Druckbereich</vt:lpstr>
      <vt:lpstr>'901'!Druckbereich</vt:lpstr>
      <vt:lpstr>'902'!Druckbereich</vt:lpstr>
      <vt:lpstr>'903'!Druckbereich</vt:lpstr>
      <vt:lpstr>'904'!Druckbereich</vt:lpstr>
      <vt:lpstr>'905'!Druckbereich</vt:lpstr>
      <vt:lpstr>'906'!Druckbereich</vt:lpstr>
      <vt:lpstr>'907'!Druckbereich</vt:lpstr>
      <vt:lpstr>'908'!Druckbereich</vt:lpstr>
      <vt:lpstr>'909'!Druckbereich</vt:lpstr>
      <vt:lpstr>'910'!Druckbereich</vt:lpstr>
      <vt:lpstr>'911'!Druckbereich</vt:lpstr>
      <vt:lpstr>'912'!Druckbereich</vt:lpstr>
      <vt:lpstr>'913'!Druckbereich</vt:lpstr>
      <vt:lpstr>'914'!Druckbereich</vt:lpstr>
      <vt:lpstr>'915'!Druckbereich</vt:lpstr>
      <vt:lpstr>'916'!Druckbereich</vt:lpstr>
      <vt:lpstr>'917'!Druckbereich</vt:lpstr>
      <vt:lpstr>'918'!Druckbereich</vt:lpstr>
      <vt:lpstr>Info!Druckbereich</vt:lpstr>
      <vt:lpstr>'502'!Drucktitel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Informatikdienst</dc:creator>
  <cp:lastModifiedBy>Smaili Kenan (smailken)</cp:lastModifiedBy>
  <cp:lastPrinted>2003-05-12T13:39:22Z</cp:lastPrinted>
  <dcterms:created xsi:type="dcterms:W3CDTF">1999-11-15T08:04:36Z</dcterms:created>
  <dcterms:modified xsi:type="dcterms:W3CDTF">2026-05-02T10:37:43Z</dcterms:modified>
</cp:coreProperties>
</file>